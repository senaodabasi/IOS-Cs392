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E:\cs\Bus101\"/>
    </mc:Choice>
  </mc:AlternateContent>
  <bookViews>
    <workbookView xWindow="0" yWindow="0" windowWidth="15360" windowHeight="7530" activeTab="1"/>
  </bookViews>
  <sheets>
    <sheet name="ID" sheetId="2" r:id="rId1"/>
    <sheet name="Data" sheetId="5" r:id="rId2"/>
    <sheet name="Answers" sheetId="1" r:id="rId3"/>
    <sheet name="HIDDEN" sheetId="9" state="veryHidden" r:id="rId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9" l="1"/>
  <c r="J9" i="9"/>
  <c r="J10" i="9"/>
  <c r="J11" i="9"/>
  <c r="J12" i="9"/>
  <c r="J13" i="9"/>
  <c r="J14" i="9"/>
  <c r="J15" i="9"/>
  <c r="J16" i="9"/>
  <c r="J17" i="9"/>
  <c r="J8" i="9"/>
  <c r="C9" i="9"/>
  <c r="C8" i="9"/>
  <c r="A16" i="1"/>
</calcChain>
</file>

<file path=xl/comments1.xml><?xml version="1.0" encoding="utf-8"?>
<comments xmlns="http://schemas.openxmlformats.org/spreadsheetml/2006/main">
  <authors>
    <author>mannt-1</author>
  </authors>
  <commentList>
    <comment ref="H10" authorId="0" shapeId="0">
      <text>
        <r>
          <rPr>
            <b/>
            <u/>
            <sz val="8"/>
            <color indexed="81"/>
            <rFont val="Tahoma"/>
            <family val="2"/>
            <charset val="162"/>
          </rPr>
          <t>TIP: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  <charset val="162"/>
          </rPr>
          <t xml:space="preserve">Read the instructions on the </t>
        </r>
        <r>
          <rPr>
            <b/>
            <sz val="8"/>
            <color indexed="81"/>
            <rFont val="Tahoma"/>
            <family val="2"/>
          </rPr>
          <t>ID page</t>
        </r>
        <r>
          <rPr>
            <sz val="8"/>
            <color indexed="81"/>
            <rFont val="Tahoma"/>
            <family val="2"/>
            <charset val="162"/>
          </rPr>
          <t xml:space="preserve"> about the proper way to format percentages. </t>
        </r>
      </text>
    </comment>
  </commentList>
</comments>
</file>

<file path=xl/sharedStrings.xml><?xml version="1.0" encoding="utf-8"?>
<sst xmlns="http://schemas.openxmlformats.org/spreadsheetml/2006/main" count="61" uniqueCount="56">
  <si>
    <t>HW1</t>
  </si>
  <si>
    <t>Points</t>
  </si>
  <si>
    <t>Answers</t>
  </si>
  <si>
    <t>Total:</t>
  </si>
  <si>
    <t>Problem</t>
  </si>
  <si>
    <t>lowest</t>
  </si>
  <si>
    <t>Text</t>
  </si>
  <si>
    <t>Code</t>
  </si>
  <si>
    <t>YEAR:</t>
  </si>
  <si>
    <t>RANDOM</t>
  </si>
  <si>
    <t>CF:</t>
  </si>
  <si>
    <t>SB:</t>
  </si>
  <si>
    <t>Number</t>
  </si>
  <si>
    <t>Answer</t>
  </si>
  <si>
    <t>Section</t>
  </si>
  <si>
    <t>DATA</t>
  </si>
  <si>
    <t>ANSWER</t>
  </si>
  <si>
    <t>Moodleid</t>
  </si>
  <si>
    <t>S000968</t>
  </si>
  <si>
    <t>highest</t>
  </si>
  <si>
    <t>Fall</t>
  </si>
  <si>
    <t xml:space="preserve">Report the final profit after considering fixed overhead expenses and R&amp;D expenses. </t>
  </si>
  <si>
    <t>Consider Data from Excel Document used in Lab 1</t>
  </si>
  <si>
    <t>RELAX SOFA</t>
  </si>
  <si>
    <t>TIKEA</t>
  </si>
  <si>
    <t>HW 1 - TIKEA</t>
  </si>
  <si>
    <t xml:space="preserve">Report the total revenue generated by all four furnitures. </t>
  </si>
  <si>
    <t>In total, how much did TIKEA Corp. spend on producing these four kinds of furnitures?</t>
  </si>
  <si>
    <t>ADORE TABLE</t>
  </si>
  <si>
    <t>BRIGHTNESS BED</t>
  </si>
  <si>
    <t>Report the contribution margin for one ADORE TABLE.</t>
  </si>
  <si>
    <t>Report the contribution margin for one BRIGHTNESS BED.</t>
  </si>
  <si>
    <t>How much revenue is generated by sales of the highest priced product?</t>
  </si>
  <si>
    <t>Determine which furniture's sales generated the highest amount of revenue and ONLY REPORT this furnitures' revenue.</t>
  </si>
  <si>
    <t>Report the percentage of total revenue generated by ADORE TABLE sales.</t>
  </si>
  <si>
    <t>Report the total production cost for the RELAX SOFA furniture.</t>
  </si>
  <si>
    <t>Report the total production cost for the furniture that has the lowest unit cost.</t>
  </si>
  <si>
    <t>SENA</t>
  </si>
  <si>
    <t>Product</t>
  </si>
  <si>
    <t>Unit Price</t>
  </si>
  <si>
    <t>Unit Cost</t>
  </si>
  <si>
    <t>Sales Volume</t>
  </si>
  <si>
    <t>Unit Profit</t>
  </si>
  <si>
    <t>Total Revenue for each Product</t>
  </si>
  <si>
    <t>Percentage</t>
  </si>
  <si>
    <t>Total Production Cost for each Product</t>
  </si>
  <si>
    <t>Adore Table</t>
  </si>
  <si>
    <t>Brightness Bed</t>
  </si>
  <si>
    <t>Woody Wardrobe</t>
  </si>
  <si>
    <t>Relax Sofa</t>
  </si>
  <si>
    <t>TOTAL</t>
  </si>
  <si>
    <t>General Overhead</t>
  </si>
  <si>
    <t>R&amp;D</t>
  </si>
  <si>
    <t>Total Revenue</t>
  </si>
  <si>
    <t>Total Production Cost</t>
  </si>
  <si>
    <t>Total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</si>
</sst>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&quot;TL&quot;#,##0_);\(&quot;TL&quot;#,##0\)"/>
    <numFmt numFmtId="166" formatCode="_-&quot;$&quot;* #,##0.00_-;\-&quot;$&quot;* #,##0.00_-;_-&quot;$&quot;* &quot;-&quot;??_-;_-@_-"/>
  </numFmts>
  <fonts count="2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  <charset val="162"/>
    </font>
    <font>
      <b/>
      <sz val="8"/>
      <color indexed="81"/>
      <name val="Tahoma"/>
      <family val="2"/>
    </font>
    <font>
      <b/>
      <sz val="10"/>
      <color indexed="8"/>
      <name val="Arial"/>
      <family val="2"/>
      <charset val="162"/>
    </font>
    <font>
      <sz val="8"/>
      <color indexed="81"/>
      <name val="Tahoma"/>
      <family val="2"/>
      <charset val="162"/>
    </font>
    <font>
      <b/>
      <u/>
      <sz val="8"/>
      <color indexed="81"/>
      <name val="Tahoma"/>
      <family val="2"/>
      <charset val="162"/>
    </font>
    <font>
      <sz val="10"/>
      <color indexed="55"/>
      <name val="Arial"/>
      <family val="2"/>
      <charset val="162"/>
    </font>
    <font>
      <sz val="10"/>
      <color indexed="8"/>
      <name val="Arial"/>
      <family val="2"/>
      <charset val="162"/>
    </font>
    <font>
      <b/>
      <sz val="10"/>
      <color indexed="55"/>
      <name val="Arial"/>
      <family val="2"/>
      <charset val="162"/>
    </font>
    <font>
      <b/>
      <sz val="12"/>
      <name val="Arial"/>
      <family val="2"/>
    </font>
    <font>
      <u/>
      <sz val="10"/>
      <color theme="10"/>
      <name val="Arial"/>
      <family val="2"/>
      <charset val="162"/>
    </font>
    <font>
      <u/>
      <sz val="10"/>
      <color theme="11"/>
      <name val="Arial"/>
      <family val="2"/>
      <charset val="162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5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Protection="1"/>
    <xf numFmtId="0" fontId="3" fillId="0" borderId="0" xfId="0" applyFont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11" fillId="0" borderId="0" xfId="0" applyFont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2" fillId="0" borderId="0" xfId="0" applyNumberFormat="1" applyFont="1" applyFill="1" applyBorder="1"/>
    <xf numFmtId="0" fontId="12" fillId="0" borderId="0" xfId="0" applyNumberFormat="1" applyFont="1" applyFill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/>
    </xf>
    <xf numFmtId="0" fontId="11" fillId="0" borderId="2" xfId="0" applyFont="1" applyBorder="1" applyAlignment="1" applyProtection="1">
      <alignment horizontal="center" vertical="center"/>
    </xf>
    <xf numFmtId="0" fontId="12" fillId="0" borderId="0" xfId="0" applyNumberFormat="1" applyFont="1" applyFill="1" applyBorder="1" applyAlignment="1">
      <alignment horizontal="center" vertical="center" wrapText="1"/>
    </xf>
    <xf numFmtId="0" fontId="12" fillId="0" borderId="0" xfId="0" applyNumberFormat="1" applyFont="1" applyFill="1" applyBorder="1" applyAlignment="1" applyProtection="1">
      <alignment vertical="center" wrapText="1"/>
    </xf>
    <xf numFmtId="0" fontId="12" fillId="0" borderId="0" xfId="0" applyNumberFormat="1" applyFont="1" applyFill="1" applyBorder="1" applyAlignment="1">
      <alignment horizontal="center"/>
    </xf>
    <xf numFmtId="0" fontId="12" fillId="0" borderId="0" xfId="2" applyNumberFormat="1" applyFont="1" applyFill="1" applyBorder="1"/>
    <xf numFmtId="0" fontId="12" fillId="0" borderId="0" xfId="1" applyNumberFormat="1" applyFont="1" applyFill="1" applyBorder="1"/>
    <xf numFmtId="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/>
    <xf numFmtId="0" fontId="14" fillId="2" borderId="0" xfId="0" applyFont="1" applyFill="1" applyAlignment="1" applyProtection="1">
      <alignment horizontal="left" vertical="justify"/>
    </xf>
    <xf numFmtId="0" fontId="4" fillId="2" borderId="0" xfId="0" applyFont="1" applyFill="1" applyBorder="1" applyAlignment="1" applyProtection="1">
      <alignment vertical="justify"/>
      <protection locked="0"/>
    </xf>
    <xf numFmtId="0" fontId="5" fillId="2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justify"/>
    </xf>
    <xf numFmtId="0" fontId="3" fillId="2" borderId="0" xfId="0" applyFont="1" applyFill="1" applyAlignment="1" applyProtection="1">
      <alignment horizontal="right" vertical="justify" wrapText="1"/>
    </xf>
    <xf numFmtId="0" fontId="3" fillId="2" borderId="0" xfId="0" applyFont="1" applyFill="1" applyBorder="1" applyAlignment="1" applyProtection="1">
      <alignment vertical="justify"/>
      <protection locked="0"/>
    </xf>
    <xf numFmtId="0" fontId="12" fillId="0" borderId="3" xfId="0" applyNumberFormat="1" applyFont="1" applyFill="1" applyBorder="1"/>
    <xf numFmtId="0" fontId="5" fillId="0" borderId="4" xfId="0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1" fillId="0" borderId="0" xfId="0" applyFont="1"/>
    <xf numFmtId="0" fontId="1" fillId="0" borderId="0" xfId="0" applyFont="1" applyProtection="1">
      <protection locked="0"/>
    </xf>
    <xf numFmtId="22" fontId="0" fillId="0" borderId="0" xfId="0" applyNumberFormat="1" applyProtection="1">
      <protection locked="0"/>
    </xf>
    <xf numFmtId="22" fontId="0" fillId="0" borderId="0" xfId="0" applyNumberFormat="1"/>
    <xf numFmtId="49" fontId="1" fillId="0" borderId="0" xfId="0" applyNumberFormat="1" applyFont="1" applyProtection="1">
      <protection locked="0"/>
    </xf>
    <xf numFmtId="0" fontId="3" fillId="3" borderId="1" xfId="0" applyFont="1" applyFill="1" applyBorder="1" applyAlignment="1" applyProtection="1">
      <alignment horizontal="center" vertical="justify"/>
      <protection locked="0"/>
    </xf>
    <xf numFmtId="0" fontId="3" fillId="3" borderId="1" xfId="0" applyFont="1" applyFill="1" applyBorder="1" applyAlignment="1" applyProtection="1">
      <alignment horizontal="center" vertical="justify"/>
    </xf>
    <xf numFmtId="0" fontId="8" fillId="3" borderId="1" xfId="0" applyFont="1" applyFill="1" applyBorder="1" applyAlignment="1" applyProtection="1">
      <alignment horizontal="center" vertical="center" wrapText="1"/>
    </xf>
    <xf numFmtId="0" fontId="3" fillId="4" borderId="1" xfId="0" applyFont="1" applyFill="1" applyBorder="1" applyAlignment="1" applyProtection="1">
      <alignment vertical="justify"/>
      <protection locked="0"/>
    </xf>
    <xf numFmtId="16" fontId="12" fillId="0" borderId="0" xfId="0" applyNumberFormat="1" applyFont="1" applyFill="1" applyBorder="1"/>
    <xf numFmtId="10" fontId="12" fillId="0" borderId="0" xfId="2" applyNumberFormat="1" applyFont="1" applyFill="1" applyBorder="1"/>
    <xf numFmtId="9" fontId="0" fillId="0" borderId="0" xfId="2" applyFont="1" applyProtection="1">
      <protection locked="0"/>
    </xf>
    <xf numFmtId="0" fontId="3" fillId="4" borderId="1" xfId="2" applyNumberFormat="1" applyFont="1" applyFill="1" applyBorder="1" applyAlignment="1" applyProtection="1">
      <alignment vertical="justify"/>
      <protection locked="0"/>
    </xf>
    <xf numFmtId="0" fontId="18" fillId="0" borderId="0" xfId="0" applyFont="1"/>
    <xf numFmtId="0" fontId="19" fillId="0" borderId="0" xfId="0" applyFont="1"/>
    <xf numFmtId="0" fontId="6" fillId="2" borderId="5" xfId="0" applyFont="1" applyFill="1" applyBorder="1" applyAlignment="1">
      <alignment horizontal="left" vertical="top" wrapText="1"/>
    </xf>
    <xf numFmtId="0" fontId="6" fillId="2" borderId="6" xfId="0" applyFont="1" applyFill="1" applyBorder="1" applyAlignment="1">
      <alignment horizontal="left" vertical="top" wrapText="1"/>
    </xf>
    <xf numFmtId="0" fontId="6" fillId="2" borderId="7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14" fillId="2" borderId="0" xfId="0" applyFont="1" applyFill="1" applyAlignment="1" applyProtection="1">
      <alignment horizontal="left" vertical="justify"/>
    </xf>
    <xf numFmtId="0" fontId="6" fillId="2" borderId="5" xfId="0" applyFont="1" applyFill="1" applyBorder="1" applyAlignment="1" applyProtection="1">
      <alignment horizontal="left" vertical="top" wrapText="1"/>
    </xf>
    <xf numFmtId="0" fontId="6" fillId="2" borderId="6" xfId="0" applyFont="1" applyFill="1" applyBorder="1" applyAlignment="1" applyProtection="1">
      <alignment horizontal="left" vertical="top" wrapText="1"/>
    </xf>
    <xf numFmtId="0" fontId="6" fillId="2" borderId="7" xfId="0" applyFont="1" applyFill="1" applyBorder="1" applyAlignment="1" applyProtection="1">
      <alignment horizontal="left" vertical="top" wrapText="1"/>
    </xf>
    <xf numFmtId="0" fontId="3" fillId="3" borderId="5" xfId="0" applyFont="1" applyFill="1" applyBorder="1" applyAlignment="1" applyProtection="1">
      <alignment horizontal="center" vertical="justify" wrapText="1"/>
    </xf>
    <xf numFmtId="0" fontId="3" fillId="3" borderId="6" xfId="0" applyFont="1" applyFill="1" applyBorder="1" applyAlignment="1" applyProtection="1">
      <alignment horizontal="center" vertical="justify" wrapText="1"/>
    </xf>
    <xf numFmtId="0" fontId="3" fillId="3" borderId="7" xfId="0" applyFont="1" applyFill="1" applyBorder="1" applyAlignment="1" applyProtection="1">
      <alignment horizontal="center" vertical="justify" wrapText="1"/>
    </xf>
  </cellXfs>
  <cellStyles count="65">
    <cellStyle name="Comma 2" xfId="4"/>
    <cellStyle name="Currency" xfId="1" builtinId="4"/>
    <cellStyle name="Currency 2" xfId="6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Normal" xfId="0" builtinId="0"/>
    <cellStyle name="Normal 2" xfId="3"/>
    <cellStyle name="Percent" xfId="2" builtinId="5"/>
    <cellStyle name="Percent 2" xfId="5"/>
  </cellStyles>
  <dxfs count="0"/>
  <tableStyles count="1" defaultTableStyle="TableStyleMedium9" defaultPivotStyle="PivotStyleLight16">
    <tableStyle name="MySqlDefault" pivot="0" table="0" count="0"/>
  </tableStyles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352425</xdr:colOff>
      <xdr:row>28</xdr:row>
      <xdr:rowOff>19050</xdr:rowOff>
    </xdr:from>
    <xdr:to>
      <xdr:col>1</xdr:col>
      <xdr:colOff>428625</xdr:colOff>
      <xdr:row>29</xdr:row>
      <xdr:rowOff>57150</xdr:rowOff>
    </xdr:to>
    <xdr:sp macro="" textlink="">
      <xdr:nvSpPr>
        <xdr:cNvPr id="2053" name="Text Box 2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962025" y="45720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323850</xdr:colOff>
      <xdr:row>5</xdr:row>
      <xdr:rowOff>123825</xdr:rowOff>
    </xdr:from>
    <xdr:to>
      <xdr:col>11</xdr:col>
      <xdr:colOff>581025</xdr:colOff>
      <xdr:row>27</xdr:row>
      <xdr:rowOff>85725</xdr:rowOff>
    </xdr:to>
    <xdr:sp macro="" textlink="">
      <xdr:nvSpPr>
        <xdr:cNvPr id="5" name="Text Box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914400" y="952500"/>
          <a:ext cx="6686550" cy="352425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100" b="1" i="1" u="sng" strike="noStrike" baseline="0">
              <a:solidFill>
                <a:srgbClr val="FF0000"/>
              </a:solidFill>
              <a:latin typeface="Verdana"/>
            </a:rPr>
            <a:t>IMPORTANT INSTRUCTIONS - Please Read!</a:t>
          </a:r>
          <a:endParaRPr lang="en-US" sz="900" b="1" i="0" u="none" strike="noStrike" baseline="0">
            <a:solidFill>
              <a:srgbClr val="FF0000"/>
            </a:solidFill>
            <a:latin typeface="Verdana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1. </a:t>
          </a:r>
          <a:r>
            <a:rPr lang="en-US" sz="800" b="1" i="0" u="none" strike="noStrike" baseline="0">
              <a:solidFill>
                <a:srgbClr val="000000"/>
              </a:solidFill>
              <a:latin typeface="Verdana"/>
            </a:rPr>
            <a:t>There will be a new set of Instructions on the 'ID' Sheet of each homework. </a:t>
          </a:r>
          <a:r>
            <a:rPr lang="en-US" sz="800" b="1" i="1" u="sng" strike="noStrike" baseline="0">
              <a:solidFill>
                <a:srgbClr val="000000"/>
              </a:solidFill>
              <a:latin typeface="Verdana"/>
            </a:rPr>
            <a:t>It is your responsibility to read the instructions for each homework.</a:t>
          </a:r>
          <a:r>
            <a:rPr lang="en-US" sz="800" b="1" i="0" u="none" strike="noStrike" baseline="0">
              <a:solidFill>
                <a:srgbClr val="000000"/>
              </a:solidFill>
              <a:latin typeface="Verdana"/>
            </a:rPr>
            <a:t> 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We will not give credit for not following directions. Pay special attention to formatting instructions. No credit will be given for improperly formatted answers or rounded answers. 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2. Enter all answers to questions on the </a:t>
          </a:r>
          <a:r>
            <a:rPr lang="en-US" sz="800" b="1" i="0" u="none" strike="noStrike" baseline="0">
              <a:solidFill>
                <a:srgbClr val="000000"/>
              </a:solidFill>
              <a:latin typeface="Verdana"/>
            </a:rPr>
            <a:t>'Answers' 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sheet. Submit your own Excel workbook that you downloaded while logged into the Course Web. 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3. Questions in this Homework refer to data given in</a:t>
          </a:r>
          <a:r>
            <a:rPr lang="tr-TR" sz="800" b="0" i="0" u="none" strike="noStrike" baseline="0">
              <a:solidFill>
                <a:srgbClr val="000000"/>
              </a:solidFill>
              <a:latin typeface="Verdana"/>
            </a:rPr>
            <a:t> Excel Document 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used in the first Lab. If there are some terms in this homework that are new to you, please read the definitions in the Course Notes for Week 1. 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4. This homework must be submitted online </a:t>
          </a:r>
          <a:r>
            <a:rPr lang="en-US" sz="800" b="1" i="1" u="sng" strike="noStrike" baseline="0">
              <a:solidFill>
                <a:srgbClr val="FF0000"/>
              </a:solidFill>
              <a:latin typeface="Verdana"/>
            </a:rPr>
            <a:t>before </a:t>
          </a:r>
          <a:r>
            <a:rPr lang="tr-TR" sz="800" b="1" i="1" u="sng" strike="noStrike" baseline="0">
              <a:solidFill>
                <a:srgbClr val="FF0000"/>
              </a:solidFill>
              <a:latin typeface="Verdana"/>
            </a:rPr>
            <a:t>9</a:t>
          </a:r>
          <a:r>
            <a:rPr lang="en-US" sz="800" b="1" i="1" u="sng" strike="noStrike" baseline="0">
              <a:solidFill>
                <a:srgbClr val="FF0000"/>
              </a:solidFill>
              <a:latin typeface="Verdana"/>
            </a:rPr>
            <a:t>:</a:t>
          </a:r>
          <a:r>
            <a:rPr lang="tr-TR" sz="800" b="1" i="1" u="sng" strike="noStrike" baseline="0">
              <a:solidFill>
                <a:srgbClr val="FF0000"/>
              </a:solidFill>
              <a:latin typeface="Verdana"/>
            </a:rPr>
            <a:t>0</a:t>
          </a:r>
          <a:r>
            <a:rPr lang="en-US" sz="800" b="1" i="1" u="sng" strike="noStrike" baseline="0">
              <a:solidFill>
                <a:srgbClr val="FF0000"/>
              </a:solidFill>
              <a:latin typeface="Verdana"/>
            </a:rPr>
            <a:t>0 AM on</a:t>
          </a:r>
          <a:r>
            <a:rPr lang="tr-TR" sz="800" b="1" i="1" u="sng" strike="noStrike" baseline="0">
              <a:solidFill>
                <a:srgbClr val="FF0000"/>
              </a:solidFill>
              <a:latin typeface="Verdana"/>
            </a:rPr>
            <a:t> </a:t>
          </a:r>
          <a:r>
            <a:rPr lang="en-US" sz="800" b="1" i="1" u="sng" strike="noStrike" baseline="0">
              <a:solidFill>
                <a:srgbClr val="FF0000"/>
              </a:solidFill>
              <a:latin typeface="Verdana"/>
            </a:rPr>
            <a:t>Wednesday, </a:t>
          </a:r>
          <a:r>
            <a:rPr lang="tr-TR" sz="800" b="1" i="1" u="sng" strike="noStrike" baseline="0">
              <a:solidFill>
                <a:srgbClr val="FF0000"/>
              </a:solidFill>
              <a:latin typeface="Verdana"/>
            </a:rPr>
            <a:t>October 4th</a:t>
          </a:r>
          <a:r>
            <a:rPr lang="en-US" sz="800" b="1" i="1" u="sng" strike="noStrike" baseline="0">
              <a:solidFill>
                <a:srgbClr val="FF0000"/>
              </a:solidFill>
              <a:latin typeface="Verdana"/>
            </a:rPr>
            <a:t>, 201</a:t>
          </a:r>
          <a:r>
            <a:rPr lang="tr-TR" sz="800" b="1" i="1" u="sng" strike="noStrike" baseline="0">
              <a:solidFill>
                <a:srgbClr val="FF0000"/>
              </a:solidFill>
              <a:latin typeface="Verdana"/>
            </a:rPr>
            <a:t>7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. Late </a:t>
          </a:r>
          <a:r>
            <a:rPr lang="tr-TR" sz="1000" b="0" i="0">
              <a:effectLst/>
              <a:latin typeface="+mn-lt"/>
              <a:ea typeface="+mn-ea"/>
              <a:cs typeface="+mn-cs"/>
            </a:rPr>
            <a:t>submission will</a:t>
          </a:r>
          <a:r>
            <a:rPr lang="tr-TR" sz="10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tr-TR" sz="1000" b="1" i="0">
              <a:effectLst/>
              <a:latin typeface="+mn-lt"/>
              <a:ea typeface="+mn-ea"/>
              <a:cs typeface="+mn-cs"/>
            </a:rPr>
            <a:t>not be accepted after the stated deadline</a:t>
          </a:r>
          <a:r>
            <a:rPr lang="tr-TR" sz="1000" b="0" i="0">
              <a:effectLst/>
              <a:latin typeface="+mn-lt"/>
              <a:ea typeface="+mn-ea"/>
              <a:cs typeface="+mn-cs"/>
            </a:rPr>
            <a:t> for any reason. 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5.  The </a:t>
          </a:r>
          <a:r>
            <a:rPr lang="en-US" sz="800" b="1" i="0" u="none" strike="noStrike" baseline="0">
              <a:solidFill>
                <a:srgbClr val="000000"/>
              </a:solidFill>
              <a:latin typeface="Verdana"/>
            </a:rPr>
            <a:t>BEST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 way to enter an answer into an </a:t>
          </a:r>
          <a:r>
            <a:rPr lang="en-US" sz="800" b="0" i="1" u="none" strike="noStrike" baseline="0">
              <a:solidFill>
                <a:srgbClr val="000000"/>
              </a:solidFill>
              <a:latin typeface="Verdana"/>
            </a:rPr>
            <a:t>answer cell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 in an Excel homework is to </a:t>
          </a:r>
          <a:r>
            <a:rPr lang="en-US" sz="800" b="0" i="1" u="none" strike="noStrike" baseline="0">
              <a:solidFill>
                <a:srgbClr val="000000"/>
              </a:solidFill>
              <a:latin typeface="Verdana"/>
            </a:rPr>
            <a:t>copy 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the cell containing the answer, then </a:t>
          </a:r>
          <a:r>
            <a:rPr lang="en-US" sz="800" b="0" i="1" u="none" strike="noStrike" baseline="0">
              <a:solidFill>
                <a:srgbClr val="000000"/>
              </a:solidFill>
              <a:latin typeface="Verdana"/>
            </a:rPr>
            <a:t>select 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the answer cell on the </a:t>
          </a:r>
          <a:r>
            <a:rPr lang="en-US" sz="800" b="0" i="1" u="none" strike="noStrike" baseline="0">
              <a:solidFill>
                <a:srgbClr val="000000"/>
              </a:solidFill>
              <a:latin typeface="Verdana"/>
            </a:rPr>
            <a:t>Answers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Worksheet, and choose 'Paste-Special' </a:t>
          </a:r>
          <a:r>
            <a:rPr lang="en-US" sz="800" b="0" i="0" u="none" strike="noStrike" baseline="0">
              <a:solidFill>
                <a:srgbClr val="000000"/>
              </a:solidFill>
              <a:latin typeface="Wingdings"/>
            </a:rPr>
            <a:t>è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'Values.' This will ensure that we receive your </a:t>
          </a:r>
          <a:r>
            <a:rPr lang="en-US" sz="800" b="1" i="1" u="none" strike="noStrike" baseline="0">
              <a:solidFill>
                <a:srgbClr val="000000"/>
              </a:solidFill>
              <a:latin typeface="Verdana"/>
            </a:rPr>
            <a:t>exact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 answer and not a </a:t>
          </a:r>
          <a:r>
            <a:rPr lang="en-US" sz="800" b="1" i="1" u="none" strike="noStrike" baseline="0">
              <a:solidFill>
                <a:srgbClr val="000000"/>
              </a:solidFill>
              <a:latin typeface="Verdana"/>
            </a:rPr>
            <a:t>rounded</a:t>
          </a:r>
          <a:r>
            <a:rPr lang="en-US" sz="800" b="0" i="1" u="none" strike="noStrike" baseline="0">
              <a:solidFill>
                <a:srgbClr val="000000"/>
              </a:solidFill>
              <a:latin typeface="Verdana"/>
            </a:rPr>
            <a:t> 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answer or a formula referring to the wrong cell.  </a:t>
          </a: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6. </a:t>
          </a:r>
          <a:r>
            <a:rPr lang="en-US" sz="800" b="1" i="1" u="sng" strike="noStrike" baseline="0">
              <a:solidFill>
                <a:srgbClr val="000000"/>
              </a:solidFill>
              <a:latin typeface="Verdana"/>
            </a:rPr>
            <a:t>All questions that ask for percentages must be formatted so that Excel can tell it is a percentage.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 If the answer it '20 percent,' you may submit an answer that looks like '20%' or '0.2' but </a:t>
          </a:r>
          <a:r>
            <a:rPr lang="en-US" sz="800" b="1" i="1" u="none" strike="noStrike" baseline="0">
              <a:solidFill>
                <a:srgbClr val="000000"/>
              </a:solidFill>
              <a:latin typeface="Verdana"/>
            </a:rPr>
            <a:t>NOT</a:t>
          </a:r>
          <a:r>
            <a:rPr lang="en-US" sz="800" b="0" i="0" u="none" strike="noStrike" baseline="0">
              <a:solidFill>
                <a:srgbClr val="000000"/>
              </a:solidFill>
              <a:latin typeface="Verdana"/>
            </a:rPr>
            <a:t> '20' because Excel doesn't understand it as a %. </a:t>
          </a:r>
        </a:p>
        <a:p>
          <a:pPr algn="l" rtl="0">
            <a:defRPr sz="1000"/>
          </a:pPr>
          <a:endParaRPr lang="tr-TR" sz="800" b="0" i="0" u="none" strike="noStrike" baseline="0">
            <a:solidFill>
              <a:srgbClr val="000000"/>
            </a:solidFill>
            <a:latin typeface="Verdana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tr-TR" sz="800" b="0" i="0" u="none" strike="noStrike" baseline="0">
              <a:solidFill>
                <a:srgbClr val="000000"/>
              </a:solidFill>
              <a:latin typeface="Verdana"/>
            </a:rPr>
            <a:t>7.</a:t>
          </a:r>
          <a:r>
            <a:rPr lang="tr-TR" sz="1000" b="0" i="0">
              <a:effectLst/>
              <a:latin typeface="+mn-lt"/>
              <a:ea typeface="+mn-ea"/>
              <a:cs typeface="+mn-cs"/>
            </a:rPr>
            <a:t>Please </a:t>
          </a:r>
          <a:r>
            <a:rPr lang="tr-TR" sz="1000" b="1" i="0">
              <a:effectLst/>
              <a:latin typeface="+mn-lt"/>
              <a:ea typeface="+mn-ea"/>
              <a:cs typeface="+mn-cs"/>
            </a:rPr>
            <a:t>DO</a:t>
          </a:r>
          <a:r>
            <a:rPr lang="tr-TR" sz="1000" b="1" i="0" baseline="0">
              <a:effectLst/>
              <a:latin typeface="+mn-lt"/>
              <a:ea typeface="+mn-ea"/>
              <a:cs typeface="+mn-cs"/>
            </a:rPr>
            <a:t> NOT </a:t>
          </a:r>
          <a:r>
            <a:rPr lang="tr-TR" sz="1000" b="0" i="0" baseline="0">
              <a:effectLst/>
              <a:latin typeface="+mn-lt"/>
              <a:ea typeface="+mn-ea"/>
              <a:cs typeface="+mn-cs"/>
            </a:rPr>
            <a:t>forget to </a:t>
          </a:r>
          <a:r>
            <a:rPr lang="en-US" sz="1000" b="0" i="0" baseline="0">
              <a:effectLst/>
              <a:latin typeface="+mn-lt"/>
              <a:ea typeface="+mn-ea"/>
              <a:cs typeface="+mn-cs"/>
            </a:rPr>
            <a:t>review the </a:t>
          </a:r>
          <a:r>
            <a:rPr lang="tr-TR" sz="1000" b="1" i="0" baseline="0">
              <a:effectLst/>
              <a:latin typeface="+mn-lt"/>
              <a:ea typeface="+mn-ea"/>
              <a:cs typeface="+mn-cs"/>
            </a:rPr>
            <a:t>Excel Manual </a:t>
          </a:r>
          <a:r>
            <a:rPr lang="tr-TR" sz="1000" b="0" i="0" baseline="0">
              <a:effectLst/>
              <a:latin typeface="+mn-lt"/>
              <a:ea typeface="+mn-ea"/>
              <a:cs typeface="+mn-cs"/>
            </a:rPr>
            <a:t>pdf file.</a:t>
          </a:r>
          <a:endParaRPr lang="tr-TR" sz="800">
            <a:effectLst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Verdana"/>
          </a:endParaRPr>
        </a:p>
        <a:p>
          <a:pPr algn="l" rtl="0">
            <a:defRPr sz="1000"/>
          </a:pPr>
          <a:endParaRPr lang="en-US" sz="800" b="0" i="0" u="none" strike="noStrike" baseline="0">
            <a:solidFill>
              <a:srgbClr val="000000"/>
            </a:solidFill>
            <a:latin typeface="Verdana"/>
          </a:endParaRPr>
        </a:p>
      </xdr:txBody>
    </xdr:sp>
    <xdr:clientData/>
  </xdr:twoCellAnchor>
  <xdr:twoCellAnchor editAs="oneCell">
    <xdr:from>
      <xdr:col>12</xdr:col>
      <xdr:colOff>447675</xdr:colOff>
      <xdr:row>5</xdr:row>
      <xdr:rowOff>133350</xdr:rowOff>
    </xdr:from>
    <xdr:to>
      <xdr:col>18</xdr:col>
      <xdr:colOff>285750</xdr:colOff>
      <xdr:row>13</xdr:row>
      <xdr:rowOff>47625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8150" y="962025"/>
          <a:ext cx="3381375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38100</xdr:rowOff>
        </xdr:from>
        <xdr:to>
          <xdr:col>11</xdr:col>
          <xdr:colOff>390525</xdr:colOff>
          <xdr:row>4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the Assignment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1</xdr:row>
      <xdr:rowOff>85725</xdr:rowOff>
    </xdr:from>
    <xdr:to>
      <xdr:col>5</xdr:col>
      <xdr:colOff>361950</xdr:colOff>
      <xdr:row>7</xdr:row>
      <xdr:rowOff>57150</xdr:rowOff>
    </xdr:to>
    <xdr:sp macro="" textlink="">
      <xdr:nvSpPr>
        <xdr:cNvPr id="3074" name="Text Box 2">
          <a:extLst>
            <a:ext uri="{FF2B5EF4-FFF2-40B4-BE49-F238E27FC236}">
              <a16:creationId xmlns:a16="http://schemas.microsoft.com/office/drawing/2014/main" id="{00000000-0008-0000-0100-0000020C0000}"/>
            </a:ext>
          </a:extLst>
        </xdr:cNvPr>
        <xdr:cNvSpPr txBox="1">
          <a:spLocks noChangeArrowheads="1"/>
        </xdr:cNvSpPr>
      </xdr:nvSpPr>
      <xdr:spPr bwMode="auto">
        <a:xfrm>
          <a:off x="781050" y="247650"/>
          <a:ext cx="2628900" cy="942975"/>
        </a:xfrm>
        <a:prstGeom prst="rect">
          <a:avLst/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data for this homework can be found in the </a:t>
          </a: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Excel</a:t>
          </a:r>
          <a:r>
            <a:rPr lang="tr-TR" sz="1000" b="0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Document used in Lab 1. Paste the table you created in Lab 1 onto this worksheet and use this space to do your calculations.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3</xdr:row>
      <xdr:rowOff>123825</xdr:rowOff>
    </xdr:from>
    <xdr:to>
      <xdr:col>11</xdr:col>
      <xdr:colOff>552450</xdr:colOff>
      <xdr:row>7</xdr:row>
      <xdr:rowOff>57150</xdr:rowOff>
    </xdr:to>
    <xdr:sp macro="" textlink="">
      <xdr:nvSpPr>
        <xdr:cNvPr id="1028" name="Text Box 4">
          <a:extLst>
            <a:ext uri="{FF2B5EF4-FFF2-40B4-BE49-F238E27FC236}">
              <a16:creationId xmlns:a16="http://schemas.microsoft.com/office/drawing/2014/main" id="{00000000-0008-0000-0200-000004040000}"/>
            </a:ext>
          </a:extLst>
        </xdr:cNvPr>
        <xdr:cNvSpPr txBox="1">
          <a:spLocks noChangeArrowheads="1"/>
        </xdr:cNvSpPr>
      </xdr:nvSpPr>
      <xdr:spPr bwMode="auto">
        <a:xfrm>
          <a:off x="6981825" y="647700"/>
          <a:ext cx="1752600" cy="10668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Read all of the Instructions on the 'ID' Page before beginning.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tr-TR" sz="1000" b="0" i="0" strike="noStrike">
              <a:solidFill>
                <a:srgbClr val="000000"/>
              </a:solidFill>
              <a:latin typeface="Arial"/>
              <a:cs typeface="Arial"/>
            </a:rPr>
            <a:t>If</a:t>
          </a:r>
          <a:r>
            <a:rPr lang="tr-TR" sz="1000" b="0" i="0" strike="noStrike" baseline="0">
              <a:solidFill>
                <a:srgbClr val="000000"/>
              </a:solidFill>
              <a:latin typeface="Arial"/>
              <a:cs typeface="Arial"/>
            </a:rPr>
            <a:t> you don't follow directions, you will </a:t>
          </a:r>
          <a:r>
            <a:rPr lang="tr-TR" sz="1000" b="1" i="0" strike="noStrike" baseline="0">
              <a:solidFill>
                <a:sysClr val="windowText" lastClr="000000"/>
              </a:solidFill>
              <a:latin typeface="Arial"/>
              <a:cs typeface="Arial"/>
            </a:rPr>
            <a:t>NOT</a:t>
          </a:r>
          <a:r>
            <a:rPr lang="tr-TR" sz="1000" b="0" i="0" strike="noStrike" baseline="0">
              <a:solidFill>
                <a:srgbClr val="000000"/>
              </a:solidFill>
              <a:latin typeface="Arial"/>
              <a:cs typeface="Arial"/>
            </a:rPr>
            <a:t> receive any credits.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3"/>
  </sheetPr>
  <dimension ref="C1:IS47"/>
  <sheetViews>
    <sheetView zoomScale="80" zoomScaleNormal="80" workbookViewId="0">
      <selection activeCell="N24" sqref="N24"/>
    </sheetView>
  </sheetViews>
  <sheetFormatPr defaultColWidth="8.85546875" defaultRowHeight="12.75" x14ac:dyDescent="0.2"/>
  <cols>
    <col min="3" max="3" width="11.140625" bestFit="1" customWidth="1"/>
    <col min="4" max="4" width="14.42578125" customWidth="1"/>
  </cols>
  <sheetData>
    <row r="1" spans="3:19" x14ac:dyDescent="0.2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3:19" x14ac:dyDescent="0.2">
      <c r="C2" s="2" t="s">
        <v>25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3:19" x14ac:dyDescent="0.2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3:19" x14ac:dyDescent="0.2">
      <c r="C4" s="3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3:19" x14ac:dyDescent="0.2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3:19" x14ac:dyDescent="0.2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15" spans="3:19" x14ac:dyDescent="0.2">
      <c r="S15" s="30"/>
    </row>
    <row r="18" spans="4:245" x14ac:dyDescent="0.2">
      <c r="S18" s="30"/>
    </row>
    <row r="30" spans="4:245" x14ac:dyDescent="0.2">
      <c r="D30" s="4"/>
    </row>
    <row r="32" spans="4:245" x14ac:dyDescent="0.2">
      <c r="IK32" s="28"/>
    </row>
    <row r="35" spans="245:253" x14ac:dyDescent="0.2">
      <c r="IK35" s="26"/>
      <c r="IL35" s="26"/>
      <c r="IM35" s="26"/>
      <c r="IN35" s="26"/>
      <c r="IO35" s="26"/>
      <c r="IP35" s="26"/>
      <c r="IQ35" s="26"/>
      <c r="IR35" s="26"/>
      <c r="IS35" s="26"/>
    </row>
    <row r="36" spans="245:253" x14ac:dyDescent="0.2">
      <c r="IK36" s="26"/>
      <c r="IL36" s="26"/>
      <c r="IM36" s="26"/>
      <c r="IN36" s="26"/>
      <c r="IO36" s="26"/>
      <c r="IP36" s="26"/>
      <c r="IQ36" s="26"/>
      <c r="IR36" s="26"/>
      <c r="IS36" s="26"/>
    </row>
    <row r="37" spans="245:253" x14ac:dyDescent="0.2">
      <c r="IK37" s="26"/>
      <c r="IL37" s="27"/>
      <c r="IM37" s="26"/>
      <c r="IN37" s="26"/>
      <c r="IO37" s="26"/>
      <c r="IP37" s="26"/>
      <c r="IQ37" s="26"/>
      <c r="IR37" s="26"/>
      <c r="IS37" s="26"/>
    </row>
    <row r="38" spans="245:253" x14ac:dyDescent="0.2">
      <c r="IK38" s="26"/>
      <c r="IL38" s="26"/>
      <c r="IM38" s="26"/>
      <c r="IN38" s="26"/>
      <c r="IO38" s="26"/>
      <c r="IP38" s="26"/>
      <c r="IQ38" s="26"/>
      <c r="IR38" s="26"/>
      <c r="IS38" s="26"/>
    </row>
    <row r="39" spans="245:253" x14ac:dyDescent="0.2">
      <c r="IK39" s="26"/>
      <c r="IL39" s="26"/>
      <c r="IM39" s="26"/>
      <c r="IN39" s="26"/>
      <c r="IO39" s="26"/>
      <c r="IP39" s="26"/>
      <c r="IQ39" s="26"/>
      <c r="IR39" s="26"/>
      <c r="IS39" s="26"/>
    </row>
    <row r="40" spans="245:253" x14ac:dyDescent="0.2">
      <c r="IK40" s="26"/>
      <c r="IL40" s="26"/>
      <c r="IM40" s="26"/>
      <c r="IN40" s="26"/>
      <c r="IO40" s="26"/>
      <c r="IP40" s="26"/>
      <c r="IQ40" s="26"/>
      <c r="IR40" s="26"/>
      <c r="IS40" s="26"/>
    </row>
    <row r="41" spans="245:253" x14ac:dyDescent="0.2">
      <c r="IK41" s="26"/>
      <c r="IL41" s="26"/>
      <c r="IM41" s="26"/>
      <c r="IN41" s="26"/>
      <c r="IO41" s="26"/>
      <c r="IP41" s="26"/>
      <c r="IQ41" s="26"/>
      <c r="IR41" s="26"/>
      <c r="IS41" s="26"/>
    </row>
    <row r="42" spans="245:253" x14ac:dyDescent="0.2">
      <c r="IK42" s="26"/>
      <c r="IL42" s="26"/>
      <c r="IM42" s="26"/>
      <c r="IN42" s="26"/>
      <c r="IO42" s="26"/>
      <c r="IP42" s="26"/>
      <c r="IQ42" s="26"/>
      <c r="IR42" s="26"/>
      <c r="IS42" s="26"/>
    </row>
    <row r="43" spans="245:253" x14ac:dyDescent="0.2">
      <c r="IK43" s="26"/>
      <c r="IL43" s="26"/>
      <c r="IM43" s="26"/>
      <c r="IN43" s="26"/>
      <c r="IO43" s="26"/>
      <c r="IP43" s="26"/>
      <c r="IQ43" s="26"/>
      <c r="IR43" s="26"/>
      <c r="IS43" s="26"/>
    </row>
    <row r="44" spans="245:253" x14ac:dyDescent="0.2">
      <c r="IK44" s="26"/>
      <c r="IL44" s="26"/>
      <c r="IM44" s="26"/>
      <c r="IN44" s="26"/>
      <c r="IO44" s="26"/>
      <c r="IP44" s="26"/>
      <c r="IQ44" s="26"/>
      <c r="IR44" s="26"/>
      <c r="IS44" s="26"/>
    </row>
    <row r="45" spans="245:253" x14ac:dyDescent="0.2">
      <c r="IK45" s="26"/>
      <c r="IL45" s="26"/>
      <c r="IM45" s="26"/>
      <c r="IN45" s="26"/>
      <c r="IO45" s="26"/>
      <c r="IP45" s="26"/>
      <c r="IQ45" s="26"/>
      <c r="IR45" s="26"/>
      <c r="IS45" s="26"/>
    </row>
    <row r="46" spans="245:253" x14ac:dyDescent="0.2">
      <c r="IK46" s="26"/>
      <c r="IL46" s="26"/>
      <c r="IM46" s="26"/>
      <c r="IN46" s="26"/>
      <c r="IO46" s="26"/>
      <c r="IP46" s="26"/>
      <c r="IQ46" s="26"/>
      <c r="IR46" s="26"/>
      <c r="IS46" s="26"/>
    </row>
    <row r="47" spans="245:253" x14ac:dyDescent="0.2">
      <c r="IK47" s="26"/>
      <c r="IL47" s="26"/>
      <c r="IM47" s="26"/>
      <c r="IN47" s="26"/>
      <c r="IO47" s="26"/>
      <c r="IP47" s="26"/>
      <c r="IQ47" s="26"/>
      <c r="IR47" s="26"/>
      <c r="IS47" s="26"/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openhwk">
                <anchor moveWithCells="1" sizeWithCells="1">
                  <from>
                    <xdr:col>8</xdr:col>
                    <xdr:colOff>447675</xdr:colOff>
                    <xdr:row>2</xdr:row>
                    <xdr:rowOff>38100</xdr:rowOff>
                  </from>
                  <to>
                    <xdr:col>11</xdr:col>
                    <xdr:colOff>390525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7"/>
  </sheetPr>
  <dimension ref="B10:IS2205"/>
  <sheetViews>
    <sheetView tabSelected="1" topLeftCell="C7" workbookViewId="0">
      <selection activeCell="H12" sqref="H12"/>
    </sheetView>
  </sheetViews>
  <sheetFormatPr defaultColWidth="8.85546875" defaultRowHeight="12.75" x14ac:dyDescent="0.2"/>
  <cols>
    <col min="1" max="8" width="8.85546875" style="42"/>
    <col min="9" max="9" width="27.28515625" style="42" bestFit="1" customWidth="1"/>
    <col min="10" max="10" width="8.85546875" style="42"/>
    <col min="11" max="11" width="33.85546875" style="42" bestFit="1" customWidth="1"/>
    <col min="12" max="244" width="8.85546875" style="42"/>
    <col min="245" max="256" width="0" style="42" hidden="1" customWidth="1"/>
    <col min="257" max="16384" width="8.85546875" style="42"/>
  </cols>
  <sheetData>
    <row r="10" spans="2:11" x14ac:dyDescent="0.2">
      <c r="B10" s="41"/>
    </row>
    <row r="11" spans="2:11" x14ac:dyDescent="0.2">
      <c r="D11" s="42" t="s">
        <v>38</v>
      </c>
      <c r="E11" s="42" t="s">
        <v>39</v>
      </c>
      <c r="F11" s="42" t="s">
        <v>40</v>
      </c>
      <c r="G11" s="42" t="s">
        <v>41</v>
      </c>
      <c r="H11" s="42" t="s">
        <v>42</v>
      </c>
      <c r="I11" s="42" t="s">
        <v>43</v>
      </c>
      <c r="J11" s="42" t="s">
        <v>44</v>
      </c>
      <c r="K11" s="42" t="s">
        <v>45</v>
      </c>
    </row>
    <row r="12" spans="2:11" x14ac:dyDescent="0.2">
      <c r="D12" s="42" t="s">
        <v>46</v>
      </c>
      <c r="E12" s="42">
        <v>425</v>
      </c>
      <c r="F12" s="42">
        <v>320.17</v>
      </c>
      <c r="G12" s="42">
        <v>40880</v>
      </c>
      <c r="H12" s="42">
        <v>104.82999999999998</v>
      </c>
      <c r="I12" s="42">
        <v>17374000</v>
      </c>
      <c r="J12" s="42">
        <v>0.22197399452130262</v>
      </c>
      <c r="K12" s="42">
        <v>13088549.600000001</v>
      </c>
    </row>
    <row r="13" spans="2:11" x14ac:dyDescent="0.2">
      <c r="D13" s="42" t="s">
        <v>47</v>
      </c>
      <c r="E13" s="42">
        <v>810</v>
      </c>
      <c r="F13" s="42">
        <v>502.36</v>
      </c>
      <c r="G13" s="42">
        <v>26620</v>
      </c>
      <c r="H13" s="42">
        <v>307.64</v>
      </c>
      <c r="I13" s="42">
        <v>21562200</v>
      </c>
      <c r="J13" s="42">
        <v>0.27548334664828084</v>
      </c>
      <c r="K13" s="42">
        <v>13372823.200000001</v>
      </c>
    </row>
    <row r="14" spans="2:11" x14ac:dyDescent="0.2">
      <c r="D14" s="42" t="s">
        <v>48</v>
      </c>
      <c r="E14" s="42">
        <v>489</v>
      </c>
      <c r="F14" s="42">
        <v>363.48</v>
      </c>
      <c r="G14" s="42">
        <v>34400</v>
      </c>
      <c r="H14" s="42">
        <v>125.51999999999998</v>
      </c>
      <c r="I14" s="42">
        <v>16821600</v>
      </c>
      <c r="J14" s="42">
        <v>0.21491641223895155</v>
      </c>
      <c r="K14" s="42">
        <v>12503712</v>
      </c>
    </row>
    <row r="15" spans="2:11" x14ac:dyDescent="0.2">
      <c r="D15" s="42" t="s">
        <v>49</v>
      </c>
      <c r="E15" s="42">
        <v>1239</v>
      </c>
      <c r="F15" s="42">
        <v>745.61</v>
      </c>
      <c r="G15" s="42">
        <v>18170</v>
      </c>
      <c r="H15" s="42">
        <v>493.39</v>
      </c>
      <c r="I15" s="42">
        <v>22512630</v>
      </c>
      <c r="J15" s="42">
        <v>0.28762624659146502</v>
      </c>
      <c r="K15" s="42">
        <v>13547733.700000001</v>
      </c>
    </row>
    <row r="16" spans="2:11" x14ac:dyDescent="0.2">
      <c r="H16" s="42" t="s">
        <v>50</v>
      </c>
      <c r="I16" s="42">
        <v>78270430</v>
      </c>
      <c r="J16" s="42">
        <v>1</v>
      </c>
      <c r="K16" s="42">
        <v>52512818.500000007</v>
      </c>
    </row>
    <row r="20" spans="9:12" x14ac:dyDescent="0.2">
      <c r="I20" s="42" t="s">
        <v>51</v>
      </c>
      <c r="J20" s="42">
        <v>5750000</v>
      </c>
    </row>
    <row r="21" spans="9:12" x14ac:dyDescent="0.2">
      <c r="I21" s="42" t="s">
        <v>52</v>
      </c>
      <c r="J21" s="42">
        <v>1400000</v>
      </c>
    </row>
    <row r="24" spans="9:12" x14ac:dyDescent="0.2">
      <c r="K24" s="42" t="s">
        <v>53</v>
      </c>
      <c r="L24" s="42">
        <v>78270430</v>
      </c>
    </row>
    <row r="25" spans="9:12" x14ac:dyDescent="0.2">
      <c r="K25" s="42" t="s">
        <v>54</v>
      </c>
      <c r="L25" s="42">
        <v>52512818.500000007</v>
      </c>
    </row>
    <row r="26" spans="9:12" x14ac:dyDescent="0.2">
      <c r="K26" s="42" t="s">
        <v>51</v>
      </c>
      <c r="L26" s="42">
        <v>5750000</v>
      </c>
    </row>
    <row r="27" spans="9:12" x14ac:dyDescent="0.2">
      <c r="K27" s="42" t="s">
        <v>52</v>
      </c>
      <c r="L27" s="42">
        <v>1400000</v>
      </c>
    </row>
    <row r="28" spans="9:12" x14ac:dyDescent="0.2">
      <c r="K28" s="42" t="s">
        <v>55</v>
      </c>
      <c r="L28" s="42">
        <v>18607611.499999993</v>
      </c>
    </row>
    <row r="2175" spans="10:10" x14ac:dyDescent="0.2">
      <c r="J2175" s="42">
        <v>1</v>
      </c>
    </row>
    <row r="2205" spans="253:253" x14ac:dyDescent="0.2">
      <c r="IS2205" s="42" t="s">
        <v>18</v>
      </c>
    </row>
  </sheetData>
  <phoneticPr fontId="2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indexed="42"/>
  </sheetPr>
  <dimension ref="A1:IS2205"/>
  <sheetViews>
    <sheetView workbookViewId="0">
      <selection activeCell="H5" sqref="H5"/>
    </sheetView>
  </sheetViews>
  <sheetFormatPr defaultColWidth="8.85546875" defaultRowHeight="12.75" x14ac:dyDescent="0.2"/>
  <cols>
    <col min="1" max="1" width="7.28515625" style="7" customWidth="1"/>
    <col min="2" max="2" width="10.7109375" style="7" customWidth="1"/>
    <col min="3" max="7" width="12.7109375" style="7" customWidth="1"/>
    <col min="8" max="8" width="13.7109375" style="7" customWidth="1"/>
    <col min="9" max="9" width="8.85546875" style="7"/>
    <col min="10" max="10" width="8.85546875" style="13"/>
    <col min="11" max="244" width="8.85546875" style="7"/>
    <col min="245" max="256" width="0" style="7" hidden="1" customWidth="1"/>
    <col min="257" max="16384" width="8.85546875" style="7"/>
  </cols>
  <sheetData>
    <row r="1" spans="1:11" x14ac:dyDescent="0.2">
      <c r="A1" s="17"/>
      <c r="B1" s="17"/>
      <c r="C1" s="17"/>
      <c r="D1" s="17"/>
      <c r="E1" s="17"/>
      <c r="F1" s="17"/>
      <c r="G1" s="17"/>
      <c r="H1" s="17"/>
      <c r="I1" s="24"/>
    </row>
    <row r="2" spans="1:11" ht="15.75" x14ac:dyDescent="0.2">
      <c r="A2" s="17"/>
      <c r="B2" s="18" t="s">
        <v>0</v>
      </c>
      <c r="C2" s="49" t="s">
        <v>24</v>
      </c>
      <c r="D2" s="49"/>
      <c r="E2" s="49"/>
      <c r="F2" s="49"/>
      <c r="G2" s="49"/>
      <c r="H2" s="19"/>
      <c r="I2" s="24"/>
    </row>
    <row r="3" spans="1:11" x14ac:dyDescent="0.2">
      <c r="A3" s="20"/>
      <c r="B3" s="21"/>
      <c r="C3" s="22"/>
      <c r="D3" s="22"/>
      <c r="E3" s="22"/>
      <c r="F3" s="22"/>
      <c r="G3" s="22"/>
      <c r="H3" s="23"/>
      <c r="I3" s="24"/>
    </row>
    <row r="4" spans="1:11" ht="12.75" customHeight="1" x14ac:dyDescent="0.2">
      <c r="A4" s="25" t="s">
        <v>1</v>
      </c>
      <c r="B4" s="34" t="s">
        <v>4</v>
      </c>
      <c r="C4" s="53" t="s">
        <v>22</v>
      </c>
      <c r="D4" s="54"/>
      <c r="E4" s="54"/>
      <c r="F4" s="54"/>
      <c r="G4" s="55"/>
      <c r="H4" s="33" t="s">
        <v>2</v>
      </c>
    </row>
    <row r="5" spans="1:11" ht="25.7" customHeight="1" x14ac:dyDescent="0.2">
      <c r="A5" s="6">
        <v>1</v>
      </c>
      <c r="B5" s="35">
        <v>1</v>
      </c>
      <c r="C5" s="46" t="s">
        <v>30</v>
      </c>
      <c r="D5" s="47"/>
      <c r="E5" s="47"/>
      <c r="F5" s="47"/>
      <c r="G5" s="48"/>
      <c r="H5" s="36"/>
      <c r="I5" s="13"/>
    </row>
    <row r="6" spans="1:11" ht="25.7" customHeight="1" x14ac:dyDescent="0.2">
      <c r="A6" s="6">
        <v>1</v>
      </c>
      <c r="B6" s="35">
        <v>2</v>
      </c>
      <c r="C6" s="46" t="s">
        <v>31</v>
      </c>
      <c r="D6" s="47"/>
      <c r="E6" s="47"/>
      <c r="F6" s="47"/>
      <c r="G6" s="48"/>
      <c r="H6" s="36"/>
      <c r="I6" s="13"/>
    </row>
    <row r="7" spans="1:11" ht="25.7" customHeight="1" x14ac:dyDescent="0.2">
      <c r="A7" s="6">
        <v>1</v>
      </c>
      <c r="B7" s="35">
        <v>3</v>
      </c>
      <c r="C7" s="46" t="s">
        <v>32</v>
      </c>
      <c r="D7" s="47"/>
      <c r="E7" s="47"/>
      <c r="F7" s="47"/>
      <c r="G7" s="48"/>
      <c r="H7" s="36"/>
      <c r="I7" s="13"/>
    </row>
    <row r="8" spans="1:11" ht="25.7" customHeight="1" x14ac:dyDescent="0.2">
      <c r="A8" s="6">
        <v>1</v>
      </c>
      <c r="B8" s="35">
        <v>4</v>
      </c>
      <c r="C8" s="46" t="s">
        <v>33</v>
      </c>
      <c r="D8" s="47"/>
      <c r="E8" s="47"/>
      <c r="F8" s="47"/>
      <c r="G8" s="48"/>
      <c r="H8" s="36"/>
      <c r="I8" s="13"/>
    </row>
    <row r="9" spans="1:11" ht="25.7" customHeight="1" x14ac:dyDescent="0.2">
      <c r="A9" s="6">
        <v>1</v>
      </c>
      <c r="B9" s="35">
        <v>5</v>
      </c>
      <c r="C9" s="43" t="s">
        <v>26</v>
      </c>
      <c r="D9" s="44"/>
      <c r="E9" s="44"/>
      <c r="F9" s="44"/>
      <c r="G9" s="45"/>
      <c r="H9" s="36"/>
      <c r="I9" s="13"/>
    </row>
    <row r="10" spans="1:11" ht="25.7" customHeight="1" x14ac:dyDescent="0.2">
      <c r="A10" s="6">
        <v>1</v>
      </c>
      <c r="B10" s="35">
        <v>6</v>
      </c>
      <c r="C10" s="50" t="s">
        <v>34</v>
      </c>
      <c r="D10" s="51"/>
      <c r="E10" s="51"/>
      <c r="F10" s="51"/>
      <c r="G10" s="52"/>
      <c r="H10" s="40"/>
      <c r="I10" s="13"/>
    </row>
    <row r="11" spans="1:11" ht="27" customHeight="1" x14ac:dyDescent="0.2">
      <c r="A11" s="6">
        <v>1</v>
      </c>
      <c r="B11" s="35">
        <v>7</v>
      </c>
      <c r="C11" s="46" t="s">
        <v>35</v>
      </c>
      <c r="D11" s="47"/>
      <c r="E11" s="47"/>
      <c r="F11" s="47"/>
      <c r="G11" s="48"/>
      <c r="H11" s="36"/>
      <c r="I11" s="13"/>
    </row>
    <row r="12" spans="1:11" ht="25.7" customHeight="1" x14ac:dyDescent="0.2">
      <c r="A12" s="6">
        <v>1</v>
      </c>
      <c r="B12" s="35">
        <v>8</v>
      </c>
      <c r="C12" s="46" t="s">
        <v>36</v>
      </c>
      <c r="D12" s="47"/>
      <c r="E12" s="47"/>
      <c r="F12" s="47"/>
      <c r="G12" s="48"/>
      <c r="H12" s="36"/>
    </row>
    <row r="13" spans="1:11" ht="25.7" customHeight="1" x14ac:dyDescent="0.2">
      <c r="A13" s="6">
        <v>2</v>
      </c>
      <c r="B13" s="35">
        <v>9</v>
      </c>
      <c r="C13" s="46" t="s">
        <v>27</v>
      </c>
      <c r="D13" s="47"/>
      <c r="E13" s="47"/>
      <c r="F13" s="47"/>
      <c r="G13" s="48"/>
      <c r="H13" s="36"/>
      <c r="I13" s="13"/>
    </row>
    <row r="14" spans="1:11" ht="25.7" customHeight="1" x14ac:dyDescent="0.2">
      <c r="A14" s="6">
        <v>2</v>
      </c>
      <c r="B14" s="35">
        <v>10</v>
      </c>
      <c r="C14" s="43" t="s">
        <v>21</v>
      </c>
      <c r="D14" s="44"/>
      <c r="E14" s="44"/>
      <c r="F14" s="44"/>
      <c r="G14" s="45"/>
      <c r="H14" s="36"/>
      <c r="I14" s="13"/>
    </row>
    <row r="15" spans="1:11" ht="13.5" thickBot="1" x14ac:dyDescent="0.25">
      <c r="A15" s="10" t="s">
        <v>3</v>
      </c>
      <c r="B15" s="8"/>
      <c r="C15" s="12"/>
      <c r="D15" s="12"/>
      <c r="E15" s="12"/>
      <c r="F15" s="12"/>
      <c r="G15" s="12"/>
      <c r="K15" s="15"/>
    </row>
    <row r="16" spans="1:11" ht="13.5" thickTop="1" x14ac:dyDescent="0.2">
      <c r="A16" s="9">
        <f>SUM(A5:A14)</f>
        <v>12</v>
      </c>
      <c r="B16" s="11"/>
      <c r="H16" s="16"/>
      <c r="I16" s="14"/>
    </row>
    <row r="17" spans="1:11" x14ac:dyDescent="0.2">
      <c r="A17" s="5"/>
      <c r="B17" s="11"/>
      <c r="H17" s="16"/>
      <c r="I17" s="38"/>
    </row>
    <row r="18" spans="1:11" x14ac:dyDescent="0.2">
      <c r="A18" s="5"/>
      <c r="H18" s="16"/>
      <c r="I18" s="14"/>
      <c r="K18" s="37"/>
    </row>
    <row r="19" spans="1:11" x14ac:dyDescent="0.2">
      <c r="B19" s="8"/>
    </row>
    <row r="20" spans="1:11" x14ac:dyDescent="0.2">
      <c r="H20" s="16"/>
    </row>
    <row r="2175" spans="10:10" x14ac:dyDescent="0.2">
      <c r="J2175" s="13">
        <v>1</v>
      </c>
    </row>
    <row r="2205" spans="253:253" x14ac:dyDescent="0.2">
      <c r="IS2205" s="7" t="s">
        <v>18</v>
      </c>
    </row>
  </sheetData>
  <mergeCells count="12">
    <mergeCell ref="C14:G14"/>
    <mergeCell ref="C12:G12"/>
    <mergeCell ref="C11:G11"/>
    <mergeCell ref="C9:G9"/>
    <mergeCell ref="C2:G2"/>
    <mergeCell ref="C10:G10"/>
    <mergeCell ref="C8:G8"/>
    <mergeCell ref="C13:G13"/>
    <mergeCell ref="C4:G4"/>
    <mergeCell ref="C5:G5"/>
    <mergeCell ref="C6:G6"/>
    <mergeCell ref="C7:G7"/>
  </mergeCells>
  <phoneticPr fontId="2" type="noConversion"/>
  <pageMargins left="0.75" right="0.75" top="1" bottom="1" header="0.5" footer="0.5"/>
  <headerFooter alignWithMargins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J33"/>
  <sheetViews>
    <sheetView workbookViewId="0">
      <selection activeCell="C15" sqref="C15"/>
    </sheetView>
  </sheetViews>
  <sheetFormatPr defaultColWidth="8.85546875" defaultRowHeight="12.75" x14ac:dyDescent="0.2"/>
  <cols>
    <col min="1" max="2" width="9.140625" customWidth="1"/>
    <col min="3" max="4" width="15.42578125" bestFit="1" customWidth="1"/>
    <col min="5" max="9" width="9.140625" customWidth="1"/>
    <col min="10" max="10" width="14.42578125" bestFit="1" customWidth="1"/>
    <col min="11" max="104" width="9.140625" customWidth="1"/>
  </cols>
  <sheetData>
    <row r="2" spans="1:10" x14ac:dyDescent="0.2">
      <c r="B2" s="26" t="s">
        <v>8</v>
      </c>
      <c r="C2" s="26">
        <v>2012</v>
      </c>
      <c r="D2" s="28" t="s">
        <v>20</v>
      </c>
    </row>
    <row r="4" spans="1:10" x14ac:dyDescent="0.2">
      <c r="B4" s="28" t="s">
        <v>17</v>
      </c>
    </row>
    <row r="5" spans="1:10" x14ac:dyDescent="0.2">
      <c r="B5" s="26" t="s">
        <v>10</v>
      </c>
      <c r="C5" s="26">
        <v>1</v>
      </c>
      <c r="D5" s="26"/>
      <c r="E5" s="26" t="s">
        <v>9</v>
      </c>
      <c r="F5" s="26" t="s">
        <v>6</v>
      </c>
      <c r="G5" s="26" t="s">
        <v>7</v>
      </c>
      <c r="H5" s="26"/>
      <c r="I5" s="26"/>
      <c r="J5" s="26"/>
    </row>
    <row r="6" spans="1:10" x14ac:dyDescent="0.2">
      <c r="B6" s="26" t="s">
        <v>11</v>
      </c>
      <c r="C6" s="32">
        <f>ID!D4</f>
        <v>0</v>
      </c>
      <c r="D6" s="26"/>
      <c r="E6" s="26">
        <v>1</v>
      </c>
      <c r="F6" s="26" t="s">
        <v>28</v>
      </c>
      <c r="G6" s="26">
        <v>1</v>
      </c>
      <c r="H6" s="26"/>
      <c r="I6" s="26"/>
      <c r="J6" s="26"/>
    </row>
    <row r="7" spans="1:10" x14ac:dyDescent="0.2">
      <c r="B7" s="26" t="s">
        <v>14</v>
      </c>
      <c r="C7" s="26"/>
      <c r="D7" s="26"/>
      <c r="E7" s="26">
        <v>2</v>
      </c>
      <c r="F7" s="26" t="s">
        <v>29</v>
      </c>
      <c r="G7" s="26">
        <v>2</v>
      </c>
      <c r="H7" s="26"/>
      <c r="I7" s="26" t="s">
        <v>12</v>
      </c>
      <c r="J7" s="26" t="s">
        <v>13</v>
      </c>
    </row>
    <row r="8" spans="1:10" x14ac:dyDescent="0.2">
      <c r="B8" s="26" t="s">
        <v>15</v>
      </c>
      <c r="C8" s="26">
        <f>Data!J2175</f>
        <v>1</v>
      </c>
      <c r="D8" s="26"/>
      <c r="E8" s="26">
        <v>3</v>
      </c>
      <c r="F8" s="26" t="s">
        <v>19</v>
      </c>
      <c r="G8" s="26">
        <v>4</v>
      </c>
      <c r="H8" s="26"/>
      <c r="I8" s="26">
        <v>1</v>
      </c>
      <c r="J8" s="26">
        <f>Answers!H5</f>
        <v>0</v>
      </c>
    </row>
    <row r="9" spans="1:10" x14ac:dyDescent="0.2">
      <c r="B9" s="26" t="s">
        <v>16</v>
      </c>
      <c r="C9" s="26">
        <f>Answers!J2175</f>
        <v>1</v>
      </c>
      <c r="D9" s="26"/>
      <c r="E9" s="26">
        <v>4</v>
      </c>
      <c r="F9" s="26" t="s">
        <v>19</v>
      </c>
      <c r="G9" s="26">
        <v>4</v>
      </c>
      <c r="H9" s="26"/>
      <c r="I9" s="26">
        <v>2</v>
      </c>
      <c r="J9" s="26">
        <f>Answers!H6</f>
        <v>0</v>
      </c>
    </row>
    <row r="10" spans="1:10" x14ac:dyDescent="0.2">
      <c r="D10" s="26"/>
      <c r="E10" s="26">
        <v>5</v>
      </c>
      <c r="F10" s="26"/>
      <c r="G10" s="26"/>
      <c r="H10" s="26"/>
      <c r="I10" s="26">
        <v>3</v>
      </c>
      <c r="J10" s="26">
        <f>Answers!H7</f>
        <v>0</v>
      </c>
    </row>
    <row r="11" spans="1:10" x14ac:dyDescent="0.2">
      <c r="B11" s="29"/>
      <c r="C11" s="26"/>
      <c r="D11" s="26"/>
      <c r="E11" s="26">
        <v>6</v>
      </c>
      <c r="F11" s="26" t="s">
        <v>28</v>
      </c>
      <c r="G11" s="26">
        <v>1</v>
      </c>
      <c r="H11" s="26"/>
      <c r="I11" s="26">
        <v>4</v>
      </c>
      <c r="J11" s="26">
        <f>Answers!H8</f>
        <v>0</v>
      </c>
    </row>
    <row r="12" spans="1:10" x14ac:dyDescent="0.2">
      <c r="B12" s="29"/>
      <c r="C12" s="26"/>
      <c r="D12" s="26"/>
      <c r="E12" s="26">
        <v>7</v>
      </c>
      <c r="F12" s="26" t="s">
        <v>23</v>
      </c>
      <c r="G12" s="26">
        <v>4</v>
      </c>
      <c r="H12" s="26"/>
      <c r="I12" s="26">
        <v>5</v>
      </c>
      <c r="J12" s="26">
        <f>Answers!H9</f>
        <v>0</v>
      </c>
    </row>
    <row r="13" spans="1:10" x14ac:dyDescent="0.2">
      <c r="C13" s="26"/>
      <c r="D13" s="26"/>
      <c r="E13" s="26">
        <v>8</v>
      </c>
      <c r="F13" s="26" t="s">
        <v>5</v>
      </c>
      <c r="G13" s="26">
        <v>3</v>
      </c>
      <c r="H13" s="26"/>
      <c r="I13" s="26">
        <v>6</v>
      </c>
      <c r="J13" s="39">
        <f>Answers!H10</f>
        <v>0</v>
      </c>
    </row>
    <row r="14" spans="1:10" x14ac:dyDescent="0.2">
      <c r="B14" s="29"/>
      <c r="C14" s="26"/>
      <c r="D14" s="26"/>
      <c r="E14" s="26"/>
      <c r="F14" s="26"/>
      <c r="G14" s="26"/>
      <c r="H14" s="26"/>
      <c r="I14" s="26">
        <v>7</v>
      </c>
      <c r="J14" s="26">
        <f>Answers!H11</f>
        <v>0</v>
      </c>
    </row>
    <row r="15" spans="1:10" x14ac:dyDescent="0.2">
      <c r="A15" s="31"/>
      <c r="B15" s="26" t="s">
        <v>37</v>
      </c>
      <c r="C15" s="30">
        <v>43007.669637615742</v>
      </c>
      <c r="D15" s="30">
        <v>42408.934762037039</v>
      </c>
      <c r="E15" s="26"/>
      <c r="F15" s="26"/>
      <c r="G15" s="26"/>
      <c r="H15" s="26"/>
      <c r="I15" s="26">
        <v>8</v>
      </c>
      <c r="J15" s="26">
        <f>Answers!H12</f>
        <v>0</v>
      </c>
    </row>
    <row r="16" spans="1:10" x14ac:dyDescent="0.2">
      <c r="B16" s="26"/>
      <c r="C16" s="30"/>
      <c r="D16" s="30">
        <v>43004.945352083334</v>
      </c>
      <c r="E16" s="26"/>
      <c r="F16" s="26"/>
      <c r="G16" s="26"/>
      <c r="H16" s="26"/>
      <c r="I16" s="26">
        <v>9</v>
      </c>
      <c r="J16" s="26">
        <f>Answers!H13</f>
        <v>0</v>
      </c>
    </row>
    <row r="17" spans="2:10" x14ac:dyDescent="0.2">
      <c r="B17" s="26"/>
      <c r="C17" s="26"/>
      <c r="D17" s="30">
        <v>43004.949745254627</v>
      </c>
      <c r="E17" s="26"/>
      <c r="F17" s="26"/>
      <c r="G17" s="26"/>
      <c r="H17" s="26"/>
      <c r="I17" s="26">
        <v>10</v>
      </c>
      <c r="J17" s="26">
        <f>Answers!H14</f>
        <v>0</v>
      </c>
    </row>
    <row r="18" spans="2:10" x14ac:dyDescent="0.2">
      <c r="D18" s="31"/>
    </row>
    <row r="19" spans="2:10" x14ac:dyDescent="0.2">
      <c r="D19" s="31"/>
    </row>
    <row r="20" spans="2:10" x14ac:dyDescent="0.2">
      <c r="D20" s="31"/>
    </row>
    <row r="21" spans="2:10" x14ac:dyDescent="0.2">
      <c r="D21" s="31"/>
    </row>
    <row r="22" spans="2:10" x14ac:dyDescent="0.2">
      <c r="D22" s="31"/>
    </row>
    <row r="23" spans="2:10" x14ac:dyDescent="0.2">
      <c r="D23" s="31"/>
    </row>
    <row r="24" spans="2:10" x14ac:dyDescent="0.2">
      <c r="D24" s="31"/>
    </row>
    <row r="25" spans="2:10" x14ac:dyDescent="0.2">
      <c r="D25" s="31"/>
    </row>
    <row r="26" spans="2:10" x14ac:dyDescent="0.2">
      <c r="D26" s="31"/>
    </row>
    <row r="27" spans="2:10" x14ac:dyDescent="0.2">
      <c r="D27" s="31"/>
    </row>
    <row r="28" spans="2:10" x14ac:dyDescent="0.2">
      <c r="D28" s="31"/>
    </row>
    <row r="29" spans="2:10" x14ac:dyDescent="0.2">
      <c r="D29" s="31"/>
    </row>
    <row r="30" spans="2:10" x14ac:dyDescent="0.2">
      <c r="D30" s="31"/>
    </row>
    <row r="31" spans="2:10" x14ac:dyDescent="0.2">
      <c r="D31" s="31"/>
    </row>
    <row r="32" spans="2:10" x14ac:dyDescent="0.2">
      <c r="D32" s="31"/>
    </row>
    <row r="33" spans="4:4" x14ac:dyDescent="0.2">
      <c r="D33" s="31"/>
    </row>
  </sheetData>
  <sheetProtection algorithmName="SHA-512" hashValue="TFXI7QHWTJ9WNV5z82dk9YJPOJzdLqP1doH4enrUiLVEtLsN1yzEfW0lLPlRCBKPM2jG+p6FOWv49muPZRGzwQ==" saltValue="MUDindRhINuao0Wv5V5Bxw==" spinCount="100000" sheet="1" objects="1" scenarios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ID</vt:lpstr>
      <vt:lpstr>Data</vt:lpstr>
      <vt:lpstr>Answers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mannt-1</dc:creator>
  <cp:lastModifiedBy>RePack by Diakov</cp:lastModifiedBy>
  <dcterms:created xsi:type="dcterms:W3CDTF">2006-09-10T20:17:39Z</dcterms:created>
  <dcterms:modified xsi:type="dcterms:W3CDTF">2017-09-30T12:02:43Z</dcterms:modified>
</cp:coreProperties>
</file>