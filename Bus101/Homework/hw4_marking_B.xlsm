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lp\Desktop\Marking\"/>
    </mc:Choice>
  </mc:AlternateContent>
  <bookViews>
    <workbookView xWindow="0" yWindow="0" windowWidth="28800" windowHeight="12435" tabRatio="816" activeTab="2"/>
  </bookViews>
  <sheets>
    <sheet name="Marks" sheetId="6" r:id="rId1"/>
    <sheet name="Answers" sheetId="7" r:id="rId2"/>
    <sheet name="written_answers" sheetId="30" r:id="rId3"/>
    <sheet name="FinalGrade" sheetId="31" r:id="rId4"/>
    <sheet name="Names" sheetId="22" r:id="rId5"/>
    <sheet name="temp" sheetId="23" r:id="rId6"/>
    <sheet name="List" sheetId="24" r:id="rId7"/>
  </sheets>
  <functionGroups builtInGroupCount="18"/>
  <definedNames>
    <definedName name="_xlnm._FilterDatabase" localSheetId="1" hidden="1">Answers!$A$1:$BO$235</definedName>
    <definedName name="_xlnm._FilterDatabase" localSheetId="0" hidden="1">Marks!$A$9:$L$122</definedName>
    <definedName name="_Key1" localSheetId="6" hidden="1">#REF!</definedName>
    <definedName name="_Key1" localSheetId="4" hidden="1">#REF!</definedName>
    <definedName name="_Key1" localSheetId="5" hidden="1">#REF!</definedName>
    <definedName name="_Key1" hidden="1">#REF!</definedName>
    <definedName name="_Order1" hidden="1">255</definedName>
    <definedName name="_Sort" localSheetId="6" hidden="1">#REF!</definedName>
    <definedName name="_Sort" localSheetId="4" hidden="1">#REF!</definedName>
    <definedName name="_Sort" localSheetId="5" hidden="1">#REF!</definedName>
    <definedName name="_Sort" hidden="1">#REF!</definedName>
    <definedName name="ftime_1839">#REF!</definedName>
    <definedName name="ftime_4044">#REF!</definedName>
    <definedName name="ftime_4549">#REF!</definedName>
    <definedName name="ftime_5054">#REF!</definedName>
    <definedName name="ftime_5559">#REF!</definedName>
    <definedName name="Keys" localSheetId="3" hidden="1">#REF!</definedName>
    <definedName name="Keys" hidden="1">#REF!</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100</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0</definedName>
    <definedName name="solver_nwt" localSheetId="3" hidden="1">1</definedName>
    <definedName name="solver_opt" localSheetId="3" hidden="1">FinalGrade!$H$131</definedName>
    <definedName name="solver_pre" localSheetId="3" hidden="1">0.000001</definedName>
    <definedName name="solver_rbv" localSheetId="3" hidden="1">1</definedName>
    <definedName name="solver_rlx" localSheetId="3" hidden="1">1</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100</definedName>
    <definedName name="solver_tol" localSheetId="3" hidden="1">5</definedName>
    <definedName name="solver_typ" localSheetId="3" hidden="1">2</definedName>
    <definedName name="solver_val" localSheetId="3" hidden="1">95</definedName>
    <definedName name="solver_ver" localSheetId="3" hidden="1">3</definedName>
  </definedNames>
  <calcPr calcId="152511"/>
</workbook>
</file>

<file path=xl/calcChain.xml><?xml version="1.0" encoding="utf-8"?>
<calcChain xmlns="http://schemas.openxmlformats.org/spreadsheetml/2006/main">
  <c r="AB6" i="31" l="1"/>
  <c r="AB5" i="31"/>
  <c r="AB4" i="31"/>
  <c r="AB3" i="31"/>
  <c r="AB25" i="31" l="1"/>
  <c r="AB20" i="31"/>
  <c r="AB13" i="31"/>
  <c r="AB12" i="31"/>
  <c r="AB10" i="31"/>
  <c r="AB9" i="31"/>
  <c r="AB8" i="31"/>
  <c r="AB7" i="31"/>
  <c r="AB24" i="31" l="1"/>
  <c r="AB23" i="31"/>
  <c r="P74" i="31"/>
  <c r="P73" i="31"/>
  <c r="P72" i="31"/>
  <c r="AB30" i="31"/>
  <c r="L106" i="31"/>
  <c r="L107" i="31"/>
  <c r="L108" i="31"/>
  <c r="L79" i="31"/>
  <c r="L80" i="31"/>
  <c r="L81" i="31"/>
  <c r="L82" i="31"/>
  <c r="L83" i="31"/>
  <c r="L84" i="31"/>
  <c r="L85" i="31"/>
  <c r="L86" i="31"/>
  <c r="L87" i="31"/>
  <c r="L88" i="31"/>
  <c r="L89" i="31"/>
  <c r="L90" i="31"/>
  <c r="L91" i="31"/>
  <c r="L92" i="31"/>
  <c r="L93" i="31"/>
  <c r="L94" i="31"/>
  <c r="L95" i="31"/>
  <c r="L96" i="31"/>
  <c r="L97" i="31"/>
  <c r="L98" i="31"/>
  <c r="L99" i="31"/>
  <c r="L100" i="31"/>
  <c r="L101" i="31"/>
  <c r="L102" i="31"/>
  <c r="L103" i="31"/>
  <c r="L104" i="31"/>
  <c r="L105" i="31"/>
  <c r="L78" i="31"/>
  <c r="AD23" i="31"/>
  <c r="AD24" i="31"/>
  <c r="I112" i="31"/>
  <c r="AB22" i="31"/>
  <c r="M100" i="31"/>
  <c r="M99" i="31"/>
  <c r="N100" i="31"/>
  <c r="M98" i="31"/>
  <c r="N99" i="31"/>
  <c r="M97" i="31"/>
  <c r="N98" i="31"/>
  <c r="M96" i="31"/>
  <c r="N97" i="31"/>
  <c r="M95" i="31"/>
  <c r="N96" i="31"/>
  <c r="M94" i="31"/>
  <c r="N95" i="31"/>
  <c r="AB11" i="31"/>
  <c r="C71" i="31"/>
  <c r="C73" i="31"/>
  <c r="M101" i="31"/>
  <c r="N101" i="31"/>
  <c r="AB29" i="31"/>
  <c r="AD29" i="31"/>
  <c r="AB28" i="31"/>
  <c r="AD28" i="31"/>
  <c r="AB27" i="31"/>
  <c r="AD27" i="31"/>
  <c r="H166" i="31"/>
  <c r="I166" i="31"/>
  <c r="H165" i="31"/>
  <c r="I165" i="31"/>
  <c r="J166" i="31"/>
  <c r="AD25" i="31"/>
  <c r="H96" i="31"/>
  <c r="I96" i="31"/>
  <c r="H95" i="31"/>
  <c r="I95" i="31"/>
  <c r="J96" i="31"/>
  <c r="AD20" i="31"/>
  <c r="H176" i="31"/>
  <c r="H177" i="31"/>
  <c r="H178" i="31"/>
  <c r="H179" i="31"/>
  <c r="H104" i="31"/>
  <c r="H10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15" i="31"/>
  <c r="F115" i="31"/>
  <c r="F116" i="31"/>
  <c r="H151" i="31"/>
  <c r="H152" i="31"/>
  <c r="H153" i="31"/>
  <c r="H154" i="31"/>
  <c r="H155" i="31"/>
  <c r="H156" i="31"/>
  <c r="H157" i="31"/>
  <c r="H158" i="31"/>
  <c r="H159" i="31"/>
  <c r="H160" i="31"/>
  <c r="H161" i="31"/>
  <c r="H162" i="31"/>
  <c r="H163" i="31"/>
  <c r="H164" i="31"/>
  <c r="H167" i="31"/>
  <c r="H168" i="31"/>
  <c r="H169" i="31"/>
  <c r="H170" i="31"/>
  <c r="H171" i="31"/>
  <c r="H172" i="31"/>
  <c r="H173" i="31"/>
  <c r="H174" i="31"/>
  <c r="H175" i="31"/>
  <c r="H150" i="31"/>
  <c r="F150" i="31"/>
  <c r="F151" i="31"/>
  <c r="F117" i="31"/>
  <c r="F152" i="31"/>
  <c r="F118" i="31"/>
  <c r="F153" i="31"/>
  <c r="F119" i="31"/>
  <c r="F154" i="31"/>
  <c r="F120" i="31"/>
  <c r="F155" i="31"/>
  <c r="H103" i="31"/>
  <c r="H102" i="31"/>
  <c r="H101" i="31"/>
  <c r="H100" i="31"/>
  <c r="H99" i="31"/>
  <c r="H98" i="31"/>
  <c r="H97" i="31"/>
  <c r="H94" i="31"/>
  <c r="H93" i="31"/>
  <c r="H92" i="31"/>
  <c r="I92" i="31"/>
  <c r="H91" i="31"/>
  <c r="M90" i="31"/>
  <c r="H90" i="31"/>
  <c r="H89" i="31"/>
  <c r="M88" i="31"/>
  <c r="H88" i="31"/>
  <c r="H87" i="31"/>
  <c r="M86" i="31"/>
  <c r="H86" i="31"/>
  <c r="H85" i="31"/>
  <c r="F78" i="31"/>
  <c r="F79" i="31"/>
  <c r="H84" i="31"/>
  <c r="H83" i="31"/>
  <c r="I83" i="31"/>
  <c r="H82" i="31"/>
  <c r="H81" i="31"/>
  <c r="I81" i="31"/>
  <c r="H80" i="31"/>
  <c r="H79" i="31"/>
  <c r="I79" i="31"/>
  <c r="H78" i="31"/>
  <c r="J59" i="31"/>
  <c r="I59" i="31"/>
  <c r="H59" i="31"/>
  <c r="G59" i="31"/>
  <c r="J58" i="31"/>
  <c r="I58" i="31"/>
  <c r="H58" i="31"/>
  <c r="G58" i="31"/>
  <c r="J57" i="31"/>
  <c r="I57" i="31"/>
  <c r="H57" i="31"/>
  <c r="G57" i="31"/>
  <c r="J56" i="31"/>
  <c r="I56" i="31"/>
  <c r="H56" i="31"/>
  <c r="G56" i="31"/>
  <c r="J55" i="31"/>
  <c r="I55" i="31"/>
  <c r="H55" i="31"/>
  <c r="G55" i="31"/>
  <c r="AD3" i="31"/>
  <c r="J54" i="31"/>
  <c r="I54" i="31"/>
  <c r="H54" i="31"/>
  <c r="G54" i="31"/>
  <c r="J53" i="31"/>
  <c r="I53" i="31"/>
  <c r="H53" i="31"/>
  <c r="G53" i="31"/>
  <c r="J52" i="31"/>
  <c r="I52" i="31"/>
  <c r="H52" i="31"/>
  <c r="G52" i="31"/>
  <c r="J51" i="31"/>
  <c r="I51" i="31"/>
  <c r="H51" i="31"/>
  <c r="G51" i="31"/>
  <c r="J50" i="31"/>
  <c r="I50" i="31"/>
  <c r="H50" i="31"/>
  <c r="G50" i="31"/>
  <c r="J49" i="31"/>
  <c r="I49" i="31"/>
  <c r="H49" i="31"/>
  <c r="G49" i="31"/>
  <c r="J48" i="31"/>
  <c r="I48" i="31"/>
  <c r="AD5" i="31"/>
  <c r="H48" i="31"/>
  <c r="G48" i="31"/>
  <c r="J47" i="31"/>
  <c r="I47" i="31"/>
  <c r="H47" i="31"/>
  <c r="G47" i="31"/>
  <c r="J46" i="31"/>
  <c r="I46" i="31"/>
  <c r="H46" i="31"/>
  <c r="G46" i="31"/>
  <c r="J45" i="31"/>
  <c r="I45" i="31"/>
  <c r="H45" i="31"/>
  <c r="G45" i="31"/>
  <c r="J44" i="31"/>
  <c r="I44" i="31"/>
  <c r="H44" i="31"/>
  <c r="G44" i="31"/>
  <c r="K34" i="31"/>
  <c r="K35" i="31"/>
  <c r="K36" i="31"/>
  <c r="K37" i="31"/>
  <c r="K38" i="31"/>
  <c r="J43" i="31"/>
  <c r="AD12" i="31"/>
  <c r="I43" i="31"/>
  <c r="H43" i="31"/>
  <c r="G43" i="31"/>
  <c r="J42" i="31"/>
  <c r="I42" i="31"/>
  <c r="H42" i="31"/>
  <c r="G42" i="31"/>
  <c r="J41" i="31"/>
  <c r="AD10" i="31"/>
  <c r="I41" i="31"/>
  <c r="H41" i="31"/>
  <c r="G41" i="31"/>
  <c r="J40" i="31"/>
  <c r="AD9" i="31"/>
  <c r="I40" i="31"/>
  <c r="H40" i="31"/>
  <c r="G40" i="31"/>
  <c r="J39" i="31"/>
  <c r="I39" i="31"/>
  <c r="H39" i="31"/>
  <c r="G39" i="31"/>
  <c r="J38" i="31"/>
  <c r="I38" i="31"/>
  <c r="H38" i="31"/>
  <c r="G38" i="31"/>
  <c r="J37" i="31"/>
  <c r="I37" i="31"/>
  <c r="H37" i="31"/>
  <c r="G37" i="31"/>
  <c r="J36" i="31"/>
  <c r="I36" i="31"/>
  <c r="H36" i="31"/>
  <c r="G36" i="31"/>
  <c r="J35" i="31"/>
  <c r="I35" i="31"/>
  <c r="H35" i="31"/>
  <c r="G35" i="31"/>
  <c r="J34" i="31"/>
  <c r="I34" i="31"/>
  <c r="H34" i="31"/>
  <c r="G34" i="31"/>
  <c r="J33" i="31"/>
  <c r="I33" i="31"/>
  <c r="H33" i="31"/>
  <c r="G33" i="31"/>
  <c r="AD4" i="31"/>
  <c r="AD7" i="31"/>
  <c r="AD8" i="31"/>
  <c r="AD11" i="31"/>
  <c r="G30" i="31"/>
  <c r="G31" i="31"/>
  <c r="G32" i="31"/>
  <c r="AD13" i="31"/>
  <c r="H30" i="31"/>
  <c r="H31" i="31"/>
  <c r="H32" i="31"/>
  <c r="AB14" i="31"/>
  <c r="AD14" i="31"/>
  <c r="I30" i="31"/>
  <c r="I31" i="31"/>
  <c r="I32" i="31"/>
  <c r="J30" i="31"/>
  <c r="J31" i="31"/>
  <c r="J32" i="31"/>
  <c r="AD18" i="31"/>
  <c r="AD21" i="31"/>
  <c r="AD22" i="31"/>
  <c r="AD26" i="31"/>
  <c r="AD30" i="31"/>
  <c r="X31" i="31"/>
  <c r="AW1" i="7"/>
  <c r="AX1" i="7"/>
  <c r="AY1" i="7"/>
  <c r="AZ1" i="7"/>
  <c r="BA1" i="7"/>
  <c r="BB1" i="7"/>
  <c r="BC1" i="7"/>
  <c r="BD1" i="7"/>
  <c r="BE1" i="7"/>
  <c r="BF1" i="7"/>
  <c r="BG1" i="7"/>
  <c r="BH1" i="7"/>
  <c r="BI1" i="7"/>
  <c r="BJ1" i="7"/>
  <c r="BK1" i="7"/>
  <c r="BL1" i="7"/>
  <c r="AV1" i="7"/>
  <c r="AU1" i="7"/>
  <c r="AT1" i="7"/>
  <c r="AM1" i="7"/>
  <c r="AG1" i="7"/>
  <c r="AH1" i="7"/>
  <c r="AI1" i="7"/>
  <c r="AJ1" i="7"/>
  <c r="AK1" i="7"/>
  <c r="AL1" i="7"/>
  <c r="AN1" i="7"/>
  <c r="AO1" i="7"/>
  <c r="AP1" i="7"/>
  <c r="AQ1" i="7"/>
  <c r="AR1" i="7"/>
  <c r="AS1" i="7"/>
  <c r="I176" i="31"/>
  <c r="I179" i="31"/>
  <c r="I177" i="31"/>
  <c r="I178" i="31"/>
  <c r="I94" i="31"/>
  <c r="G119" i="31"/>
  <c r="I104" i="31"/>
  <c r="I105" i="31"/>
  <c r="J105" i="31"/>
  <c r="I98" i="31"/>
  <c r="I100" i="31"/>
  <c r="I102" i="31"/>
  <c r="M78" i="31"/>
  <c r="N78" i="31"/>
  <c r="M80" i="31"/>
  <c r="M82" i="31"/>
  <c r="M84" i="31"/>
  <c r="I86" i="31"/>
  <c r="I88" i="31"/>
  <c r="I90" i="31"/>
  <c r="M91" i="31"/>
  <c r="N91" i="31"/>
  <c r="M93" i="31"/>
  <c r="I132" i="31"/>
  <c r="I116" i="31"/>
  <c r="I128" i="31"/>
  <c r="I140" i="31"/>
  <c r="I124" i="31"/>
  <c r="I136" i="31"/>
  <c r="I120" i="31"/>
  <c r="I135" i="31"/>
  <c r="I119" i="31"/>
  <c r="I126" i="31"/>
  <c r="I133" i="31"/>
  <c r="I117" i="31"/>
  <c r="I131" i="31"/>
  <c r="I138" i="31"/>
  <c r="I122" i="31"/>
  <c r="I129" i="31"/>
  <c r="I127" i="31"/>
  <c r="I134" i="31"/>
  <c r="I118" i="31"/>
  <c r="I115" i="31"/>
  <c r="J115" i="31"/>
  <c r="I125" i="31"/>
  <c r="J125" i="31"/>
  <c r="I139" i="31"/>
  <c r="J139" i="31"/>
  <c r="I123" i="31"/>
  <c r="J123" i="31"/>
  <c r="I130" i="31"/>
  <c r="J130" i="31"/>
  <c r="I137" i="31"/>
  <c r="I121" i="31"/>
  <c r="G116" i="31"/>
  <c r="G115" i="31"/>
  <c r="G117" i="31"/>
  <c r="G118" i="31"/>
  <c r="AB16" i="31"/>
  <c r="AD16" i="31"/>
  <c r="M79" i="31"/>
  <c r="M81" i="31"/>
  <c r="M83" i="31"/>
  <c r="I85" i="31"/>
  <c r="I87" i="31"/>
  <c r="I89" i="31"/>
  <c r="M92" i="31"/>
  <c r="I103" i="31"/>
  <c r="G154" i="31"/>
  <c r="AB15" i="31"/>
  <c r="AD15" i="31"/>
  <c r="I78" i="31"/>
  <c r="J78" i="31"/>
  <c r="I80" i="31"/>
  <c r="J80" i="31"/>
  <c r="I82" i="31"/>
  <c r="J82" i="31"/>
  <c r="I84" i="31"/>
  <c r="J84" i="31"/>
  <c r="M85" i="31"/>
  <c r="N86" i="31"/>
  <c r="M87" i="31"/>
  <c r="N87" i="31"/>
  <c r="M89" i="31"/>
  <c r="N90" i="31"/>
  <c r="I91" i="31"/>
  <c r="I93" i="31"/>
  <c r="J94" i="31"/>
  <c r="I97" i="31"/>
  <c r="I99" i="31"/>
  <c r="I101" i="31"/>
  <c r="F121" i="31"/>
  <c r="G120" i="31"/>
  <c r="K39" i="31"/>
  <c r="L39" i="31"/>
  <c r="L40" i="31"/>
  <c r="L41" i="31"/>
  <c r="AD6" i="31"/>
  <c r="AB19" i="31"/>
  <c r="AD19" i="31"/>
  <c r="I164" i="31"/>
  <c r="I155" i="31"/>
  <c r="I163" i="31"/>
  <c r="I171" i="31"/>
  <c r="I160" i="31"/>
  <c r="I150" i="31"/>
  <c r="J150" i="31"/>
  <c r="I156" i="31"/>
  <c r="I174" i="31"/>
  <c r="I158" i="31"/>
  <c r="I175" i="31"/>
  <c r="G150" i="31"/>
  <c r="I173" i="31"/>
  <c r="I159" i="31"/>
  <c r="I169" i="31"/>
  <c r="I151" i="31"/>
  <c r="I172" i="31"/>
  <c r="I170" i="31"/>
  <c r="I154" i="31"/>
  <c r="I161" i="31"/>
  <c r="J161" i="31"/>
  <c r="I167" i="31"/>
  <c r="I168" i="31"/>
  <c r="I157" i="31"/>
  <c r="G151" i="31"/>
  <c r="I152" i="31"/>
  <c r="I162" i="31"/>
  <c r="I153" i="31"/>
  <c r="G152" i="31"/>
  <c r="G153" i="31"/>
  <c r="F80" i="31"/>
  <c r="G79" i="31"/>
  <c r="G78" i="31"/>
  <c r="F156" i="31"/>
  <c r="G155" i="31"/>
  <c r="J81" i="31"/>
  <c r="M102" i="31"/>
  <c r="M103" i="31"/>
  <c r="J178" i="31"/>
  <c r="J179" i="31"/>
  <c r="J88" i="31"/>
  <c r="N80" i="31"/>
  <c r="J103" i="31"/>
  <c r="J79" i="31"/>
  <c r="J98" i="31"/>
  <c r="N83" i="31"/>
  <c r="J104" i="31"/>
  <c r="J177" i="31"/>
  <c r="J89" i="31"/>
  <c r="N81" i="31"/>
  <c r="N93" i="31"/>
  <c r="J176" i="31"/>
  <c r="J101" i="31"/>
  <c r="J83" i="31"/>
  <c r="N89" i="31"/>
  <c r="J100" i="31"/>
  <c r="J91" i="31"/>
  <c r="J117" i="31"/>
  <c r="N84" i="31"/>
  <c r="J102" i="31"/>
  <c r="J87" i="31"/>
  <c r="J93" i="31"/>
  <c r="N94" i="31"/>
  <c r="N82" i="31"/>
  <c r="N79" i="31"/>
  <c r="J85" i="31"/>
  <c r="N102" i="31"/>
  <c r="J97" i="31"/>
  <c r="N92" i="31"/>
  <c r="J92" i="31"/>
  <c r="J99" i="31"/>
  <c r="J86" i="31"/>
  <c r="N85" i="31"/>
  <c r="J157" i="31"/>
  <c r="J169" i="31"/>
  <c r="J171" i="31"/>
  <c r="J137" i="31"/>
  <c r="J122" i="31"/>
  <c r="J127" i="31"/>
  <c r="J119" i="31"/>
  <c r="J118" i="31"/>
  <c r="J136" i="31"/>
  <c r="J131" i="31"/>
  <c r="J124" i="31"/>
  <c r="J153" i="31"/>
  <c r="J174" i="31"/>
  <c r="J132" i="31"/>
  <c r="J95" i="31"/>
  <c r="J90" i="31"/>
  <c r="N88" i="31"/>
  <c r="J129" i="31"/>
  <c r="J135" i="31"/>
  <c r="J140" i="31"/>
  <c r="J133" i="31"/>
  <c r="J120" i="31"/>
  <c r="J128" i="31"/>
  <c r="J164" i="31"/>
  <c r="J121" i="31"/>
  <c r="J134" i="31"/>
  <c r="J138" i="31"/>
  <c r="J126" i="31"/>
  <c r="J116" i="31"/>
  <c r="F122" i="31"/>
  <c r="G121" i="31"/>
  <c r="L42" i="31"/>
  <c r="L43" i="31"/>
  <c r="J151" i="31"/>
  <c r="J158" i="31"/>
  <c r="J160" i="31"/>
  <c r="J168" i="31"/>
  <c r="J156" i="31"/>
  <c r="J154" i="31"/>
  <c r="J162" i="31"/>
  <c r="J170" i="31"/>
  <c r="J159" i="31"/>
  <c r="J175" i="31"/>
  <c r="J163" i="31"/>
  <c r="J152" i="31"/>
  <c r="J167" i="31"/>
  <c r="J172" i="31"/>
  <c r="J173" i="31"/>
  <c r="J165" i="31"/>
  <c r="J155" i="31"/>
  <c r="G80" i="31"/>
  <c r="F81" i="31"/>
  <c r="F157" i="31"/>
  <c r="G156" i="31"/>
  <c r="N103" i="31"/>
  <c r="F123" i="31"/>
  <c r="G123" i="31"/>
  <c r="G122" i="31"/>
  <c r="G81" i="31"/>
  <c r="F82" i="31"/>
  <c r="F158" i="31"/>
  <c r="G158" i="31"/>
  <c r="G157" i="31"/>
  <c r="I146" i="31"/>
  <c r="F83" i="31"/>
  <c r="G82" i="31"/>
  <c r="G83" i="31"/>
  <c r="F84" i="31"/>
  <c r="G84" i="31"/>
  <c r="F85" i="31"/>
  <c r="G85" i="31"/>
  <c r="F86" i="31"/>
  <c r="G86" i="31"/>
  <c r="F74" i="31"/>
  <c r="AD31" i="31" l="1"/>
  <c r="AD32" i="31" s="1"/>
</calcChain>
</file>

<file path=xl/sharedStrings.xml><?xml version="1.0" encoding="utf-8"?>
<sst xmlns="http://schemas.openxmlformats.org/spreadsheetml/2006/main" count="1705" uniqueCount="497">
  <si>
    <t>Section</t>
  </si>
  <si>
    <t>Detective</t>
  </si>
  <si>
    <t>Data</t>
  </si>
  <si>
    <t>Subd By</t>
  </si>
  <si>
    <t>CreatedFor</t>
  </si>
  <si>
    <t>TOTAL</t>
  </si>
  <si>
    <t>PENALTY</t>
  </si>
  <si>
    <t>POST</t>
  </si>
  <si>
    <t>9000014</t>
  </si>
  <si>
    <t>Slope</t>
  </si>
  <si>
    <t>Constant</t>
  </si>
  <si>
    <t>Intercept</t>
  </si>
  <si>
    <t>Power</t>
  </si>
  <si>
    <t>First parameter (x)</t>
  </si>
  <si>
    <t>Second para. (x^2)</t>
  </si>
  <si>
    <t>Year</t>
  </si>
  <si>
    <t>Sales</t>
  </si>
  <si>
    <t>Time</t>
  </si>
  <si>
    <t>Avg. Diff.</t>
  </si>
  <si>
    <t>Third para. (x^3)</t>
  </si>
  <si>
    <t>a</t>
  </si>
  <si>
    <t>b</t>
  </si>
  <si>
    <t>k</t>
  </si>
  <si>
    <t>SSE</t>
  </si>
  <si>
    <t>Period</t>
  </si>
  <si>
    <t>Actual Penetration</t>
  </si>
  <si>
    <t>Estimated Penetration</t>
  </si>
  <si>
    <t>Cumulative Sales</t>
  </si>
  <si>
    <t>6a</t>
  </si>
  <si>
    <t>6b</t>
  </si>
  <si>
    <t>6c</t>
  </si>
  <si>
    <t>Answers1</t>
  </si>
  <si>
    <t>Answers2</t>
  </si>
  <si>
    <t>Multiple Choice</t>
  </si>
  <si>
    <t>Solutions</t>
  </si>
  <si>
    <t>Submissions</t>
  </si>
  <si>
    <t>Marks</t>
  </si>
  <si>
    <t>HW4: Forecasting</t>
  </si>
  <si>
    <t>Iterations</t>
  </si>
  <si>
    <t>Moodle ID</t>
  </si>
  <si>
    <t>Username</t>
  </si>
  <si>
    <t>Start Time</t>
  </si>
  <si>
    <t>End Time</t>
  </si>
  <si>
    <t>Total Hours</t>
  </si>
  <si>
    <t>Grade</t>
  </si>
  <si>
    <t>OUT OF 2</t>
  </si>
  <si>
    <t>OUT OF 1</t>
  </si>
  <si>
    <t>3d</t>
  </si>
  <si>
    <t>3c</t>
  </si>
  <si>
    <t>3b</t>
  </si>
  <si>
    <t>3a</t>
  </si>
  <si>
    <t>Value of k:</t>
  </si>
  <si>
    <t>Value of b:</t>
  </si>
  <si>
    <t>Which parameter should change?</t>
  </si>
  <si>
    <t>How much does it change?</t>
  </si>
  <si>
    <t>Left Click</t>
  </si>
  <si>
    <t>D</t>
  </si>
  <si>
    <t>1a</t>
  </si>
  <si>
    <t>1b</t>
  </si>
  <si>
    <t>1c</t>
  </si>
  <si>
    <t>1d</t>
  </si>
  <si>
    <t>2a</t>
  </si>
  <si>
    <t>2b</t>
  </si>
  <si>
    <t>The forecast for the second half of 2016 using the 3rd degree polynomial</t>
  </si>
  <si>
    <t>The forecast for the first half of 2017 using the 3rd degree polynomial</t>
  </si>
  <si>
    <t>The forecast for the second half of 2017 using the 3rd degree polynomial</t>
  </si>
  <si>
    <t>4a</t>
  </si>
  <si>
    <t>Linear Function Trendline</t>
  </si>
  <si>
    <t>4b</t>
  </si>
  <si>
    <t>Power Function Trendline</t>
  </si>
  <si>
    <t>4c</t>
  </si>
  <si>
    <t>2nd Degree Polynomial Function Trendline</t>
  </si>
  <si>
    <t>4d</t>
  </si>
  <si>
    <t>3rd Degree Polynomial Function Trendline</t>
  </si>
  <si>
    <t>During their presentation, Power Company asserted that using the sum of errors instead of sum of squared errors (SSE) measures how well our model fits to the data better. Do you think the results you've find are accurate? Explain your answer.</t>
  </si>
  <si>
    <t>Report the total market size for Evrim Cars.</t>
  </si>
  <si>
    <t>First half of 2020 sales forecast:</t>
  </si>
  <si>
    <t>Year 2020 Annual Sales Forecast:</t>
  </si>
  <si>
    <t>Forecasts</t>
  </si>
  <si>
    <t>Year 2021 Annual Sales Forecast:</t>
  </si>
  <si>
    <t>Half Year</t>
  </si>
  <si>
    <t>Electric CarSales</t>
  </si>
  <si>
    <t>Linear</t>
  </si>
  <si>
    <t>2nd Degree Polynomial</t>
  </si>
  <si>
    <t>3rd Degree Polynomial</t>
  </si>
  <si>
    <t>Quick</t>
  </si>
  <si>
    <t>Year 2022 Annual Sales Forecast:</t>
  </si>
  <si>
    <t>Period:</t>
  </si>
  <si>
    <t>2012 H1</t>
  </si>
  <si>
    <t>2012 H2</t>
  </si>
  <si>
    <t>2013 H1</t>
  </si>
  <si>
    <t>2013 H2</t>
  </si>
  <si>
    <t>2014 H1</t>
  </si>
  <si>
    <t>2014 H2</t>
  </si>
  <si>
    <t>2015 H1</t>
  </si>
  <si>
    <t>2015 H2</t>
  </si>
  <si>
    <t>2016 H1</t>
  </si>
  <si>
    <t>2016 H2</t>
  </si>
  <si>
    <t>2017 H1</t>
  </si>
  <si>
    <t>2017 H2</t>
  </si>
  <si>
    <t>2018 H1</t>
  </si>
  <si>
    <t>2018 H2</t>
  </si>
  <si>
    <t>2019 H1</t>
  </si>
  <si>
    <t>2019 H2</t>
  </si>
  <si>
    <t>2020 H1</t>
  </si>
  <si>
    <t>2020 H2</t>
  </si>
  <si>
    <t>2021 H1</t>
  </si>
  <si>
    <t>2021 H2</t>
  </si>
  <si>
    <t>2022 H1</t>
  </si>
  <si>
    <t>2022 H2</t>
  </si>
  <si>
    <t>2023 H1</t>
  </si>
  <si>
    <t>2023 H2</t>
  </si>
  <si>
    <t>2024 H1</t>
  </si>
  <si>
    <t>2024 H2</t>
  </si>
  <si>
    <t>2025 H1</t>
  </si>
  <si>
    <t>2025 H2</t>
  </si>
  <si>
    <t>Population</t>
  </si>
  <si>
    <t>Potential Usage of E.Car</t>
  </si>
  <si>
    <t>For 2020:</t>
  </si>
  <si>
    <t>Market Size</t>
  </si>
  <si>
    <t>For 2021:</t>
  </si>
  <si>
    <t>bool</t>
  </si>
  <si>
    <t>TRUE</t>
  </si>
  <si>
    <t>For 2022:</t>
  </si>
  <si>
    <t>Half Sales</t>
  </si>
  <si>
    <t xml:space="preserve">1st </t>
  </si>
  <si>
    <t>2nd</t>
  </si>
  <si>
    <t>Market</t>
  </si>
  <si>
    <t>3rd Question</t>
  </si>
  <si>
    <t>4th Question</t>
  </si>
  <si>
    <t>B)</t>
  </si>
  <si>
    <t>2026 H1</t>
  </si>
  <si>
    <t>2026 H2</t>
  </si>
  <si>
    <t>The forecast for the first half of 2018 using the 3rd degree polynomial</t>
  </si>
  <si>
    <t>Weibull Distribution</t>
  </si>
  <si>
    <t>Weibull Penetration</t>
  </si>
  <si>
    <t>Weibull Cumulative</t>
  </si>
  <si>
    <t>Weibull Half</t>
  </si>
  <si>
    <t>Sales Forecast of 2019:</t>
  </si>
  <si>
    <t>A</t>
  </si>
  <si>
    <t>Evaluate the years using the given expected annual sales for 100000</t>
  </si>
  <si>
    <t>Evaluate the years using the given expected annual sales for 137000</t>
  </si>
  <si>
    <t>For the 2nd half of 2021 using the linear function trendline.</t>
  </si>
  <si>
    <t>For the 1st half of 2019 using the power function trendline.</t>
  </si>
  <si>
    <t>For the 2018 using the 2nd degree polynomial function trendline</t>
  </si>
  <si>
    <t>For the 1st half of 2017 using the Quick Company's forecast method.</t>
  </si>
  <si>
    <t>143__HW4.xlsm</t>
  </si>
  <si>
    <t>276__HW4.xlsm</t>
  </si>
  <si>
    <t>278__HW4.xlsm</t>
  </si>
  <si>
    <t>279__HW4.xlsm</t>
  </si>
  <si>
    <t>281__HW4.xlsm</t>
  </si>
  <si>
    <t>282__HW4.xlsm</t>
  </si>
  <si>
    <t>283__HW4.xlsm</t>
  </si>
  <si>
    <t>284__HW4.xlsm</t>
  </si>
  <si>
    <t>285__HW4.xlsm</t>
  </si>
  <si>
    <t>286__HW4.xlsm</t>
  </si>
  <si>
    <t>287__HW4.xlsm</t>
  </si>
  <si>
    <t>288__HW4.xlsm</t>
  </si>
  <si>
    <t>289__HW4.xlsm</t>
  </si>
  <si>
    <t>290__HW4.xlsm</t>
  </si>
  <si>
    <t>291__HW4.xlsm</t>
  </si>
  <si>
    <t>292__HW4.xlsm</t>
  </si>
  <si>
    <t>293__HW4.xlsm</t>
  </si>
  <si>
    <t>294__HW4.xlsm</t>
  </si>
  <si>
    <t>295__HW4.xlsm</t>
  </si>
  <si>
    <t>297__HW4.xlsm</t>
  </si>
  <si>
    <t>298__HW4.xlsm</t>
  </si>
  <si>
    <t>299__HW4.xlsm</t>
  </si>
  <si>
    <t>300__HW4.xlsm</t>
  </si>
  <si>
    <t>301__HW4.xlsm</t>
  </si>
  <si>
    <t>302__HW4.xlsm</t>
  </si>
  <si>
    <t>303__HW4.xlsm</t>
  </si>
  <si>
    <t>304__HW4.xlsm</t>
  </si>
  <si>
    <t>305__HW4.xlsm</t>
  </si>
  <si>
    <t>306__HW4.xlsm</t>
  </si>
  <si>
    <t>307__HW4.xlsm</t>
  </si>
  <si>
    <t>308__HW4.xlsm</t>
  </si>
  <si>
    <t>310__HW4.xlsm</t>
  </si>
  <si>
    <t>311__HW4.xlsm</t>
  </si>
  <si>
    <t>312__HW4.xlsm</t>
  </si>
  <si>
    <t>313__HW4.xlsm</t>
  </si>
  <si>
    <t>314__HW4.xlsm</t>
  </si>
  <si>
    <t>316__HW4.xlsm</t>
  </si>
  <si>
    <t>317__HW4.xlsm</t>
  </si>
  <si>
    <t>318__HW4.xlsm</t>
  </si>
  <si>
    <t>319__HW4.xlsm</t>
  </si>
  <si>
    <t>320__HW4.xlsm</t>
  </si>
  <si>
    <t>321__HW4.xlsm</t>
  </si>
  <si>
    <t>322__HW4.xlsm</t>
  </si>
  <si>
    <t>323__HW4.xlsm</t>
  </si>
  <si>
    <t>324__HW4.xlsm</t>
  </si>
  <si>
    <t>325__HW4.xlsm</t>
  </si>
  <si>
    <t>326__HW4.xlsm</t>
  </si>
  <si>
    <t>327__HW4.xlsm</t>
  </si>
  <si>
    <t>328__HW4.xlsm</t>
  </si>
  <si>
    <t>329__HW4.xlsm</t>
  </si>
  <si>
    <t>330__HW4.xlsm</t>
  </si>
  <si>
    <t>331__HW4.xlsm</t>
  </si>
  <si>
    <t>332__HW4.xlsm</t>
  </si>
  <si>
    <t>333__HW4.xlsm</t>
  </si>
  <si>
    <t>334__HW4.xlsm</t>
  </si>
  <si>
    <t>335__HW4.xlsm</t>
  </si>
  <si>
    <t>337__HW4.xlsm</t>
  </si>
  <si>
    <t>339__HW4.xlsm</t>
  </si>
  <si>
    <t>340__HW4.xlsm</t>
  </si>
  <si>
    <t>341__HW4.xlsm</t>
  </si>
  <si>
    <t>342__HW4.xlsm</t>
  </si>
  <si>
    <t>343__HW4.xlsm</t>
  </si>
  <si>
    <t>344__HW4.xlsm</t>
  </si>
  <si>
    <t>345__HW4.xlsm</t>
  </si>
  <si>
    <t>346__HW4.xlsm</t>
  </si>
  <si>
    <t>347__HW4.xlsm</t>
  </si>
  <si>
    <t>348__HW4.xlsm</t>
  </si>
  <si>
    <t>351__HW4.xlsm</t>
  </si>
  <si>
    <t>352__HW4.xlsm</t>
  </si>
  <si>
    <t>353__HW4.xlsm</t>
  </si>
  <si>
    <t>354__HW4.xlsm</t>
  </si>
  <si>
    <t>355__HW4.xlsm</t>
  </si>
  <si>
    <t>356__HW4.xlsm</t>
  </si>
  <si>
    <t>357__HW4.xlsm</t>
  </si>
  <si>
    <t>358__HW4.xlsm</t>
  </si>
  <si>
    <t>359__HW4.xlsm</t>
  </si>
  <si>
    <t>360__HW4.xlsm</t>
  </si>
  <si>
    <t>361__HW4.xlsm</t>
  </si>
  <si>
    <t>362__HW4.xlsm</t>
  </si>
  <si>
    <t>364__HW4.xlsm</t>
  </si>
  <si>
    <t>366__HW4.xlsm</t>
  </si>
  <si>
    <t>367__HW4.xlsm</t>
  </si>
  <si>
    <t>368__HW4.xlsm</t>
  </si>
  <si>
    <t>369__HW4.xlsm</t>
  </si>
  <si>
    <t>370__HW4.xlsm</t>
  </si>
  <si>
    <t>372__HW4.xlsm</t>
  </si>
  <si>
    <t>374__HW4.xlsm</t>
  </si>
  <si>
    <t>375__HW4.xlsm</t>
  </si>
  <si>
    <t>376__HW4.xlsm</t>
  </si>
  <si>
    <t>377__HW4.xlsm</t>
  </si>
  <si>
    <t>378__HW4.xlsm</t>
  </si>
  <si>
    <t>379__HW4.xlsm</t>
  </si>
  <si>
    <t>381__HW4.xlsm</t>
  </si>
  <si>
    <t>382__HW4.xlsm</t>
  </si>
  <si>
    <t>383__HW4.xlsm</t>
  </si>
  <si>
    <t>384__HW4.xlsm</t>
  </si>
  <si>
    <t>386__HW4.xlsm</t>
  </si>
  <si>
    <t>387__HW4.xlsm</t>
  </si>
  <si>
    <t>388__HW4.xlsm</t>
  </si>
  <si>
    <t>389__HW4.xlsm</t>
  </si>
  <si>
    <t>390__HW4.xlsm</t>
  </si>
  <si>
    <t>391__HW4.xlsm</t>
  </si>
  <si>
    <t>394__HW4.xlsm</t>
  </si>
  <si>
    <t>395__HW4.xlsm</t>
  </si>
  <si>
    <t>397__HW4.xlsm</t>
  </si>
  <si>
    <t>399__HW4.xlsm</t>
  </si>
  <si>
    <t>400__HW4.xlsm</t>
  </si>
  <si>
    <t>401__HW4.xlsm</t>
  </si>
  <si>
    <t>403__HW4.xlsm</t>
  </si>
  <si>
    <t>404__HW4.xlsm</t>
  </si>
  <si>
    <t>406__HW4.xlsm</t>
  </si>
  <si>
    <t>407__HW4.xlsm</t>
  </si>
  <si>
    <t>408__HW4.xlsm</t>
  </si>
  <si>
    <t>409__HW4.xlsm</t>
  </si>
  <si>
    <t>410__HW4.xlsm</t>
  </si>
  <si>
    <t>411__HW4.xlsm</t>
  </si>
  <si>
    <t>413__HW4.xlsm</t>
  </si>
  <si>
    <t>414__HW4.xlsm</t>
  </si>
  <si>
    <t>415__HW4.xlsm</t>
  </si>
  <si>
    <t>416__HW4.xlsm</t>
  </si>
  <si>
    <t>417__HW4.xlsm</t>
  </si>
  <si>
    <t>418__HW4.xlsm</t>
  </si>
  <si>
    <t>419__HW4.xlsm</t>
  </si>
  <si>
    <t>421__HW4.xlsm</t>
  </si>
  <si>
    <t>422__HW4.xlsm</t>
  </si>
  <si>
    <t>423__HW4.xlsm</t>
  </si>
  <si>
    <t>424__HW4.xlsm</t>
  </si>
  <si>
    <t>425__HW4.xlsm</t>
  </si>
  <si>
    <t>426__HW4.xlsm</t>
  </si>
  <si>
    <t>427__HW4.xlsm</t>
  </si>
  <si>
    <t>428__HW4.xlsm</t>
  </si>
  <si>
    <t>431__HW4.xlsm</t>
  </si>
  <si>
    <t>432__HW4.xlsm</t>
  </si>
  <si>
    <t>433__HW4.xlsm</t>
  </si>
  <si>
    <t>434__HW4.xlsm</t>
  </si>
  <si>
    <t>435__HW4.xlsm</t>
  </si>
  <si>
    <t>436__HW4.xlsm</t>
  </si>
  <si>
    <t>544__HW4.xlsm</t>
  </si>
  <si>
    <t>546__HW4.xlsm</t>
  </si>
  <si>
    <t>547__HW4.xlsm</t>
  </si>
  <si>
    <t>548__HW4.xlsm</t>
  </si>
  <si>
    <t>549__HW4.xlsm</t>
  </si>
  <si>
    <t>yes</t>
  </si>
  <si>
    <t>C</t>
  </si>
  <si>
    <t>İlayda</t>
  </si>
  <si>
    <t>Administrator</t>
  </si>
  <si>
    <t>TALHA</t>
  </si>
  <si>
    <t>ob4107</t>
  </si>
  <si>
    <t>B</t>
  </si>
  <si>
    <t>VATAN</t>
  </si>
  <si>
    <t>No becuse sum of errors has negative errors and it decrese the accuracy.</t>
  </si>
  <si>
    <t>egowic</t>
  </si>
  <si>
    <t>SSE is more accurate than sum of errors.Because errors can be negative and positive numbers.Thanks to SSE these numbers can be separated.</t>
  </si>
  <si>
    <t>Berk</t>
  </si>
  <si>
    <t>admin</t>
  </si>
  <si>
    <t>No. Because sum of errors in some cases will sum negitive values. that’s why we use SSE instead of SE to make sure that our answer is positive</t>
  </si>
  <si>
    <t>Ammar</t>
  </si>
  <si>
    <t xml:space="preserve">
Yes. Errors can lead to each other because some errors may be minus.  when SSE is received.we will get rid of the errors</t>
  </si>
  <si>
    <t>mustafa</t>
  </si>
  <si>
    <t>acer</t>
  </si>
  <si>
    <t>2nd 2018</t>
  </si>
  <si>
    <t>2nd 2020</t>
  </si>
  <si>
    <t>If we dont take the suqare of the erros we would get both positive and negative numbers that could misguide us</t>
  </si>
  <si>
    <t>dogukanozyonar</t>
  </si>
  <si>
    <t>sırın cem</t>
  </si>
  <si>
    <t>2nd half of 2018</t>
  </si>
  <si>
    <t>1st half of 2021</t>
  </si>
  <si>
    <t>Yes. SSE method which we used recently can give us more accurate forecast values because of the details of each methods. For example: we found sum of errors as 0.12 and SSE as 0.0144 on class before. 0.144 is more accurate forecast than 0.120.</t>
  </si>
  <si>
    <t>Ensar's Spaceship</t>
  </si>
  <si>
    <t>No. Because sse penalised biggest errors more</t>
  </si>
  <si>
    <t>a s u s</t>
  </si>
  <si>
    <t>If we use sum of errors in the place of sum of squared errors. it may disguide us because there are positive and negative errors which sum may be zero.</t>
  </si>
  <si>
    <t>SSE is better fit to data because when we have sum the errors. we have with a solution that the minus and plus errors are cancelled the other however with sse total amount of error made without plus and minus are not cancel the other.</t>
  </si>
  <si>
    <t>Rumeysa</t>
  </si>
  <si>
    <t>no</t>
  </si>
  <si>
    <t>User</t>
  </si>
  <si>
    <t>SSE can be fitted by using solver and minimized.  No result we have find arent accurate. Because SSE never be totally fit</t>
  </si>
  <si>
    <t>Berkay</t>
  </si>
  <si>
    <t>if we use sum of errors intead of sum of squared</t>
  </si>
  <si>
    <t>It does not matter if you use sum of errors or SSE. Power company would still have the highest errors if sum of errors for all companies would have been used. The results are therefore accurate.</t>
  </si>
  <si>
    <t>Rizos</t>
  </si>
  <si>
    <t>No because it will penalise biggest errors more</t>
  </si>
  <si>
    <t>TUGRA</t>
  </si>
  <si>
    <t>deniz.cubukcu</t>
  </si>
  <si>
    <t>SSE results help us to see the differences gap. That's why 3th degree polynomial gives us the better choice</t>
  </si>
  <si>
    <t>Miray</t>
  </si>
  <si>
    <t>If we use sum of errors instead of sum of squared errors (SSE). It may disguide us because there are positive and negative errors whose sum might be zero.</t>
  </si>
  <si>
    <t>user</t>
  </si>
  <si>
    <t>Kerem</t>
  </si>
  <si>
    <t>If we use sum of errors intead of sum of squared errors. it may disguide us because there are positive and negative errors whose sum may be zero.</t>
  </si>
  <si>
    <t>EGE</t>
  </si>
  <si>
    <t>Deniz</t>
  </si>
  <si>
    <t>Evet. Errorlar birbirlerini götürebilir çünkü bazı errorlar eksi çıkabilir. SSE alındığında errorların eksi çıkmasından kurtulunur.</t>
  </si>
  <si>
    <t>MONSTER</t>
  </si>
  <si>
    <t>Lenovo</t>
  </si>
  <si>
    <t xml:space="preserve">We can see that the smallest SSE is 3rd degree polynomial among other methods with 106297558.9 but even that is still far from our actual sales. </t>
  </si>
  <si>
    <t>Sum of errors will mislead us if half of error minus 10 million and other half is 10 million. sum of errors will be zero indicates that there is no error but there is a huge error. If we take their squares. this mistake will be erased</t>
  </si>
  <si>
    <t>mo009463</t>
  </si>
  <si>
    <t>SSE is more accurate than sum of erors because when we use sum of erors we include negative numbers whic is not right way to calculate erors.But in SSE we take the square root of the values so there are no negative numbers.</t>
  </si>
  <si>
    <t>Ceren</t>
  </si>
  <si>
    <t>If the sum of errors method is used . negative errors and positive errors are cancel each other so the result will not accurate.Therefore the sum of squared errors should  be used because of the negative numbers turn into positive. so result will be more sensible.</t>
  </si>
  <si>
    <t>TOSHIBA</t>
  </si>
  <si>
    <t>SSE is more accurate than sum of errors because there should not be minus values while summing errors. that's why if you take squares of errors you can get rid of the minus values</t>
  </si>
  <si>
    <t xml:space="preserve">No. SSE is more accurate than some of errors.Because errors can be positive and negative numbers.So we can find more accurate solution by taking squares of errors.  </t>
  </si>
  <si>
    <t>ALPER</t>
  </si>
  <si>
    <t>no because there are some errors</t>
  </si>
  <si>
    <t>LENOVO</t>
  </si>
  <si>
    <t>I think results I found are accurate because Power company does not understand the problem in his appriach. If we only sum the errors. the when negative and positive numbers eliminate each other. the error will be found smaller than its real magnitude</t>
  </si>
  <si>
    <t>HP</t>
  </si>
  <si>
    <t>casper</t>
  </si>
  <si>
    <t>It is definitely not accurate. As en example one of the part of the chart's error can be 1 and other part of can be -1. If we sum these up error will be seen as 0. However it is not correct.</t>
  </si>
  <si>
    <t>Samsung</t>
  </si>
  <si>
    <t>We can't use sum of errors because there are positive and negative errors. their sum might be zero.</t>
  </si>
  <si>
    <t>Oğuzhan Savaş</t>
  </si>
  <si>
    <t>ASUS-mete baba</t>
  </si>
  <si>
    <t>Negative errors will eliminate positive errors in sum of errors method. sum of squarred errors solve this problem. We should use that one.</t>
  </si>
  <si>
    <t>windows7</t>
  </si>
  <si>
    <t>no.</t>
  </si>
  <si>
    <t>Can Erçetin</t>
  </si>
  <si>
    <t>Because sum of errors might involve a negative value which will decrease the error irrelatively. Thus. I think my values are more accurate than the sum of errors method.</t>
  </si>
  <si>
    <t>yes they are accurate</t>
  </si>
  <si>
    <t>Barış</t>
  </si>
  <si>
    <t xml:space="preserve">sum of errors are not good because minus and plus sign figures cancel each other out. We don’t want this. It would show errors smaller. Power companny method is not useful therefore. </t>
  </si>
  <si>
    <t>yes. ı do because ı believe find true</t>
  </si>
  <si>
    <t>Grundig</t>
  </si>
  <si>
    <t>no beacuse answers will be negative numbers so it is not accure results.</t>
  </si>
  <si>
    <t>Asus</t>
  </si>
  <si>
    <t>No as the anwswers will be negative. numbers will not give errors correct.</t>
  </si>
  <si>
    <t>Alp</t>
  </si>
  <si>
    <t>Because sometimes we find to values negative.Thus. we take squared of values then values be positive</t>
  </si>
  <si>
    <t>sum of squarred errors is a common method in statistics. It is similar to variance. We take square to get rid of negative signed figures and this enable us to see real variance from the average</t>
  </si>
  <si>
    <t>YES</t>
  </si>
  <si>
    <t>Burak</t>
  </si>
  <si>
    <t>Begüm Güngör</t>
  </si>
  <si>
    <t>In some error there are negative number and when you sum them it can be 0 however in square error you can see it better be cause the numbers are positive</t>
  </si>
  <si>
    <t>Mehmet</t>
  </si>
  <si>
    <t xml:space="preserve">They wouldn't be accurate because when we sum negative and positive results. they will cancal each other. </t>
  </si>
  <si>
    <t>Monster</t>
  </si>
  <si>
    <t>If we use sum of errors intead of sum of squared errors. It may disguide us because there are positive and negative errors whose sum may be zero.</t>
  </si>
  <si>
    <t>USER-HP</t>
  </si>
  <si>
    <t>No because sse will penalise big errors more</t>
  </si>
  <si>
    <t>sum of errors will result in confusion between negative and positive numbers so the result will be very wrong</t>
  </si>
  <si>
    <t>Seckin</t>
  </si>
  <si>
    <t>USER</t>
  </si>
  <si>
    <t xml:space="preserve">If we take sum of errors we will take some possitive and negative numbers they can delete each other and forecasting may fit perfectly so we take sum of square errors so that every error detail is positive </t>
  </si>
  <si>
    <t>because if i take the sume of errors without the squared it may cancel each other so there will be zero errors or minus errors</t>
  </si>
  <si>
    <t>no. because considering the sum of errors would also take into account the considers both the sum of squares from the factors. not only the residuals</t>
  </si>
  <si>
    <t>2021-2025</t>
  </si>
  <si>
    <t>Alessia</t>
  </si>
  <si>
    <t>2nd half of 2020</t>
  </si>
  <si>
    <t xml:space="preserve">yes they are accurate. They have small SSE </t>
  </si>
  <si>
    <t>SSE fits better to data because sse shows the minus values errors too. Hence finding accurate solution is quarantied.</t>
  </si>
  <si>
    <t>TOSHIBA-PC</t>
  </si>
  <si>
    <t>No. it is not because if we use sum of errors instead of sum of squared errors our model fits to data better because of some of errors might be negative.</t>
  </si>
  <si>
    <t>BUKATELLİ</t>
  </si>
  <si>
    <t>NO</t>
  </si>
  <si>
    <t>we take some of squared errors so that we will se all errors positive othervise errors may cancel out eachther and the estimation make seem perfect</t>
  </si>
  <si>
    <t>Yes.they are accurate.Because without the formula I get the same number with the result of formula for each column</t>
  </si>
  <si>
    <t>yc009590</t>
  </si>
  <si>
    <t>yasemin</t>
  </si>
  <si>
    <t>no because sse penalises more errors more</t>
  </si>
  <si>
    <t>Yes because some of errors will be canceling each other.</t>
  </si>
  <si>
    <t>ışınsu</t>
  </si>
  <si>
    <t>io010085</t>
  </si>
  <si>
    <t>yes. it is more accurate because using the sum of errors without squaring them might result in errors cancel each other if there are errors of both negative and positive value</t>
  </si>
  <si>
    <t>Mert</t>
  </si>
  <si>
    <t>berkay</t>
  </si>
  <si>
    <t>Sum of errors method is not totally right because of negative errors. We hould use sum of squarred errors.</t>
  </si>
  <si>
    <t>Tayyip.Adal</t>
  </si>
  <si>
    <t>DELL</t>
  </si>
  <si>
    <t>no bigger errors took bigger penalty</t>
  </si>
  <si>
    <t>it does not measuer better. Sum of errors is a defected system because negative and positive numbers cancel each other out. Errors are -2 +2 and we see 0. but in sum of squared errors -2^2 + 2^2 real error is 8. it shows it better</t>
  </si>
  <si>
    <t>Results are not accurate. because we make approximations. We just forecast by looking our old data.</t>
  </si>
  <si>
    <t>mb009422</t>
  </si>
  <si>
    <t>Meriç Becan</t>
  </si>
  <si>
    <t>esen</t>
  </si>
  <si>
    <t xml:space="preserve">My opinion about this question is we use the square of the error values. so that residuals below the fitted line (which are then negative). would still have to be able to be added up to the positive errors. </t>
  </si>
  <si>
    <t>negative errors will eliminate unless we dont use sum of errors</t>
  </si>
  <si>
    <t xml:space="preserve">Because of negative errors sum of errors method is not right. We should use sum of squarred errors because it is making all of the errors positive. </t>
  </si>
  <si>
    <t>gülçin</t>
  </si>
  <si>
    <t xml:space="preserve">Negative errors will eliminate each other if we use sum of errors method. We should use sum of squarred errors method. </t>
  </si>
  <si>
    <t>Nilay Zanbak</t>
  </si>
  <si>
    <t>Using sum of errors method will cause problems because there can be negative errors too. If we sum sum of squarred errors negative errors will not be problem.</t>
  </si>
  <si>
    <t>Dilan</t>
  </si>
  <si>
    <t>Yes. Our results are correct. If we used sum of errors instead of square errors positive and negatice values would cancelled each other.</t>
  </si>
  <si>
    <t>KADRİYE</t>
  </si>
  <si>
    <t>our results are not accurate because we make approximations. We are only forecasting by looking our old data. That's why we can not say that our answers are accurate.</t>
  </si>
  <si>
    <t>Yes.It is same thing.</t>
  </si>
  <si>
    <t>Kemal</t>
  </si>
  <si>
    <t>Sum of squared is better.Because sum of errors cancelled each other .To get better result use squared errors.)</t>
  </si>
  <si>
    <t>EFE</t>
  </si>
  <si>
    <t xml:space="preserve">the results are accurate because we do not delete negative numbers with positive numbers. We take square of them so that they don’t delete each other and show smalll errors. </t>
  </si>
  <si>
    <t>miss result was right about the sum of squared errrors</t>
  </si>
  <si>
    <t>Talha</t>
  </si>
  <si>
    <t>ı think the errors that ı found are changing like positive or negative value.Thats why we shouldn't</t>
  </si>
  <si>
    <t>No because our errors could negative or positive values</t>
  </si>
  <si>
    <t>sema</t>
  </si>
  <si>
    <t>1st half of 2018</t>
  </si>
  <si>
    <t>2dn half of 2019</t>
  </si>
  <si>
    <t>SONY</t>
  </si>
  <si>
    <t>gokalpcerit</t>
  </si>
  <si>
    <t>taipan</t>
  </si>
  <si>
    <t>sse will affect negative errors</t>
  </si>
  <si>
    <t>FURKAN</t>
  </si>
  <si>
    <t>we will use sum of squarred errors</t>
  </si>
  <si>
    <t>Metehan</t>
  </si>
  <si>
    <t>AliRıza</t>
  </si>
  <si>
    <t>SSE is more accurate because it prevents the errors based on summing positive and negative numbers.</t>
  </si>
  <si>
    <t>46.238.8</t>
  </si>
  <si>
    <t>26.386.39</t>
  </si>
  <si>
    <t>3.673.4</t>
  </si>
  <si>
    <t>45.338.15</t>
  </si>
  <si>
    <t>It wil be some negative errors.</t>
  </si>
  <si>
    <t>No it doesn't accurate because sum of squared errors is not same sum of errors</t>
  </si>
  <si>
    <t>Remzi</t>
  </si>
  <si>
    <t xml:space="preserve">Sum of errors method cause problem with negative errors but sum fo squarred errors avoid this problem. </t>
  </si>
  <si>
    <t xml:space="preserve">It does not because sum of errors would eliminate negative and positive numbers and that would result in with errors smaller than reality. </t>
  </si>
  <si>
    <t>Yes. because some errors can be negative. when we calculate SSE. we prevent it.</t>
  </si>
  <si>
    <t>There are positive and negative errors and when we took sum of them it may be zero so we are taking the square of the errors to get rid of the zero or negative results instead of taking the sum of errors.</t>
  </si>
  <si>
    <t>There are negative errors which can delete positive errors with sum of errors method. But in sum of squarred errors method there is no problem.</t>
  </si>
  <si>
    <t>ALDINC</t>
  </si>
  <si>
    <t>sum of squarred errors are more accurater because they take ^2 of the numbers and all numbers become positive numbers and don’t we see real distance from the reality.</t>
  </si>
  <si>
    <t>Sum of squarred errors method make all of the errors positive to avoid elimination. Sum of errors create problems.</t>
  </si>
  <si>
    <t>student</t>
  </si>
  <si>
    <t>due to the fact that errors will be cancelled each other. it is true</t>
  </si>
  <si>
    <t>To aviod negative errors we should use sum of squarred errors.</t>
  </si>
  <si>
    <t>ASUS</t>
  </si>
  <si>
    <t>The results I find are not completely accurate. In fact it is far beyond than being accurate. But using the SSE method we predict the forecast better because if we use the sum of erros method instead of SSE. it would not be related to forecasting due to minus(-) values.</t>
  </si>
  <si>
    <t>ACER</t>
  </si>
  <si>
    <t>I dont think the results we have find are accurate. because SSE cannot be completely minimized and fitted.</t>
  </si>
  <si>
    <t>Sercan</t>
  </si>
  <si>
    <t>halit</t>
  </si>
  <si>
    <t>Ismail Emre Yur</t>
  </si>
  <si>
    <t>OZUNSTUDENT</t>
  </si>
  <si>
    <t>in the class we see examples of this. Sum of errors is easy but is flawed. The results are not accurate. Because negative and positive numbers cancel out.</t>
  </si>
  <si>
    <t>no.sse is a better way.</t>
  </si>
  <si>
    <t>To find the results that they are accurate we can find negative and positive numbers squares because they are cancelled</t>
  </si>
  <si>
    <t>umutkaan</t>
  </si>
  <si>
    <t>it will be some negative errors</t>
  </si>
  <si>
    <t>AGAH</t>
  </si>
  <si>
    <t>Because if you use sum of errors your data wont be correct since there are positive and negative values. If you use sum of squared errors it will not matter whether the number is positive or negative.</t>
  </si>
  <si>
    <t>john himself</t>
  </si>
  <si>
    <t>Erim CAN</t>
  </si>
  <si>
    <t>Results are not accurate since error values can be negative or positive.</t>
  </si>
  <si>
    <t>Sum of errors is wrong because there are negative and positive errors. we should use sum of squarred errors.</t>
  </si>
  <si>
    <t>they are not precisely the same because positive and negative ones cancel each other.</t>
  </si>
  <si>
    <t>Emre</t>
  </si>
  <si>
    <t>No.It's not true.Because positive and negative numbers are relative</t>
  </si>
  <si>
    <t>Casper</t>
  </si>
  <si>
    <t>It's not true.Because positive and negative numbers are relative.</t>
  </si>
  <si>
    <t>asus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</si>
</sst>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 #,##0.00_);_(* \(#,##0.00\);_(* &quot;-&quot;??_);_(@_)"/>
    <numFmt numFmtId="165" formatCode="_-* #,##0.00\ _₺_-;\-* #,##0.00\ _₺_-;_-* &quot;-&quot;??\ _₺_-;_-@_-"/>
    <numFmt numFmtId="166" formatCode="_-* #,##0.00\ &quot;TL&quot;_-;\-* #,##0.00\ &quot;TL&quot;_-;_-* &quot;-&quot;??\ &quot;TL&quot;_-;_-@_-"/>
    <numFmt numFmtId="167" formatCode="_-* #,##0.00\ _T_L_-;\-* #,##0.00\ _T_L_-;_-* &quot;-&quot;??\ _T_L_-;_-@_-"/>
    <numFmt numFmtId="168" formatCode="_-* #,##0_-;\-* #,##0_-;_-* &quot;-&quot;??_-;_-@_-"/>
    <numFmt numFmtId="169" formatCode="_(* #,##0_);_(* \(#,##0\);_(* &quot;-&quot;??_);_(@_)"/>
    <numFmt numFmtId="170" formatCode="0.0%"/>
    <numFmt numFmtId="171" formatCode="m/d/yy\ h:mm;@"/>
    <numFmt numFmtId="172" formatCode="[$-F400]h:mm:ss\ AM/PM"/>
    <numFmt numFmtId="173" formatCode="_-* #,##0.0000_-;\-* #,##0.0000_-;_-* &quot;-&quot;??_-;_-@_-"/>
    <numFmt numFmtId="174" formatCode="0.0"/>
    <numFmt numFmtId="175" formatCode="0.0000"/>
    <numFmt numFmtId="176" formatCode="0.000000000"/>
    <numFmt numFmtId="177" formatCode="0.0000000000"/>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color indexed="8"/>
      <name val="Arial"/>
      <family val="2"/>
    </font>
    <font>
      <sz val="10"/>
      <color indexed="8"/>
      <name val="Arial"/>
      <family val="2"/>
    </font>
    <font>
      <b/>
      <sz val="10"/>
      <color indexed="10"/>
      <name val="Arial"/>
      <family val="2"/>
    </font>
    <font>
      <sz val="10"/>
      <name val="MS Sans Serif"/>
      <family val="2"/>
    </font>
    <font>
      <b/>
      <sz val="10"/>
      <name val="MS Sans Serif"/>
      <family val="2"/>
    </font>
    <font>
      <b/>
      <sz val="10"/>
      <color indexed="9"/>
      <name val="Arial"/>
      <family val="2"/>
    </font>
    <font>
      <sz val="10"/>
      <color indexed="10"/>
      <name val="Arial"/>
      <family val="2"/>
    </font>
    <font>
      <sz val="10"/>
      <name val="Arial"/>
      <family val="2"/>
    </font>
    <font>
      <b/>
      <sz val="10"/>
      <name val="Arial"/>
      <family val="2"/>
    </font>
    <font>
      <b/>
      <sz val="13"/>
      <name val="Arial"/>
      <family val="2"/>
      <charset val="162"/>
    </font>
    <font>
      <sz val="10"/>
      <name val="Arial"/>
      <family val="2"/>
      <charset val="162"/>
    </font>
    <font>
      <b/>
      <sz val="10"/>
      <color indexed="9"/>
      <name val="Arial"/>
      <family val="2"/>
      <charset val="162"/>
    </font>
    <font>
      <b/>
      <sz val="10"/>
      <name val="Arial"/>
      <family val="2"/>
      <charset val="162"/>
    </font>
    <font>
      <b/>
      <sz val="10"/>
      <color indexed="17"/>
      <name val="Arial"/>
      <family val="2"/>
      <charset val="162"/>
    </font>
    <font>
      <i/>
      <sz val="10"/>
      <name val="Arial"/>
      <family val="2"/>
    </font>
    <font>
      <b/>
      <sz val="10"/>
      <color indexed="23"/>
      <name val="Arial"/>
      <family val="2"/>
      <charset val="162"/>
    </font>
    <font>
      <b/>
      <sz val="10"/>
      <color indexed="18"/>
      <name val="Arial"/>
      <family val="2"/>
      <charset val="162"/>
    </font>
    <font>
      <b/>
      <sz val="10"/>
      <color indexed="16"/>
      <name val="Arial"/>
      <family val="2"/>
      <charset val="162"/>
    </font>
    <font>
      <sz val="10"/>
      <color theme="0" tint="-0.34998626667073579"/>
      <name val="Arial"/>
      <family val="2"/>
    </font>
    <font>
      <b/>
      <sz val="18"/>
      <name val="Arial"/>
      <family val="2"/>
    </font>
    <font>
      <sz val="14"/>
      <name val="Arial"/>
      <family val="2"/>
      <charset val="16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800000"/>
      <name val="Arial"/>
      <family val="2"/>
      <charset val="162"/>
    </font>
    <font>
      <sz val="10"/>
      <color rgb="FF222222"/>
      <name val="Arial"/>
      <family val="2"/>
      <charset val="162"/>
    </font>
    <font>
      <sz val="10"/>
      <name val="Arial"/>
      <family val="2"/>
      <charset val="162"/>
    </font>
    <font>
      <u/>
      <sz val="10"/>
      <color theme="10"/>
      <name val="Arial"/>
      <family val="2"/>
      <charset val="162"/>
    </font>
    <font>
      <u/>
      <sz val="10"/>
      <color theme="11"/>
      <name val="Arial"/>
      <family val="2"/>
      <charset val="162"/>
    </font>
    <font>
      <sz val="10"/>
      <color theme="0" tint="-4.9989318521683403E-2"/>
      <name val="Arial"/>
      <family val="2"/>
    </font>
    <font>
      <sz val="10"/>
      <color theme="0"/>
      <name val="Arial"/>
      <family val="2"/>
    </font>
    <font>
      <i/>
      <sz val="11"/>
      <color theme="1"/>
      <name val="Calibri"/>
      <family val="2"/>
      <charset val="162"/>
      <scheme val="minor"/>
    </font>
    <font>
      <b/>
      <i/>
      <sz val="10"/>
      <name val="Arial"/>
      <family val="2"/>
      <charset val="162"/>
    </font>
    <font>
      <i/>
      <sz val="10"/>
      <name val="Arial"/>
      <family val="2"/>
      <charset val="162"/>
    </font>
    <font>
      <b/>
      <sz val="10"/>
      <color theme="1"/>
      <name val="Arial"/>
      <family val="2"/>
    </font>
    <font>
      <b/>
      <sz val="10"/>
      <color theme="1" tint="4.9989318521683403E-2"/>
      <name val="Arial"/>
      <family val="2"/>
      <charset val="162"/>
    </font>
  </fonts>
  <fills count="54">
    <fill>
      <patternFill patternType="none"/>
    </fill>
    <fill>
      <patternFill patternType="gray125"/>
    </fill>
    <fill>
      <patternFill patternType="mediumGray">
        <fgColor indexed="22"/>
      </patternFill>
    </fill>
    <fill>
      <patternFill patternType="solid">
        <fgColor indexed="53"/>
        <bgColor indexed="64"/>
      </patternFill>
    </fill>
    <fill>
      <patternFill patternType="solid">
        <fgColor indexed="43"/>
        <bgColor indexed="64"/>
      </patternFill>
    </fill>
    <fill>
      <patternFill patternType="solid">
        <fgColor theme="0" tint="-0.49998474074526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bgColor indexed="64"/>
      </patternFill>
    </fill>
    <fill>
      <patternFill patternType="solid">
        <fgColor theme="6" tint="0.59999389629810485"/>
        <bgColor indexed="64"/>
      </patternFill>
    </fill>
    <fill>
      <patternFill patternType="solid">
        <fgColor theme="0"/>
        <bgColor indexed="64"/>
      </patternFill>
    </fill>
    <fill>
      <patternFill patternType="solid">
        <fgColor theme="9"/>
        <bgColor indexed="64"/>
      </patternFill>
    </fill>
    <fill>
      <patternFill patternType="solid">
        <fgColor indexed="22"/>
        <bgColor indexed="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64"/>
      </patternFill>
    </fill>
    <fill>
      <patternFill patternType="solid">
        <fgColor indexed="42"/>
        <bgColor indexed="64"/>
      </patternFill>
    </fill>
    <fill>
      <patternFill patternType="solid">
        <fgColor rgb="FFFFFF00"/>
        <bgColor indexed="64"/>
      </patternFill>
    </fill>
    <fill>
      <patternFill patternType="solid">
        <fgColor theme="1"/>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0070C0"/>
        <bgColor indexed="64"/>
      </patternFill>
    </fill>
    <fill>
      <patternFill patternType="solid">
        <fgColor theme="9" tint="0.59999389629810485"/>
        <bgColor indexed="64"/>
      </patternFill>
    </fill>
    <fill>
      <patternFill patternType="solid">
        <fgColor theme="7" tint="0.79998168889431442"/>
        <bgColor indexed="64"/>
      </patternFill>
    </fill>
  </fills>
  <borders count="5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medium">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style="thin">
        <color indexed="8"/>
      </left>
      <right style="thin">
        <color indexed="8"/>
      </right>
      <top style="thin">
        <color indexed="8"/>
      </top>
      <bottom style="thin">
        <color indexed="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diagonal/>
    </border>
    <border>
      <left/>
      <right/>
      <top/>
      <bottom style="medium">
        <color auto="1"/>
      </bottom>
      <diagonal/>
    </border>
    <border>
      <left style="medium">
        <color auto="1"/>
      </left>
      <right style="thin">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s>
  <cellStyleXfs count="102">
    <xf numFmtId="0" fontId="0" fillId="0" borderId="0"/>
    <xf numFmtId="43" fontId="8" fillId="0" borderId="0" applyFont="0" applyFill="0" applyBorder="0" applyAlignment="0" applyProtection="0"/>
    <xf numFmtId="0" fontId="17" fillId="0" borderId="0"/>
    <xf numFmtId="0" fontId="13" fillId="0" borderId="0" applyNumberFormat="0" applyFont="0" applyFill="0" applyBorder="0" applyAlignment="0" applyProtection="0">
      <alignment horizontal="left"/>
    </xf>
    <xf numFmtId="15" fontId="13" fillId="0" borderId="0" applyFont="0" applyFill="0" applyBorder="0" applyAlignment="0" applyProtection="0"/>
    <xf numFmtId="4" fontId="13" fillId="0" borderId="0" applyFont="0" applyFill="0" applyBorder="0" applyAlignment="0" applyProtection="0"/>
    <xf numFmtId="0" fontId="14" fillId="0" borderId="1">
      <alignment horizontal="center"/>
    </xf>
    <xf numFmtId="3" fontId="13" fillId="0" borderId="0" applyFont="0" applyFill="0" applyBorder="0" applyAlignment="0" applyProtection="0"/>
    <xf numFmtId="0" fontId="13" fillId="2" borderId="0" applyNumberFormat="0" applyFont="0" applyBorder="0" applyAlignment="0" applyProtection="0"/>
    <xf numFmtId="0" fontId="8" fillId="0" borderId="0"/>
    <xf numFmtId="164" fontId="8" fillId="0" borderId="0" applyFont="0" applyFill="0" applyBorder="0" applyAlignment="0" applyProtection="0"/>
    <xf numFmtId="164" fontId="8" fillId="0" borderId="0" applyFont="0" applyFill="0" applyBorder="0" applyAlignment="0" applyProtection="0"/>
    <xf numFmtId="164" fontId="20" fillId="0" borderId="0" applyFont="0" applyFill="0" applyBorder="0" applyAlignment="0" applyProtection="0"/>
    <xf numFmtId="0" fontId="20" fillId="0" borderId="0"/>
    <xf numFmtId="9" fontId="8" fillId="0" borderId="0" applyFont="0" applyFill="0" applyBorder="0" applyAlignment="0" applyProtection="0"/>
    <xf numFmtId="9" fontId="20" fillId="0" borderId="0" applyFont="0" applyFill="0" applyBorder="0" applyAlignment="0" applyProtection="0"/>
    <xf numFmtId="0" fontId="8" fillId="0" borderId="0"/>
    <xf numFmtId="41" fontId="8" fillId="0" borderId="0" applyFont="0" applyFill="0" applyBorder="0" applyAlignment="0" applyProtection="0"/>
    <xf numFmtId="0" fontId="8" fillId="0" borderId="0"/>
    <xf numFmtId="0" fontId="11" fillId="0" borderId="0"/>
    <xf numFmtId="0" fontId="31" fillId="0" borderId="0" applyNumberFormat="0" applyFill="0" applyBorder="0" applyAlignment="0" applyProtection="0"/>
    <xf numFmtId="0" fontId="32" fillId="0" borderId="18" applyNumberFormat="0" applyFill="0" applyAlignment="0" applyProtection="0"/>
    <xf numFmtId="0" fontId="33" fillId="0" borderId="19" applyNumberFormat="0" applyFill="0" applyAlignment="0" applyProtection="0"/>
    <xf numFmtId="0" fontId="34" fillId="0" borderId="20" applyNumberFormat="0" applyFill="0" applyAlignment="0" applyProtection="0"/>
    <xf numFmtId="0" fontId="34" fillId="0" borderId="0" applyNumberFormat="0" applyFill="0" applyBorder="0" applyAlignment="0" applyProtection="0"/>
    <xf numFmtId="0" fontId="35" fillId="13" borderId="0" applyNumberFormat="0" applyBorder="0" applyAlignment="0" applyProtection="0"/>
    <xf numFmtId="0" fontId="36" fillId="14" borderId="0" applyNumberFormat="0" applyBorder="0" applyAlignment="0" applyProtection="0"/>
    <xf numFmtId="0" fontId="37" fillId="15" borderId="0" applyNumberFormat="0" applyBorder="0" applyAlignment="0" applyProtection="0"/>
    <xf numFmtId="0" fontId="38" fillId="16" borderId="21" applyNumberFormat="0" applyAlignment="0" applyProtection="0"/>
    <xf numFmtId="0" fontId="39" fillId="17" borderId="22" applyNumberFormat="0" applyAlignment="0" applyProtection="0"/>
    <xf numFmtId="0" fontId="40" fillId="17" borderId="21" applyNumberFormat="0" applyAlignment="0" applyProtection="0"/>
    <xf numFmtId="0" fontId="41" fillId="0" borderId="23" applyNumberFormat="0" applyFill="0" applyAlignment="0" applyProtection="0"/>
    <xf numFmtId="0" fontId="42" fillId="18" borderId="24"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26" applyNumberFormat="0" applyFill="0" applyAlignment="0" applyProtection="0"/>
    <xf numFmtId="0" fontId="46"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46" fillId="23" borderId="0" applyNumberFormat="0" applyBorder="0" applyAlignment="0" applyProtection="0"/>
    <xf numFmtId="0" fontId="46"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46" fillId="31" borderId="0" applyNumberFormat="0" applyBorder="0" applyAlignment="0" applyProtection="0"/>
    <xf numFmtId="0" fontId="46"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46" fillId="35" borderId="0" applyNumberFormat="0" applyBorder="0" applyAlignment="0" applyProtection="0"/>
    <xf numFmtId="0" fontId="46" fillId="36"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46" fillId="39" borderId="0" applyNumberFormat="0" applyBorder="0" applyAlignment="0" applyProtection="0"/>
    <xf numFmtId="0" fontId="46"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46" fillId="43" borderId="0" applyNumberFormat="0" applyBorder="0" applyAlignment="0" applyProtection="0"/>
    <xf numFmtId="0" fontId="7" fillId="0" borderId="0"/>
    <xf numFmtId="0" fontId="7" fillId="19" borderId="25" applyNumberFormat="0" applyFont="0" applyAlignment="0" applyProtection="0"/>
    <xf numFmtId="0" fontId="5" fillId="0" borderId="0"/>
    <xf numFmtId="0" fontId="20" fillId="0" borderId="0"/>
    <xf numFmtId="166" fontId="49" fillId="0" borderId="0" applyFont="0" applyFill="0" applyBorder="0" applyAlignment="0" applyProtection="0"/>
    <xf numFmtId="0" fontId="14" fillId="0" borderId="30">
      <alignment horizontal="center"/>
    </xf>
    <xf numFmtId="0" fontId="50" fillId="0" borderId="0" applyNumberFormat="0" applyFill="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41" borderId="0" applyNumberFormat="0" applyBorder="0" applyAlignment="0" applyProtection="0"/>
    <xf numFmtId="0" fontId="4" fillId="42" borderId="0" applyNumberFormat="0" applyBorder="0" applyAlignment="0" applyProtection="0"/>
    <xf numFmtId="0" fontId="4" fillId="0" borderId="0"/>
    <xf numFmtId="0" fontId="4" fillId="19" borderId="25" applyNumberFormat="0" applyFont="0" applyAlignment="0" applyProtection="0"/>
    <xf numFmtId="0" fontId="4" fillId="0" borderId="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3" fillId="0" borderId="0"/>
  </cellStyleXfs>
  <cellXfs count="235">
    <xf numFmtId="0" fontId="0" fillId="0" borderId="0" xfId="0"/>
    <xf numFmtId="0" fontId="0" fillId="0" borderId="0" xfId="0" applyAlignment="1">
      <alignment horizontal="left"/>
    </xf>
    <xf numFmtId="0" fontId="0" fillId="0" borderId="0" xfId="0" applyFill="1"/>
    <xf numFmtId="0" fontId="11" fillId="0" borderId="0" xfId="0" applyFont="1"/>
    <xf numFmtId="0" fontId="10" fillId="0" borderId="0" xfId="0" applyFont="1" applyAlignment="1">
      <alignment horizontal="left"/>
    </xf>
    <xf numFmtId="0" fontId="11" fillId="0" borderId="0" xfId="0" applyFont="1" applyFill="1"/>
    <xf numFmtId="0" fontId="10" fillId="0" borderId="0" xfId="0" applyFont="1" applyFill="1" applyAlignment="1">
      <alignment horizontal="center"/>
    </xf>
    <xf numFmtId="0" fontId="15" fillId="3" borderId="0" xfId="0" applyFont="1" applyFill="1" applyAlignment="1">
      <alignment horizontal="center"/>
    </xf>
    <xf numFmtId="0" fontId="11" fillId="0" borderId="0" xfId="0" quotePrefix="1" applyFont="1" applyFill="1"/>
    <xf numFmtId="0" fontId="12" fillId="0" borderId="0" xfId="0" applyFont="1" applyAlignment="1">
      <alignment horizontal="center"/>
    </xf>
    <xf numFmtId="0" fontId="16" fillId="0" borderId="0" xfId="0" applyFont="1"/>
    <xf numFmtId="0" fontId="11" fillId="0" borderId="0" xfId="0" applyNumberFormat="1" applyFont="1" applyFill="1"/>
    <xf numFmtId="2" fontId="11" fillId="0" borderId="0" xfId="0" applyNumberFormat="1" applyFont="1" applyFill="1"/>
    <xf numFmtId="2" fontId="11" fillId="0" borderId="0" xfId="0" quotePrefix="1" applyNumberFormat="1" applyFont="1" applyFill="1"/>
    <xf numFmtId="1" fontId="11" fillId="0" borderId="0" xfId="0" applyNumberFormat="1" applyFont="1" applyFill="1"/>
    <xf numFmtId="43" fontId="11" fillId="0" borderId="0" xfId="1" applyFont="1" applyFill="1"/>
    <xf numFmtId="0" fontId="16" fillId="0" borderId="0" xfId="1" applyNumberFormat="1" applyFont="1" applyFill="1"/>
    <xf numFmtId="0" fontId="16" fillId="0" borderId="0" xfId="1" applyNumberFormat="1" applyFont="1"/>
    <xf numFmtId="11" fontId="11" fillId="0" borderId="0" xfId="0" applyNumberFormat="1" applyFont="1" applyFill="1"/>
    <xf numFmtId="11" fontId="11" fillId="0" borderId="0" xfId="0" applyNumberFormat="1" applyFont="1"/>
    <xf numFmtId="168" fontId="10" fillId="0" borderId="0" xfId="1" applyNumberFormat="1" applyFont="1" applyFill="1" applyAlignment="1">
      <alignment horizontal="center"/>
    </xf>
    <xf numFmtId="168" fontId="11" fillId="0" borderId="0" xfId="1" quotePrefix="1" applyNumberFormat="1" applyFont="1" applyFill="1"/>
    <xf numFmtId="168" fontId="11" fillId="0" borderId="0" xfId="1" applyNumberFormat="1" applyFont="1" applyFill="1"/>
    <xf numFmtId="168" fontId="11" fillId="0" borderId="0" xfId="1" applyNumberFormat="1" applyFont="1"/>
    <xf numFmtId="4" fontId="18" fillId="4" borderId="6" xfId="9" applyNumberFormat="1" applyFont="1" applyFill="1" applyBorder="1"/>
    <xf numFmtId="0" fontId="19" fillId="0" borderId="0" xfId="9" applyFont="1"/>
    <xf numFmtId="0" fontId="20" fillId="0" borderId="0" xfId="9" applyFont="1" applyAlignment="1">
      <alignment wrapText="1"/>
    </xf>
    <xf numFmtId="0" fontId="20" fillId="0" borderId="0" xfId="9" applyFont="1" applyFill="1" applyAlignment="1">
      <alignment vertical="center" wrapText="1"/>
    </xf>
    <xf numFmtId="169" fontId="8" fillId="0" borderId="0" xfId="9" applyNumberFormat="1"/>
    <xf numFmtId="0" fontId="24" fillId="0" borderId="0" xfId="9" applyFont="1" applyAlignment="1" applyProtection="1">
      <alignment horizontal="right"/>
      <protection locked="0"/>
    </xf>
    <xf numFmtId="0" fontId="23" fillId="0" borderId="0" xfId="9" applyFont="1" applyFill="1" applyAlignment="1" applyProtection="1">
      <alignment horizontal="center"/>
      <protection locked="0"/>
    </xf>
    <xf numFmtId="0" fontId="25" fillId="0" borderId="0" xfId="9" applyFont="1" applyFill="1" applyAlignment="1" applyProtection="1">
      <alignment horizontal="center"/>
      <protection locked="0"/>
    </xf>
    <xf numFmtId="10" fontId="26" fillId="0" borderId="0" xfId="14" applyNumberFormat="1" applyFont="1" applyFill="1" applyAlignment="1" applyProtection="1">
      <alignment horizontal="center"/>
      <protection locked="0"/>
    </xf>
    <xf numFmtId="10" fontId="27" fillId="0" borderId="0" xfId="14" applyNumberFormat="1" applyFont="1" applyFill="1" applyAlignment="1" applyProtection="1">
      <alignment horizontal="center"/>
      <protection locked="0"/>
    </xf>
    <xf numFmtId="169" fontId="8" fillId="0" borderId="0" xfId="11" applyNumberFormat="1" applyFont="1" applyAlignment="1" applyProtection="1">
      <alignment horizontal="center"/>
      <protection locked="0"/>
    </xf>
    <xf numFmtId="0" fontId="8" fillId="5" borderId="0" xfId="9" applyFill="1"/>
    <xf numFmtId="0" fontId="8" fillId="0" borderId="0" xfId="9" applyAlignment="1">
      <alignment textRotation="90"/>
    </xf>
    <xf numFmtId="0" fontId="8" fillId="10" borderId="14" xfId="9" applyFill="1" applyBorder="1"/>
    <xf numFmtId="0" fontId="8" fillId="8" borderId="16" xfId="9" applyFill="1" applyBorder="1"/>
    <xf numFmtId="0" fontId="8" fillId="8" borderId="10" xfId="9" applyFill="1" applyBorder="1"/>
    <xf numFmtId="0" fontId="8" fillId="8" borderId="10" xfId="9" applyFill="1" applyBorder="1" applyAlignment="1">
      <alignment horizontal="center"/>
    </xf>
    <xf numFmtId="0" fontId="8" fillId="8" borderId="11" xfId="9" applyFill="1" applyBorder="1" applyAlignment="1">
      <alignment horizontal="center"/>
    </xf>
    <xf numFmtId="0" fontId="28" fillId="0" borderId="0" xfId="9" applyFont="1"/>
    <xf numFmtId="0" fontId="29" fillId="0" borderId="0" xfId="9" applyFont="1"/>
    <xf numFmtId="0" fontId="8" fillId="6" borderId="12" xfId="9" applyFill="1" applyBorder="1" applyAlignment="1">
      <alignment horizontal="left"/>
    </xf>
    <xf numFmtId="0" fontId="11" fillId="12" borderId="17" xfId="19" applyFont="1" applyFill="1" applyBorder="1" applyAlignment="1">
      <alignment horizontal="center"/>
    </xf>
    <xf numFmtId="0" fontId="11" fillId="12" borderId="17" xfId="19" applyFont="1" applyFill="1" applyBorder="1" applyAlignment="1">
      <alignment horizontal="left"/>
    </xf>
    <xf numFmtId="0" fontId="8" fillId="0" borderId="0" xfId="18"/>
    <xf numFmtId="0" fontId="8" fillId="0" borderId="0" xfId="18" applyFont="1"/>
    <xf numFmtId="43" fontId="11" fillId="0" borderId="0" xfId="1" quotePrefix="1" applyFont="1" applyFill="1"/>
    <xf numFmtId="43" fontId="11" fillId="0" borderId="0" xfId="1" applyFont="1"/>
    <xf numFmtId="43" fontId="10" fillId="0" borderId="0" xfId="1" applyFont="1" applyFill="1" applyAlignment="1">
      <alignment horizontal="center"/>
    </xf>
    <xf numFmtId="171" fontId="8" fillId="0" borderId="0" xfId="18" applyNumberFormat="1"/>
    <xf numFmtId="172" fontId="8" fillId="0" borderId="0" xfId="18" applyNumberFormat="1"/>
    <xf numFmtId="22" fontId="8" fillId="0" borderId="0" xfId="18" applyNumberFormat="1"/>
    <xf numFmtId="172" fontId="8" fillId="0" borderId="0" xfId="1" applyNumberFormat="1"/>
    <xf numFmtId="4" fontId="18" fillId="4" borderId="8" xfId="9" applyNumberFormat="1" applyFont="1" applyFill="1" applyBorder="1" applyAlignment="1">
      <alignment wrapText="1"/>
    </xf>
    <xf numFmtId="0" fontId="19" fillId="0" borderId="0" xfId="9" applyFont="1" applyBorder="1"/>
    <xf numFmtId="169" fontId="23" fillId="0" borderId="8" xfId="11" applyNumberFormat="1" applyFont="1" applyFill="1" applyBorder="1" applyAlignment="1">
      <alignment horizontal="center"/>
    </xf>
    <xf numFmtId="0" fontId="8" fillId="0" borderId="0" xfId="9" applyBorder="1"/>
    <xf numFmtId="169" fontId="23" fillId="0" borderId="8" xfId="10" applyNumberFormat="1" applyFont="1" applyFill="1" applyBorder="1" applyAlignment="1">
      <alignment horizontal="center"/>
    </xf>
    <xf numFmtId="0" fontId="18" fillId="0" borderId="0" xfId="9" applyFont="1" applyBorder="1"/>
    <xf numFmtId="0" fontId="18" fillId="0" borderId="5" xfId="9" applyFont="1" applyBorder="1"/>
    <xf numFmtId="0" fontId="18" fillId="0" borderId="7" xfId="9" applyFont="1" applyBorder="1"/>
    <xf numFmtId="0" fontId="18" fillId="0" borderId="4" xfId="9" applyFont="1" applyBorder="1"/>
    <xf numFmtId="0" fontId="18" fillId="0" borderId="2" xfId="9" applyFont="1" applyBorder="1"/>
    <xf numFmtId="4" fontId="18" fillId="4" borderId="3" xfId="9" applyNumberFormat="1" applyFont="1" applyFill="1" applyBorder="1"/>
    <xf numFmtId="4" fontId="18" fillId="4" borderId="8" xfId="9" applyNumberFormat="1" applyFont="1" applyFill="1" applyBorder="1"/>
    <xf numFmtId="0" fontId="20" fillId="0" borderId="0" xfId="0" applyFont="1"/>
    <xf numFmtId="169" fontId="25" fillId="0" borderId="0" xfId="11" applyNumberFormat="1" applyFont="1" applyFill="1" applyAlignment="1" applyProtection="1">
      <alignment horizontal="center"/>
      <protection locked="0"/>
    </xf>
    <xf numFmtId="169" fontId="8" fillId="0" borderId="0" xfId="9" applyNumberFormat="1" applyBorder="1"/>
    <xf numFmtId="10" fontId="47" fillId="0" borderId="0" xfId="14" applyNumberFormat="1" applyFont="1" applyFill="1" applyBorder="1" applyAlignment="1" applyProtection="1">
      <alignment horizontal="center"/>
      <protection locked="0"/>
    </xf>
    <xf numFmtId="169" fontId="8" fillId="0" borderId="0" xfId="9" applyNumberFormat="1" applyFont="1" applyBorder="1" applyProtection="1">
      <protection locked="0"/>
    </xf>
    <xf numFmtId="3" fontId="8" fillId="4" borderId="0" xfId="9" applyNumberFormat="1" applyFill="1" applyBorder="1" applyAlignment="1">
      <alignment horizontal="center"/>
    </xf>
    <xf numFmtId="3" fontId="8" fillId="45" borderId="8" xfId="9" applyNumberFormat="1" applyFill="1" applyBorder="1" applyAlignment="1">
      <alignment horizontal="center"/>
    </xf>
    <xf numFmtId="0" fontId="8" fillId="10" borderId="12" xfId="9" applyFill="1" applyBorder="1"/>
    <xf numFmtId="0" fontId="8" fillId="6" borderId="28" xfId="9" applyFill="1" applyBorder="1" applyAlignment="1">
      <alignment horizontal="left" vertical="center"/>
    </xf>
    <xf numFmtId="0" fontId="8" fillId="6" borderId="14" xfId="9" applyFill="1" applyBorder="1" applyAlignment="1">
      <alignment horizontal="left" vertical="center"/>
    </xf>
    <xf numFmtId="11" fontId="11" fillId="0" borderId="0" xfId="0" quotePrefix="1" applyNumberFormat="1" applyFont="1" applyFill="1"/>
    <xf numFmtId="0" fontId="11" fillId="0" borderId="0" xfId="0" applyNumberFormat="1" applyFont="1"/>
    <xf numFmtId="0" fontId="6" fillId="0" borderId="0" xfId="13" applyFont="1"/>
    <xf numFmtId="0" fontId="8" fillId="0" borderId="0" xfId="13" applyFont="1" applyAlignment="1">
      <alignment horizontal="left"/>
    </xf>
    <xf numFmtId="0" fontId="20" fillId="0" borderId="0" xfId="13" applyFont="1"/>
    <xf numFmtId="0" fontId="6" fillId="0" borderId="0" xfId="13" applyFont="1" applyAlignment="1">
      <alignment horizontal="left"/>
    </xf>
    <xf numFmtId="0" fontId="6" fillId="0" borderId="0" xfId="13" applyFont="1" applyFill="1"/>
    <xf numFmtId="0" fontId="20" fillId="0" borderId="0" xfId="13" applyFont="1" applyFill="1"/>
    <xf numFmtId="0" fontId="48" fillId="0" borderId="0" xfId="13" applyFont="1" applyAlignment="1">
      <alignment vertical="center" wrapText="1"/>
    </xf>
    <xf numFmtId="173" fontId="11" fillId="0" borderId="0" xfId="1" quotePrefix="1" applyNumberFormat="1" applyFont="1" applyFill="1"/>
    <xf numFmtId="173" fontId="11" fillId="0" borderId="0" xfId="1" applyNumberFormat="1" applyFont="1" applyFill="1"/>
    <xf numFmtId="2" fontId="18" fillId="44" borderId="27" xfId="9" applyNumberFormat="1" applyFont="1" applyFill="1" applyBorder="1" applyAlignment="1">
      <alignment horizontal="center" vertical="center" wrapText="1"/>
    </xf>
    <xf numFmtId="174" fontId="16" fillId="0" borderId="0" xfId="1" applyNumberFormat="1" applyFont="1" applyFill="1"/>
    <xf numFmtId="174" fontId="16" fillId="0" borderId="0" xfId="1" applyNumberFormat="1" applyFont="1"/>
    <xf numFmtId="174" fontId="16" fillId="0" borderId="0" xfId="0" applyNumberFormat="1" applyFont="1"/>
    <xf numFmtId="168" fontId="11" fillId="0" borderId="0" xfId="1" applyNumberFormat="1" applyFont="1" applyAlignment="1">
      <alignment wrapText="1"/>
    </xf>
    <xf numFmtId="0" fontId="11" fillId="0" borderId="0" xfId="0" applyFont="1" applyAlignment="1">
      <alignment wrapText="1"/>
    </xf>
    <xf numFmtId="0" fontId="8" fillId="6" borderId="14" xfId="9" applyFill="1" applyBorder="1" applyAlignment="1">
      <alignment horizontal="left"/>
    </xf>
    <xf numFmtId="10" fontId="8" fillId="0" borderId="0" xfId="9" applyNumberFormat="1"/>
    <xf numFmtId="20" fontId="6" fillId="0" borderId="0" xfId="13" applyNumberFormat="1" applyFont="1"/>
    <xf numFmtId="0" fontId="10" fillId="44" borderId="0" xfId="63" applyFont="1" applyFill="1" applyAlignment="1">
      <alignment horizontal="left" vertical="center" wrapText="1"/>
    </xf>
    <xf numFmtId="0" fontId="18" fillId="44" borderId="0" xfId="63" applyFont="1" applyFill="1" applyAlignment="1">
      <alignment horizontal="center" vertical="center" wrapText="1"/>
    </xf>
    <xf numFmtId="0" fontId="20" fillId="0" borderId="0" xfId="63"/>
    <xf numFmtId="0" fontId="11" fillId="0" borderId="0" xfId="63" applyFont="1" applyFill="1"/>
    <xf numFmtId="2" fontId="11" fillId="0" borderId="0" xfId="63" applyNumberFormat="1" applyFont="1" applyFill="1"/>
    <xf numFmtId="0" fontId="11" fillId="0" borderId="0" xfId="63" applyFont="1"/>
    <xf numFmtId="2" fontId="11" fillId="0" borderId="0" xfId="14" applyNumberFormat="1" applyFont="1" applyFill="1"/>
    <xf numFmtId="9" fontId="11" fillId="0" borderId="0" xfId="14" applyNumberFormat="1" applyFont="1" applyFill="1"/>
    <xf numFmtId="3" fontId="8" fillId="0" borderId="0" xfId="16" applyNumberFormat="1"/>
    <xf numFmtId="0" fontId="8" fillId="0" borderId="0" xfId="9"/>
    <xf numFmtId="0" fontId="11" fillId="0" borderId="0" xfId="63" applyFont="1"/>
    <xf numFmtId="0" fontId="11" fillId="0" borderId="0" xfId="63" applyFont="1" applyAlignment="1">
      <alignment wrapText="1"/>
    </xf>
    <xf numFmtId="43" fontId="11" fillId="0" borderId="0" xfId="1" applyFont="1" applyAlignment="1">
      <alignment wrapText="1"/>
    </xf>
    <xf numFmtId="168" fontId="11" fillId="0" borderId="0" xfId="1" applyNumberFormat="1" applyFont="1" applyFill="1" applyAlignment="1">
      <alignment wrapText="1"/>
    </xf>
    <xf numFmtId="0" fontId="52" fillId="0" borderId="0" xfId="9" applyFont="1"/>
    <xf numFmtId="164" fontId="52" fillId="0" borderId="0" xfId="9" applyNumberFormat="1" applyFont="1"/>
    <xf numFmtId="167" fontId="52" fillId="0" borderId="0" xfId="9" applyNumberFormat="1" applyFont="1"/>
    <xf numFmtId="169" fontId="52" fillId="0" borderId="0" xfId="9" applyNumberFormat="1" applyFont="1"/>
    <xf numFmtId="175" fontId="53" fillId="0" borderId="0" xfId="9" applyNumberFormat="1" applyFont="1"/>
    <xf numFmtId="1" fontId="23" fillId="0" borderId="0" xfId="9" applyNumberFormat="1" applyFont="1" applyFill="1" applyAlignment="1" applyProtection="1">
      <alignment horizontal="center"/>
      <protection locked="0"/>
    </xf>
    <xf numFmtId="3" fontId="8" fillId="0" borderId="0" xfId="18" applyNumberFormat="1"/>
    <xf numFmtId="11" fontId="11" fillId="0" borderId="0" xfId="0" applyNumberFormat="1" applyFont="1" applyAlignment="1">
      <alignment wrapText="1"/>
    </xf>
    <xf numFmtId="0" fontId="20" fillId="0" borderId="0" xfId="63" applyAlignment="1">
      <alignment wrapText="1"/>
    </xf>
    <xf numFmtId="2" fontId="11" fillId="0" borderId="0" xfId="0" applyNumberFormat="1" applyFont="1"/>
    <xf numFmtId="0" fontId="8" fillId="6" borderId="32" xfId="9" applyFill="1" applyBorder="1" applyAlignment="1">
      <alignment horizontal="left"/>
    </xf>
    <xf numFmtId="0" fontId="8" fillId="10" borderId="29" xfId="9" applyFill="1" applyBorder="1"/>
    <xf numFmtId="164" fontId="8" fillId="9" borderId="33" xfId="11" applyNumberFormat="1" applyFill="1" applyBorder="1"/>
    <xf numFmtId="168" fontId="8" fillId="7" borderId="33" xfId="11" applyNumberFormat="1" applyFill="1" applyBorder="1"/>
    <xf numFmtId="0" fontId="8" fillId="11" borderId="34" xfId="9" applyFill="1" applyBorder="1"/>
    <xf numFmtId="164" fontId="8" fillId="9" borderId="15" xfId="11" applyNumberFormat="1" applyFill="1" applyBorder="1"/>
    <xf numFmtId="168" fontId="8" fillId="7" borderId="27" xfId="11" applyNumberFormat="1" applyFill="1" applyBorder="1"/>
    <xf numFmtId="0" fontId="8" fillId="11" borderId="36" xfId="9" applyFill="1" applyBorder="1"/>
    <xf numFmtId="168" fontId="8" fillId="7" borderId="15" xfId="11" applyNumberFormat="1" applyFill="1" applyBorder="1"/>
    <xf numFmtId="168" fontId="52" fillId="0" borderId="0" xfId="11" applyNumberFormat="1" applyFont="1"/>
    <xf numFmtId="164" fontId="8" fillId="9" borderId="27" xfId="9" applyNumberFormat="1" applyFill="1" applyBorder="1"/>
    <xf numFmtId="0" fontId="8" fillId="10" borderId="14" xfId="9" applyFill="1" applyBorder="1" applyAlignment="1">
      <alignment wrapText="1"/>
    </xf>
    <xf numFmtId="164" fontId="8" fillId="9" borderId="27" xfId="9" applyNumberFormat="1" applyFill="1" applyBorder="1" applyAlignment="1">
      <alignment wrapText="1"/>
    </xf>
    <xf numFmtId="0" fontId="20" fillId="44" borderId="15" xfId="63" applyFont="1" applyFill="1" applyBorder="1" applyAlignment="1" applyProtection="1">
      <alignment vertical="top" wrapText="1"/>
      <protection locked="0"/>
    </xf>
    <xf numFmtId="168" fontId="0" fillId="7" borderId="27" xfId="11" applyNumberFormat="1" applyFont="1" applyFill="1" applyBorder="1"/>
    <xf numFmtId="2" fontId="18" fillId="4" borderId="3" xfId="11" applyNumberFormat="1" applyFont="1" applyFill="1" applyBorder="1"/>
    <xf numFmtId="0" fontId="18" fillId="0" borderId="30" xfId="9" applyFont="1" applyBorder="1"/>
    <xf numFmtId="0" fontId="8" fillId="11" borderId="39" xfId="9" applyFill="1" applyBorder="1"/>
    <xf numFmtId="169" fontId="0" fillId="7" borderId="27" xfId="9" applyNumberFormat="1" applyFont="1" applyFill="1" applyBorder="1"/>
    <xf numFmtId="0" fontId="8" fillId="0" borderId="0" xfId="9" applyFill="1"/>
    <xf numFmtId="169" fontId="8" fillId="7" borderId="27" xfId="9" applyNumberFormat="1" applyFill="1" applyBorder="1"/>
    <xf numFmtId="0" fontId="19" fillId="0" borderId="0" xfId="63" applyFont="1"/>
    <xf numFmtId="0" fontId="20" fillId="0" borderId="0" xfId="9" applyFont="1" applyFill="1" applyBorder="1" applyAlignment="1">
      <alignment wrapText="1"/>
    </xf>
    <xf numFmtId="0" fontId="3" fillId="0" borderId="2" xfId="101" applyBorder="1" applyAlignment="1">
      <alignment horizontal="center" vertical="center"/>
    </xf>
    <xf numFmtId="0" fontId="3" fillId="0" borderId="3" xfId="101" applyBorder="1" applyAlignment="1">
      <alignment horizontal="center" vertical="center"/>
    </xf>
    <xf numFmtId="0" fontId="21" fillId="47" borderId="16" xfId="101" applyFont="1" applyFill="1" applyBorder="1" applyAlignment="1">
      <alignment horizontal="center" vertical="center" wrapText="1"/>
    </xf>
    <xf numFmtId="0" fontId="21" fillId="47" borderId="4" xfId="101" applyFont="1" applyFill="1" applyBorder="1" applyAlignment="1">
      <alignment horizontal="center" vertical="center" wrapText="1"/>
    </xf>
    <xf numFmtId="0" fontId="3" fillId="0" borderId="7" xfId="101" applyBorder="1" applyAlignment="1">
      <alignment horizontal="center" vertical="center"/>
    </xf>
    <xf numFmtId="4" fontId="3" fillId="0" borderId="8" xfId="101" applyNumberFormat="1" applyBorder="1" applyAlignment="1">
      <alignment horizontal="center" vertical="center"/>
    </xf>
    <xf numFmtId="0" fontId="18" fillId="0" borderId="2" xfId="101" applyFont="1" applyBorder="1" applyAlignment="1">
      <alignment horizontal="center"/>
    </xf>
    <xf numFmtId="3" fontId="3" fillId="0" borderId="0" xfId="101" applyNumberFormat="1" applyBorder="1" applyAlignment="1">
      <alignment horizontal="center"/>
    </xf>
    <xf numFmtId="3" fontId="3" fillId="0" borderId="0" xfId="101" applyNumberFormat="1" applyBorder="1"/>
    <xf numFmtId="3" fontId="3" fillId="0" borderId="8" xfId="101" applyNumberFormat="1" applyBorder="1" applyAlignment="1">
      <alignment horizontal="center"/>
    </xf>
    <xf numFmtId="0" fontId="8" fillId="6" borderId="41" xfId="9" applyFill="1" applyBorder="1" applyAlignment="1">
      <alignment horizontal="left" vertical="center"/>
    </xf>
    <xf numFmtId="0" fontId="8" fillId="10" borderId="42" xfId="9" applyFill="1" applyBorder="1"/>
    <xf numFmtId="164" fontId="8" fillId="9" borderId="43" xfId="9" applyNumberFormat="1" applyFill="1" applyBorder="1"/>
    <xf numFmtId="169" fontId="8" fillId="7" borderId="43" xfId="9" applyNumberFormat="1" applyFill="1" applyBorder="1"/>
    <xf numFmtId="0" fontId="8" fillId="11" borderId="44" xfId="9" applyFill="1" applyBorder="1"/>
    <xf numFmtId="0" fontId="18" fillId="0" borderId="7" xfId="101" applyFont="1" applyBorder="1" applyAlignment="1">
      <alignment horizontal="center"/>
    </xf>
    <xf numFmtId="164" fontId="30" fillId="0" borderId="9" xfId="11" applyFont="1" applyBorder="1" applyAlignment="1">
      <alignment wrapText="1"/>
    </xf>
    <xf numFmtId="170" fontId="30" fillId="0" borderId="9" xfId="14" applyNumberFormat="1" applyFont="1" applyBorder="1"/>
    <xf numFmtId="3" fontId="8" fillId="4" borderId="3" xfId="9" applyNumberFormat="1" applyFill="1" applyBorder="1" applyAlignment="1">
      <alignment horizontal="center"/>
    </xf>
    <xf numFmtId="3" fontId="18" fillId="0" borderId="6" xfId="9" applyNumberFormat="1" applyFont="1" applyBorder="1" applyAlignment="1">
      <alignment horizontal="center"/>
    </xf>
    <xf numFmtId="0" fontId="3" fillId="0" borderId="0" xfId="101" applyBorder="1"/>
    <xf numFmtId="0" fontId="18" fillId="0" borderId="0" xfId="101" applyFont="1" applyBorder="1" applyAlignment="1">
      <alignment horizontal="center"/>
    </xf>
    <xf numFmtId="0" fontId="8" fillId="0" borderId="30" xfId="9" applyBorder="1"/>
    <xf numFmtId="3" fontId="8" fillId="45" borderId="6" xfId="9" applyNumberFormat="1" applyFill="1" applyBorder="1" applyAlignment="1">
      <alignment horizontal="center"/>
    </xf>
    <xf numFmtId="0" fontId="8" fillId="0" borderId="8" xfId="9" applyBorder="1"/>
    <xf numFmtId="0" fontId="8" fillId="0" borderId="6" xfId="9" applyBorder="1"/>
    <xf numFmtId="10" fontId="8" fillId="0" borderId="0" xfId="14" applyNumberFormat="1" applyFont="1" applyProtection="1">
      <protection locked="0"/>
    </xf>
    <xf numFmtId="0" fontId="54" fillId="0" borderId="0" xfId="101" applyFont="1" applyAlignment="1">
      <alignment horizontal="right" vertical="center"/>
    </xf>
    <xf numFmtId="4" fontId="3" fillId="0" borderId="0" xfId="101" applyNumberFormat="1"/>
    <xf numFmtId="0" fontId="21" fillId="48" borderId="27" xfId="9" applyFont="1" applyFill="1" applyBorder="1" applyAlignment="1" applyProtection="1">
      <alignment horizontal="center"/>
      <protection locked="0"/>
    </xf>
    <xf numFmtId="0" fontId="55" fillId="49" borderId="0" xfId="9" applyFont="1" applyFill="1"/>
    <xf numFmtId="9" fontId="3" fillId="0" borderId="0" xfId="101" applyNumberFormat="1"/>
    <xf numFmtId="2" fontId="22" fillId="10" borderId="27" xfId="11" applyNumberFormat="1" applyFont="1" applyFill="1" applyBorder="1" applyAlignment="1" applyProtection="1">
      <alignment horizontal="center"/>
      <protection locked="0"/>
    </xf>
    <xf numFmtId="10" fontId="56" fillId="0" borderId="0" xfId="14" applyNumberFormat="1" applyFont="1" applyProtection="1">
      <protection locked="0"/>
    </xf>
    <xf numFmtId="2" fontId="8" fillId="0" borderId="0" xfId="14" applyNumberFormat="1" applyFont="1" applyProtection="1">
      <protection locked="0"/>
    </xf>
    <xf numFmtId="0" fontId="56" fillId="0" borderId="0" xfId="9" applyFont="1"/>
    <xf numFmtId="2" fontId="8" fillId="0" borderId="0" xfId="9" applyNumberFormat="1"/>
    <xf numFmtId="165" fontId="8" fillId="0" borderId="0" xfId="9" applyNumberFormat="1"/>
    <xf numFmtId="169" fontId="22" fillId="50" borderId="27" xfId="11" applyNumberFormat="1" applyFont="1" applyFill="1" applyBorder="1" applyAlignment="1" applyProtection="1">
      <alignment horizontal="right"/>
      <protection locked="0"/>
    </xf>
    <xf numFmtId="0" fontId="8" fillId="0" borderId="0" xfId="14" applyNumberFormat="1" applyFont="1" applyProtection="1">
      <protection locked="0"/>
    </xf>
    <xf numFmtId="0" fontId="3" fillId="0" borderId="0" xfId="101"/>
    <xf numFmtId="0" fontId="57" fillId="46" borderId="0" xfId="9" applyFont="1" applyFill="1" applyAlignment="1" applyProtection="1">
      <alignment horizontal="center" vertical="center" wrapText="1"/>
      <protection locked="0"/>
    </xf>
    <xf numFmtId="0" fontId="57" fillId="51" borderId="0" xfId="9" applyFont="1" applyFill="1" applyAlignment="1" applyProtection="1">
      <alignment horizontal="center" vertical="center" wrapText="1"/>
      <protection locked="0"/>
    </xf>
    <xf numFmtId="0" fontId="57" fillId="52" borderId="0" xfId="9" applyFont="1" applyFill="1" applyAlignment="1" applyProtection="1">
      <alignment horizontal="center" vertical="center" wrapText="1"/>
      <protection locked="0"/>
    </xf>
    <xf numFmtId="0" fontId="56" fillId="49" borderId="0" xfId="9" applyFont="1" applyFill="1" applyAlignment="1">
      <alignment wrapText="1"/>
    </xf>
    <xf numFmtId="0" fontId="56" fillId="49" borderId="0" xfId="9" applyFont="1" applyFill="1"/>
    <xf numFmtId="169" fontId="58" fillId="0" borderId="0" xfId="11" applyNumberFormat="1" applyFont="1" applyFill="1" applyAlignment="1" applyProtection="1">
      <alignment horizontal="center"/>
      <protection locked="0"/>
    </xf>
    <xf numFmtId="0" fontId="8" fillId="0" borderId="45" xfId="9" applyBorder="1"/>
    <xf numFmtId="0" fontId="23" fillId="0" borderId="46" xfId="9" applyFont="1" applyFill="1" applyBorder="1" applyAlignment="1" applyProtection="1">
      <alignment horizontal="center"/>
      <protection locked="0"/>
    </xf>
    <xf numFmtId="0" fontId="25" fillId="0" borderId="46" xfId="9" applyFont="1" applyFill="1" applyBorder="1" applyAlignment="1" applyProtection="1">
      <alignment horizontal="center"/>
      <protection locked="0"/>
    </xf>
    <xf numFmtId="0" fontId="8" fillId="0" borderId="46" xfId="9" applyBorder="1"/>
    <xf numFmtId="10" fontId="27" fillId="0" borderId="46" xfId="14" applyNumberFormat="1" applyFont="1" applyFill="1" applyBorder="1" applyAlignment="1" applyProtection="1">
      <alignment horizontal="center"/>
      <protection locked="0"/>
    </xf>
    <xf numFmtId="169" fontId="8" fillId="0" borderId="46" xfId="11" applyNumberFormat="1" applyFont="1" applyBorder="1" applyAlignment="1" applyProtection="1">
      <alignment horizontal="center"/>
      <protection locked="0"/>
    </xf>
    <xf numFmtId="10" fontId="8" fillId="0" borderId="46" xfId="9" applyNumberFormat="1" applyBorder="1"/>
    <xf numFmtId="165" fontId="8" fillId="0" borderId="46" xfId="9" applyNumberFormat="1" applyBorder="1"/>
    <xf numFmtId="165" fontId="8" fillId="0" borderId="47" xfId="9" applyNumberFormat="1" applyBorder="1"/>
    <xf numFmtId="0" fontId="8" fillId="0" borderId="48" xfId="9" applyBorder="1"/>
    <xf numFmtId="0" fontId="23" fillId="0" borderId="0" xfId="9" applyFont="1" applyFill="1" applyBorder="1" applyAlignment="1" applyProtection="1">
      <alignment horizontal="center"/>
      <protection locked="0"/>
    </xf>
    <xf numFmtId="0" fontId="25" fillId="0" borderId="0" xfId="9" applyFont="1" applyFill="1" applyBorder="1" applyAlignment="1" applyProtection="1">
      <alignment horizontal="center"/>
      <protection locked="0"/>
    </xf>
    <xf numFmtId="10" fontId="27" fillId="0" borderId="0" xfId="14" applyNumberFormat="1" applyFont="1" applyFill="1" applyBorder="1" applyAlignment="1" applyProtection="1">
      <alignment horizontal="center"/>
      <protection locked="0"/>
    </xf>
    <xf numFmtId="169" fontId="8" fillId="0" borderId="0" xfId="11" applyNumberFormat="1" applyFont="1" applyBorder="1" applyAlignment="1" applyProtection="1">
      <alignment horizontal="center"/>
      <protection locked="0"/>
    </xf>
    <xf numFmtId="165" fontId="8" fillId="0" borderId="0" xfId="9" applyNumberFormat="1" applyBorder="1"/>
    <xf numFmtId="165" fontId="8" fillId="0" borderId="12" xfId="9" applyNumberFormat="1" applyBorder="1"/>
    <xf numFmtId="0" fontId="8" fillId="0" borderId="49" xfId="9" applyBorder="1"/>
    <xf numFmtId="0" fontId="23" fillId="0" borderId="50" xfId="9" applyFont="1" applyFill="1" applyBorder="1" applyAlignment="1" applyProtection="1">
      <alignment horizontal="center"/>
      <protection locked="0"/>
    </xf>
    <xf numFmtId="0" fontId="25" fillId="0" borderId="50" xfId="9" applyFont="1" applyFill="1" applyBorder="1" applyAlignment="1" applyProtection="1">
      <alignment horizontal="center"/>
      <protection locked="0"/>
    </xf>
    <xf numFmtId="0" fontId="8" fillId="0" borderId="50" xfId="9" applyBorder="1"/>
    <xf numFmtId="10" fontId="27" fillId="0" borderId="50" xfId="14" applyNumberFormat="1" applyFont="1" applyFill="1" applyBorder="1" applyAlignment="1" applyProtection="1">
      <alignment horizontal="center"/>
      <protection locked="0"/>
    </xf>
    <xf numFmtId="169" fontId="8" fillId="0" borderId="50" xfId="11" applyNumberFormat="1" applyFont="1" applyBorder="1" applyAlignment="1" applyProtection="1">
      <alignment horizontal="center"/>
      <protection locked="0"/>
    </xf>
    <xf numFmtId="10" fontId="8" fillId="0" borderId="50" xfId="9" applyNumberFormat="1" applyBorder="1"/>
    <xf numFmtId="165" fontId="8" fillId="0" borderId="50" xfId="9" applyNumberFormat="1" applyBorder="1"/>
    <xf numFmtId="165" fontId="8" fillId="0" borderId="13" xfId="9" applyNumberFormat="1" applyBorder="1"/>
    <xf numFmtId="168" fontId="8" fillId="7" borderId="15" xfId="11" applyNumberFormat="1" applyFill="1" applyBorder="1" applyAlignment="1">
      <alignment wrapText="1"/>
    </xf>
    <xf numFmtId="169" fontId="8" fillId="0" borderId="47" xfId="11" applyNumberFormat="1" applyFont="1" applyBorder="1" applyAlignment="1" applyProtection="1">
      <alignment horizontal="center"/>
      <protection locked="0"/>
    </xf>
    <xf numFmtId="169" fontId="8" fillId="0" borderId="12" xfId="11" applyNumberFormat="1" applyFont="1" applyBorder="1" applyAlignment="1" applyProtection="1">
      <alignment horizontal="center"/>
      <protection locked="0"/>
    </xf>
    <xf numFmtId="169" fontId="8" fillId="0" borderId="13" xfId="11" applyNumberFormat="1" applyFont="1" applyBorder="1" applyAlignment="1" applyProtection="1">
      <alignment horizontal="center"/>
      <protection locked="0"/>
    </xf>
    <xf numFmtId="0" fontId="8" fillId="53" borderId="0" xfId="9" applyFill="1"/>
    <xf numFmtId="176" fontId="8" fillId="0" borderId="0" xfId="9" applyNumberFormat="1"/>
    <xf numFmtId="177" fontId="8" fillId="0" borderId="0" xfId="9" applyNumberFormat="1"/>
    <xf numFmtId="43" fontId="11" fillId="0" borderId="0" xfId="1" applyFont="1" applyFill="1" applyAlignment="1">
      <alignment wrapText="1"/>
    </xf>
    <xf numFmtId="0" fontId="2" fillId="0" borderId="7" xfId="101" applyFont="1" applyBorder="1" applyAlignment="1">
      <alignment horizontal="center" vertical="center"/>
    </xf>
    <xf numFmtId="0" fontId="1" fillId="0" borderId="5" xfId="101" applyFont="1" applyBorder="1" applyAlignment="1">
      <alignment horizontal="center" vertical="center"/>
    </xf>
    <xf numFmtId="0" fontId="8" fillId="6" borderId="31" xfId="9" applyFill="1" applyBorder="1" applyAlignment="1">
      <alignment horizontal="center" vertical="center" textRotation="90" wrapText="1"/>
    </xf>
    <xf numFmtId="0" fontId="8" fillId="6" borderId="35" xfId="9" applyFill="1" applyBorder="1" applyAlignment="1">
      <alignment horizontal="center" vertical="center" textRotation="90" wrapText="1"/>
    </xf>
    <xf numFmtId="0" fontId="8" fillId="6" borderId="37" xfId="9" applyFill="1" applyBorder="1" applyAlignment="1">
      <alignment horizontal="center" vertical="center" textRotation="90" wrapText="1"/>
    </xf>
    <xf numFmtId="0" fontId="8" fillId="6" borderId="38" xfId="9" applyFill="1" applyBorder="1" applyAlignment="1">
      <alignment horizontal="center" vertical="center" textRotation="90" wrapText="1"/>
    </xf>
    <xf numFmtId="0" fontId="8" fillId="6" borderId="40" xfId="9" applyFill="1" applyBorder="1" applyAlignment="1">
      <alignment horizontal="center" vertical="center" textRotation="90" wrapText="1"/>
    </xf>
    <xf numFmtId="0" fontId="21" fillId="47" borderId="4" xfId="101" applyFont="1" applyFill="1" applyBorder="1" applyAlignment="1">
      <alignment horizontal="center" vertical="center" wrapText="1"/>
    </xf>
    <xf numFmtId="0" fontId="22" fillId="47" borderId="3" xfId="101" applyFont="1" applyFill="1" applyBorder="1" applyAlignment="1">
      <alignment horizontal="center" vertical="center" wrapText="1"/>
    </xf>
    <xf numFmtId="0" fontId="11" fillId="0" borderId="0" xfId="64" applyNumberFormat="1" applyFont="1" applyFill="1"/>
  </cellXfs>
  <cellStyles count="102">
    <cellStyle name="20% - Accent1" xfId="37" builtinId="30" customBuiltin="1"/>
    <cellStyle name="20% - Accent1 2" xfId="67"/>
    <cellStyle name="20% - Accent2" xfId="41" builtinId="34" customBuiltin="1"/>
    <cellStyle name="20% - Accent2 2" xfId="69"/>
    <cellStyle name="20% - Accent3" xfId="45" builtinId="38" customBuiltin="1"/>
    <cellStyle name="20% - Accent3 2" xfId="71"/>
    <cellStyle name="20% - Accent4" xfId="49" builtinId="42" customBuiltin="1"/>
    <cellStyle name="20% - Accent4 2" xfId="73"/>
    <cellStyle name="20% - Accent5" xfId="53" builtinId="46" customBuiltin="1"/>
    <cellStyle name="20% - Accent5 2" xfId="75"/>
    <cellStyle name="20% - Accent6" xfId="57" builtinId="50" customBuiltin="1"/>
    <cellStyle name="20% - Accent6 2" xfId="77"/>
    <cellStyle name="40% - Accent1" xfId="38" builtinId="31" customBuiltin="1"/>
    <cellStyle name="40% - Accent1 2" xfId="68"/>
    <cellStyle name="40% - Accent2" xfId="42" builtinId="35" customBuiltin="1"/>
    <cellStyle name="40% - Accent2 2" xfId="70"/>
    <cellStyle name="40% - Accent3" xfId="46" builtinId="39" customBuiltin="1"/>
    <cellStyle name="40% - Accent3 2" xfId="72"/>
    <cellStyle name="40% - Accent4" xfId="50" builtinId="43" customBuiltin="1"/>
    <cellStyle name="40% - Accent4 2" xfId="74"/>
    <cellStyle name="40% - Accent5" xfId="54" builtinId="47" customBuiltin="1"/>
    <cellStyle name="40% - Accent5 2" xfId="76"/>
    <cellStyle name="40% - Accent6" xfId="58" builtinId="51" customBuiltin="1"/>
    <cellStyle name="40% - Accent6 2" xfId="78"/>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6" builtinId="27" customBuiltin="1"/>
    <cellStyle name="Calculation" xfId="30" builtinId="22" customBuiltin="1"/>
    <cellStyle name="Check Cell" xfId="32" builtinId="23" customBuiltin="1"/>
    <cellStyle name="Comma" xfId="1" builtinId="3"/>
    <cellStyle name="Comma 2" xfId="11"/>
    <cellStyle name="Comma 3" xfId="12"/>
    <cellStyle name="Comma_hw5 - Forecasting Draft" xfId="10"/>
    <cellStyle name="Currency" xfId="64" builtinId="4"/>
    <cellStyle name="Currency 2" xfId="17"/>
    <cellStyle name="Explanatory Text" xfId="34" builtinId="53" customBuilti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8" builtinId="9" hidden="1"/>
    <cellStyle name="Followed Hyperlink" xfId="100" builtinId="9" hidden="1"/>
    <cellStyle name="Good" xfId="25" builtinId="26" customBuiltin="1"/>
    <cellStyle name="Heading 1" xfId="21" builtinId="16" customBuiltin="1"/>
    <cellStyle name="Heading 2" xfId="22" builtinId="17" customBuiltin="1"/>
    <cellStyle name="Heading 3" xfId="23" builtinId="18" customBuiltin="1"/>
    <cellStyle name="Heading 4" xfId="24" builtinId="19" customBuilti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66" builtinId="8" hidden="1"/>
    <cellStyle name="Hyperlink" xfId="99" builtinId="8" hidden="1"/>
    <cellStyle name="Input" xfId="28" builtinId="20" customBuiltin="1"/>
    <cellStyle name="Linked Cell" xfId="31" builtinId="24" customBuiltin="1"/>
    <cellStyle name="Neutral" xfId="27" builtinId="28" customBuiltin="1"/>
    <cellStyle name="Normal" xfId="0" builtinId="0"/>
    <cellStyle name="Normal 2" xfId="2"/>
    <cellStyle name="Normal 2 2" xfId="9"/>
    <cellStyle name="Normal 2 3" xfId="63"/>
    <cellStyle name="Normal 3" xfId="13"/>
    <cellStyle name="Normal 3 2" xfId="18"/>
    <cellStyle name="Normal 4" xfId="16"/>
    <cellStyle name="Normal 4 2" xfId="60"/>
    <cellStyle name="Normal 4 2 2" xfId="79"/>
    <cellStyle name="Normal 5" xfId="62"/>
    <cellStyle name="Normal 5 2" xfId="81"/>
    <cellStyle name="Normal 5 2 2" xfId="101"/>
    <cellStyle name="Normal_Sheet1" xfId="19"/>
    <cellStyle name="Note 2" xfId="61"/>
    <cellStyle name="Note 2 2" xfId="80"/>
    <cellStyle name="Output" xfId="29" builtinId="21" customBuiltin="1"/>
    <cellStyle name="Percent 2" xfId="14"/>
    <cellStyle name="Percent 3" xfId="15"/>
    <cellStyle name="PSChar" xfId="3"/>
    <cellStyle name="PSDate" xfId="4"/>
    <cellStyle name="PSDec" xfId="5"/>
    <cellStyle name="PSHeading" xfId="6"/>
    <cellStyle name="PSHeading 2" xfId="65"/>
    <cellStyle name="PSInt" xfId="7"/>
    <cellStyle name="PSSpacer" xfId="8"/>
    <cellStyle name="Title" xfId="20" builtinId="15" customBuiltin="1"/>
    <cellStyle name="Total" xfId="35" builtinId="25" customBuiltin="1"/>
    <cellStyle name="Warning Text" xfId="33" builtinId="11" customBuiltin="1"/>
  </cellStyles>
  <dxfs count="19">
    <dxf>
      <fill>
        <patternFill>
          <bgColor theme="2"/>
        </patternFill>
      </fill>
      <border>
        <top style="thin">
          <color indexed="64"/>
        </top>
        <bottom style="thin">
          <color indexed="64"/>
        </bottom>
      </border>
    </dxf>
    <dxf>
      <font>
        <b/>
        <i/>
        <condense val="0"/>
        <extend val="0"/>
        <color indexed="9"/>
      </font>
      <fill>
        <patternFill>
          <bgColor indexed="10"/>
        </patternFill>
      </fill>
    </dxf>
    <dxf>
      <font>
        <condense val="0"/>
        <extend val="0"/>
        <color auto="1"/>
      </font>
      <fill>
        <patternFill>
          <bgColor indexed="42"/>
        </patternFill>
      </fill>
    </dxf>
    <dxf>
      <font>
        <condense val="0"/>
        <extend val="0"/>
        <color auto="1"/>
      </font>
      <fill>
        <patternFill>
          <bgColor indexed="42"/>
        </patternFill>
      </fill>
    </dxf>
    <dxf>
      <font>
        <condense val="0"/>
        <extend val="0"/>
        <color auto="1"/>
      </font>
      <fill>
        <patternFill>
          <bgColor indexed="42"/>
        </patternFill>
      </fill>
    </dxf>
    <dxf>
      <font>
        <b/>
        <i/>
        <condense val="0"/>
        <extend val="0"/>
        <color indexed="9"/>
      </font>
      <fill>
        <patternFill>
          <bgColor indexed="10"/>
        </patternFill>
      </fill>
    </dxf>
    <dxf>
      <font>
        <b/>
        <i/>
        <condense val="0"/>
        <extend val="0"/>
        <color indexed="9"/>
      </font>
      <fill>
        <patternFill>
          <bgColor indexed="10"/>
        </patternFill>
      </fill>
    </dxf>
    <dxf>
      <fill>
        <patternFill>
          <bgColor theme="2"/>
        </patternFill>
      </fill>
      <border>
        <top style="thin">
          <color indexed="64"/>
        </top>
        <bottom style="thin">
          <color indexed="64"/>
        </bottom>
      </border>
    </dxf>
    <dxf>
      <fill>
        <patternFill>
          <bgColor theme="2"/>
        </patternFill>
      </fill>
      <border>
        <top style="thin">
          <color indexed="64"/>
        </top>
        <bottom style="thin">
          <color indexed="64"/>
        </bottom>
      </border>
    </dxf>
    <dxf>
      <fill>
        <patternFill>
          <bgColor theme="2"/>
        </patternFill>
      </fill>
      <border>
        <top style="thin">
          <color indexed="64"/>
        </top>
        <bottom style="thin">
          <color indexed="64"/>
        </bottom>
      </border>
    </dxf>
    <dxf>
      <fill>
        <patternFill>
          <bgColor theme="2"/>
        </patternFill>
      </fill>
      <border>
        <top style="thin">
          <color indexed="64"/>
        </top>
        <bottom style="thin">
          <color indexed="64"/>
        </bottom>
      </border>
    </dxf>
    <dxf>
      <fill>
        <patternFill>
          <bgColor theme="2"/>
        </patternFill>
      </fill>
      <border>
        <top style="thin">
          <color indexed="64"/>
        </top>
        <bottom style="thin">
          <color indexed="64"/>
        </bottom>
      </border>
    </dxf>
    <dxf>
      <font>
        <b/>
        <i/>
        <condense val="0"/>
        <extend val="0"/>
        <color indexed="9"/>
      </font>
      <fill>
        <patternFill>
          <bgColor indexed="10"/>
        </patternFill>
      </fill>
    </dxf>
    <dxf>
      <fill>
        <patternFill>
          <bgColor theme="2"/>
        </patternFill>
      </fill>
      <border>
        <top style="thin">
          <color indexed="64"/>
        </top>
        <bottom style="thin">
          <color indexed="64"/>
        </bottom>
      </border>
    </dxf>
    <dxf>
      <font>
        <b/>
        <i/>
        <condense val="0"/>
        <extend val="0"/>
        <color indexed="9"/>
      </font>
      <fill>
        <patternFill>
          <bgColor indexed="10"/>
        </patternFill>
      </fill>
    </dxf>
    <dxf>
      <font>
        <b/>
        <i/>
        <condense val="0"/>
        <extend val="0"/>
        <color indexed="9"/>
      </font>
      <fill>
        <patternFill>
          <bgColor indexed="10"/>
        </patternFill>
      </fill>
    </dxf>
    <dxf>
      <font>
        <b/>
        <i/>
        <condense val="0"/>
        <extend val="0"/>
        <color indexed="9"/>
      </font>
      <fill>
        <patternFill>
          <bgColor indexed="1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8"/>
      <tableStyleElement type="headerRow" dxfId="1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tr-TR" sz="1000" b="1" i="0" u="none" strike="noStrike" baseline="0">
                <a:solidFill>
                  <a:srgbClr val="000000"/>
                </a:solidFill>
                <a:latin typeface="Arial"/>
                <a:ea typeface="Arial"/>
                <a:cs typeface="Arial"/>
              </a:defRPr>
            </a:pPr>
            <a:r>
              <a:rPr lang="en-US"/>
              <a:t>Linear Trendline</a:t>
            </a:r>
          </a:p>
        </c:rich>
      </c:tx>
      <c:layout>
        <c:manualLayout>
          <c:xMode val="edge"/>
          <c:yMode val="edge"/>
          <c:x val="0.328125000000005"/>
          <c:y val="3.7800814140404398E-2"/>
        </c:manualLayout>
      </c:layout>
      <c:overlay val="0"/>
      <c:spPr>
        <a:noFill/>
        <a:ln w="25400">
          <a:noFill/>
        </a:ln>
      </c:spPr>
    </c:title>
    <c:autoTitleDeleted val="0"/>
    <c:plotArea>
      <c:layout>
        <c:manualLayout>
          <c:layoutTarget val="inner"/>
          <c:xMode val="edge"/>
          <c:yMode val="edge"/>
          <c:x val="0.115625000000002"/>
          <c:y val="0.16838544480725801"/>
          <c:w val="0.84062500000001905"/>
          <c:h val="0.70790615572029303"/>
        </c:manualLayout>
      </c:layout>
      <c:lineChart>
        <c:grouping val="standard"/>
        <c:varyColors val="0"/>
        <c:ser>
          <c:idx val="0"/>
          <c:order val="0"/>
          <c:trendline>
            <c:trendlineType val="linear"/>
            <c:dispRSqr val="1"/>
            <c:dispEq val="1"/>
            <c:trendlineLbl>
              <c:layout>
                <c:manualLayout>
                  <c:x val="-0.40472236814017798"/>
                  <c:y val="-7.3015595972417802E-2"/>
                </c:manualLayout>
              </c:layout>
              <c:numFmt formatCode="#,##0.00" sourceLinked="0"/>
              <c:txPr>
                <a:bodyPr/>
                <a:lstStyle/>
                <a:p>
                  <a:pPr>
                    <a:defRPr sz="1400"/>
                  </a:pPr>
                  <a:endParaRPr lang="en-US"/>
                </a:p>
              </c:txPr>
            </c:trendlineLbl>
          </c:trendline>
          <c:val>
            <c:numRef>
              <c:f>FinalGrade!$D$30:$D$38</c:f>
              <c:numCache>
                <c:formatCode>#,##0.00</c:formatCode>
                <c:ptCount val="9"/>
                <c:pt idx="0">
                  <c:v>7221</c:v>
                </c:pt>
                <c:pt idx="1">
                  <c:v>11807</c:v>
                </c:pt>
                <c:pt idx="2">
                  <c:v>17883</c:v>
                </c:pt>
                <c:pt idx="3">
                  <c:v>38794</c:v>
                </c:pt>
                <c:pt idx="4">
                  <c:v>42285</c:v>
                </c:pt>
                <c:pt idx="5">
                  <c:v>56291</c:v>
                </c:pt>
                <c:pt idx="6">
                  <c:v>53660</c:v>
                </c:pt>
                <c:pt idx="7">
                  <c:v>63940</c:v>
                </c:pt>
                <c:pt idx="8">
                  <c:v>57355</c:v>
                </c:pt>
              </c:numCache>
            </c:numRef>
          </c:val>
          <c:smooth val="0"/>
        </c:ser>
        <c:dLbls>
          <c:showLegendKey val="0"/>
          <c:showVal val="0"/>
          <c:showCatName val="0"/>
          <c:showSerName val="0"/>
          <c:showPercent val="0"/>
          <c:showBubbleSize val="0"/>
        </c:dLbls>
        <c:marker val="1"/>
        <c:smooth val="0"/>
        <c:axId val="-1166669392"/>
        <c:axId val="-1166647632"/>
      </c:lineChart>
      <c:catAx>
        <c:axId val="-1166669392"/>
        <c:scaling>
          <c:orientation val="minMax"/>
        </c:scaling>
        <c:delete val="1"/>
        <c:axPos val="b"/>
        <c:title>
          <c:tx>
            <c:rich>
              <a:bodyPr/>
              <a:lstStyle/>
              <a:p>
                <a:pPr>
                  <a:defRPr lang="tr-TR" sz="800" b="1" i="0" u="none" strike="noStrike" baseline="0">
                    <a:solidFill>
                      <a:srgbClr val="000000"/>
                    </a:solidFill>
                    <a:latin typeface="Arial"/>
                    <a:ea typeface="Arial"/>
                    <a:cs typeface="Arial"/>
                  </a:defRPr>
                </a:pPr>
                <a:r>
                  <a:rPr lang="en-US"/>
                  <a:t>Years</a:t>
                </a:r>
              </a:p>
            </c:rich>
          </c:tx>
          <c:layout>
            <c:manualLayout>
              <c:xMode val="edge"/>
              <c:yMode val="edge"/>
              <c:x val="0.47812500000000002"/>
              <c:y val="0.87629160052756605"/>
            </c:manualLayout>
          </c:layout>
          <c:overlay val="0"/>
          <c:spPr>
            <a:noFill/>
            <a:ln w="25400">
              <a:noFill/>
            </a:ln>
          </c:spPr>
        </c:title>
        <c:majorTickMark val="out"/>
        <c:minorTickMark val="none"/>
        <c:tickLblPos val="none"/>
        <c:crossAx val="-1166647632"/>
        <c:crosses val="autoZero"/>
        <c:auto val="1"/>
        <c:lblAlgn val="ctr"/>
        <c:lblOffset val="100"/>
        <c:noMultiLvlLbl val="0"/>
      </c:catAx>
      <c:valAx>
        <c:axId val="-1166647632"/>
        <c:scaling>
          <c:orientation val="minMax"/>
        </c:scaling>
        <c:delete val="1"/>
        <c:axPos val="l"/>
        <c:title>
          <c:tx>
            <c:rich>
              <a:bodyPr/>
              <a:lstStyle/>
              <a:p>
                <a:pPr>
                  <a:defRPr lang="tr-TR" sz="800" b="1" i="0" u="none" strike="noStrike" baseline="0">
                    <a:solidFill>
                      <a:srgbClr val="000000"/>
                    </a:solidFill>
                    <a:latin typeface="Arial"/>
                    <a:ea typeface="Arial"/>
                    <a:cs typeface="Arial"/>
                  </a:defRPr>
                </a:pPr>
                <a:r>
                  <a:rPr lang="en-US"/>
                  <a:t>Sales</a:t>
                </a:r>
              </a:p>
            </c:rich>
          </c:tx>
          <c:layout>
            <c:manualLayout>
              <c:xMode val="edge"/>
              <c:yMode val="edge"/>
              <c:x val="0.05"/>
              <c:y val="0.46391908263223097"/>
            </c:manualLayout>
          </c:layout>
          <c:overlay val="0"/>
          <c:spPr>
            <a:noFill/>
            <a:ln w="25400">
              <a:noFill/>
            </a:ln>
          </c:spPr>
        </c:title>
        <c:numFmt formatCode="#,##0.00" sourceLinked="1"/>
        <c:majorTickMark val="out"/>
        <c:minorTickMark val="none"/>
        <c:tickLblPos val="none"/>
        <c:crossAx val="-116666939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tr-TR" sz="1000" b="1" i="0" u="none" strike="noStrike" baseline="0">
                <a:solidFill>
                  <a:srgbClr val="000000"/>
                </a:solidFill>
                <a:latin typeface="Arial"/>
                <a:ea typeface="Arial"/>
                <a:cs typeface="Arial"/>
              </a:defRPr>
            </a:pPr>
            <a:r>
              <a:rPr lang="en-US"/>
              <a:t>Power Trendline</a:t>
            </a:r>
          </a:p>
        </c:rich>
      </c:tx>
      <c:layout>
        <c:manualLayout>
          <c:xMode val="edge"/>
          <c:yMode val="edge"/>
          <c:x val="0.328125000000005"/>
          <c:y val="3.7800814140404398E-2"/>
        </c:manualLayout>
      </c:layout>
      <c:overlay val="0"/>
      <c:spPr>
        <a:noFill/>
        <a:ln w="25400">
          <a:noFill/>
        </a:ln>
      </c:spPr>
    </c:title>
    <c:autoTitleDeleted val="0"/>
    <c:plotArea>
      <c:layout>
        <c:manualLayout>
          <c:layoutTarget val="inner"/>
          <c:xMode val="edge"/>
          <c:yMode val="edge"/>
          <c:x val="0.115625000000002"/>
          <c:y val="0.16838544480725801"/>
          <c:w val="0.84062500000001905"/>
          <c:h val="0.70790615572029303"/>
        </c:manualLayout>
      </c:layout>
      <c:lineChart>
        <c:grouping val="standard"/>
        <c:varyColors val="0"/>
        <c:ser>
          <c:idx val="0"/>
          <c:order val="0"/>
          <c:trendline>
            <c:trendlineType val="power"/>
            <c:dispRSqr val="1"/>
            <c:dispEq val="1"/>
            <c:trendlineLbl>
              <c:layout>
                <c:manualLayout>
                  <c:x val="-2.05121193691464E-2"/>
                  <c:y val="-9.6867979663751103E-2"/>
                </c:manualLayout>
              </c:layout>
              <c:numFmt formatCode="#,##0.00" sourceLinked="0"/>
              <c:txPr>
                <a:bodyPr/>
                <a:lstStyle/>
                <a:p>
                  <a:pPr>
                    <a:defRPr sz="1400"/>
                  </a:pPr>
                  <a:endParaRPr lang="en-US"/>
                </a:p>
              </c:txPr>
            </c:trendlineLbl>
          </c:trendline>
          <c:val>
            <c:numRef>
              <c:f>FinalGrade!$D$30:$D$38</c:f>
              <c:numCache>
                <c:formatCode>#,##0.00</c:formatCode>
                <c:ptCount val="9"/>
                <c:pt idx="0">
                  <c:v>7221</c:v>
                </c:pt>
                <c:pt idx="1">
                  <c:v>11807</c:v>
                </c:pt>
                <c:pt idx="2">
                  <c:v>17883</c:v>
                </c:pt>
                <c:pt idx="3">
                  <c:v>38794</c:v>
                </c:pt>
                <c:pt idx="4">
                  <c:v>42285</c:v>
                </c:pt>
                <c:pt idx="5">
                  <c:v>56291</c:v>
                </c:pt>
                <c:pt idx="6">
                  <c:v>53660</c:v>
                </c:pt>
                <c:pt idx="7">
                  <c:v>63940</c:v>
                </c:pt>
                <c:pt idx="8">
                  <c:v>57355</c:v>
                </c:pt>
              </c:numCache>
            </c:numRef>
          </c:val>
          <c:smooth val="0"/>
        </c:ser>
        <c:dLbls>
          <c:showLegendKey val="0"/>
          <c:showVal val="0"/>
          <c:showCatName val="0"/>
          <c:showSerName val="0"/>
          <c:showPercent val="0"/>
          <c:showBubbleSize val="0"/>
        </c:dLbls>
        <c:marker val="1"/>
        <c:smooth val="0"/>
        <c:axId val="-1166668848"/>
        <c:axId val="-1166638928"/>
      </c:lineChart>
      <c:catAx>
        <c:axId val="-1166668848"/>
        <c:scaling>
          <c:orientation val="minMax"/>
        </c:scaling>
        <c:delete val="1"/>
        <c:axPos val="b"/>
        <c:title>
          <c:tx>
            <c:rich>
              <a:bodyPr/>
              <a:lstStyle/>
              <a:p>
                <a:pPr>
                  <a:defRPr lang="tr-TR" sz="800" b="1" i="0" u="none" strike="noStrike" baseline="0">
                    <a:solidFill>
                      <a:srgbClr val="000000"/>
                    </a:solidFill>
                    <a:latin typeface="Arial"/>
                    <a:ea typeface="Arial"/>
                    <a:cs typeface="Arial"/>
                  </a:defRPr>
                </a:pPr>
                <a:r>
                  <a:rPr lang="en-US"/>
                  <a:t>Years</a:t>
                </a:r>
              </a:p>
            </c:rich>
          </c:tx>
          <c:layout>
            <c:manualLayout>
              <c:xMode val="edge"/>
              <c:yMode val="edge"/>
              <c:x val="0.47812500000000002"/>
              <c:y val="0.87629160052756605"/>
            </c:manualLayout>
          </c:layout>
          <c:overlay val="0"/>
          <c:spPr>
            <a:noFill/>
            <a:ln w="25400">
              <a:noFill/>
            </a:ln>
          </c:spPr>
        </c:title>
        <c:majorTickMark val="out"/>
        <c:minorTickMark val="none"/>
        <c:tickLblPos val="none"/>
        <c:crossAx val="-1166638928"/>
        <c:crosses val="autoZero"/>
        <c:auto val="1"/>
        <c:lblAlgn val="ctr"/>
        <c:lblOffset val="100"/>
        <c:noMultiLvlLbl val="0"/>
      </c:catAx>
      <c:valAx>
        <c:axId val="-1166638928"/>
        <c:scaling>
          <c:orientation val="minMax"/>
        </c:scaling>
        <c:delete val="1"/>
        <c:axPos val="l"/>
        <c:title>
          <c:tx>
            <c:rich>
              <a:bodyPr/>
              <a:lstStyle/>
              <a:p>
                <a:pPr>
                  <a:defRPr lang="tr-TR" sz="800" b="1" i="0" u="none" strike="noStrike" baseline="0">
                    <a:solidFill>
                      <a:srgbClr val="000000"/>
                    </a:solidFill>
                    <a:latin typeface="Arial"/>
                    <a:ea typeface="Arial"/>
                    <a:cs typeface="Arial"/>
                  </a:defRPr>
                </a:pPr>
                <a:r>
                  <a:rPr lang="en-US"/>
                  <a:t>Sales</a:t>
                </a:r>
              </a:p>
            </c:rich>
          </c:tx>
          <c:layout>
            <c:manualLayout>
              <c:xMode val="edge"/>
              <c:yMode val="edge"/>
              <c:x val="0.05"/>
              <c:y val="0.46391908263223097"/>
            </c:manualLayout>
          </c:layout>
          <c:overlay val="0"/>
          <c:spPr>
            <a:noFill/>
            <a:ln w="25400">
              <a:noFill/>
            </a:ln>
          </c:spPr>
        </c:title>
        <c:numFmt formatCode="#,##0.00" sourceLinked="1"/>
        <c:majorTickMark val="out"/>
        <c:minorTickMark val="none"/>
        <c:tickLblPos val="none"/>
        <c:crossAx val="-116666884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tr-TR" sz="1000" b="1" i="0" u="none" strike="noStrike" baseline="0">
                <a:solidFill>
                  <a:srgbClr val="000000"/>
                </a:solidFill>
                <a:latin typeface="Arial"/>
                <a:ea typeface="Arial"/>
                <a:cs typeface="Arial"/>
              </a:defRPr>
            </a:pPr>
            <a:r>
              <a:rPr lang="en-US"/>
              <a:t>2nd Degree Polynomial Trendline</a:t>
            </a:r>
          </a:p>
        </c:rich>
      </c:tx>
      <c:layout>
        <c:manualLayout>
          <c:xMode val="edge"/>
          <c:yMode val="edge"/>
          <c:x val="0.16562499999999999"/>
          <c:y val="3.7800814140404398E-2"/>
        </c:manualLayout>
      </c:layout>
      <c:overlay val="0"/>
      <c:spPr>
        <a:noFill/>
        <a:ln w="25400">
          <a:noFill/>
        </a:ln>
      </c:spPr>
    </c:title>
    <c:autoTitleDeleted val="0"/>
    <c:plotArea>
      <c:layout>
        <c:manualLayout>
          <c:layoutTarget val="inner"/>
          <c:xMode val="edge"/>
          <c:yMode val="edge"/>
          <c:x val="0.115625000000002"/>
          <c:y val="0.16838544480725801"/>
          <c:w val="0.84062500000001905"/>
          <c:h val="0.70790615572029303"/>
        </c:manualLayout>
      </c:layout>
      <c:lineChart>
        <c:grouping val="standard"/>
        <c:varyColors val="0"/>
        <c:ser>
          <c:idx val="0"/>
          <c:order val="0"/>
          <c:trendline>
            <c:trendlineType val="poly"/>
            <c:order val="2"/>
            <c:dispRSqr val="1"/>
            <c:dispEq val="1"/>
            <c:trendlineLbl>
              <c:layout>
                <c:manualLayout>
                  <c:x val="-0.27386853491260199"/>
                  <c:y val="-2.3902629299801002E-2"/>
                </c:manualLayout>
              </c:layout>
              <c:numFmt formatCode="#,##0.00" sourceLinked="0"/>
              <c:txPr>
                <a:bodyPr/>
                <a:lstStyle/>
                <a:p>
                  <a:pPr>
                    <a:defRPr sz="1400"/>
                  </a:pPr>
                  <a:endParaRPr lang="en-US"/>
                </a:p>
              </c:txPr>
            </c:trendlineLbl>
          </c:trendline>
          <c:val>
            <c:numRef>
              <c:f>FinalGrade!$D$30:$D$38</c:f>
              <c:numCache>
                <c:formatCode>#,##0.00</c:formatCode>
                <c:ptCount val="9"/>
                <c:pt idx="0">
                  <c:v>7221</c:v>
                </c:pt>
                <c:pt idx="1">
                  <c:v>11807</c:v>
                </c:pt>
                <c:pt idx="2">
                  <c:v>17883</c:v>
                </c:pt>
                <c:pt idx="3">
                  <c:v>38794</c:v>
                </c:pt>
                <c:pt idx="4">
                  <c:v>42285</c:v>
                </c:pt>
                <c:pt idx="5">
                  <c:v>56291</c:v>
                </c:pt>
                <c:pt idx="6">
                  <c:v>53660</c:v>
                </c:pt>
                <c:pt idx="7">
                  <c:v>63940</c:v>
                </c:pt>
                <c:pt idx="8">
                  <c:v>57355</c:v>
                </c:pt>
              </c:numCache>
            </c:numRef>
          </c:val>
          <c:smooth val="0"/>
        </c:ser>
        <c:dLbls>
          <c:showLegendKey val="0"/>
          <c:showVal val="0"/>
          <c:showCatName val="0"/>
          <c:showSerName val="0"/>
          <c:showPercent val="0"/>
          <c:showBubbleSize val="0"/>
        </c:dLbls>
        <c:marker val="1"/>
        <c:smooth val="0"/>
        <c:axId val="-1166643824"/>
        <c:axId val="-1166661232"/>
      </c:lineChart>
      <c:catAx>
        <c:axId val="-1166643824"/>
        <c:scaling>
          <c:orientation val="minMax"/>
        </c:scaling>
        <c:delete val="1"/>
        <c:axPos val="b"/>
        <c:title>
          <c:tx>
            <c:rich>
              <a:bodyPr/>
              <a:lstStyle/>
              <a:p>
                <a:pPr>
                  <a:defRPr lang="tr-TR" sz="800" b="1" i="0" u="none" strike="noStrike" baseline="0">
                    <a:solidFill>
                      <a:srgbClr val="000000"/>
                    </a:solidFill>
                    <a:latin typeface="Arial"/>
                    <a:ea typeface="Arial"/>
                    <a:cs typeface="Arial"/>
                  </a:defRPr>
                </a:pPr>
                <a:r>
                  <a:rPr lang="en-US"/>
                  <a:t>Years</a:t>
                </a:r>
              </a:p>
            </c:rich>
          </c:tx>
          <c:layout>
            <c:manualLayout>
              <c:xMode val="edge"/>
              <c:yMode val="edge"/>
              <c:x val="0.47812500000000002"/>
              <c:y val="0.87629160052756605"/>
            </c:manualLayout>
          </c:layout>
          <c:overlay val="0"/>
          <c:spPr>
            <a:noFill/>
            <a:ln w="25400">
              <a:noFill/>
            </a:ln>
          </c:spPr>
        </c:title>
        <c:majorTickMark val="out"/>
        <c:minorTickMark val="none"/>
        <c:tickLblPos val="none"/>
        <c:crossAx val="-1166661232"/>
        <c:crosses val="autoZero"/>
        <c:auto val="1"/>
        <c:lblAlgn val="ctr"/>
        <c:lblOffset val="100"/>
        <c:noMultiLvlLbl val="0"/>
      </c:catAx>
      <c:valAx>
        <c:axId val="-1166661232"/>
        <c:scaling>
          <c:orientation val="minMax"/>
        </c:scaling>
        <c:delete val="1"/>
        <c:axPos val="l"/>
        <c:title>
          <c:tx>
            <c:rich>
              <a:bodyPr/>
              <a:lstStyle/>
              <a:p>
                <a:pPr>
                  <a:defRPr lang="tr-TR" sz="800" b="1" i="0" u="none" strike="noStrike" baseline="0">
                    <a:solidFill>
                      <a:srgbClr val="000000"/>
                    </a:solidFill>
                    <a:latin typeface="Arial"/>
                    <a:ea typeface="Arial"/>
                    <a:cs typeface="Arial"/>
                  </a:defRPr>
                </a:pPr>
                <a:r>
                  <a:rPr lang="en-US"/>
                  <a:t>Sales</a:t>
                </a:r>
              </a:p>
            </c:rich>
          </c:tx>
          <c:layout>
            <c:manualLayout>
              <c:xMode val="edge"/>
              <c:yMode val="edge"/>
              <c:x val="0.05"/>
              <c:y val="0.46391908263223097"/>
            </c:manualLayout>
          </c:layout>
          <c:overlay val="0"/>
          <c:spPr>
            <a:noFill/>
            <a:ln w="25400">
              <a:noFill/>
            </a:ln>
          </c:spPr>
        </c:title>
        <c:numFmt formatCode="#,##0.00" sourceLinked="1"/>
        <c:majorTickMark val="out"/>
        <c:minorTickMark val="none"/>
        <c:tickLblPos val="none"/>
        <c:crossAx val="-116664382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399" r="0.75000000000001399"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tr-TR" sz="1000" b="1" i="0" u="none" strike="noStrike" baseline="0">
                <a:solidFill>
                  <a:srgbClr val="000000"/>
                </a:solidFill>
                <a:latin typeface="Arial"/>
                <a:ea typeface="Arial"/>
                <a:cs typeface="Arial"/>
              </a:defRPr>
            </a:pPr>
            <a:r>
              <a:rPr lang="en-US"/>
              <a:t>3rd Degree Polynomial Trendline</a:t>
            </a:r>
          </a:p>
        </c:rich>
      </c:tx>
      <c:layout>
        <c:manualLayout>
          <c:xMode val="edge"/>
          <c:yMode val="edge"/>
          <c:x val="0.16562499999999999"/>
          <c:y val="3.7800814140404398E-2"/>
        </c:manualLayout>
      </c:layout>
      <c:overlay val="0"/>
      <c:spPr>
        <a:noFill/>
        <a:ln w="25400">
          <a:noFill/>
        </a:ln>
      </c:spPr>
    </c:title>
    <c:autoTitleDeleted val="0"/>
    <c:plotArea>
      <c:layout>
        <c:manualLayout>
          <c:layoutTarget val="inner"/>
          <c:xMode val="edge"/>
          <c:yMode val="edge"/>
          <c:x val="0.115625000000002"/>
          <c:y val="0.16838544480725801"/>
          <c:w val="0.84062500000002005"/>
          <c:h val="0.70790615572029303"/>
        </c:manualLayout>
      </c:layout>
      <c:lineChart>
        <c:grouping val="standard"/>
        <c:varyColors val="0"/>
        <c:ser>
          <c:idx val="0"/>
          <c:order val="0"/>
          <c:trendline>
            <c:trendlineType val="poly"/>
            <c:order val="3"/>
            <c:dispRSqr val="1"/>
            <c:dispEq val="1"/>
            <c:trendlineLbl>
              <c:layout>
                <c:manualLayout>
                  <c:x val="-0.226938428207696"/>
                  <c:y val="-6.7790581592917995E-2"/>
                </c:manualLayout>
              </c:layout>
              <c:numFmt formatCode="#,##0.00" sourceLinked="0"/>
              <c:txPr>
                <a:bodyPr/>
                <a:lstStyle/>
                <a:p>
                  <a:pPr>
                    <a:defRPr sz="1400"/>
                  </a:pPr>
                  <a:endParaRPr lang="en-US"/>
                </a:p>
              </c:txPr>
            </c:trendlineLbl>
          </c:trendline>
          <c:val>
            <c:numRef>
              <c:f>FinalGrade!$D$30:$D$38</c:f>
              <c:numCache>
                <c:formatCode>#,##0.00</c:formatCode>
                <c:ptCount val="9"/>
                <c:pt idx="0">
                  <c:v>7221</c:v>
                </c:pt>
                <c:pt idx="1">
                  <c:v>11807</c:v>
                </c:pt>
                <c:pt idx="2">
                  <c:v>17883</c:v>
                </c:pt>
                <c:pt idx="3">
                  <c:v>38794</c:v>
                </c:pt>
                <c:pt idx="4">
                  <c:v>42285</c:v>
                </c:pt>
                <c:pt idx="5">
                  <c:v>56291</c:v>
                </c:pt>
                <c:pt idx="6">
                  <c:v>53660</c:v>
                </c:pt>
                <c:pt idx="7">
                  <c:v>63940</c:v>
                </c:pt>
                <c:pt idx="8">
                  <c:v>57355</c:v>
                </c:pt>
              </c:numCache>
            </c:numRef>
          </c:val>
          <c:smooth val="0"/>
        </c:ser>
        <c:dLbls>
          <c:showLegendKey val="0"/>
          <c:showVal val="0"/>
          <c:showCatName val="0"/>
          <c:showSerName val="0"/>
          <c:showPercent val="0"/>
          <c:showBubbleSize val="0"/>
        </c:dLbls>
        <c:marker val="1"/>
        <c:smooth val="0"/>
        <c:axId val="-1166642192"/>
        <c:axId val="-1166639472"/>
      </c:lineChart>
      <c:catAx>
        <c:axId val="-1166642192"/>
        <c:scaling>
          <c:orientation val="minMax"/>
        </c:scaling>
        <c:delete val="1"/>
        <c:axPos val="b"/>
        <c:title>
          <c:tx>
            <c:rich>
              <a:bodyPr/>
              <a:lstStyle/>
              <a:p>
                <a:pPr>
                  <a:defRPr lang="tr-TR" sz="800" b="1" i="0" u="none" strike="noStrike" baseline="0">
                    <a:solidFill>
                      <a:srgbClr val="000000"/>
                    </a:solidFill>
                    <a:latin typeface="Arial"/>
                    <a:ea typeface="Arial"/>
                    <a:cs typeface="Arial"/>
                  </a:defRPr>
                </a:pPr>
                <a:r>
                  <a:rPr lang="en-US"/>
                  <a:t>Years</a:t>
                </a:r>
              </a:p>
            </c:rich>
          </c:tx>
          <c:layout>
            <c:manualLayout>
              <c:xMode val="edge"/>
              <c:yMode val="edge"/>
              <c:x val="0.47812500000000002"/>
              <c:y val="0.87629160052756605"/>
            </c:manualLayout>
          </c:layout>
          <c:overlay val="0"/>
          <c:spPr>
            <a:noFill/>
            <a:ln w="25400">
              <a:noFill/>
            </a:ln>
          </c:spPr>
        </c:title>
        <c:majorTickMark val="out"/>
        <c:minorTickMark val="none"/>
        <c:tickLblPos val="none"/>
        <c:crossAx val="-1166639472"/>
        <c:crosses val="autoZero"/>
        <c:auto val="1"/>
        <c:lblAlgn val="ctr"/>
        <c:lblOffset val="100"/>
        <c:noMultiLvlLbl val="0"/>
      </c:catAx>
      <c:valAx>
        <c:axId val="-1166639472"/>
        <c:scaling>
          <c:orientation val="minMax"/>
        </c:scaling>
        <c:delete val="1"/>
        <c:axPos val="l"/>
        <c:title>
          <c:tx>
            <c:rich>
              <a:bodyPr/>
              <a:lstStyle/>
              <a:p>
                <a:pPr>
                  <a:defRPr lang="tr-TR" sz="800" b="1" i="0" u="none" strike="noStrike" baseline="0">
                    <a:solidFill>
                      <a:srgbClr val="000000"/>
                    </a:solidFill>
                    <a:latin typeface="Arial"/>
                    <a:ea typeface="Arial"/>
                    <a:cs typeface="Arial"/>
                  </a:defRPr>
                </a:pPr>
                <a:r>
                  <a:rPr lang="en-US"/>
                  <a:t>Sales</a:t>
                </a:r>
              </a:p>
            </c:rich>
          </c:tx>
          <c:layout>
            <c:manualLayout>
              <c:xMode val="edge"/>
              <c:yMode val="edge"/>
              <c:x val="0.05"/>
              <c:y val="0.46391908263223097"/>
            </c:manualLayout>
          </c:layout>
          <c:overlay val="0"/>
          <c:spPr>
            <a:noFill/>
            <a:ln w="25400">
              <a:noFill/>
            </a:ln>
          </c:spPr>
        </c:title>
        <c:numFmt formatCode="#,##0.00" sourceLinked="1"/>
        <c:majorTickMark val="out"/>
        <c:minorTickMark val="none"/>
        <c:tickLblPos val="none"/>
        <c:crossAx val="-116664219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399" r="0.7500000000000139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FinalGrade!$D$150:$D$179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xVal>
          <c:yVal>
            <c:numRef>
              <c:f>FinalGrade!$H$150:$H$179</c:f>
              <c:numCache>
                <c:formatCode>0.00%</c:formatCode>
                <c:ptCount val="30"/>
                <c:pt idx="0">
                  <c:v>2.1194233300396758E-3</c:v>
                </c:pt>
                <c:pt idx="1">
                  <c:v>3.3409696765190188E-3</c:v>
                </c:pt>
                <c:pt idx="2">
                  <c:v>5.085885322369324E-3</c:v>
                </c:pt>
                <c:pt idx="3">
                  <c:v>7.4965714270683135E-3</c:v>
                </c:pt>
                <c:pt idx="4">
                  <c:v>1.0725920672151584E-2</c:v>
                </c:pt>
                <c:pt idx="5">
                  <c:v>1.4930473707051315E-2</c:v>
                </c:pt>
                <c:pt idx="6">
                  <c:v>2.0262591807069994E-2</c:v>
                </c:pt>
                <c:pt idx="7">
                  <c:v>2.6862343192969953E-2</c:v>
                </c:pt>
                <c:pt idx="8">
                  <c:v>3.4849820561184554E-2</c:v>
                </c:pt>
                <c:pt idx="9">
                  <c:v>4.4318532504325797E-2</c:v>
                </c:pt>
                <c:pt idx="10">
                  <c:v>5.5330363987009495E-2</c:v>
                </c:pt>
                <c:pt idx="11">
                  <c:v>6.7912411536410131E-2</c:v>
                </c:pt>
                <c:pt idx="12">
                  <c:v>8.2055799039362665E-2</c:v>
                </c:pt>
                <c:pt idx="13">
                  <c:v>9.7716397100828259E-2</c:v>
                </c:pt>
                <c:pt idx="14">
                  <c:v>0.11481722188802908</c:v>
                </c:pt>
                <c:pt idx="15">
                  <c:v>0.1332521882817114</c:v>
                </c:pt>
                <c:pt idx="16">
                  <c:v>0.15289083875017201</c:v>
                </c:pt>
                <c:pt idx="17">
                  <c:v>0.17358365909543838</c:v>
                </c:pt>
                <c:pt idx="18">
                  <c:v>0.1951676165587149</c:v>
                </c:pt>
                <c:pt idx="19">
                  <c:v>0.21747160443461921</c:v>
                </c:pt>
                <c:pt idx="20">
                  <c:v>0.24032154010168416</c:v>
                </c:pt>
                <c:pt idx="21">
                  <c:v>0.26354493127177236</c:v>
                </c:pt>
                <c:pt idx="22">
                  <c:v>0.2869747912666713</c:v>
                </c:pt>
                <c:pt idx="23">
                  <c:v>0.31045284335035161</c:v>
                </c:pt>
                <c:pt idx="24">
                  <c:v>0.33383200368780591</c:v>
                </c:pt>
                <c:pt idx="25">
                  <c:v>0.35697817115549796</c:v>
                </c:pt>
                <c:pt idx="26">
                  <c:v>0.37977138006072675</c:v>
                </c:pt>
                <c:pt idx="27">
                  <c:v>0.40210638977316537</c:v>
                </c:pt>
                <c:pt idx="28">
                  <c:v>0.42389279477494135</c:v>
                </c:pt>
                <c:pt idx="29">
                  <c:v>0.44505474135774625</c:v>
                </c:pt>
              </c:numCache>
            </c:numRef>
          </c:yVal>
          <c:smooth val="0"/>
        </c:ser>
        <c:dLbls>
          <c:showLegendKey val="0"/>
          <c:showVal val="0"/>
          <c:showCatName val="0"/>
          <c:showSerName val="0"/>
          <c:showPercent val="0"/>
          <c:showBubbleSize val="0"/>
        </c:dLbls>
        <c:axId val="-1166651984"/>
        <c:axId val="-1166663408"/>
      </c:scatterChart>
      <c:valAx>
        <c:axId val="-1166651984"/>
        <c:scaling>
          <c:orientation val="minMax"/>
        </c:scaling>
        <c:delete val="0"/>
        <c:axPos val="b"/>
        <c:numFmt formatCode="General" sourceLinked="1"/>
        <c:majorTickMark val="out"/>
        <c:minorTickMark val="none"/>
        <c:tickLblPos val="nextTo"/>
        <c:crossAx val="-1166663408"/>
        <c:crosses val="autoZero"/>
        <c:crossBetween val="midCat"/>
      </c:valAx>
      <c:valAx>
        <c:axId val="-1166663408"/>
        <c:scaling>
          <c:orientation val="minMax"/>
        </c:scaling>
        <c:delete val="0"/>
        <c:axPos val="l"/>
        <c:majorGridlines/>
        <c:numFmt formatCode="0.00%" sourceLinked="1"/>
        <c:majorTickMark val="out"/>
        <c:minorTickMark val="none"/>
        <c:tickLblPos val="nextTo"/>
        <c:crossAx val="-11666519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139700</xdr:rowOff>
    </xdr:from>
    <xdr:to>
      <xdr:col>3</xdr:col>
      <xdr:colOff>203200</xdr:colOff>
      <xdr:row>5</xdr:row>
      <xdr:rowOff>25400</xdr:rowOff>
    </xdr:to>
    <xdr:sp macro="" textlink="">
      <xdr:nvSpPr>
        <xdr:cNvPr id="5121" name="CommandButton1" hidden="1">
          <a:extLst>
            <a:ext uri="{63B3BB69-23CF-44E3-9099-C40C66FF867C}">
              <a14:compatExt xmlns:a14="http://schemas.microsoft.com/office/drawing/2010/main" spid="_x0000_s5121"/>
            </a:ext>
          </a:extLst>
        </xdr:cNvPr>
        <xdr:cNvSpPr/>
      </xdr:nvSpPr>
      <xdr:spPr>
        <a:xfrm>
          <a:off x="0" y="0"/>
          <a:ext cx="0" cy="0"/>
        </a:xfrm>
        <a:prstGeom prst="rect">
          <a:avLst/>
        </a:prstGeom>
      </xdr:spPr>
    </xdr:sp>
    <xdr:clientData/>
  </xdr:twoCellAnchor>
  <xdr:twoCellAnchor editAs="oneCell">
    <xdr:from>
      <xdr:col>0</xdr:col>
      <xdr:colOff>114300</xdr:colOff>
      <xdr:row>0</xdr:row>
      <xdr:rowOff>104775</xdr:rowOff>
    </xdr:from>
    <xdr:to>
      <xdr:col>3</xdr:col>
      <xdr:colOff>152400</xdr:colOff>
      <xdr:row>5</xdr:row>
      <xdr:rowOff>19050</xdr:rowOff>
    </xdr:to>
    <xdr:pic macro="[0]!markHWfiles">
      <xdr:nvPicPr>
        <xdr:cNvPr id="2" name="CommandButto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104775"/>
          <a:ext cx="2600325" cy="723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0</xdr:colOff>
      <xdr:row>21</xdr:row>
      <xdr:rowOff>19050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0</xdr:row>
      <xdr:rowOff>0</xdr:rowOff>
    </xdr:from>
    <xdr:to>
      <xdr:col>10</xdr:col>
      <xdr:colOff>0</xdr:colOff>
      <xdr:row>21</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0</xdr:row>
      <xdr:rowOff>0</xdr:rowOff>
    </xdr:from>
    <xdr:to>
      <xdr:col>15</xdr:col>
      <xdr:colOff>0</xdr:colOff>
      <xdr:row>21</xdr:row>
      <xdr:rowOff>19050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0</xdr:row>
      <xdr:rowOff>0</xdr:rowOff>
    </xdr:from>
    <xdr:to>
      <xdr:col>20</xdr:col>
      <xdr:colOff>200025</xdr:colOff>
      <xdr:row>21</xdr:row>
      <xdr:rowOff>19050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535781</xdr:colOff>
      <xdr:row>151</xdr:row>
      <xdr:rowOff>140493</xdr:rowOff>
    </xdr:from>
    <xdr:to>
      <xdr:col>15</xdr:col>
      <xdr:colOff>214312</xdr:colOff>
      <xdr:row>167</xdr:row>
      <xdr:rowOff>50006</xdr:rowOff>
    </xdr:to>
    <xdr:graphicFrame macro="">
      <xdr:nvGraphicFramePr>
        <xdr:cNvPr id="6" name="Grafi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95"/>
  <sheetViews>
    <sheetView workbookViewId="0">
      <selection activeCell="A10" sqref="A10"/>
    </sheetView>
  </sheetViews>
  <sheetFormatPr defaultColWidth="8.85546875" defaultRowHeight="12.75" x14ac:dyDescent="0.2"/>
  <cols>
    <col min="1" max="1" width="14.42578125" bestFit="1" customWidth="1"/>
    <col min="2" max="4" width="12" bestFit="1" customWidth="1"/>
    <col min="5" max="5" width="13.42578125" bestFit="1" customWidth="1"/>
    <col min="6" max="6" width="11.42578125" bestFit="1" customWidth="1"/>
    <col min="7" max="7" width="10.42578125" bestFit="1" customWidth="1"/>
    <col min="8" max="8" width="12.42578125" bestFit="1" customWidth="1"/>
    <col min="9" max="18" width="9.28515625" bestFit="1" customWidth="1"/>
    <col min="19" max="20" width="12.140625" bestFit="1" customWidth="1"/>
    <col min="21" max="22" width="9.28515625" bestFit="1" customWidth="1"/>
  </cols>
  <sheetData>
    <row r="1" spans="1:12" x14ac:dyDescent="0.2">
      <c r="A1" s="68"/>
      <c r="H1" s="1"/>
    </row>
    <row r="2" spans="1:12" x14ac:dyDescent="0.2">
      <c r="A2" s="2"/>
      <c r="B2" s="2"/>
      <c r="C2" s="2"/>
      <c r="D2" s="2"/>
      <c r="E2" s="2"/>
    </row>
    <row r="3" spans="1:12" x14ac:dyDescent="0.2">
      <c r="A3" s="2"/>
      <c r="B3" s="2"/>
      <c r="C3" s="2"/>
      <c r="D3" s="2"/>
      <c r="E3" s="2"/>
    </row>
    <row r="4" spans="1:12" x14ac:dyDescent="0.2">
      <c r="A4" s="2"/>
      <c r="B4" s="2"/>
      <c r="C4" s="2"/>
      <c r="D4" s="2"/>
      <c r="E4" s="2"/>
    </row>
    <row r="5" spans="1:12" x14ac:dyDescent="0.2">
      <c r="A5" s="2"/>
      <c r="B5" s="2"/>
      <c r="C5" s="2"/>
      <c r="D5" s="2"/>
      <c r="E5" s="2"/>
    </row>
    <row r="6" spans="1:12" x14ac:dyDescent="0.2">
      <c r="A6" s="2"/>
      <c r="B6" s="2"/>
      <c r="C6" s="2"/>
      <c r="D6" s="2"/>
      <c r="E6" s="2"/>
    </row>
    <row r="7" spans="1:12" x14ac:dyDescent="0.2">
      <c r="A7" s="2"/>
      <c r="B7" s="2"/>
      <c r="C7" s="2"/>
      <c r="D7" s="2"/>
      <c r="E7" s="2"/>
    </row>
    <row r="8" spans="1:12" ht="41.25" customHeight="1" x14ac:dyDescent="0.2">
      <c r="A8" s="2"/>
      <c r="B8" s="2"/>
      <c r="C8" s="2"/>
      <c r="D8" s="2"/>
      <c r="E8" s="2"/>
    </row>
    <row r="9" spans="1:12" x14ac:dyDescent="0.2">
      <c r="A9" s="2"/>
      <c r="B9" s="2"/>
      <c r="C9" s="2"/>
      <c r="D9" s="2"/>
      <c r="E9" s="2"/>
      <c r="F9" s="2"/>
      <c r="I9" s="2"/>
      <c r="J9" s="2"/>
      <c r="K9" s="2"/>
      <c r="L9" s="2"/>
    </row>
    <row r="10" spans="1:12" x14ac:dyDescent="0.2">
      <c r="A10" s="2">
        <v>143</v>
      </c>
      <c r="B10" s="2">
        <v>143</v>
      </c>
      <c r="C10" s="2">
        <v>143</v>
      </c>
      <c r="D10" s="2">
        <v>143</v>
      </c>
      <c r="E10" s="2" t="s">
        <v>290</v>
      </c>
    </row>
    <row r="11" spans="1:12" x14ac:dyDescent="0.2">
      <c r="A11" s="2">
        <v>276</v>
      </c>
      <c r="B11" s="2">
        <v>276</v>
      </c>
      <c r="C11" s="2">
        <v>276</v>
      </c>
      <c r="D11" s="2">
        <v>276</v>
      </c>
      <c r="E11" s="2" t="s">
        <v>290</v>
      </c>
    </row>
    <row r="12" spans="1:12" x14ac:dyDescent="0.2">
      <c r="A12" s="2">
        <v>278</v>
      </c>
      <c r="B12" s="2">
        <v>278</v>
      </c>
      <c r="C12" s="2">
        <v>278</v>
      </c>
      <c r="D12" s="2">
        <v>278</v>
      </c>
      <c r="E12" s="2" t="s">
        <v>290</v>
      </c>
    </row>
    <row r="13" spans="1:12" x14ac:dyDescent="0.2">
      <c r="A13" s="2">
        <v>279</v>
      </c>
      <c r="B13" s="2">
        <v>279</v>
      </c>
      <c r="C13" s="2">
        <v>279</v>
      </c>
      <c r="D13" s="2">
        <v>279</v>
      </c>
      <c r="E13" s="2" t="s">
        <v>290</v>
      </c>
    </row>
    <row r="14" spans="1:12" x14ac:dyDescent="0.2">
      <c r="A14" s="2">
        <v>281</v>
      </c>
      <c r="B14" s="2">
        <v>281</v>
      </c>
      <c r="C14" s="2">
        <v>281</v>
      </c>
      <c r="D14" s="2">
        <v>281</v>
      </c>
      <c r="E14" s="2" t="s">
        <v>290</v>
      </c>
    </row>
    <row r="15" spans="1:12" x14ac:dyDescent="0.2">
      <c r="A15" s="2">
        <v>282</v>
      </c>
      <c r="B15" s="2">
        <v>282</v>
      </c>
      <c r="C15" s="2">
        <v>282</v>
      </c>
      <c r="D15" s="2">
        <v>282</v>
      </c>
      <c r="E15" s="2" t="s">
        <v>290</v>
      </c>
    </row>
    <row r="16" spans="1:12" x14ac:dyDescent="0.2">
      <c r="A16">
        <v>283</v>
      </c>
      <c r="B16">
        <v>283</v>
      </c>
      <c r="C16">
        <v>283</v>
      </c>
      <c r="D16">
        <v>283</v>
      </c>
      <c r="E16" t="s">
        <v>290</v>
      </c>
    </row>
    <row r="17" spans="1:5" x14ac:dyDescent="0.2">
      <c r="A17" s="2">
        <v>284</v>
      </c>
      <c r="B17" s="2">
        <v>284</v>
      </c>
      <c r="C17" s="2">
        <v>284</v>
      </c>
      <c r="D17" s="2">
        <v>284</v>
      </c>
      <c r="E17" s="2" t="s">
        <v>290</v>
      </c>
    </row>
    <row r="18" spans="1:5" x14ac:dyDescent="0.2">
      <c r="A18" s="2">
        <v>285</v>
      </c>
      <c r="B18" s="2">
        <v>285</v>
      </c>
      <c r="C18" s="2">
        <v>285</v>
      </c>
      <c r="D18" s="2">
        <v>285</v>
      </c>
      <c r="E18" s="2" t="s">
        <v>290</v>
      </c>
    </row>
    <row r="19" spans="1:5" x14ac:dyDescent="0.2">
      <c r="A19" s="2">
        <v>286</v>
      </c>
      <c r="B19" s="2">
        <v>286</v>
      </c>
      <c r="C19" s="2">
        <v>286</v>
      </c>
      <c r="D19" s="2">
        <v>286</v>
      </c>
      <c r="E19" s="2" t="s">
        <v>290</v>
      </c>
    </row>
    <row r="20" spans="1:5" x14ac:dyDescent="0.2">
      <c r="A20">
        <v>287</v>
      </c>
      <c r="B20">
        <v>287</v>
      </c>
      <c r="C20">
        <v>287</v>
      </c>
      <c r="D20" s="2">
        <v>287</v>
      </c>
      <c r="E20" s="2" t="s">
        <v>290</v>
      </c>
    </row>
    <row r="21" spans="1:5" x14ac:dyDescent="0.2">
      <c r="A21" s="2">
        <v>288</v>
      </c>
      <c r="B21" s="2">
        <v>288</v>
      </c>
      <c r="C21" s="2">
        <v>288</v>
      </c>
      <c r="D21">
        <v>288</v>
      </c>
      <c r="E21" t="s">
        <v>290</v>
      </c>
    </row>
    <row r="22" spans="1:5" x14ac:dyDescent="0.2">
      <c r="A22" s="2">
        <v>289</v>
      </c>
      <c r="B22" s="2">
        <v>289</v>
      </c>
      <c r="C22" s="2">
        <v>289</v>
      </c>
      <c r="D22" s="2">
        <v>289</v>
      </c>
      <c r="E22" s="2" t="s">
        <v>290</v>
      </c>
    </row>
    <row r="23" spans="1:5" x14ac:dyDescent="0.2">
      <c r="A23">
        <v>290</v>
      </c>
      <c r="B23">
        <v>290</v>
      </c>
      <c r="C23">
        <v>290</v>
      </c>
      <c r="D23" s="2">
        <v>290</v>
      </c>
      <c r="E23" s="2" t="s">
        <v>290</v>
      </c>
    </row>
    <row r="24" spans="1:5" x14ac:dyDescent="0.2">
      <c r="A24" s="2">
        <v>291</v>
      </c>
      <c r="B24" s="2">
        <v>291</v>
      </c>
      <c r="C24" s="2">
        <v>291</v>
      </c>
      <c r="D24" s="2">
        <v>291</v>
      </c>
      <c r="E24" s="2" t="s">
        <v>290</v>
      </c>
    </row>
    <row r="25" spans="1:5" x14ac:dyDescent="0.2">
      <c r="A25" s="2">
        <v>293</v>
      </c>
      <c r="B25" s="2">
        <v>293</v>
      </c>
      <c r="C25" s="2">
        <v>293</v>
      </c>
      <c r="D25">
        <v>293</v>
      </c>
      <c r="E25" t="s">
        <v>290</v>
      </c>
    </row>
    <row r="26" spans="1:5" x14ac:dyDescent="0.2">
      <c r="A26" s="2">
        <v>294</v>
      </c>
      <c r="B26" s="2">
        <v>294</v>
      </c>
      <c r="C26" s="2">
        <v>294</v>
      </c>
      <c r="D26">
        <v>294</v>
      </c>
      <c r="E26" t="s">
        <v>290</v>
      </c>
    </row>
    <row r="27" spans="1:5" x14ac:dyDescent="0.2">
      <c r="A27" s="2">
        <v>295</v>
      </c>
      <c r="B27" s="2">
        <v>295</v>
      </c>
      <c r="C27" s="2">
        <v>295</v>
      </c>
      <c r="D27" s="2">
        <v>295</v>
      </c>
      <c r="E27" s="2" t="s">
        <v>290</v>
      </c>
    </row>
    <row r="28" spans="1:5" x14ac:dyDescent="0.2">
      <c r="A28" s="2">
        <v>297</v>
      </c>
      <c r="B28" s="2">
        <v>297</v>
      </c>
      <c r="C28" s="2">
        <v>297</v>
      </c>
      <c r="D28" s="2">
        <v>297</v>
      </c>
      <c r="E28" s="2" t="s">
        <v>290</v>
      </c>
    </row>
    <row r="29" spans="1:5" x14ac:dyDescent="0.2">
      <c r="A29">
        <v>298</v>
      </c>
      <c r="B29">
        <v>298</v>
      </c>
      <c r="C29">
        <v>298</v>
      </c>
      <c r="D29">
        <v>298</v>
      </c>
      <c r="E29" t="s">
        <v>290</v>
      </c>
    </row>
    <row r="30" spans="1:5" x14ac:dyDescent="0.2">
      <c r="A30" s="2">
        <v>299</v>
      </c>
      <c r="B30" s="2">
        <v>299</v>
      </c>
      <c r="C30" s="2">
        <v>299</v>
      </c>
      <c r="D30" s="2">
        <v>299</v>
      </c>
      <c r="E30" s="2" t="s">
        <v>290</v>
      </c>
    </row>
    <row r="31" spans="1:5" x14ac:dyDescent="0.2">
      <c r="A31" s="2">
        <v>300</v>
      </c>
      <c r="B31" s="2">
        <v>300</v>
      </c>
      <c r="C31" s="2">
        <v>300</v>
      </c>
      <c r="D31" s="2">
        <v>300</v>
      </c>
      <c r="E31" s="2" t="s">
        <v>290</v>
      </c>
    </row>
    <row r="32" spans="1:5" x14ac:dyDescent="0.2">
      <c r="A32" s="2">
        <v>301</v>
      </c>
      <c r="B32" s="2">
        <v>301</v>
      </c>
      <c r="C32" s="2">
        <v>301</v>
      </c>
      <c r="D32" s="2">
        <v>301</v>
      </c>
      <c r="E32" s="2" t="s">
        <v>290</v>
      </c>
    </row>
    <row r="33" spans="1:5" x14ac:dyDescent="0.2">
      <c r="A33" s="2">
        <v>302</v>
      </c>
      <c r="B33" s="2">
        <v>302</v>
      </c>
      <c r="C33" s="2">
        <v>302</v>
      </c>
      <c r="D33" s="2">
        <v>302</v>
      </c>
      <c r="E33" s="2" t="s">
        <v>290</v>
      </c>
    </row>
    <row r="34" spans="1:5" x14ac:dyDescent="0.2">
      <c r="A34" s="2">
        <v>303</v>
      </c>
      <c r="B34" s="2">
        <v>303</v>
      </c>
      <c r="C34" s="2">
        <v>303</v>
      </c>
      <c r="D34" s="2">
        <v>303</v>
      </c>
      <c r="E34" s="2" t="s">
        <v>290</v>
      </c>
    </row>
    <row r="35" spans="1:5" x14ac:dyDescent="0.2">
      <c r="A35">
        <v>304</v>
      </c>
      <c r="B35">
        <v>304</v>
      </c>
      <c r="C35">
        <v>304</v>
      </c>
      <c r="D35" s="2">
        <v>304</v>
      </c>
      <c r="E35" s="2" t="s">
        <v>290</v>
      </c>
    </row>
    <row r="36" spans="1:5" x14ac:dyDescent="0.2">
      <c r="A36">
        <v>305</v>
      </c>
      <c r="B36">
        <v>284</v>
      </c>
      <c r="C36">
        <v>284</v>
      </c>
      <c r="D36" s="2">
        <v>284</v>
      </c>
      <c r="E36" s="2" t="s">
        <v>290</v>
      </c>
    </row>
    <row r="37" spans="1:5" x14ac:dyDescent="0.2">
      <c r="A37" s="2">
        <v>306</v>
      </c>
      <c r="B37" s="2">
        <v>306</v>
      </c>
      <c r="C37" s="2">
        <v>306</v>
      </c>
      <c r="D37" s="2">
        <v>306</v>
      </c>
      <c r="E37" s="2" t="s">
        <v>290</v>
      </c>
    </row>
    <row r="38" spans="1:5" x14ac:dyDescent="0.2">
      <c r="A38">
        <v>307</v>
      </c>
      <c r="B38">
        <v>307</v>
      </c>
      <c r="C38">
        <v>307</v>
      </c>
      <c r="D38">
        <v>307</v>
      </c>
      <c r="E38" t="s">
        <v>290</v>
      </c>
    </row>
    <row r="39" spans="1:5" x14ac:dyDescent="0.2">
      <c r="A39">
        <v>308</v>
      </c>
      <c r="B39">
        <v>308</v>
      </c>
      <c r="C39">
        <v>308</v>
      </c>
      <c r="D39" s="2">
        <v>308</v>
      </c>
      <c r="E39" s="2" t="s">
        <v>290</v>
      </c>
    </row>
    <row r="40" spans="1:5" x14ac:dyDescent="0.2">
      <c r="A40" s="2">
        <v>310</v>
      </c>
      <c r="B40" s="2">
        <v>310</v>
      </c>
      <c r="C40" s="2">
        <v>310</v>
      </c>
      <c r="D40" s="2">
        <v>310</v>
      </c>
      <c r="E40" s="2" t="s">
        <v>290</v>
      </c>
    </row>
    <row r="41" spans="1:5" x14ac:dyDescent="0.2">
      <c r="A41">
        <v>311</v>
      </c>
      <c r="B41">
        <v>311</v>
      </c>
      <c r="C41">
        <v>311</v>
      </c>
      <c r="D41">
        <v>311</v>
      </c>
      <c r="E41" t="s">
        <v>290</v>
      </c>
    </row>
    <row r="42" spans="1:5" x14ac:dyDescent="0.2">
      <c r="A42" s="2">
        <v>312</v>
      </c>
      <c r="B42" s="2">
        <v>312</v>
      </c>
      <c r="C42" s="2">
        <v>312</v>
      </c>
      <c r="D42" s="2">
        <v>312</v>
      </c>
      <c r="E42" s="2" t="s">
        <v>290</v>
      </c>
    </row>
    <row r="43" spans="1:5" x14ac:dyDescent="0.2">
      <c r="A43" s="2">
        <v>313</v>
      </c>
      <c r="B43" s="2">
        <v>313</v>
      </c>
      <c r="C43" s="2">
        <v>313</v>
      </c>
      <c r="D43" s="2">
        <v>313</v>
      </c>
      <c r="E43" s="2" t="s">
        <v>290</v>
      </c>
    </row>
    <row r="44" spans="1:5" x14ac:dyDescent="0.2">
      <c r="A44" s="2">
        <v>314</v>
      </c>
      <c r="B44" s="2">
        <v>314</v>
      </c>
      <c r="C44" s="2">
        <v>314</v>
      </c>
      <c r="D44" s="2">
        <v>314</v>
      </c>
      <c r="E44" s="2" t="s">
        <v>290</v>
      </c>
    </row>
    <row r="45" spans="1:5" x14ac:dyDescent="0.2">
      <c r="A45" s="2">
        <v>316</v>
      </c>
      <c r="B45" s="2">
        <v>316</v>
      </c>
      <c r="C45" s="2">
        <v>316</v>
      </c>
      <c r="D45" s="2">
        <v>316</v>
      </c>
      <c r="E45" s="2" t="s">
        <v>290</v>
      </c>
    </row>
    <row r="46" spans="1:5" x14ac:dyDescent="0.2">
      <c r="A46" s="2">
        <v>317</v>
      </c>
      <c r="B46" s="2">
        <v>317</v>
      </c>
      <c r="C46" s="2">
        <v>317</v>
      </c>
      <c r="D46" s="2">
        <v>317</v>
      </c>
      <c r="E46" s="2" t="s">
        <v>290</v>
      </c>
    </row>
    <row r="47" spans="1:5" x14ac:dyDescent="0.2">
      <c r="A47">
        <v>318</v>
      </c>
      <c r="B47">
        <v>318</v>
      </c>
      <c r="C47">
        <v>318</v>
      </c>
      <c r="D47" s="2">
        <v>318</v>
      </c>
      <c r="E47" s="2" t="s">
        <v>290</v>
      </c>
    </row>
    <row r="48" spans="1:5" x14ac:dyDescent="0.2">
      <c r="A48" s="2">
        <v>319</v>
      </c>
      <c r="B48" s="2">
        <v>319</v>
      </c>
      <c r="C48" s="2">
        <v>319</v>
      </c>
      <c r="D48" s="2">
        <v>319</v>
      </c>
      <c r="E48" s="2" t="s">
        <v>290</v>
      </c>
    </row>
    <row r="49" spans="1:5" x14ac:dyDescent="0.2">
      <c r="A49" s="2">
        <v>320</v>
      </c>
      <c r="B49" s="2">
        <v>320</v>
      </c>
      <c r="C49" s="2">
        <v>320</v>
      </c>
      <c r="D49" s="2">
        <v>320</v>
      </c>
      <c r="E49" s="2" t="s">
        <v>290</v>
      </c>
    </row>
    <row r="50" spans="1:5" x14ac:dyDescent="0.2">
      <c r="A50" s="2">
        <v>321</v>
      </c>
      <c r="B50" s="2">
        <v>321</v>
      </c>
      <c r="C50" s="2">
        <v>321</v>
      </c>
      <c r="D50">
        <v>321</v>
      </c>
      <c r="E50" t="s">
        <v>290</v>
      </c>
    </row>
    <row r="51" spans="1:5" x14ac:dyDescent="0.2">
      <c r="A51" s="2">
        <v>322</v>
      </c>
      <c r="B51" s="2">
        <v>322</v>
      </c>
      <c r="C51" s="2">
        <v>322</v>
      </c>
      <c r="D51" s="2">
        <v>322</v>
      </c>
      <c r="E51" s="2" t="s">
        <v>290</v>
      </c>
    </row>
    <row r="52" spans="1:5" x14ac:dyDescent="0.2">
      <c r="A52" s="2">
        <v>323</v>
      </c>
      <c r="B52" s="2">
        <v>323</v>
      </c>
      <c r="C52" s="2">
        <v>323</v>
      </c>
      <c r="D52" s="2">
        <v>323</v>
      </c>
      <c r="E52" s="2" t="s">
        <v>290</v>
      </c>
    </row>
    <row r="53" spans="1:5" x14ac:dyDescent="0.2">
      <c r="A53" s="2">
        <v>324</v>
      </c>
      <c r="B53" s="2">
        <v>324</v>
      </c>
      <c r="C53" s="2">
        <v>324</v>
      </c>
      <c r="D53" s="2">
        <v>324</v>
      </c>
      <c r="E53" s="2" t="s">
        <v>290</v>
      </c>
    </row>
    <row r="54" spans="1:5" x14ac:dyDescent="0.2">
      <c r="A54" s="2">
        <v>325</v>
      </c>
      <c r="B54" s="2">
        <v>325</v>
      </c>
      <c r="C54" s="2">
        <v>325</v>
      </c>
      <c r="D54">
        <v>325</v>
      </c>
      <c r="E54" t="s">
        <v>290</v>
      </c>
    </row>
    <row r="55" spans="1:5" x14ac:dyDescent="0.2">
      <c r="A55" s="2">
        <v>326</v>
      </c>
      <c r="B55" s="2">
        <v>326</v>
      </c>
      <c r="C55" s="2">
        <v>326</v>
      </c>
      <c r="D55" s="2">
        <v>326</v>
      </c>
      <c r="E55" s="2" t="s">
        <v>290</v>
      </c>
    </row>
    <row r="56" spans="1:5" x14ac:dyDescent="0.2">
      <c r="A56" s="2">
        <v>327</v>
      </c>
      <c r="B56" s="2">
        <v>327</v>
      </c>
      <c r="C56" s="2">
        <v>327</v>
      </c>
      <c r="D56" s="2">
        <v>327</v>
      </c>
      <c r="E56" s="2" t="s">
        <v>290</v>
      </c>
    </row>
    <row r="57" spans="1:5" x14ac:dyDescent="0.2">
      <c r="A57" s="2">
        <v>328</v>
      </c>
      <c r="B57" s="2">
        <v>328</v>
      </c>
      <c r="C57" s="2">
        <v>328</v>
      </c>
      <c r="D57" s="2">
        <v>328</v>
      </c>
      <c r="E57" s="2" t="s">
        <v>290</v>
      </c>
    </row>
    <row r="58" spans="1:5" x14ac:dyDescent="0.2">
      <c r="A58" s="2">
        <v>329</v>
      </c>
      <c r="B58" s="2">
        <v>329</v>
      </c>
      <c r="C58" s="2">
        <v>329</v>
      </c>
      <c r="D58">
        <v>329</v>
      </c>
      <c r="E58" t="s">
        <v>290</v>
      </c>
    </row>
    <row r="59" spans="1:5" x14ac:dyDescent="0.2">
      <c r="A59" s="2">
        <v>330</v>
      </c>
      <c r="B59" s="2">
        <v>330</v>
      </c>
      <c r="C59" s="2">
        <v>330</v>
      </c>
      <c r="D59" s="2">
        <v>330</v>
      </c>
      <c r="E59" s="2" t="s">
        <v>290</v>
      </c>
    </row>
    <row r="60" spans="1:5" x14ac:dyDescent="0.2">
      <c r="A60" s="2">
        <v>331</v>
      </c>
      <c r="B60" s="2">
        <v>331</v>
      </c>
      <c r="C60" s="2">
        <v>331</v>
      </c>
      <c r="D60" s="2">
        <v>331</v>
      </c>
      <c r="E60" s="2" t="s">
        <v>290</v>
      </c>
    </row>
    <row r="61" spans="1:5" x14ac:dyDescent="0.2">
      <c r="A61" s="2">
        <v>332</v>
      </c>
      <c r="B61" s="2">
        <v>332</v>
      </c>
      <c r="C61" s="2">
        <v>332</v>
      </c>
      <c r="D61" s="2">
        <v>332</v>
      </c>
      <c r="E61" s="2" t="s">
        <v>290</v>
      </c>
    </row>
    <row r="62" spans="1:5" x14ac:dyDescent="0.2">
      <c r="A62">
        <v>333</v>
      </c>
      <c r="B62">
        <v>333</v>
      </c>
      <c r="C62">
        <v>333</v>
      </c>
      <c r="D62" s="2">
        <v>333</v>
      </c>
      <c r="E62" s="2" t="s">
        <v>290</v>
      </c>
    </row>
    <row r="63" spans="1:5" x14ac:dyDescent="0.2">
      <c r="A63" s="2">
        <v>334</v>
      </c>
      <c r="B63" s="2">
        <v>334</v>
      </c>
      <c r="C63" s="2">
        <v>334</v>
      </c>
      <c r="D63" s="2">
        <v>334</v>
      </c>
      <c r="E63" s="2" t="s">
        <v>290</v>
      </c>
    </row>
    <row r="64" spans="1:5" x14ac:dyDescent="0.2">
      <c r="A64" s="2">
        <v>335</v>
      </c>
      <c r="B64" s="2">
        <v>335</v>
      </c>
      <c r="C64" s="2">
        <v>335</v>
      </c>
      <c r="D64">
        <v>335</v>
      </c>
      <c r="E64" t="s">
        <v>290</v>
      </c>
    </row>
    <row r="65" spans="1:5" x14ac:dyDescent="0.2">
      <c r="A65" s="2">
        <v>337</v>
      </c>
      <c r="B65" s="2">
        <v>337</v>
      </c>
      <c r="C65" s="2">
        <v>337</v>
      </c>
      <c r="D65">
        <v>337</v>
      </c>
      <c r="E65" t="s">
        <v>290</v>
      </c>
    </row>
    <row r="66" spans="1:5" x14ac:dyDescent="0.2">
      <c r="A66" s="2">
        <v>339</v>
      </c>
      <c r="B66" s="2">
        <v>339</v>
      </c>
      <c r="C66" s="2">
        <v>339</v>
      </c>
      <c r="D66" s="2">
        <v>339</v>
      </c>
      <c r="E66" s="2" t="s">
        <v>290</v>
      </c>
    </row>
    <row r="67" spans="1:5" x14ac:dyDescent="0.2">
      <c r="A67" s="2">
        <v>340</v>
      </c>
      <c r="B67" s="2">
        <v>340</v>
      </c>
      <c r="C67" s="2">
        <v>340</v>
      </c>
      <c r="D67" s="2">
        <v>340</v>
      </c>
      <c r="E67" s="2" t="s">
        <v>290</v>
      </c>
    </row>
    <row r="68" spans="1:5" x14ac:dyDescent="0.2">
      <c r="A68">
        <v>341</v>
      </c>
      <c r="B68">
        <v>341</v>
      </c>
      <c r="C68">
        <v>341</v>
      </c>
      <c r="D68" s="2">
        <v>341</v>
      </c>
      <c r="E68" s="2" t="s">
        <v>290</v>
      </c>
    </row>
    <row r="69" spans="1:5" x14ac:dyDescent="0.2">
      <c r="A69" s="2">
        <v>342</v>
      </c>
      <c r="B69" s="2">
        <v>342</v>
      </c>
      <c r="C69" s="2">
        <v>342</v>
      </c>
      <c r="D69" s="2">
        <v>342</v>
      </c>
      <c r="E69" s="2" t="s">
        <v>290</v>
      </c>
    </row>
    <row r="70" spans="1:5" x14ac:dyDescent="0.2">
      <c r="A70" s="2">
        <v>343</v>
      </c>
      <c r="B70" s="2">
        <v>343</v>
      </c>
      <c r="C70" s="2">
        <v>343</v>
      </c>
      <c r="D70" s="2">
        <v>343</v>
      </c>
      <c r="E70" s="2" t="s">
        <v>290</v>
      </c>
    </row>
    <row r="71" spans="1:5" x14ac:dyDescent="0.2">
      <c r="A71">
        <v>344</v>
      </c>
      <c r="B71">
        <v>344</v>
      </c>
      <c r="C71">
        <v>344</v>
      </c>
      <c r="D71">
        <v>344</v>
      </c>
      <c r="E71" t="s">
        <v>290</v>
      </c>
    </row>
    <row r="72" spans="1:5" x14ac:dyDescent="0.2">
      <c r="A72" s="2">
        <v>345</v>
      </c>
      <c r="B72" s="2">
        <v>345</v>
      </c>
      <c r="C72" s="2">
        <v>345</v>
      </c>
      <c r="D72" s="2">
        <v>345</v>
      </c>
      <c r="E72" s="2" t="s">
        <v>290</v>
      </c>
    </row>
    <row r="73" spans="1:5" x14ac:dyDescent="0.2">
      <c r="A73" s="2">
        <v>346</v>
      </c>
      <c r="B73" s="2">
        <v>346</v>
      </c>
      <c r="C73" s="2">
        <v>346</v>
      </c>
      <c r="D73" s="2">
        <v>346</v>
      </c>
      <c r="E73" s="2" t="s">
        <v>290</v>
      </c>
    </row>
    <row r="74" spans="1:5" x14ac:dyDescent="0.2">
      <c r="A74" s="2">
        <v>347</v>
      </c>
      <c r="B74" s="2">
        <v>347</v>
      </c>
      <c r="C74" s="2">
        <v>347</v>
      </c>
      <c r="D74" s="2">
        <v>347</v>
      </c>
      <c r="E74" s="2" t="s">
        <v>290</v>
      </c>
    </row>
    <row r="75" spans="1:5" x14ac:dyDescent="0.2">
      <c r="A75" s="2">
        <v>348</v>
      </c>
      <c r="B75" s="2">
        <v>348</v>
      </c>
      <c r="C75" s="2">
        <v>348</v>
      </c>
      <c r="D75" s="2">
        <v>348</v>
      </c>
      <c r="E75" s="2" t="s">
        <v>290</v>
      </c>
    </row>
    <row r="76" spans="1:5" x14ac:dyDescent="0.2">
      <c r="A76" s="2">
        <v>351</v>
      </c>
      <c r="B76" s="2">
        <v>351</v>
      </c>
      <c r="C76" s="2">
        <v>351</v>
      </c>
      <c r="D76">
        <v>351</v>
      </c>
      <c r="E76" t="s">
        <v>290</v>
      </c>
    </row>
    <row r="77" spans="1:5" x14ac:dyDescent="0.2">
      <c r="A77" s="2">
        <v>352</v>
      </c>
      <c r="B77" s="2">
        <v>352</v>
      </c>
      <c r="C77" s="2">
        <v>352</v>
      </c>
      <c r="D77" s="2">
        <v>352</v>
      </c>
      <c r="E77" s="2" t="s">
        <v>290</v>
      </c>
    </row>
    <row r="78" spans="1:5" x14ac:dyDescent="0.2">
      <c r="A78" s="2">
        <v>353</v>
      </c>
      <c r="B78" s="2">
        <v>353</v>
      </c>
      <c r="C78" s="2">
        <v>353</v>
      </c>
      <c r="D78" s="2">
        <v>353</v>
      </c>
      <c r="E78" s="2" t="s">
        <v>290</v>
      </c>
    </row>
    <row r="79" spans="1:5" x14ac:dyDescent="0.2">
      <c r="A79" s="2">
        <v>354</v>
      </c>
      <c r="B79" s="2">
        <v>354</v>
      </c>
      <c r="C79" s="2">
        <v>354</v>
      </c>
      <c r="D79" s="2">
        <v>354</v>
      </c>
      <c r="E79" s="2" t="s">
        <v>290</v>
      </c>
    </row>
    <row r="80" spans="1:5" x14ac:dyDescent="0.2">
      <c r="A80" s="2">
        <v>355</v>
      </c>
      <c r="B80" s="2">
        <v>355</v>
      </c>
      <c r="C80" s="2">
        <v>355</v>
      </c>
      <c r="D80" s="2">
        <v>355</v>
      </c>
      <c r="E80" s="2" t="s">
        <v>290</v>
      </c>
    </row>
    <row r="81" spans="1:5" x14ac:dyDescent="0.2">
      <c r="A81" s="2">
        <v>356</v>
      </c>
      <c r="B81" s="2">
        <v>356</v>
      </c>
      <c r="C81" s="2">
        <v>356</v>
      </c>
      <c r="D81" s="2">
        <v>356</v>
      </c>
      <c r="E81" s="2" t="s">
        <v>290</v>
      </c>
    </row>
    <row r="82" spans="1:5" x14ac:dyDescent="0.2">
      <c r="A82" s="2">
        <v>357</v>
      </c>
      <c r="B82" s="2">
        <v>357</v>
      </c>
      <c r="C82" s="2">
        <v>357</v>
      </c>
      <c r="D82">
        <v>357</v>
      </c>
      <c r="E82" t="s">
        <v>290</v>
      </c>
    </row>
    <row r="83" spans="1:5" x14ac:dyDescent="0.2">
      <c r="A83" s="2">
        <v>358</v>
      </c>
      <c r="B83" s="2">
        <v>358</v>
      </c>
      <c r="C83" s="2">
        <v>358</v>
      </c>
      <c r="D83" s="2">
        <v>358</v>
      </c>
      <c r="E83" s="2" t="s">
        <v>290</v>
      </c>
    </row>
    <row r="84" spans="1:5" x14ac:dyDescent="0.2">
      <c r="A84" s="2">
        <v>359</v>
      </c>
      <c r="B84" s="2">
        <v>359</v>
      </c>
      <c r="C84" s="2">
        <v>359</v>
      </c>
      <c r="D84" s="2">
        <v>359</v>
      </c>
      <c r="E84" s="2" t="s">
        <v>290</v>
      </c>
    </row>
    <row r="85" spans="1:5" x14ac:dyDescent="0.2">
      <c r="A85">
        <v>360</v>
      </c>
      <c r="B85">
        <v>360</v>
      </c>
      <c r="C85">
        <v>360</v>
      </c>
      <c r="D85">
        <v>360</v>
      </c>
      <c r="E85" t="s">
        <v>290</v>
      </c>
    </row>
    <row r="86" spans="1:5" x14ac:dyDescent="0.2">
      <c r="A86" s="2">
        <v>361</v>
      </c>
      <c r="B86" s="2">
        <v>0</v>
      </c>
      <c r="C86" s="2">
        <v>0</v>
      </c>
      <c r="D86" s="2">
        <v>361</v>
      </c>
      <c r="E86" s="2" t="s">
        <v>290</v>
      </c>
    </row>
    <row r="87" spans="1:5" x14ac:dyDescent="0.2">
      <c r="A87" s="2">
        <v>362</v>
      </c>
      <c r="B87" s="2">
        <v>362</v>
      </c>
      <c r="C87" s="2">
        <v>362</v>
      </c>
      <c r="D87">
        <v>362</v>
      </c>
      <c r="E87" t="s">
        <v>290</v>
      </c>
    </row>
    <row r="88" spans="1:5" x14ac:dyDescent="0.2">
      <c r="A88" s="2">
        <v>364</v>
      </c>
      <c r="B88" s="2">
        <v>364</v>
      </c>
      <c r="C88" s="2">
        <v>364</v>
      </c>
      <c r="D88" s="2">
        <v>364</v>
      </c>
      <c r="E88" s="2" t="s">
        <v>290</v>
      </c>
    </row>
    <row r="89" spans="1:5" x14ac:dyDescent="0.2">
      <c r="A89">
        <v>366</v>
      </c>
      <c r="B89">
        <v>366</v>
      </c>
      <c r="C89">
        <v>366</v>
      </c>
      <c r="D89" s="2">
        <v>366</v>
      </c>
      <c r="E89" s="2" t="s">
        <v>290</v>
      </c>
    </row>
    <row r="90" spans="1:5" x14ac:dyDescent="0.2">
      <c r="A90" s="2">
        <v>367</v>
      </c>
      <c r="B90" s="2">
        <v>367</v>
      </c>
      <c r="C90" s="2">
        <v>367</v>
      </c>
      <c r="D90" s="2">
        <v>367</v>
      </c>
      <c r="E90" s="2" t="s">
        <v>290</v>
      </c>
    </row>
    <row r="91" spans="1:5" x14ac:dyDescent="0.2">
      <c r="A91" s="2">
        <v>368</v>
      </c>
      <c r="B91" s="2">
        <v>368</v>
      </c>
      <c r="C91" s="2">
        <v>368</v>
      </c>
      <c r="D91" s="2">
        <v>368</v>
      </c>
      <c r="E91" s="2" t="s">
        <v>290</v>
      </c>
    </row>
    <row r="92" spans="1:5" x14ac:dyDescent="0.2">
      <c r="A92">
        <v>369</v>
      </c>
      <c r="B92">
        <v>369</v>
      </c>
      <c r="C92">
        <v>369</v>
      </c>
      <c r="D92" s="2">
        <v>369</v>
      </c>
      <c r="E92" s="2" t="s">
        <v>290</v>
      </c>
    </row>
    <row r="93" spans="1:5" x14ac:dyDescent="0.2">
      <c r="A93" s="2">
        <v>370</v>
      </c>
      <c r="B93" s="2">
        <v>370</v>
      </c>
      <c r="C93" s="2">
        <v>370</v>
      </c>
      <c r="D93" s="2">
        <v>370</v>
      </c>
      <c r="E93" s="2" t="s">
        <v>290</v>
      </c>
    </row>
    <row r="94" spans="1:5" x14ac:dyDescent="0.2">
      <c r="A94" s="2">
        <v>372</v>
      </c>
      <c r="B94" s="2">
        <v>372</v>
      </c>
      <c r="C94" s="2">
        <v>372</v>
      </c>
      <c r="D94" s="2">
        <v>372</v>
      </c>
      <c r="E94" s="2" t="s">
        <v>290</v>
      </c>
    </row>
    <row r="95" spans="1:5" x14ac:dyDescent="0.2">
      <c r="A95" s="2">
        <v>374</v>
      </c>
      <c r="B95" s="2">
        <v>374</v>
      </c>
      <c r="C95" s="2">
        <v>374</v>
      </c>
      <c r="D95" s="2">
        <v>374</v>
      </c>
      <c r="E95" s="2" t="s">
        <v>290</v>
      </c>
    </row>
    <row r="96" spans="1:5" x14ac:dyDescent="0.2">
      <c r="A96">
        <v>375</v>
      </c>
      <c r="B96">
        <v>0</v>
      </c>
      <c r="C96">
        <v>0</v>
      </c>
      <c r="D96">
        <v>375</v>
      </c>
      <c r="E96" t="s">
        <v>290</v>
      </c>
    </row>
    <row r="97" spans="1:5" x14ac:dyDescent="0.2">
      <c r="A97">
        <v>376</v>
      </c>
      <c r="B97">
        <v>0</v>
      </c>
      <c r="C97">
        <v>0</v>
      </c>
      <c r="D97" s="2">
        <v>376</v>
      </c>
      <c r="E97" s="2" t="s">
        <v>290</v>
      </c>
    </row>
    <row r="98" spans="1:5" x14ac:dyDescent="0.2">
      <c r="A98" s="2">
        <v>377</v>
      </c>
      <c r="B98" s="2">
        <v>269</v>
      </c>
      <c r="C98" s="2">
        <v>0</v>
      </c>
      <c r="D98" s="2">
        <v>377</v>
      </c>
      <c r="E98" s="2" t="s">
        <v>290</v>
      </c>
    </row>
    <row r="99" spans="1:5" x14ac:dyDescent="0.2">
      <c r="A99" s="2">
        <v>378</v>
      </c>
      <c r="B99" s="2">
        <v>378</v>
      </c>
      <c r="C99" s="2">
        <v>378</v>
      </c>
      <c r="D99">
        <v>378</v>
      </c>
      <c r="E99" t="s">
        <v>290</v>
      </c>
    </row>
    <row r="100" spans="1:5" x14ac:dyDescent="0.2">
      <c r="A100">
        <v>379</v>
      </c>
      <c r="B100">
        <v>379</v>
      </c>
      <c r="C100">
        <v>379</v>
      </c>
      <c r="D100" s="2">
        <v>379</v>
      </c>
      <c r="E100" s="2" t="s">
        <v>290</v>
      </c>
    </row>
    <row r="101" spans="1:5" x14ac:dyDescent="0.2">
      <c r="A101">
        <v>381</v>
      </c>
      <c r="B101">
        <v>381</v>
      </c>
      <c r="C101">
        <v>381</v>
      </c>
      <c r="D101" s="2">
        <v>381</v>
      </c>
      <c r="E101" s="2" t="s">
        <v>290</v>
      </c>
    </row>
    <row r="102" spans="1:5" x14ac:dyDescent="0.2">
      <c r="A102" s="2">
        <v>382</v>
      </c>
      <c r="B102" s="2">
        <v>382</v>
      </c>
      <c r="C102" s="2">
        <v>382</v>
      </c>
      <c r="D102" s="2">
        <v>382</v>
      </c>
      <c r="E102" s="2" t="s">
        <v>290</v>
      </c>
    </row>
    <row r="103" spans="1:5" x14ac:dyDescent="0.2">
      <c r="A103" s="2">
        <v>383</v>
      </c>
      <c r="B103" s="2">
        <v>383</v>
      </c>
      <c r="C103" s="2">
        <v>383</v>
      </c>
      <c r="D103" s="2">
        <v>383</v>
      </c>
      <c r="E103" s="2" t="s">
        <v>290</v>
      </c>
    </row>
    <row r="104" spans="1:5" x14ac:dyDescent="0.2">
      <c r="A104">
        <v>384</v>
      </c>
      <c r="B104">
        <v>384</v>
      </c>
      <c r="C104">
        <v>384</v>
      </c>
      <c r="D104">
        <v>384</v>
      </c>
      <c r="E104" t="s">
        <v>290</v>
      </c>
    </row>
    <row r="105" spans="1:5" x14ac:dyDescent="0.2">
      <c r="A105" s="2">
        <v>386</v>
      </c>
      <c r="B105" s="2">
        <v>386</v>
      </c>
      <c r="C105" s="2">
        <v>386</v>
      </c>
      <c r="D105">
        <v>386</v>
      </c>
      <c r="E105" t="s">
        <v>290</v>
      </c>
    </row>
    <row r="106" spans="1:5" x14ac:dyDescent="0.2">
      <c r="A106" s="2">
        <v>387</v>
      </c>
      <c r="B106" s="2">
        <v>387</v>
      </c>
      <c r="C106" s="2">
        <v>387</v>
      </c>
      <c r="D106" s="2">
        <v>387</v>
      </c>
      <c r="E106" s="2" t="s">
        <v>290</v>
      </c>
    </row>
    <row r="107" spans="1:5" x14ac:dyDescent="0.2">
      <c r="A107" s="2">
        <v>388</v>
      </c>
      <c r="B107" s="2">
        <v>388</v>
      </c>
      <c r="C107" s="2">
        <v>388</v>
      </c>
      <c r="D107" s="2">
        <v>388</v>
      </c>
      <c r="E107" s="2" t="s">
        <v>290</v>
      </c>
    </row>
    <row r="108" spans="1:5" x14ac:dyDescent="0.2">
      <c r="A108" s="2">
        <v>389</v>
      </c>
      <c r="B108" s="2">
        <v>389</v>
      </c>
      <c r="C108" s="2">
        <v>389</v>
      </c>
      <c r="D108" s="2">
        <v>389</v>
      </c>
      <c r="E108" s="2" t="s">
        <v>290</v>
      </c>
    </row>
    <row r="109" spans="1:5" x14ac:dyDescent="0.2">
      <c r="A109" s="2">
        <v>390</v>
      </c>
      <c r="B109" s="2">
        <v>390</v>
      </c>
      <c r="C109" s="2">
        <v>390</v>
      </c>
      <c r="D109">
        <v>390</v>
      </c>
      <c r="E109" t="s">
        <v>290</v>
      </c>
    </row>
    <row r="110" spans="1:5" x14ac:dyDescent="0.2">
      <c r="A110">
        <v>391</v>
      </c>
      <c r="B110">
        <v>391</v>
      </c>
      <c r="C110">
        <v>391</v>
      </c>
      <c r="D110">
        <v>391</v>
      </c>
      <c r="E110" t="s">
        <v>290</v>
      </c>
    </row>
    <row r="111" spans="1:5" x14ac:dyDescent="0.2">
      <c r="A111">
        <v>394</v>
      </c>
      <c r="B111">
        <v>394</v>
      </c>
      <c r="C111">
        <v>394</v>
      </c>
      <c r="D111" s="2">
        <v>394</v>
      </c>
      <c r="E111" s="2" t="s">
        <v>290</v>
      </c>
    </row>
    <row r="112" spans="1:5" x14ac:dyDescent="0.2">
      <c r="A112" s="2">
        <v>395</v>
      </c>
      <c r="B112" s="2">
        <v>395</v>
      </c>
      <c r="C112" s="2">
        <v>395</v>
      </c>
      <c r="D112" s="2">
        <v>395</v>
      </c>
      <c r="E112" s="2" t="s">
        <v>290</v>
      </c>
    </row>
    <row r="113" spans="1:5" x14ac:dyDescent="0.2">
      <c r="A113" s="2">
        <v>397</v>
      </c>
      <c r="B113" s="2">
        <v>397</v>
      </c>
      <c r="C113" s="2">
        <v>397</v>
      </c>
      <c r="D113" s="2">
        <v>397</v>
      </c>
      <c r="E113" s="2" t="s">
        <v>290</v>
      </c>
    </row>
    <row r="114" spans="1:5" x14ac:dyDescent="0.2">
      <c r="A114" s="2">
        <v>399</v>
      </c>
      <c r="B114" s="2">
        <v>399</v>
      </c>
      <c r="C114" s="2">
        <v>399</v>
      </c>
      <c r="D114" s="2">
        <v>399</v>
      </c>
      <c r="E114" s="2" t="s">
        <v>290</v>
      </c>
    </row>
    <row r="115" spans="1:5" x14ac:dyDescent="0.2">
      <c r="A115" s="2">
        <v>400</v>
      </c>
      <c r="B115" s="2">
        <v>400</v>
      </c>
      <c r="C115" s="2">
        <v>400</v>
      </c>
      <c r="D115" s="2">
        <v>400</v>
      </c>
      <c r="E115" s="2" t="s">
        <v>290</v>
      </c>
    </row>
    <row r="116" spans="1:5" x14ac:dyDescent="0.2">
      <c r="A116" s="2">
        <v>401</v>
      </c>
      <c r="B116" s="2">
        <v>401</v>
      </c>
      <c r="C116" s="2">
        <v>401</v>
      </c>
      <c r="D116" s="2">
        <v>401</v>
      </c>
      <c r="E116" s="2" t="s">
        <v>290</v>
      </c>
    </row>
    <row r="117" spans="1:5" x14ac:dyDescent="0.2">
      <c r="A117" s="2">
        <v>403</v>
      </c>
      <c r="B117" s="2">
        <v>403</v>
      </c>
      <c r="C117" s="2">
        <v>403</v>
      </c>
      <c r="D117" s="2">
        <v>403</v>
      </c>
      <c r="E117" s="2" t="s">
        <v>290</v>
      </c>
    </row>
    <row r="118" spans="1:5" x14ac:dyDescent="0.2">
      <c r="A118" s="2">
        <v>404</v>
      </c>
      <c r="B118" s="2">
        <v>0</v>
      </c>
      <c r="C118" s="2">
        <v>0</v>
      </c>
      <c r="D118" s="2">
        <v>404</v>
      </c>
      <c r="E118" s="2" t="s">
        <v>290</v>
      </c>
    </row>
    <row r="119" spans="1:5" x14ac:dyDescent="0.2">
      <c r="A119">
        <v>406</v>
      </c>
      <c r="B119">
        <v>406</v>
      </c>
      <c r="C119">
        <v>406</v>
      </c>
      <c r="D119" s="2">
        <v>406</v>
      </c>
      <c r="E119" s="2" t="s">
        <v>290</v>
      </c>
    </row>
    <row r="120" spans="1:5" x14ac:dyDescent="0.2">
      <c r="A120">
        <v>407</v>
      </c>
      <c r="B120">
        <v>407</v>
      </c>
      <c r="C120">
        <v>407</v>
      </c>
      <c r="D120" s="2">
        <v>407</v>
      </c>
      <c r="E120" s="2" t="s">
        <v>290</v>
      </c>
    </row>
    <row r="121" spans="1:5" x14ac:dyDescent="0.2">
      <c r="A121" s="2">
        <v>408</v>
      </c>
      <c r="B121" s="2">
        <v>408</v>
      </c>
      <c r="C121" s="2">
        <v>408</v>
      </c>
      <c r="D121" s="2">
        <v>408</v>
      </c>
      <c r="E121" s="2" t="s">
        <v>290</v>
      </c>
    </row>
    <row r="122" spans="1:5" x14ac:dyDescent="0.2">
      <c r="A122" s="2">
        <v>409</v>
      </c>
      <c r="B122" s="2">
        <v>0</v>
      </c>
      <c r="C122" s="2">
        <v>0</v>
      </c>
      <c r="D122" s="2">
        <v>409</v>
      </c>
      <c r="E122" s="2" t="s">
        <v>290</v>
      </c>
    </row>
    <row r="123" spans="1:5" x14ac:dyDescent="0.2">
      <c r="A123" s="2">
        <v>410</v>
      </c>
      <c r="B123" s="2">
        <v>410</v>
      </c>
      <c r="C123" s="2">
        <v>410</v>
      </c>
      <c r="D123" s="2">
        <v>410</v>
      </c>
      <c r="E123" s="2" t="s">
        <v>290</v>
      </c>
    </row>
    <row r="124" spans="1:5" x14ac:dyDescent="0.2">
      <c r="A124" s="2">
        <v>411</v>
      </c>
      <c r="B124" s="2">
        <v>0</v>
      </c>
      <c r="C124" s="2">
        <v>269</v>
      </c>
      <c r="D124" s="2">
        <v>411</v>
      </c>
      <c r="E124" s="2" t="s">
        <v>290</v>
      </c>
    </row>
    <row r="125" spans="1:5" x14ac:dyDescent="0.2">
      <c r="A125">
        <v>413</v>
      </c>
      <c r="B125">
        <v>413</v>
      </c>
      <c r="C125">
        <v>413</v>
      </c>
      <c r="D125" s="2">
        <v>413</v>
      </c>
      <c r="E125" s="2" t="s">
        <v>290</v>
      </c>
    </row>
    <row r="126" spans="1:5" x14ac:dyDescent="0.2">
      <c r="A126" s="2">
        <v>414</v>
      </c>
      <c r="B126" s="2">
        <v>414</v>
      </c>
      <c r="C126" s="2">
        <v>414</v>
      </c>
      <c r="D126" s="2">
        <v>414</v>
      </c>
      <c r="E126" s="2" t="s">
        <v>290</v>
      </c>
    </row>
    <row r="127" spans="1:5" x14ac:dyDescent="0.2">
      <c r="A127" s="2">
        <v>415</v>
      </c>
      <c r="B127" s="2">
        <v>415</v>
      </c>
      <c r="C127" s="2">
        <v>415</v>
      </c>
      <c r="D127" s="2">
        <v>415</v>
      </c>
      <c r="E127" s="2" t="s">
        <v>290</v>
      </c>
    </row>
    <row r="128" spans="1:5" x14ac:dyDescent="0.2">
      <c r="A128">
        <v>416</v>
      </c>
      <c r="B128">
        <v>416</v>
      </c>
      <c r="C128">
        <v>416</v>
      </c>
      <c r="D128">
        <v>416</v>
      </c>
      <c r="E128" t="s">
        <v>290</v>
      </c>
    </row>
    <row r="129" spans="1:5" x14ac:dyDescent="0.2">
      <c r="A129" s="2">
        <v>417</v>
      </c>
      <c r="B129" s="2">
        <v>269</v>
      </c>
      <c r="C129" s="2">
        <v>269</v>
      </c>
      <c r="D129" s="2">
        <v>417</v>
      </c>
      <c r="E129" s="2" t="s">
        <v>290</v>
      </c>
    </row>
    <row r="130" spans="1:5" x14ac:dyDescent="0.2">
      <c r="A130" s="2">
        <v>418</v>
      </c>
      <c r="B130" s="2">
        <v>418</v>
      </c>
      <c r="C130" s="2">
        <v>418</v>
      </c>
      <c r="D130" s="2">
        <v>418</v>
      </c>
      <c r="E130" s="2" t="s">
        <v>290</v>
      </c>
    </row>
    <row r="131" spans="1:5" x14ac:dyDescent="0.2">
      <c r="A131" s="2">
        <v>419</v>
      </c>
      <c r="B131" s="2">
        <v>419</v>
      </c>
      <c r="C131" s="2">
        <v>419</v>
      </c>
      <c r="D131" s="2">
        <v>419</v>
      </c>
      <c r="E131" s="2" t="s">
        <v>290</v>
      </c>
    </row>
    <row r="132" spans="1:5" x14ac:dyDescent="0.2">
      <c r="A132" s="2">
        <v>421</v>
      </c>
      <c r="B132" s="2">
        <v>421</v>
      </c>
      <c r="C132" s="2">
        <v>421</v>
      </c>
      <c r="D132" s="2">
        <v>421</v>
      </c>
      <c r="E132" s="2" t="s">
        <v>290</v>
      </c>
    </row>
    <row r="133" spans="1:5" x14ac:dyDescent="0.2">
      <c r="A133" s="2">
        <v>422</v>
      </c>
      <c r="B133" s="2">
        <v>275</v>
      </c>
      <c r="C133" s="2">
        <v>275</v>
      </c>
      <c r="D133" s="2">
        <v>275</v>
      </c>
      <c r="E133" s="2" t="s">
        <v>290</v>
      </c>
    </row>
    <row r="134" spans="1:5" x14ac:dyDescent="0.2">
      <c r="A134" s="2">
        <v>423</v>
      </c>
      <c r="B134" s="2">
        <v>423</v>
      </c>
      <c r="C134" s="2">
        <v>423</v>
      </c>
      <c r="D134" s="2">
        <v>423</v>
      </c>
      <c r="E134" s="2" t="s">
        <v>290</v>
      </c>
    </row>
    <row r="135" spans="1:5" x14ac:dyDescent="0.2">
      <c r="A135" s="2">
        <v>424</v>
      </c>
      <c r="B135" s="2">
        <v>424</v>
      </c>
      <c r="C135" s="2">
        <v>424</v>
      </c>
      <c r="D135" s="2">
        <v>424</v>
      </c>
      <c r="E135" s="2" t="s">
        <v>290</v>
      </c>
    </row>
    <row r="136" spans="1:5" x14ac:dyDescent="0.2">
      <c r="A136" s="2">
        <v>425</v>
      </c>
      <c r="B136" s="2">
        <v>314</v>
      </c>
      <c r="C136" s="2">
        <v>314</v>
      </c>
      <c r="D136" s="2">
        <v>314</v>
      </c>
      <c r="E136" s="2" t="s">
        <v>290</v>
      </c>
    </row>
    <row r="137" spans="1:5" x14ac:dyDescent="0.2">
      <c r="A137" s="2">
        <v>426</v>
      </c>
      <c r="B137" s="2">
        <v>426</v>
      </c>
      <c r="C137" s="2">
        <v>426</v>
      </c>
      <c r="D137" s="2">
        <v>426</v>
      </c>
      <c r="E137" s="2" t="s">
        <v>290</v>
      </c>
    </row>
    <row r="138" spans="1:5" x14ac:dyDescent="0.2">
      <c r="A138">
        <v>427</v>
      </c>
      <c r="B138">
        <v>346</v>
      </c>
      <c r="C138">
        <v>346</v>
      </c>
      <c r="D138" s="2">
        <v>346</v>
      </c>
      <c r="E138" s="2" t="s">
        <v>290</v>
      </c>
    </row>
    <row r="139" spans="1:5" x14ac:dyDescent="0.2">
      <c r="A139" s="2">
        <v>428</v>
      </c>
      <c r="B139" s="2">
        <v>428</v>
      </c>
      <c r="C139" s="2">
        <v>428</v>
      </c>
      <c r="D139" s="2">
        <v>428</v>
      </c>
      <c r="E139" s="2" t="s">
        <v>290</v>
      </c>
    </row>
    <row r="140" spans="1:5" x14ac:dyDescent="0.2">
      <c r="A140" s="2">
        <v>431</v>
      </c>
      <c r="B140" s="2">
        <v>431</v>
      </c>
      <c r="C140" s="2">
        <v>431</v>
      </c>
      <c r="D140" s="2">
        <v>431</v>
      </c>
      <c r="E140" s="2" t="s">
        <v>290</v>
      </c>
    </row>
    <row r="141" spans="1:5" x14ac:dyDescent="0.2">
      <c r="A141" s="2">
        <v>432</v>
      </c>
      <c r="B141" s="2">
        <v>432</v>
      </c>
      <c r="C141" s="2">
        <v>432</v>
      </c>
      <c r="D141" s="2">
        <v>432</v>
      </c>
      <c r="E141" s="2" t="s">
        <v>290</v>
      </c>
    </row>
    <row r="142" spans="1:5" x14ac:dyDescent="0.2">
      <c r="A142" s="2">
        <v>433</v>
      </c>
      <c r="B142" s="2">
        <v>433</v>
      </c>
      <c r="C142" s="2">
        <v>433</v>
      </c>
      <c r="D142" s="2">
        <v>433</v>
      </c>
      <c r="E142" s="2" t="s">
        <v>290</v>
      </c>
    </row>
    <row r="143" spans="1:5" x14ac:dyDescent="0.2">
      <c r="A143" s="2">
        <v>434</v>
      </c>
      <c r="B143" s="2">
        <v>434</v>
      </c>
      <c r="C143" s="2">
        <v>434</v>
      </c>
      <c r="D143" s="2">
        <v>434</v>
      </c>
      <c r="E143" s="2" t="s">
        <v>290</v>
      </c>
    </row>
    <row r="144" spans="1:5" x14ac:dyDescent="0.2">
      <c r="A144">
        <v>435</v>
      </c>
      <c r="B144">
        <v>435</v>
      </c>
      <c r="C144">
        <v>435</v>
      </c>
      <c r="D144" s="2">
        <v>435</v>
      </c>
      <c r="E144" s="2" t="s">
        <v>290</v>
      </c>
    </row>
    <row r="145" spans="1:5" x14ac:dyDescent="0.2">
      <c r="A145" s="2">
        <v>436</v>
      </c>
      <c r="B145" s="2">
        <v>436</v>
      </c>
      <c r="C145" s="2">
        <v>436</v>
      </c>
      <c r="D145" s="2">
        <v>436</v>
      </c>
      <c r="E145" s="2" t="s">
        <v>290</v>
      </c>
    </row>
    <row r="146" spans="1:5" x14ac:dyDescent="0.2">
      <c r="A146" s="2">
        <v>544</v>
      </c>
      <c r="B146" s="2">
        <v>269</v>
      </c>
      <c r="C146" s="2">
        <v>269</v>
      </c>
      <c r="D146" s="2">
        <v>544</v>
      </c>
      <c r="E146" s="2" t="s">
        <v>290</v>
      </c>
    </row>
    <row r="147" spans="1:5" x14ac:dyDescent="0.2">
      <c r="A147" s="2">
        <v>546</v>
      </c>
      <c r="B147" s="2">
        <v>546</v>
      </c>
      <c r="C147" s="2">
        <v>546</v>
      </c>
      <c r="D147" s="2">
        <v>546</v>
      </c>
      <c r="E147" s="2" t="s">
        <v>290</v>
      </c>
    </row>
    <row r="148" spans="1:5" x14ac:dyDescent="0.2">
      <c r="A148" s="2">
        <v>547</v>
      </c>
      <c r="B148" s="2">
        <v>547</v>
      </c>
      <c r="C148" s="2">
        <v>547</v>
      </c>
      <c r="D148" s="2">
        <v>547</v>
      </c>
      <c r="E148" s="2" t="s">
        <v>290</v>
      </c>
    </row>
    <row r="149" spans="1:5" x14ac:dyDescent="0.2">
      <c r="A149" s="2">
        <v>548</v>
      </c>
      <c r="B149" s="2">
        <v>548</v>
      </c>
      <c r="C149" s="2">
        <v>548</v>
      </c>
      <c r="D149" s="2">
        <v>548</v>
      </c>
      <c r="E149" s="2" t="s">
        <v>290</v>
      </c>
    </row>
    <row r="150" spans="1:5" x14ac:dyDescent="0.2">
      <c r="A150" s="2">
        <v>549</v>
      </c>
      <c r="B150" s="2">
        <v>549</v>
      </c>
      <c r="C150" s="2">
        <v>549</v>
      </c>
      <c r="D150">
        <v>549</v>
      </c>
      <c r="E150" t="s">
        <v>290</v>
      </c>
    </row>
    <row r="151" spans="1:5" x14ac:dyDescent="0.2">
      <c r="A151" s="2"/>
      <c r="B151" s="2"/>
      <c r="C151" s="2"/>
      <c r="D151" s="2"/>
      <c r="E151" s="2"/>
    </row>
    <row r="152" spans="1:5" x14ac:dyDescent="0.2">
      <c r="A152" s="2"/>
      <c r="B152" s="2"/>
      <c r="C152" s="2"/>
      <c r="D152" s="2"/>
      <c r="E152" s="2"/>
    </row>
    <row r="153" spans="1:5" x14ac:dyDescent="0.2">
      <c r="A153" s="2"/>
      <c r="B153" s="2"/>
      <c r="C153" s="2"/>
      <c r="D153" s="2"/>
      <c r="E153" s="2"/>
    </row>
    <row r="155" spans="1:5" x14ac:dyDescent="0.2">
      <c r="A155" s="2"/>
      <c r="B155" s="2"/>
      <c r="C155" s="2"/>
      <c r="D155" s="2"/>
      <c r="E155" s="2"/>
    </row>
    <row r="157" spans="1:5" x14ac:dyDescent="0.2">
      <c r="A157" s="2"/>
      <c r="B157" s="2"/>
      <c r="C157" s="2"/>
      <c r="D157" s="2"/>
      <c r="E157" s="2"/>
    </row>
    <row r="159" spans="1:5" x14ac:dyDescent="0.2">
      <c r="A159" s="2"/>
      <c r="B159" s="2"/>
      <c r="C159" s="2"/>
      <c r="D159" s="2"/>
      <c r="E159" s="2"/>
    </row>
    <row r="160" spans="1:5" x14ac:dyDescent="0.2">
      <c r="A160" s="2"/>
      <c r="B160" s="2"/>
      <c r="C160" s="2"/>
      <c r="D160" s="2"/>
      <c r="E160" s="2"/>
    </row>
    <row r="161" spans="1:5" x14ac:dyDescent="0.2">
      <c r="A161" s="2"/>
      <c r="B161" s="2"/>
      <c r="C161" s="2"/>
    </row>
    <row r="162" spans="1:5" x14ac:dyDescent="0.2">
      <c r="A162" s="2"/>
      <c r="B162" s="2"/>
      <c r="C162" s="2"/>
      <c r="D162" s="2"/>
      <c r="E162" s="2"/>
    </row>
    <row r="163" spans="1:5" x14ac:dyDescent="0.2">
      <c r="A163" s="2"/>
      <c r="B163" s="2"/>
      <c r="C163" s="2"/>
      <c r="D163" s="2"/>
      <c r="E163" s="2"/>
    </row>
    <row r="164" spans="1:5" x14ac:dyDescent="0.2">
      <c r="A164" s="2"/>
      <c r="B164" s="2"/>
      <c r="C164" s="2"/>
      <c r="D164" s="2"/>
      <c r="E164" s="2"/>
    </row>
    <row r="165" spans="1:5" x14ac:dyDescent="0.2">
      <c r="D165" s="2"/>
      <c r="E165" s="2"/>
    </row>
    <row r="166" spans="1:5" x14ac:dyDescent="0.2">
      <c r="A166" s="2"/>
      <c r="B166" s="2"/>
      <c r="C166" s="2"/>
      <c r="D166" s="2"/>
      <c r="E166" s="2"/>
    </row>
    <row r="167" spans="1:5" x14ac:dyDescent="0.2">
      <c r="A167" s="2"/>
      <c r="B167" s="2"/>
      <c r="C167" s="2"/>
    </row>
    <row r="168" spans="1:5" x14ac:dyDescent="0.2">
      <c r="D168" s="2"/>
      <c r="E168" s="2"/>
    </row>
    <row r="169" spans="1:5" x14ac:dyDescent="0.2">
      <c r="A169" s="2"/>
      <c r="B169" s="2"/>
      <c r="C169" s="2"/>
    </row>
    <row r="170" spans="1:5" x14ac:dyDescent="0.2">
      <c r="D170" s="2"/>
      <c r="E170" s="2"/>
    </row>
    <row r="172" spans="1:5" x14ac:dyDescent="0.2">
      <c r="D172" s="2"/>
      <c r="E172" s="2"/>
    </row>
    <row r="173" spans="1:5" x14ac:dyDescent="0.2">
      <c r="A173" s="2"/>
      <c r="B173" s="2"/>
      <c r="C173" s="2"/>
      <c r="D173" s="2"/>
      <c r="E173" s="2"/>
    </row>
    <row r="174" spans="1:5" x14ac:dyDescent="0.2">
      <c r="A174" s="2"/>
      <c r="B174" s="2"/>
      <c r="C174" s="2"/>
      <c r="D174" s="2"/>
      <c r="E174" s="2"/>
    </row>
    <row r="175" spans="1:5" x14ac:dyDescent="0.2">
      <c r="D175" s="2"/>
      <c r="E175" s="2"/>
    </row>
    <row r="176" spans="1:5" x14ac:dyDescent="0.2">
      <c r="D176" s="2"/>
      <c r="E176" s="2"/>
    </row>
    <row r="177" spans="1:5" x14ac:dyDescent="0.2">
      <c r="D177" s="5"/>
      <c r="E177" s="5"/>
    </row>
    <row r="178" spans="1:5" x14ac:dyDescent="0.2">
      <c r="A178" s="2"/>
      <c r="B178" s="2"/>
      <c r="C178" s="2"/>
      <c r="D178" s="2"/>
      <c r="E178" s="2"/>
    </row>
    <row r="179" spans="1:5" x14ac:dyDescent="0.2">
      <c r="A179" s="2"/>
      <c r="B179" s="2"/>
      <c r="C179" s="2"/>
      <c r="D179" s="2"/>
      <c r="E179" s="2"/>
    </row>
    <row r="181" spans="1:5" x14ac:dyDescent="0.2">
      <c r="A181" s="5"/>
      <c r="B181" s="5"/>
      <c r="C181" s="5"/>
    </row>
    <row r="182" spans="1:5" x14ac:dyDescent="0.2">
      <c r="A182" s="2"/>
      <c r="B182" s="2"/>
      <c r="C182" s="2"/>
    </row>
    <row r="183" spans="1:5" x14ac:dyDescent="0.2">
      <c r="A183" s="2"/>
      <c r="B183" s="2"/>
      <c r="C183" s="2"/>
    </row>
    <row r="184" spans="1:5" x14ac:dyDescent="0.2">
      <c r="A184" s="2"/>
      <c r="B184" s="2"/>
      <c r="C184" s="2"/>
    </row>
    <row r="185" spans="1:5" x14ac:dyDescent="0.2">
      <c r="A185" s="2"/>
      <c r="B185" s="2"/>
      <c r="C185" s="2"/>
    </row>
    <row r="186" spans="1:5" x14ac:dyDescent="0.2">
      <c r="A186" s="2"/>
      <c r="B186" s="2"/>
      <c r="C186" s="2"/>
    </row>
    <row r="189" spans="1:5" x14ac:dyDescent="0.2">
      <c r="A189" s="2"/>
      <c r="B189" s="2"/>
      <c r="C189" s="2"/>
    </row>
    <row r="192" spans="1:5" x14ac:dyDescent="0.2">
      <c r="A192" s="2"/>
      <c r="B192" s="2"/>
      <c r="C192" s="2"/>
    </row>
    <row r="193" spans="1:3" x14ac:dyDescent="0.2">
      <c r="A193" s="2"/>
      <c r="B193" s="2"/>
      <c r="C193" s="2"/>
    </row>
    <row r="194" spans="1:3" x14ac:dyDescent="0.2">
      <c r="A194" s="2"/>
      <c r="B194" s="2"/>
      <c r="C194" s="2"/>
    </row>
    <row r="195" spans="1:3" x14ac:dyDescent="0.2">
      <c r="A195" s="2"/>
      <c r="B195" s="2"/>
      <c r="C195" s="2"/>
    </row>
  </sheetData>
  <phoneticPr fontId="9" type="noConversion"/>
  <conditionalFormatting sqref="E8 D9:F9 I9:L9">
    <cfRule type="cellIs" dxfId="16" priority="1" stopIfTrue="1" operator="equal">
      <formula>SUSPECT</formula>
    </cfRule>
  </conditionalFormatting>
  <pageMargins left="0.75" right="0.75" top="1" bottom="1" header="0.5" footer="0.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35"/>
  <sheetViews>
    <sheetView zoomScale="90" zoomScaleNormal="90" zoomScalePageLayoutView="90" workbookViewId="0">
      <selection activeCell="A2" sqref="A2"/>
    </sheetView>
  </sheetViews>
  <sheetFormatPr defaultColWidth="8.85546875" defaultRowHeight="12.75" x14ac:dyDescent="0.2"/>
  <cols>
    <col min="1" max="1" width="11" style="3" bestFit="1" customWidth="1"/>
    <col min="2" max="2" width="13.5703125" style="3" bestFit="1" customWidth="1"/>
    <col min="3" max="3" width="10.42578125" style="3" bestFit="1" customWidth="1"/>
    <col min="4" max="4" width="12" style="3" bestFit="1" customWidth="1"/>
    <col min="5" max="5" width="10" style="3" bestFit="1" customWidth="1"/>
    <col min="6" max="7" width="13.28515625" style="3" bestFit="1" customWidth="1"/>
    <col min="8" max="8" width="9.5703125" style="3" bestFit="1" customWidth="1"/>
    <col min="9" max="10" width="15.28515625" style="3" bestFit="1" customWidth="1"/>
    <col min="11" max="12" width="13.28515625" style="3" bestFit="1" customWidth="1"/>
    <col min="13" max="14" width="14" style="3" bestFit="1" customWidth="1"/>
    <col min="15" max="15" width="13.85546875" style="3" bestFit="1" customWidth="1"/>
    <col min="16" max="16" width="14" style="3" bestFit="1" customWidth="1"/>
    <col min="17" max="17" width="16.140625" style="3" bestFit="1" customWidth="1"/>
    <col min="18" max="18" width="13.28515625" style="3" bestFit="1" customWidth="1"/>
    <col min="19" max="19" width="27.85546875" style="3" customWidth="1"/>
    <col min="20" max="20" width="10.28515625" style="3" bestFit="1" customWidth="1"/>
    <col min="21" max="22" width="17.28515625" style="3" bestFit="1" customWidth="1"/>
    <col min="23" max="23" width="9" style="3" bestFit="1" customWidth="1"/>
    <col min="24" max="24" width="14" style="23" bestFit="1" customWidth="1"/>
    <col min="25" max="26" width="13.28515625" style="23" bestFit="1" customWidth="1"/>
    <col min="27" max="27" width="17.7109375" style="23" bestFit="1" customWidth="1"/>
    <col min="28" max="28" width="10.28515625" style="23" bestFit="1" customWidth="1"/>
    <col min="29" max="29" width="15" style="50" bestFit="1" customWidth="1"/>
    <col min="30" max="31" width="13.28515625" style="23" bestFit="1" customWidth="1"/>
    <col min="32" max="32" width="13.28515625" style="3" bestFit="1" customWidth="1"/>
    <col min="33" max="39" width="8.85546875" style="10"/>
    <col min="40" max="40" width="11.5703125" style="10" customWidth="1"/>
    <col min="41" max="47" width="8.85546875" style="10"/>
    <col min="48" max="48" width="16.85546875" style="10" customWidth="1"/>
    <col min="49" max="54" width="8.85546875" style="10"/>
    <col min="55" max="55" width="11.140625" style="10" bestFit="1" customWidth="1"/>
    <col min="56" max="64" width="8.85546875" style="10"/>
    <col min="65" max="65" width="12.140625" style="79" bestFit="1" customWidth="1"/>
    <col min="66" max="66" width="14.42578125" style="3" bestFit="1" customWidth="1"/>
    <col min="67" max="67" width="11.28515625" style="3" bestFit="1" customWidth="1"/>
    <col min="68" max="16384" width="8.85546875" style="3"/>
  </cols>
  <sheetData>
    <row r="1" spans="1:69" customFormat="1" x14ac:dyDescent="0.2">
      <c r="A1" s="4" t="s">
        <v>3</v>
      </c>
      <c r="B1" s="4" t="s">
        <v>4</v>
      </c>
      <c r="C1" s="4" t="s">
        <v>0</v>
      </c>
      <c r="D1" s="4" t="s">
        <v>1</v>
      </c>
      <c r="E1" s="6" t="s">
        <v>57</v>
      </c>
      <c r="F1" s="6" t="s">
        <v>58</v>
      </c>
      <c r="G1" s="6" t="s">
        <v>59</v>
      </c>
      <c r="H1" s="6" t="s">
        <v>60</v>
      </c>
      <c r="I1" s="6" t="s">
        <v>61</v>
      </c>
      <c r="J1" s="6" t="s">
        <v>62</v>
      </c>
      <c r="K1" s="6" t="s">
        <v>50</v>
      </c>
      <c r="L1" s="6" t="s">
        <v>49</v>
      </c>
      <c r="M1" s="6" t="s">
        <v>48</v>
      </c>
      <c r="N1" s="6" t="s">
        <v>47</v>
      </c>
      <c r="O1" s="6" t="s">
        <v>66</v>
      </c>
      <c r="P1" s="6" t="s">
        <v>68</v>
      </c>
      <c r="Q1" s="6" t="s">
        <v>70</v>
      </c>
      <c r="R1" s="6" t="s">
        <v>72</v>
      </c>
      <c r="S1" s="6">
        <v>5</v>
      </c>
      <c r="T1" s="6">
        <v>6</v>
      </c>
      <c r="U1" s="6">
        <v>1</v>
      </c>
      <c r="V1" s="6">
        <v>2</v>
      </c>
      <c r="W1" s="6" t="s">
        <v>50</v>
      </c>
      <c r="X1" s="6" t="s">
        <v>49</v>
      </c>
      <c r="Y1" s="6" t="s">
        <v>66</v>
      </c>
      <c r="Z1" s="6" t="s">
        <v>68</v>
      </c>
      <c r="AA1" s="6" t="s">
        <v>70</v>
      </c>
      <c r="AB1" s="6">
        <v>5</v>
      </c>
      <c r="AC1" s="51" t="s">
        <v>28</v>
      </c>
      <c r="AD1" s="20" t="s">
        <v>29</v>
      </c>
      <c r="AE1" s="20" t="s">
        <v>29</v>
      </c>
      <c r="AF1" s="6">
        <v>7</v>
      </c>
      <c r="AG1" s="9" t="str">
        <f t="shared" ref="AG1:BG1" si="0">"M_"&amp;E1</f>
        <v>M_1a</v>
      </c>
      <c r="AH1" s="9" t="str">
        <f t="shared" si="0"/>
        <v>M_1b</v>
      </c>
      <c r="AI1" s="9" t="str">
        <f t="shared" si="0"/>
        <v>M_1c</v>
      </c>
      <c r="AJ1" s="9" t="str">
        <f t="shared" si="0"/>
        <v>M_1d</v>
      </c>
      <c r="AK1" s="9" t="str">
        <f t="shared" si="0"/>
        <v>M_2a</v>
      </c>
      <c r="AL1" s="9" t="str">
        <f t="shared" si="0"/>
        <v>M_2b</v>
      </c>
      <c r="AM1" s="9" t="str">
        <f t="shared" si="0"/>
        <v>M_3a</v>
      </c>
      <c r="AN1" s="9" t="str">
        <f t="shared" si="0"/>
        <v>M_3b</v>
      </c>
      <c r="AO1" s="9" t="str">
        <f t="shared" si="0"/>
        <v>M_3c</v>
      </c>
      <c r="AP1" s="9" t="str">
        <f t="shared" si="0"/>
        <v>M_3d</v>
      </c>
      <c r="AQ1" s="9" t="str">
        <f t="shared" si="0"/>
        <v>M_4a</v>
      </c>
      <c r="AR1" s="9" t="str">
        <f t="shared" si="0"/>
        <v>M_4b</v>
      </c>
      <c r="AS1" s="9" t="str">
        <f t="shared" si="0"/>
        <v>M_4c</v>
      </c>
      <c r="AT1" s="9" t="str">
        <f t="shared" si="0"/>
        <v>M_4d</v>
      </c>
      <c r="AU1" s="9" t="str">
        <f t="shared" si="0"/>
        <v>M_5</v>
      </c>
      <c r="AV1" s="9" t="str">
        <f t="shared" si="0"/>
        <v>M_6</v>
      </c>
      <c r="AW1" s="9" t="str">
        <f t="shared" si="0"/>
        <v>M_1</v>
      </c>
      <c r="AX1" s="9" t="str">
        <f t="shared" si="0"/>
        <v>M_2</v>
      </c>
      <c r="AY1" s="9" t="str">
        <f t="shared" si="0"/>
        <v>M_3a</v>
      </c>
      <c r="AZ1" s="9" t="str">
        <f t="shared" si="0"/>
        <v>M_3b</v>
      </c>
      <c r="BA1" s="9" t="str">
        <f t="shared" si="0"/>
        <v>M_4a</v>
      </c>
      <c r="BB1" s="9" t="str">
        <f t="shared" si="0"/>
        <v>M_4b</v>
      </c>
      <c r="BC1" s="9" t="str">
        <f t="shared" si="0"/>
        <v>M_4c</v>
      </c>
      <c r="BD1" s="9" t="str">
        <f t="shared" si="0"/>
        <v>M_5</v>
      </c>
      <c r="BE1" s="9" t="str">
        <f t="shared" si="0"/>
        <v>M_6a</v>
      </c>
      <c r="BF1" s="9" t="str">
        <f t="shared" si="0"/>
        <v>M_6b</v>
      </c>
      <c r="BG1" s="9" t="str">
        <f t="shared" si="0"/>
        <v>M_6b</v>
      </c>
      <c r="BH1" s="9" t="e">
        <f>"M_"&amp;#REF!</f>
        <v>#REF!</v>
      </c>
      <c r="BI1" s="9" t="e">
        <f>"M_"&amp;#REF!</f>
        <v>#REF!</v>
      </c>
      <c r="BJ1" s="9" t="e">
        <f>"M_"&amp;#REF!</f>
        <v>#REF!</v>
      </c>
      <c r="BK1" s="9" t="e">
        <f>"M_"&amp;#REF!</f>
        <v>#REF!</v>
      </c>
      <c r="BL1" s="9" t="str">
        <f>"M_"&amp;AF1</f>
        <v>M_7</v>
      </c>
      <c r="BM1" s="7" t="s">
        <v>5</v>
      </c>
      <c r="BN1" s="7" t="s">
        <v>6</v>
      </c>
      <c r="BO1" s="7" t="s">
        <v>7</v>
      </c>
      <c r="BP1" s="3"/>
    </row>
    <row r="2" spans="1:69" s="5" customFormat="1" ht="23.25" customHeight="1" x14ac:dyDescent="0.2">
      <c r="A2" s="3">
        <v>143</v>
      </c>
      <c r="B2" s="79">
        <v>143</v>
      </c>
      <c r="C2" s="3">
        <v>1</v>
      </c>
      <c r="D2" s="3"/>
      <c r="E2" s="3">
        <v>150300.5</v>
      </c>
      <c r="F2" s="3">
        <v>125148.133684163</v>
      </c>
      <c r="G2" s="3">
        <v>104774.37</v>
      </c>
      <c r="H2" s="3">
        <v>74779.399999999994</v>
      </c>
      <c r="I2" s="3">
        <v>2019</v>
      </c>
      <c r="J2" s="3">
        <v>2022</v>
      </c>
      <c r="K2" s="3">
        <v>46287.83</v>
      </c>
      <c r="L2" s="3">
        <v>26391.26</v>
      </c>
      <c r="M2" s="3">
        <v>-3667.6100000000301</v>
      </c>
      <c r="N2" s="3">
        <v>-45331.360000000001</v>
      </c>
      <c r="O2" s="3">
        <v>363525065.39999998</v>
      </c>
      <c r="P2" s="3">
        <v>430754299.79112601</v>
      </c>
      <c r="Q2" s="3">
        <v>188705526.64770001</v>
      </c>
      <c r="R2" s="3">
        <v>106297522.30679999</v>
      </c>
      <c r="S2" s="3" t="s">
        <v>288</v>
      </c>
      <c r="T2" s="3" t="s">
        <v>289</v>
      </c>
      <c r="U2" s="3">
        <v>10550092.4</v>
      </c>
      <c r="V2" s="3">
        <v>1229665.02191861</v>
      </c>
      <c r="W2" s="23" t="s">
        <v>21</v>
      </c>
      <c r="X2" s="23">
        <v>5.92764588270479E-2</v>
      </c>
      <c r="Y2" s="50">
        <v>7.9811134781915594E-2</v>
      </c>
      <c r="Z2" s="50">
        <v>6.4266858795275503</v>
      </c>
      <c r="AA2" s="50">
        <v>7374953.6833839696</v>
      </c>
      <c r="AB2" s="50" t="s">
        <v>139</v>
      </c>
      <c r="AC2" s="23">
        <v>400929.93985132599</v>
      </c>
      <c r="AD2" s="3">
        <v>342164.51847616502</v>
      </c>
      <c r="AE2" s="3">
        <v>292566.58530760597</v>
      </c>
      <c r="AF2" s="10">
        <v>31</v>
      </c>
      <c r="AG2" s="10"/>
      <c r="AH2" s="10"/>
      <c r="AI2" s="10"/>
      <c r="AJ2" s="10"/>
      <c r="AK2" s="10">
        <v>1</v>
      </c>
      <c r="AL2" s="10">
        <v>1</v>
      </c>
      <c r="AM2" s="10">
        <v>1</v>
      </c>
      <c r="AN2" s="10">
        <v>0</v>
      </c>
      <c r="AO2" s="10">
        <v>0</v>
      </c>
      <c r="AP2" s="10">
        <v>0</v>
      </c>
      <c r="AQ2" s="10">
        <v>1</v>
      </c>
      <c r="AR2" s="10">
        <v>1</v>
      </c>
      <c r="AS2" s="10">
        <v>1</v>
      </c>
      <c r="AT2" s="10">
        <v>1</v>
      </c>
      <c r="AU2" s="10">
        <v>1.5</v>
      </c>
      <c r="AV2" s="10">
        <v>1.5</v>
      </c>
      <c r="AW2" s="10">
        <v>1.5</v>
      </c>
      <c r="AX2" s="10">
        <v>1.5</v>
      </c>
      <c r="AY2" s="10">
        <v>0</v>
      </c>
      <c r="AZ2" s="10">
        <v>0</v>
      </c>
      <c r="BA2" s="10">
        <v>1</v>
      </c>
      <c r="BB2" s="79">
        <v>0</v>
      </c>
      <c r="BC2" s="79">
        <v>1</v>
      </c>
      <c r="BD2" s="79">
        <v>0</v>
      </c>
      <c r="BE2" s="79">
        <v>1.5</v>
      </c>
      <c r="BF2" s="79">
        <v>1.5</v>
      </c>
      <c r="BG2" s="79">
        <v>0</v>
      </c>
      <c r="BH2" s="79">
        <v>1</v>
      </c>
      <c r="BI2" s="79">
        <v>1.5</v>
      </c>
      <c r="BJ2" s="79">
        <v>1.5</v>
      </c>
      <c r="BK2" s="5">
        <v>1.5</v>
      </c>
      <c r="BL2" s="12">
        <v>1.5</v>
      </c>
      <c r="BM2" s="5">
        <v>25</v>
      </c>
      <c r="BN2" s="3">
        <v>0.66666668653488159</v>
      </c>
      <c r="BO2" s="3">
        <v>0</v>
      </c>
      <c r="BP2" s="5">
        <v>0</v>
      </c>
      <c r="BQ2" s="5">
        <v>0</v>
      </c>
    </row>
    <row r="3" spans="1:69" s="5" customFormat="1" x14ac:dyDescent="0.2">
      <c r="A3" s="3">
        <v>276</v>
      </c>
      <c r="B3" s="79">
        <v>276</v>
      </c>
      <c r="C3" s="3">
        <v>2</v>
      </c>
      <c r="D3" s="3"/>
      <c r="E3" s="23">
        <v>150300.5</v>
      </c>
      <c r="F3" s="23">
        <v>125148.133684163</v>
      </c>
      <c r="G3" s="23">
        <v>104774.37</v>
      </c>
      <c r="H3" s="3">
        <v>64779.4</v>
      </c>
      <c r="I3" s="3">
        <v>2018</v>
      </c>
      <c r="J3" s="3">
        <v>2020</v>
      </c>
      <c r="K3" s="3">
        <v>46287.83</v>
      </c>
      <c r="L3" s="3">
        <v>26391.26</v>
      </c>
      <c r="M3" s="3">
        <v>-3667.6100000000301</v>
      </c>
      <c r="N3" s="3">
        <v>-45331.360000000001</v>
      </c>
      <c r="O3" s="3">
        <v>363525065.39999998</v>
      </c>
      <c r="P3" s="3">
        <v>430754299.79112601</v>
      </c>
      <c r="Q3" s="23">
        <v>188705526.64770001</v>
      </c>
      <c r="R3" s="23">
        <v>106297522.30679999</v>
      </c>
      <c r="S3" s="50">
        <v>0</v>
      </c>
      <c r="T3" s="23" t="s">
        <v>56</v>
      </c>
      <c r="U3" s="23">
        <v>10551392.4</v>
      </c>
      <c r="V3" s="23">
        <v>229693.32162606201</v>
      </c>
      <c r="W3" s="3" t="s">
        <v>21</v>
      </c>
      <c r="X3" s="79">
        <v>4.9276458827047898E-2</v>
      </c>
      <c r="Y3" s="3">
        <v>7.5356294629211895E-2</v>
      </c>
      <c r="Z3" s="3">
        <v>6.6119589479807903</v>
      </c>
      <c r="AA3" s="3">
        <v>401104.12850897998</v>
      </c>
      <c r="AB3" s="3" t="s">
        <v>294</v>
      </c>
      <c r="AC3" s="3">
        <v>400979.34310790902</v>
      </c>
      <c r="AD3" s="3">
        <v>342206.680559411</v>
      </c>
      <c r="AE3" s="3">
        <v>292602.63585071597</v>
      </c>
      <c r="AF3" s="3">
        <v>0</v>
      </c>
      <c r="AG3" s="3"/>
      <c r="AH3" s="10"/>
      <c r="AI3" s="10"/>
      <c r="AJ3" s="10"/>
      <c r="AK3" s="10">
        <v>1</v>
      </c>
      <c r="AL3" s="10">
        <v>1</v>
      </c>
      <c r="AM3" s="10">
        <v>1</v>
      </c>
      <c r="AN3" s="10">
        <v>1.5</v>
      </c>
      <c r="AO3" s="92">
        <v>1.5</v>
      </c>
      <c r="AP3" s="10">
        <v>1.5</v>
      </c>
      <c r="AQ3" s="92">
        <v>1</v>
      </c>
      <c r="AR3" s="10">
        <v>1</v>
      </c>
      <c r="AS3" s="10">
        <v>1</v>
      </c>
      <c r="AT3" s="10">
        <v>1</v>
      </c>
      <c r="AU3" s="10">
        <v>1.5</v>
      </c>
      <c r="AV3" s="10">
        <v>1.5</v>
      </c>
      <c r="AW3" s="10">
        <v>1.5</v>
      </c>
      <c r="AX3" s="5">
        <v>1.5</v>
      </c>
      <c r="AY3" s="5">
        <v>0</v>
      </c>
      <c r="AZ3" s="5">
        <v>1</v>
      </c>
      <c r="BA3" s="5">
        <v>1</v>
      </c>
      <c r="BB3" s="5">
        <v>2</v>
      </c>
      <c r="BC3" s="5">
        <v>1</v>
      </c>
      <c r="BD3" s="5">
        <v>0</v>
      </c>
      <c r="BE3" s="5">
        <v>1.5</v>
      </c>
      <c r="BF3" s="5">
        <v>0</v>
      </c>
      <c r="BG3" s="5">
        <v>0</v>
      </c>
      <c r="BH3" s="5">
        <v>0</v>
      </c>
      <c r="BI3" s="5">
        <v>1.5</v>
      </c>
      <c r="BJ3" s="5">
        <v>1.5</v>
      </c>
      <c r="BK3" s="5">
        <v>1.5</v>
      </c>
      <c r="BL3" s="5">
        <v>0</v>
      </c>
      <c r="BM3" s="5">
        <v>28.5</v>
      </c>
      <c r="BN3" s="3">
        <v>0.75999999046325684</v>
      </c>
      <c r="BO3" s="3">
        <v>0</v>
      </c>
      <c r="BP3" s="5">
        <v>0</v>
      </c>
      <c r="BQ3" s="5">
        <v>0</v>
      </c>
    </row>
    <row r="4" spans="1:69" s="5" customFormat="1" x14ac:dyDescent="0.2">
      <c r="A4" s="5">
        <v>278</v>
      </c>
      <c r="B4" s="11">
        <v>278</v>
      </c>
      <c r="C4" s="5">
        <v>2</v>
      </c>
      <c r="E4" s="21">
        <v>150300.5</v>
      </c>
      <c r="F4" s="21">
        <v>125155.77138101</v>
      </c>
      <c r="G4" s="21">
        <v>104773.65</v>
      </c>
      <c r="H4" s="5">
        <v>64779.4</v>
      </c>
      <c r="I4" s="78">
        <v>2018</v>
      </c>
      <c r="J4" s="18">
        <v>2021</v>
      </c>
      <c r="K4" s="8">
        <v>46287.83</v>
      </c>
      <c r="L4" s="5">
        <v>26391.26</v>
      </c>
      <c r="M4" s="5">
        <v>3667.6100000000301</v>
      </c>
      <c r="N4" s="5">
        <v>45331.360000000001</v>
      </c>
      <c r="O4" s="5">
        <v>363525065.39999998</v>
      </c>
      <c r="P4" s="8">
        <v>430797128.16670698</v>
      </c>
      <c r="Q4" s="21">
        <v>188705527.7493</v>
      </c>
      <c r="R4" s="22">
        <v>106297522.30679999</v>
      </c>
      <c r="S4" s="49">
        <v>0</v>
      </c>
      <c r="T4" s="21" t="s">
        <v>56</v>
      </c>
      <c r="U4" s="21">
        <v>0</v>
      </c>
      <c r="V4" s="21">
        <v>0</v>
      </c>
      <c r="W4" s="5" t="s">
        <v>21</v>
      </c>
      <c r="X4" s="79">
        <v>0</v>
      </c>
      <c r="Y4" s="3">
        <v>0</v>
      </c>
      <c r="Z4" s="3">
        <v>0</v>
      </c>
      <c r="AA4" s="3">
        <v>0</v>
      </c>
      <c r="AB4" s="3" t="s">
        <v>289</v>
      </c>
      <c r="AC4" s="3">
        <v>0</v>
      </c>
      <c r="AD4" s="3">
        <v>0</v>
      </c>
      <c r="AE4" s="3">
        <v>0</v>
      </c>
      <c r="AF4" s="3">
        <v>0</v>
      </c>
      <c r="AG4" s="3"/>
      <c r="AH4" s="10"/>
      <c r="AI4" s="10"/>
      <c r="AJ4" s="10"/>
      <c r="AK4" s="10">
        <v>1</v>
      </c>
      <c r="AL4" s="10">
        <v>1</v>
      </c>
      <c r="AM4" s="10">
        <v>1</v>
      </c>
      <c r="AN4" s="10">
        <v>1.5</v>
      </c>
      <c r="AO4" s="92">
        <v>1.5</v>
      </c>
      <c r="AP4" s="10">
        <v>1.5</v>
      </c>
      <c r="AQ4" s="92">
        <v>1</v>
      </c>
      <c r="AR4" s="10">
        <v>1</v>
      </c>
      <c r="AS4" s="10">
        <v>0</v>
      </c>
      <c r="AT4" s="10">
        <v>0</v>
      </c>
      <c r="AU4" s="10">
        <v>1.5</v>
      </c>
      <c r="AV4" s="10">
        <v>0</v>
      </c>
      <c r="AW4" s="10">
        <v>1.5</v>
      </c>
      <c r="AX4" s="5">
        <v>1.5</v>
      </c>
      <c r="AY4" s="5">
        <v>0</v>
      </c>
      <c r="AZ4" s="5">
        <v>1</v>
      </c>
      <c r="BA4" s="5">
        <v>0</v>
      </c>
      <c r="BB4" s="5">
        <v>0</v>
      </c>
      <c r="BC4" s="5">
        <v>1</v>
      </c>
      <c r="BD4" s="5">
        <v>0</v>
      </c>
      <c r="BE4" s="5">
        <v>0</v>
      </c>
      <c r="BF4" s="5">
        <v>0</v>
      </c>
      <c r="BG4" s="5">
        <v>0</v>
      </c>
      <c r="BH4" s="5">
        <v>0</v>
      </c>
      <c r="BI4" s="5">
        <v>0</v>
      </c>
      <c r="BJ4" s="5">
        <v>0</v>
      </c>
      <c r="BK4" s="5">
        <v>0</v>
      </c>
      <c r="BL4" s="5">
        <v>0</v>
      </c>
      <c r="BM4" s="5">
        <v>16</v>
      </c>
      <c r="BN4" s="3">
        <v>0.42666667699813843</v>
      </c>
      <c r="BO4" s="3">
        <v>0</v>
      </c>
      <c r="BP4" s="5">
        <v>0</v>
      </c>
      <c r="BQ4" s="5">
        <v>0</v>
      </c>
    </row>
    <row r="5" spans="1:69" s="5" customFormat="1" x14ac:dyDescent="0.2">
      <c r="A5" s="3">
        <v>279</v>
      </c>
      <c r="B5" s="79">
        <v>279</v>
      </c>
      <c r="C5" s="3">
        <v>2</v>
      </c>
      <c r="D5" s="3"/>
      <c r="E5" s="3">
        <v>83402.600000000006</v>
      </c>
      <c r="F5" s="3">
        <v>46521.013545095397</v>
      </c>
      <c r="G5" s="3">
        <v>43826.61</v>
      </c>
      <c r="H5" s="3">
        <v>64779.4</v>
      </c>
      <c r="I5" s="3">
        <v>2023</v>
      </c>
      <c r="J5" s="3">
        <v>2025</v>
      </c>
      <c r="K5" s="3">
        <v>6079.16</v>
      </c>
      <c r="L5" s="3">
        <v>12727.19</v>
      </c>
      <c r="M5" s="3">
        <v>22196.14</v>
      </c>
      <c r="N5" s="3">
        <v>33043.43</v>
      </c>
      <c r="O5" s="3">
        <v>363525065.39999998</v>
      </c>
      <c r="P5" s="3">
        <v>430754299.79112601</v>
      </c>
      <c r="Q5" s="23">
        <v>188705526.64770001</v>
      </c>
      <c r="R5" s="23">
        <v>106297522.30679999</v>
      </c>
      <c r="S5" s="50" t="s">
        <v>296</v>
      </c>
      <c r="T5" s="23" t="s">
        <v>56</v>
      </c>
      <c r="U5" s="23">
        <v>10551720.800000001</v>
      </c>
      <c r="V5" s="23">
        <v>128001.2</v>
      </c>
      <c r="W5" s="3" t="s">
        <v>21</v>
      </c>
      <c r="X5" s="79">
        <v>0</v>
      </c>
      <c r="Y5" s="3">
        <v>7.5359012383514196E-2</v>
      </c>
      <c r="Z5" s="3">
        <v>6.6121225492080402</v>
      </c>
      <c r="AA5" s="3">
        <v>320910.668272576</v>
      </c>
      <c r="AB5" s="3" t="s">
        <v>294</v>
      </c>
      <c r="AC5" s="3">
        <v>0</v>
      </c>
      <c r="AD5" s="3">
        <v>0</v>
      </c>
      <c r="AE5" s="3">
        <v>0</v>
      </c>
      <c r="AF5" s="3">
        <v>31</v>
      </c>
      <c r="AG5" s="3"/>
      <c r="AH5" s="10"/>
      <c r="AI5" s="10"/>
      <c r="AJ5" s="10"/>
      <c r="AK5" s="10">
        <v>0</v>
      </c>
      <c r="AL5" s="10">
        <v>0</v>
      </c>
      <c r="AM5" s="10">
        <v>0</v>
      </c>
      <c r="AN5" s="10">
        <v>1.5</v>
      </c>
      <c r="AO5" s="92">
        <v>0</v>
      </c>
      <c r="AP5" s="10">
        <v>0</v>
      </c>
      <c r="AQ5" s="92">
        <v>0</v>
      </c>
      <c r="AR5" s="10">
        <v>0</v>
      </c>
      <c r="AS5" s="10">
        <v>0</v>
      </c>
      <c r="AT5" s="10">
        <v>0</v>
      </c>
      <c r="AU5" s="10">
        <v>1.5</v>
      </c>
      <c r="AV5" s="10">
        <v>1.5</v>
      </c>
      <c r="AW5" s="10">
        <v>1.5</v>
      </c>
      <c r="AX5" s="5">
        <v>1.5</v>
      </c>
      <c r="AY5" s="5">
        <v>1</v>
      </c>
      <c r="AZ5" s="5">
        <v>1</v>
      </c>
      <c r="BA5" s="5">
        <v>1</v>
      </c>
      <c r="BB5" s="5">
        <v>0</v>
      </c>
      <c r="BC5" s="5">
        <v>1</v>
      </c>
      <c r="BD5" s="5">
        <v>0</v>
      </c>
      <c r="BE5" s="5">
        <v>1.5</v>
      </c>
      <c r="BF5" s="5">
        <v>0</v>
      </c>
      <c r="BG5" s="5">
        <v>0</v>
      </c>
      <c r="BH5" s="5">
        <v>0</v>
      </c>
      <c r="BI5" s="5">
        <v>0</v>
      </c>
      <c r="BJ5" s="5">
        <v>0</v>
      </c>
      <c r="BK5" s="5">
        <v>0</v>
      </c>
      <c r="BL5" s="5">
        <v>1.5</v>
      </c>
      <c r="BM5" s="5">
        <v>14.5</v>
      </c>
      <c r="BN5" s="5">
        <v>0.38666665554046631</v>
      </c>
      <c r="BO5" s="3">
        <v>0</v>
      </c>
      <c r="BP5" s="5">
        <v>0</v>
      </c>
      <c r="BQ5" s="5">
        <v>0</v>
      </c>
    </row>
    <row r="6" spans="1:69" s="5" customFormat="1" ht="27.75" customHeight="1" x14ac:dyDescent="0.2">
      <c r="A6" s="3">
        <v>281</v>
      </c>
      <c r="B6" s="79">
        <v>281</v>
      </c>
      <c r="C6" s="3">
        <v>3</v>
      </c>
      <c r="D6" s="3"/>
      <c r="E6" s="3">
        <v>150300.5</v>
      </c>
      <c r="F6" s="3">
        <v>125148.133684163</v>
      </c>
      <c r="G6" s="3">
        <v>104774.37</v>
      </c>
      <c r="H6" s="3">
        <v>64779.4</v>
      </c>
      <c r="I6" s="3">
        <v>2018</v>
      </c>
      <c r="J6" s="3">
        <v>2021</v>
      </c>
      <c r="K6" s="3">
        <v>46287.83</v>
      </c>
      <c r="L6" s="3">
        <v>26391.26</v>
      </c>
      <c r="M6" s="3">
        <v>-3667.6100000000301</v>
      </c>
      <c r="N6" s="3">
        <v>-45331.360000000001</v>
      </c>
      <c r="O6" s="3">
        <v>363525065.39999998</v>
      </c>
      <c r="P6" s="3">
        <v>430754299.79112601</v>
      </c>
      <c r="Q6" s="3">
        <v>188705526.64770001</v>
      </c>
      <c r="R6" s="3">
        <v>106297522.30679999</v>
      </c>
      <c r="S6" s="3" t="s">
        <v>298</v>
      </c>
      <c r="T6" s="3" t="s">
        <v>56</v>
      </c>
      <c r="U6" s="3">
        <v>10551842.4</v>
      </c>
      <c r="V6" s="3">
        <v>229703.11767864</v>
      </c>
      <c r="W6" s="3" t="s">
        <v>21</v>
      </c>
      <c r="X6" s="23">
        <v>0.05</v>
      </c>
      <c r="Y6" s="23">
        <v>7.9809814573720606E-2</v>
      </c>
      <c r="Z6" s="23">
        <v>6.4269596258327102</v>
      </c>
      <c r="AA6" s="23">
        <v>374987.70812093298</v>
      </c>
      <c r="AB6" s="23" t="s">
        <v>289</v>
      </c>
      <c r="AC6" s="50">
        <v>400996.44423518702</v>
      </c>
      <c r="AD6" s="23">
        <v>342221.27512668801</v>
      </c>
      <c r="AE6" s="23">
        <v>292615.11488487199</v>
      </c>
      <c r="AF6" s="3">
        <v>31</v>
      </c>
      <c r="AG6" s="10"/>
      <c r="AH6" s="10"/>
      <c r="AI6" s="10"/>
      <c r="AJ6" s="10"/>
      <c r="AK6" s="10">
        <v>1</v>
      </c>
      <c r="AL6" s="10">
        <v>1</v>
      </c>
      <c r="AM6" s="10">
        <v>1</v>
      </c>
      <c r="AN6" s="10">
        <v>1.5</v>
      </c>
      <c r="AO6" s="10">
        <v>1.5</v>
      </c>
      <c r="AP6" s="10">
        <v>1.5</v>
      </c>
      <c r="AQ6" s="10">
        <v>1</v>
      </c>
      <c r="AR6" s="10">
        <v>1</v>
      </c>
      <c r="AS6" s="10">
        <v>1</v>
      </c>
      <c r="AT6" s="10">
        <v>1</v>
      </c>
      <c r="AU6" s="10">
        <v>1.5</v>
      </c>
      <c r="AV6" s="10">
        <v>1.5</v>
      </c>
      <c r="AW6" s="10">
        <v>1.5</v>
      </c>
      <c r="AX6" s="10">
        <v>1.5</v>
      </c>
      <c r="AY6" s="10">
        <v>1</v>
      </c>
      <c r="AZ6" s="10">
        <v>1</v>
      </c>
      <c r="BA6" s="10">
        <v>1</v>
      </c>
      <c r="BB6" s="10">
        <v>2</v>
      </c>
      <c r="BC6" s="10">
        <v>1</v>
      </c>
      <c r="BD6" s="10">
        <v>0</v>
      </c>
      <c r="BE6" s="10">
        <v>1.5</v>
      </c>
      <c r="BF6" s="10">
        <v>1.5</v>
      </c>
      <c r="BG6" s="10">
        <v>0</v>
      </c>
      <c r="BH6" s="10">
        <v>0</v>
      </c>
      <c r="BI6" s="10">
        <v>1.5</v>
      </c>
      <c r="BJ6" s="10">
        <v>1.5</v>
      </c>
      <c r="BK6" s="79">
        <v>1.5</v>
      </c>
      <c r="BL6" s="12">
        <v>1.5</v>
      </c>
      <c r="BM6" s="3">
        <v>32.5</v>
      </c>
      <c r="BN6" s="3">
        <v>0.86666667461395264</v>
      </c>
      <c r="BO6" s="3">
        <v>0</v>
      </c>
      <c r="BP6" s="5">
        <v>0</v>
      </c>
      <c r="BQ6" s="5">
        <v>0</v>
      </c>
    </row>
    <row r="7" spans="1:69" s="5" customFormat="1" x14ac:dyDescent="0.2">
      <c r="A7" s="3">
        <v>282</v>
      </c>
      <c r="B7" s="79">
        <v>282</v>
      </c>
      <c r="C7" s="3">
        <v>3</v>
      </c>
      <c r="D7" s="3"/>
      <c r="E7" s="3">
        <v>150300.5</v>
      </c>
      <c r="F7" s="3">
        <v>125148.13400000001</v>
      </c>
      <c r="G7" s="3">
        <v>104774.37</v>
      </c>
      <c r="H7" s="3">
        <v>64779.4</v>
      </c>
      <c r="I7" s="3">
        <v>2018</v>
      </c>
      <c r="J7" s="3">
        <v>2020</v>
      </c>
      <c r="K7" s="19">
        <v>46287.83</v>
      </c>
      <c r="L7" s="3">
        <v>26391.26</v>
      </c>
      <c r="M7" s="3">
        <v>-3667.61</v>
      </c>
      <c r="N7" s="3">
        <v>-45331.360000000001</v>
      </c>
      <c r="O7" s="3">
        <v>363525065</v>
      </c>
      <c r="P7" s="3">
        <v>430754300</v>
      </c>
      <c r="Q7" s="23">
        <v>188705527</v>
      </c>
      <c r="R7" s="23">
        <v>106297522</v>
      </c>
      <c r="S7" s="50">
        <v>0</v>
      </c>
      <c r="T7" s="23" t="s">
        <v>56</v>
      </c>
      <c r="U7" s="23">
        <v>1055052.3</v>
      </c>
      <c r="V7" s="23">
        <v>0</v>
      </c>
      <c r="W7" s="3" t="s">
        <v>21</v>
      </c>
      <c r="X7" s="79">
        <v>0</v>
      </c>
      <c r="Y7" s="3">
        <v>7.9812105999999994E-2</v>
      </c>
      <c r="Z7" s="3">
        <v>6.4268631679999997</v>
      </c>
      <c r="AA7" s="3">
        <v>374972.2732</v>
      </c>
      <c r="AB7" s="3" t="s">
        <v>289</v>
      </c>
      <c r="AC7" s="3">
        <v>400992.14240000001</v>
      </c>
      <c r="AD7" s="3">
        <v>342217.60379999998</v>
      </c>
      <c r="AE7" s="3">
        <v>292611.97570000001</v>
      </c>
      <c r="AF7" s="3">
        <v>31</v>
      </c>
      <c r="AG7" s="3"/>
      <c r="AH7" s="10"/>
      <c r="AI7" s="10"/>
      <c r="AJ7" s="10"/>
      <c r="AK7" s="10">
        <v>1</v>
      </c>
      <c r="AL7" s="10">
        <v>1</v>
      </c>
      <c r="AM7" s="10">
        <v>1</v>
      </c>
      <c r="AN7" s="10">
        <v>1.5</v>
      </c>
      <c r="AO7" s="92">
        <v>1.5</v>
      </c>
      <c r="AP7" s="10">
        <v>1.5</v>
      </c>
      <c r="AQ7" s="92">
        <v>1</v>
      </c>
      <c r="AR7" s="10">
        <v>1</v>
      </c>
      <c r="AS7" s="10">
        <v>1</v>
      </c>
      <c r="AT7" s="10">
        <v>1</v>
      </c>
      <c r="AU7" s="10">
        <v>1.5</v>
      </c>
      <c r="AV7" s="10">
        <v>1.5</v>
      </c>
      <c r="AW7" s="10">
        <v>1.5</v>
      </c>
      <c r="AX7" s="5">
        <v>1.5</v>
      </c>
      <c r="AY7" s="5">
        <v>0</v>
      </c>
      <c r="AZ7" s="5">
        <v>1</v>
      </c>
      <c r="BA7" s="5">
        <v>0</v>
      </c>
      <c r="BB7" s="5">
        <v>0</v>
      </c>
      <c r="BC7" s="5">
        <v>1</v>
      </c>
      <c r="BD7" s="5">
        <v>0</v>
      </c>
      <c r="BE7" s="5">
        <v>1.5</v>
      </c>
      <c r="BF7" s="5">
        <v>1.5</v>
      </c>
      <c r="BG7" s="5">
        <v>0</v>
      </c>
      <c r="BH7" s="5">
        <v>0</v>
      </c>
      <c r="BI7" s="5">
        <v>0</v>
      </c>
      <c r="BJ7" s="5">
        <v>0</v>
      </c>
      <c r="BK7" s="5">
        <v>0</v>
      </c>
      <c r="BL7" s="5">
        <v>1.5</v>
      </c>
      <c r="BM7" s="5">
        <v>24</v>
      </c>
      <c r="BN7" s="3">
        <v>0.63999998569488525</v>
      </c>
      <c r="BO7" s="3">
        <v>0</v>
      </c>
      <c r="BP7" s="5">
        <v>0</v>
      </c>
      <c r="BQ7" s="5">
        <v>0</v>
      </c>
    </row>
    <row r="8" spans="1:69" s="5" customFormat="1" x14ac:dyDescent="0.2">
      <c r="A8" s="5">
        <v>283</v>
      </c>
      <c r="B8" s="11">
        <v>283</v>
      </c>
      <c r="C8" s="5">
        <v>4</v>
      </c>
      <c r="E8" s="8">
        <v>150300.5</v>
      </c>
      <c r="F8" s="8">
        <v>125148.133684163</v>
      </c>
      <c r="G8" s="8">
        <v>104774.37</v>
      </c>
      <c r="H8" s="5">
        <v>64779.4</v>
      </c>
      <c r="I8" s="8">
        <v>2018</v>
      </c>
      <c r="J8" s="5">
        <v>2021</v>
      </c>
      <c r="K8" s="8">
        <v>46287.83</v>
      </c>
      <c r="L8" s="5">
        <v>26391.26</v>
      </c>
      <c r="M8" s="5">
        <v>-3667.6100000000401</v>
      </c>
      <c r="N8" s="5">
        <v>-45331.359999999899</v>
      </c>
      <c r="O8" s="5">
        <v>363525065.39999998</v>
      </c>
      <c r="P8" s="8">
        <v>430754299.79112601</v>
      </c>
      <c r="Q8" s="21">
        <v>188705526.64770001</v>
      </c>
      <c r="R8" s="22">
        <v>106297522.30679999</v>
      </c>
      <c r="S8" s="49" t="s">
        <v>301</v>
      </c>
      <c r="T8" s="21" t="s">
        <v>56</v>
      </c>
      <c r="U8" s="21">
        <v>10551088</v>
      </c>
      <c r="V8" s="21">
        <v>229686.69514071601</v>
      </c>
      <c r="W8" s="5" t="s">
        <v>21</v>
      </c>
      <c r="X8" s="79">
        <v>0.05</v>
      </c>
      <c r="Y8" s="3">
        <v>7.9811416427463505E-2</v>
      </c>
      <c r="Z8" s="3">
        <v>6.4269054118797202</v>
      </c>
      <c r="AA8" s="3">
        <v>374979.07204471901</v>
      </c>
      <c r="AB8" s="3" t="s">
        <v>289</v>
      </c>
      <c r="AC8" s="3">
        <v>400967.77514536801</v>
      </c>
      <c r="AD8" s="3">
        <v>342196.80814545602</v>
      </c>
      <c r="AE8" s="3">
        <v>292594.19447739201</v>
      </c>
      <c r="AF8" s="3">
        <v>31</v>
      </c>
      <c r="AG8" s="3"/>
      <c r="AH8" s="10"/>
      <c r="AI8" s="10"/>
      <c r="AJ8" s="10"/>
      <c r="AK8" s="10">
        <v>1</v>
      </c>
      <c r="AL8" s="10">
        <v>1</v>
      </c>
      <c r="AM8" s="10">
        <v>1</v>
      </c>
      <c r="AN8" s="10">
        <v>1.5</v>
      </c>
      <c r="AO8" s="92">
        <v>1.5</v>
      </c>
      <c r="AP8" s="10">
        <v>1.5</v>
      </c>
      <c r="AQ8" s="92">
        <v>1</v>
      </c>
      <c r="AR8" s="10">
        <v>1</v>
      </c>
      <c r="AS8" s="10">
        <v>1</v>
      </c>
      <c r="AT8" s="10">
        <v>1</v>
      </c>
      <c r="AU8" s="10">
        <v>1.5</v>
      </c>
      <c r="AV8" s="10">
        <v>1.5</v>
      </c>
      <c r="AW8" s="10">
        <v>1.5</v>
      </c>
      <c r="AX8" s="5">
        <v>1.5</v>
      </c>
      <c r="AY8" s="5">
        <v>1</v>
      </c>
      <c r="AZ8" s="5">
        <v>1</v>
      </c>
      <c r="BA8" s="5">
        <v>1</v>
      </c>
      <c r="BB8" s="5">
        <v>2</v>
      </c>
      <c r="BC8" s="5">
        <v>1</v>
      </c>
      <c r="BD8" s="5">
        <v>0</v>
      </c>
      <c r="BE8" s="5">
        <v>1.5</v>
      </c>
      <c r="BF8" s="5">
        <v>1.5</v>
      </c>
      <c r="BG8" s="5">
        <v>0</v>
      </c>
      <c r="BH8" s="5">
        <v>0</v>
      </c>
      <c r="BI8" s="5">
        <v>1.5</v>
      </c>
      <c r="BJ8" s="5">
        <v>1.5</v>
      </c>
      <c r="BK8" s="5">
        <v>1.5</v>
      </c>
      <c r="BL8" s="5">
        <v>1.5</v>
      </c>
      <c r="BM8" s="5">
        <v>32.5</v>
      </c>
      <c r="BN8" s="3">
        <v>0.86666667461395264</v>
      </c>
      <c r="BO8" s="3">
        <v>0</v>
      </c>
      <c r="BP8" s="5">
        <v>0</v>
      </c>
      <c r="BQ8" s="5">
        <v>0</v>
      </c>
    </row>
    <row r="9" spans="1:69" s="5" customFormat="1" ht="76.5" x14ac:dyDescent="0.2">
      <c r="A9" s="5">
        <v>284</v>
      </c>
      <c r="B9" s="11">
        <v>284</v>
      </c>
      <c r="C9" s="5">
        <v>2</v>
      </c>
      <c r="E9" s="5">
        <v>150300.5</v>
      </c>
      <c r="F9" s="5">
        <v>125148.133684163</v>
      </c>
      <c r="G9" s="5">
        <v>104774.37</v>
      </c>
      <c r="H9" s="5">
        <v>64779.4</v>
      </c>
      <c r="I9" s="5">
        <v>2018</v>
      </c>
      <c r="J9" s="5">
        <v>2021</v>
      </c>
      <c r="K9" s="5">
        <v>46287.83</v>
      </c>
      <c r="L9" s="5">
        <v>26391.26</v>
      </c>
      <c r="M9" s="5">
        <v>-3667.6100000000301</v>
      </c>
      <c r="N9" s="5">
        <v>-45331.360000000001</v>
      </c>
      <c r="O9" s="5">
        <v>363525065.39999998</v>
      </c>
      <c r="P9" s="5">
        <v>430754299.79112601</v>
      </c>
      <c r="Q9" s="22">
        <v>188705526.64770001</v>
      </c>
      <c r="R9" s="111">
        <v>106297522.30679999</v>
      </c>
      <c r="S9" s="224" t="s">
        <v>303</v>
      </c>
      <c r="T9" s="22" t="s">
        <v>56</v>
      </c>
      <c r="U9" s="22">
        <v>10550543.199999999</v>
      </c>
      <c r="V9" s="22">
        <v>229674.83538639499</v>
      </c>
      <c r="W9" s="5" t="s">
        <v>21</v>
      </c>
      <c r="X9" s="79">
        <v>0.05</v>
      </c>
      <c r="Y9" s="3">
        <v>7.9809144397564299E-2</v>
      </c>
      <c r="Z9" s="3">
        <v>6.4266688148762103</v>
      </c>
      <c r="AA9" s="3">
        <v>374950.79389605799</v>
      </c>
      <c r="AB9" s="3" t="s">
        <v>289</v>
      </c>
      <c r="AC9" s="3">
        <v>400947.07138060901</v>
      </c>
      <c r="AD9" s="3">
        <v>342179.13898933999</v>
      </c>
      <c r="AE9" s="3">
        <v>292579.08652671101</v>
      </c>
      <c r="AF9" s="3">
        <v>31</v>
      </c>
      <c r="AG9" s="3"/>
      <c r="AH9" s="10"/>
      <c r="AI9" s="10"/>
      <c r="AJ9" s="10"/>
      <c r="AK9" s="10">
        <v>1</v>
      </c>
      <c r="AL9" s="10">
        <v>1</v>
      </c>
      <c r="AM9" s="10">
        <v>1</v>
      </c>
      <c r="AN9" s="10">
        <v>1.5</v>
      </c>
      <c r="AO9" s="92">
        <v>1.5</v>
      </c>
      <c r="AP9" s="10">
        <v>1.5</v>
      </c>
      <c r="AQ9" s="92">
        <v>1</v>
      </c>
      <c r="AR9" s="10">
        <v>1</v>
      </c>
      <c r="AS9" s="10">
        <v>1</v>
      </c>
      <c r="AT9" s="10">
        <v>1</v>
      </c>
      <c r="AU9" s="10">
        <v>1.5</v>
      </c>
      <c r="AV9" s="10">
        <v>1.5</v>
      </c>
      <c r="AW9" s="10">
        <v>1.5</v>
      </c>
      <c r="AX9" s="5">
        <v>1.5</v>
      </c>
      <c r="AY9" s="5">
        <v>0</v>
      </c>
      <c r="AZ9" s="5">
        <v>1</v>
      </c>
      <c r="BA9" s="5">
        <v>1</v>
      </c>
      <c r="BB9" s="5">
        <v>2</v>
      </c>
      <c r="BC9" s="5">
        <v>1</v>
      </c>
      <c r="BD9" s="5">
        <v>0</v>
      </c>
      <c r="BE9" s="5">
        <v>1.5</v>
      </c>
      <c r="BF9" s="5">
        <v>1.5</v>
      </c>
      <c r="BG9" s="5">
        <v>0</v>
      </c>
      <c r="BH9" s="5">
        <v>0</v>
      </c>
      <c r="BI9" s="5">
        <v>1.5</v>
      </c>
      <c r="BJ9" s="5">
        <v>1.5</v>
      </c>
      <c r="BK9" s="5">
        <v>1.5</v>
      </c>
      <c r="BL9" s="5">
        <v>1.5</v>
      </c>
      <c r="BM9" s="5">
        <v>31.5</v>
      </c>
      <c r="BN9" s="3">
        <v>0.8399999737739563</v>
      </c>
      <c r="BO9" s="3">
        <v>0</v>
      </c>
      <c r="BP9" s="5">
        <v>0</v>
      </c>
      <c r="BQ9" s="5">
        <v>0</v>
      </c>
    </row>
    <row r="10" spans="1:69" s="5" customFormat="1" x14ac:dyDescent="0.2">
      <c r="A10" s="3">
        <v>285</v>
      </c>
      <c r="B10" s="79">
        <v>285</v>
      </c>
      <c r="C10" s="3">
        <v>4</v>
      </c>
      <c r="D10" s="3"/>
      <c r="E10" s="3">
        <v>150300.5</v>
      </c>
      <c r="F10" s="3">
        <v>125148.133684163</v>
      </c>
      <c r="G10" s="3">
        <v>45919.56</v>
      </c>
      <c r="H10" s="3">
        <v>64779.4</v>
      </c>
      <c r="I10" s="3" t="s">
        <v>306</v>
      </c>
      <c r="J10" s="3" t="s">
        <v>307</v>
      </c>
      <c r="K10" s="3">
        <v>46283.8</v>
      </c>
      <c r="L10" s="3">
        <v>26386.39</v>
      </c>
      <c r="M10" s="3">
        <v>-3673.4000000000401</v>
      </c>
      <c r="N10" s="3">
        <v>-45338.15</v>
      </c>
      <c r="O10" s="3">
        <v>363525065.39999998</v>
      </c>
      <c r="P10" s="3">
        <v>430754299.79112601</v>
      </c>
      <c r="Q10" s="3">
        <v>209490532.7493</v>
      </c>
      <c r="R10" s="3">
        <v>106297558.93889999</v>
      </c>
      <c r="S10" s="3" t="s">
        <v>308</v>
      </c>
      <c r="T10" s="3" t="s">
        <v>56</v>
      </c>
      <c r="U10" s="3">
        <v>10551724.800000001</v>
      </c>
      <c r="V10" s="3">
        <v>229700.55764356599</v>
      </c>
      <c r="W10" s="3" t="s">
        <v>21</v>
      </c>
      <c r="X10" s="23">
        <v>4.9276464952815999E-2</v>
      </c>
      <c r="Y10" s="23">
        <v>7.9810054112274403E-2</v>
      </c>
      <c r="Z10" s="23">
        <v>6.42695080641528</v>
      </c>
      <c r="AA10" s="23">
        <v>374986.40106546698</v>
      </c>
      <c r="AB10" s="23" t="s">
        <v>294</v>
      </c>
      <c r="AC10" s="50">
        <v>400991.97514059098</v>
      </c>
      <c r="AD10" s="23">
        <v>342217.46107977303</v>
      </c>
      <c r="AE10" s="23">
        <v>292611.853697279</v>
      </c>
      <c r="AF10" s="3">
        <v>31</v>
      </c>
      <c r="AG10" s="10"/>
      <c r="AH10" s="10"/>
      <c r="AI10" s="10"/>
      <c r="AJ10" s="10"/>
      <c r="AK10" s="10">
        <v>1</v>
      </c>
      <c r="AL10" s="10">
        <v>1</v>
      </c>
      <c r="AM10" s="10">
        <v>0</v>
      </c>
      <c r="AN10" s="10">
        <v>1.5</v>
      </c>
      <c r="AO10" s="10">
        <v>0</v>
      </c>
      <c r="AP10" s="10">
        <v>0</v>
      </c>
      <c r="AQ10" s="10">
        <v>1</v>
      </c>
      <c r="AR10" s="10">
        <v>1</v>
      </c>
      <c r="AS10" s="10">
        <v>1</v>
      </c>
      <c r="AT10" s="10">
        <v>1</v>
      </c>
      <c r="AU10" s="10">
        <v>1.5</v>
      </c>
      <c r="AV10" s="10">
        <v>1.5</v>
      </c>
      <c r="AW10" s="10">
        <v>0</v>
      </c>
      <c r="AX10" s="10">
        <v>0</v>
      </c>
      <c r="AY10" s="10">
        <v>2</v>
      </c>
      <c r="AZ10" s="10">
        <v>1</v>
      </c>
      <c r="BA10" s="10">
        <v>1</v>
      </c>
      <c r="BB10" s="10">
        <v>2</v>
      </c>
      <c r="BC10" s="10">
        <v>1</v>
      </c>
      <c r="BD10" s="10">
        <v>0</v>
      </c>
      <c r="BE10" s="10">
        <v>1.5</v>
      </c>
      <c r="BF10" s="10">
        <v>1.5</v>
      </c>
      <c r="BG10" s="10">
        <v>0</v>
      </c>
      <c r="BH10" s="10">
        <v>0</v>
      </c>
      <c r="BI10" s="10">
        <v>1.5</v>
      </c>
      <c r="BJ10" s="10">
        <v>1.5</v>
      </c>
      <c r="BK10" s="79">
        <v>1.5</v>
      </c>
      <c r="BL10" s="12">
        <v>1.5</v>
      </c>
      <c r="BM10" s="3">
        <v>26.5</v>
      </c>
      <c r="BN10" s="3">
        <v>0.70666664838790894</v>
      </c>
      <c r="BO10" s="3">
        <v>0</v>
      </c>
      <c r="BP10" s="5">
        <v>0</v>
      </c>
      <c r="BQ10" s="5">
        <v>0</v>
      </c>
    </row>
    <row r="11" spans="1:69" s="5" customFormat="1" x14ac:dyDescent="0.2">
      <c r="A11" s="3">
        <v>286</v>
      </c>
      <c r="B11" s="79">
        <v>286</v>
      </c>
      <c r="C11" s="3">
        <v>1</v>
      </c>
      <c r="D11" s="3"/>
      <c r="E11" s="3">
        <v>150300.5</v>
      </c>
      <c r="F11" s="3">
        <v>124708.514271048</v>
      </c>
      <c r="G11" s="3">
        <v>49699.56</v>
      </c>
      <c r="H11" s="3">
        <v>64779.4</v>
      </c>
      <c r="I11" s="3">
        <v>2018</v>
      </c>
      <c r="J11" s="3">
        <v>2020</v>
      </c>
      <c r="K11" s="3">
        <v>62157</v>
      </c>
      <c r="L11" s="3">
        <v>61302.81</v>
      </c>
      <c r="M11" s="3">
        <v>58941.84</v>
      </c>
      <c r="N11" s="3">
        <v>55074.09</v>
      </c>
      <c r="O11" s="3">
        <v>363525065.39999998</v>
      </c>
      <c r="P11" s="3">
        <v>428009464.06866002</v>
      </c>
      <c r="Q11" s="3">
        <v>188705527.7493</v>
      </c>
      <c r="R11" s="3">
        <v>106297558.93889999</v>
      </c>
      <c r="S11" s="3">
        <v>0</v>
      </c>
      <c r="T11" s="3" t="s">
        <v>294</v>
      </c>
      <c r="U11" s="3">
        <v>10550475.6</v>
      </c>
      <c r="V11" s="3">
        <v>0.91089357528868298</v>
      </c>
      <c r="W11" s="3" t="s">
        <v>21</v>
      </c>
      <c r="X11" s="23">
        <v>1.7601256552423401E-2</v>
      </c>
      <c r="Y11" s="23">
        <v>0</v>
      </c>
      <c r="Z11" s="23">
        <v>0</v>
      </c>
      <c r="AA11" s="23">
        <v>0</v>
      </c>
      <c r="AB11" s="23" t="s">
        <v>294</v>
      </c>
      <c r="AC11" s="50">
        <v>0.74906063041251802</v>
      </c>
      <c r="AD11" s="23">
        <v>0.78415879069143901</v>
      </c>
      <c r="AE11" s="23">
        <v>0.81414201514973505</v>
      </c>
      <c r="AF11" s="3">
        <v>0</v>
      </c>
      <c r="AG11" s="10"/>
      <c r="AH11" s="10"/>
      <c r="AI11" s="10"/>
      <c r="AJ11" s="10"/>
      <c r="AK11" s="10">
        <v>1</v>
      </c>
      <c r="AL11" s="10">
        <v>0</v>
      </c>
      <c r="AM11" s="10">
        <v>0</v>
      </c>
      <c r="AN11" s="10">
        <v>1.5</v>
      </c>
      <c r="AO11" s="10">
        <v>1.5</v>
      </c>
      <c r="AP11" s="10">
        <v>1.5</v>
      </c>
      <c r="AQ11" s="10">
        <v>0</v>
      </c>
      <c r="AR11" s="10">
        <v>0</v>
      </c>
      <c r="AS11" s="10">
        <v>0</v>
      </c>
      <c r="AT11" s="10">
        <v>0</v>
      </c>
      <c r="AU11" s="10">
        <v>1.5</v>
      </c>
      <c r="AV11" s="10">
        <v>1.5</v>
      </c>
      <c r="AW11" s="10">
        <v>1.5</v>
      </c>
      <c r="AX11" s="10">
        <v>0</v>
      </c>
      <c r="AY11" s="10">
        <v>0</v>
      </c>
      <c r="AZ11" s="10">
        <v>0</v>
      </c>
      <c r="BA11" s="10">
        <v>1</v>
      </c>
      <c r="BB11" s="10">
        <v>0</v>
      </c>
      <c r="BC11" s="10">
        <v>1</v>
      </c>
      <c r="BD11" s="10">
        <v>0</v>
      </c>
      <c r="BE11" s="10">
        <v>0</v>
      </c>
      <c r="BF11" s="10">
        <v>0</v>
      </c>
      <c r="BG11" s="10">
        <v>0</v>
      </c>
      <c r="BH11" s="10">
        <v>0</v>
      </c>
      <c r="BI11" s="10">
        <v>0</v>
      </c>
      <c r="BJ11" s="10">
        <v>0</v>
      </c>
      <c r="BK11" s="10">
        <v>0</v>
      </c>
      <c r="BL11" s="10">
        <v>0</v>
      </c>
      <c r="BM11" s="79">
        <v>12</v>
      </c>
      <c r="BN11" s="3">
        <v>0.31999999284744263</v>
      </c>
      <c r="BO11" s="3">
        <v>0</v>
      </c>
      <c r="BP11" s="5">
        <v>0</v>
      </c>
      <c r="BQ11" s="5">
        <v>0</v>
      </c>
    </row>
    <row r="12" spans="1:69" s="5" customFormat="1" x14ac:dyDescent="0.2">
      <c r="A12" s="3">
        <v>287</v>
      </c>
      <c r="B12" s="79">
        <v>287</v>
      </c>
      <c r="C12" s="3">
        <v>1</v>
      </c>
      <c r="D12" s="3"/>
      <c r="E12" s="3">
        <v>153836</v>
      </c>
      <c r="F12" s="3">
        <v>124708.5143</v>
      </c>
      <c r="G12" s="3">
        <v>154721.65</v>
      </c>
      <c r="H12" s="3">
        <v>61067.199999999997</v>
      </c>
      <c r="I12" s="3">
        <v>2018</v>
      </c>
      <c r="J12" s="3">
        <v>2020</v>
      </c>
      <c r="K12" s="3">
        <v>48078</v>
      </c>
      <c r="L12" s="3">
        <v>30626.86</v>
      </c>
      <c r="M12" s="3">
        <v>4236.4799999999996</v>
      </c>
      <c r="N12" s="3">
        <v>-32316.18</v>
      </c>
      <c r="O12" s="3">
        <v>368611831.80000001</v>
      </c>
      <c r="P12" s="3">
        <v>428009464.06866002</v>
      </c>
      <c r="Q12" s="3">
        <v>280239326.36369997</v>
      </c>
      <c r="R12" s="3">
        <v>109217656.09999999</v>
      </c>
      <c r="S12" s="3">
        <v>0</v>
      </c>
      <c r="T12" s="3" t="s">
        <v>294</v>
      </c>
      <c r="U12" s="3">
        <v>10550748</v>
      </c>
      <c r="V12" s="3">
        <v>9654581.4390007202</v>
      </c>
      <c r="W12" s="23" t="s">
        <v>20</v>
      </c>
      <c r="X12" s="23">
        <v>0</v>
      </c>
      <c r="Y12" s="50">
        <v>0</v>
      </c>
      <c r="Z12" s="50">
        <v>0</v>
      </c>
      <c r="AA12" s="50">
        <v>0</v>
      </c>
      <c r="AB12" s="50" t="s">
        <v>55</v>
      </c>
      <c r="AC12" s="23">
        <v>15998786.656827901</v>
      </c>
      <c r="AD12" s="3">
        <v>16711284.2823334</v>
      </c>
      <c r="AE12" s="3">
        <v>17320214.493694201</v>
      </c>
      <c r="AF12" s="10">
        <v>31</v>
      </c>
      <c r="AG12" s="10"/>
      <c r="AH12" s="10"/>
      <c r="AI12" s="10"/>
      <c r="AJ12" s="10"/>
      <c r="AK12" s="10">
        <v>0</v>
      </c>
      <c r="AL12" s="10">
        <v>0</v>
      </c>
      <c r="AM12" s="10">
        <v>0</v>
      </c>
      <c r="AN12" s="10">
        <v>0</v>
      </c>
      <c r="AO12" s="10">
        <v>1.5</v>
      </c>
      <c r="AP12" s="10">
        <v>1.5</v>
      </c>
      <c r="AQ12" s="10">
        <v>0</v>
      </c>
      <c r="AR12" s="10">
        <v>0</v>
      </c>
      <c r="AS12" s="10">
        <v>0</v>
      </c>
      <c r="AT12" s="10">
        <v>0</v>
      </c>
      <c r="AU12" s="10">
        <v>0</v>
      </c>
      <c r="AV12" s="10">
        <v>1.5</v>
      </c>
      <c r="AW12" s="10">
        <v>0</v>
      </c>
      <c r="AX12" s="10">
        <v>0</v>
      </c>
      <c r="AY12" s="10">
        <v>0</v>
      </c>
      <c r="AZ12" s="10">
        <v>0</v>
      </c>
      <c r="BA12" s="10">
        <v>1</v>
      </c>
      <c r="BB12" s="79">
        <v>0</v>
      </c>
      <c r="BC12" s="79">
        <v>0</v>
      </c>
      <c r="BD12" s="79">
        <v>0</v>
      </c>
      <c r="BE12" s="79">
        <v>0</v>
      </c>
      <c r="BF12" s="79">
        <v>0</v>
      </c>
      <c r="BG12" s="79">
        <v>0</v>
      </c>
      <c r="BH12" s="79">
        <v>0</v>
      </c>
      <c r="BI12" s="79">
        <v>0</v>
      </c>
      <c r="BJ12" s="79">
        <v>0</v>
      </c>
      <c r="BK12" s="5">
        <v>0</v>
      </c>
      <c r="BL12" s="12">
        <v>1.5</v>
      </c>
      <c r="BM12" s="5">
        <v>7</v>
      </c>
      <c r="BN12" s="3">
        <v>0.18666666746139526</v>
      </c>
      <c r="BO12" s="3">
        <v>0</v>
      </c>
      <c r="BP12" s="5">
        <v>0</v>
      </c>
      <c r="BQ12" s="5">
        <v>0</v>
      </c>
    </row>
    <row r="13" spans="1:69" x14ac:dyDescent="0.2">
      <c r="A13" s="3">
        <v>288</v>
      </c>
      <c r="B13" s="79">
        <v>288</v>
      </c>
      <c r="C13" s="3">
        <v>2</v>
      </c>
      <c r="E13" s="3">
        <v>150300.5</v>
      </c>
      <c r="F13" s="3">
        <v>125148.133684163</v>
      </c>
      <c r="G13" s="3">
        <v>104774.37</v>
      </c>
      <c r="H13" s="3">
        <v>64779.4</v>
      </c>
      <c r="I13" s="19" t="s">
        <v>311</v>
      </c>
      <c r="J13" s="3" t="s">
        <v>312</v>
      </c>
      <c r="K13" s="3">
        <v>46287.83</v>
      </c>
      <c r="L13" s="3">
        <v>26391.26</v>
      </c>
      <c r="M13" s="3">
        <v>-3667.6100000000301</v>
      </c>
      <c r="N13" s="3">
        <v>-45331.360000000001</v>
      </c>
      <c r="O13" s="3">
        <v>363525065.39999998</v>
      </c>
      <c r="P13" s="3">
        <v>430754299.79112601</v>
      </c>
      <c r="Q13" s="23">
        <v>188705526.64770001</v>
      </c>
      <c r="R13" s="23">
        <v>106297522.30679999</v>
      </c>
      <c r="S13" s="50" t="s">
        <v>313</v>
      </c>
      <c r="T13" s="23" t="s">
        <v>294</v>
      </c>
      <c r="U13" s="23">
        <v>8000000</v>
      </c>
      <c r="V13" s="23">
        <v>174152.04584832699</v>
      </c>
      <c r="W13" s="3" t="s">
        <v>21</v>
      </c>
      <c r="X13" s="79">
        <v>0.71</v>
      </c>
      <c r="Y13" s="3">
        <v>8.6119264660973804E-2</v>
      </c>
      <c r="Z13" s="3">
        <v>6.2049497277257402</v>
      </c>
      <c r="AA13" s="3">
        <v>341127.77073566802</v>
      </c>
      <c r="AB13" s="3" t="s">
        <v>139</v>
      </c>
      <c r="AC13" s="3">
        <v>304020.04050794902</v>
      </c>
      <c r="AD13" s="3">
        <v>280785.28223137098</v>
      </c>
      <c r="AE13" s="3">
        <v>221849.49607274</v>
      </c>
      <c r="AF13" s="3">
        <v>31</v>
      </c>
      <c r="AG13" s="3"/>
      <c r="AK13" s="10">
        <v>1</v>
      </c>
      <c r="AL13" s="10">
        <v>1</v>
      </c>
      <c r="AM13" s="10">
        <v>1</v>
      </c>
      <c r="AN13" s="10">
        <v>1.5</v>
      </c>
      <c r="AO13" s="92">
        <v>0</v>
      </c>
      <c r="AP13" s="10">
        <v>0</v>
      </c>
      <c r="AQ13" s="92">
        <v>1</v>
      </c>
      <c r="AR13" s="10">
        <v>1</v>
      </c>
      <c r="AS13" s="10">
        <v>1</v>
      </c>
      <c r="AT13" s="10">
        <v>1</v>
      </c>
      <c r="AU13" s="10">
        <v>1.5</v>
      </c>
      <c r="AV13" s="10">
        <v>1.5</v>
      </c>
      <c r="AW13" s="10">
        <v>1.5</v>
      </c>
      <c r="AX13" s="5">
        <v>1.5</v>
      </c>
      <c r="AY13" s="5">
        <v>0</v>
      </c>
      <c r="AZ13" s="5">
        <v>0</v>
      </c>
      <c r="BA13" s="5">
        <v>0</v>
      </c>
      <c r="BB13" s="5">
        <v>0</v>
      </c>
      <c r="BC13" s="5">
        <v>1</v>
      </c>
      <c r="BD13" s="5">
        <v>0</v>
      </c>
      <c r="BE13" s="5">
        <v>1.5</v>
      </c>
      <c r="BF13" s="5">
        <v>0</v>
      </c>
      <c r="BG13" s="5">
        <v>0</v>
      </c>
      <c r="BH13" s="5">
        <v>1</v>
      </c>
      <c r="BI13" s="5">
        <v>0</v>
      </c>
      <c r="BJ13" s="5">
        <v>0</v>
      </c>
      <c r="BK13" s="5">
        <v>0</v>
      </c>
      <c r="BL13" s="5">
        <v>1.5</v>
      </c>
      <c r="BM13" s="5">
        <v>19.5</v>
      </c>
      <c r="BN13" s="3">
        <v>0.51999998092651367</v>
      </c>
      <c r="BO13" s="3">
        <v>0</v>
      </c>
      <c r="BP13" s="3">
        <v>0</v>
      </c>
      <c r="BQ13" s="3">
        <v>0</v>
      </c>
    </row>
    <row r="14" spans="1:69" x14ac:dyDescent="0.2">
      <c r="A14" s="3">
        <v>289</v>
      </c>
      <c r="B14" s="79">
        <v>289</v>
      </c>
      <c r="C14" s="3">
        <v>2</v>
      </c>
      <c r="E14" s="3">
        <v>150300.5</v>
      </c>
      <c r="F14" s="3">
        <v>125148.133684163</v>
      </c>
      <c r="G14" s="3">
        <v>104774.37</v>
      </c>
      <c r="H14" s="3">
        <v>64779.4</v>
      </c>
      <c r="I14" s="3">
        <v>2018</v>
      </c>
      <c r="J14" s="3">
        <v>2019</v>
      </c>
      <c r="K14" s="19">
        <v>46287.83</v>
      </c>
      <c r="L14" s="3">
        <v>26391.26</v>
      </c>
      <c r="M14" s="19">
        <v>-3667.6100000000301</v>
      </c>
      <c r="N14" s="3">
        <v>-45331.360000000001</v>
      </c>
      <c r="O14" s="3">
        <v>363525065.39999998</v>
      </c>
      <c r="P14" s="3">
        <v>430754299.79112601</v>
      </c>
      <c r="Q14" s="23">
        <v>188705526.64770001</v>
      </c>
      <c r="R14" s="23">
        <v>106297522.30679999</v>
      </c>
      <c r="S14" s="50" t="s">
        <v>315</v>
      </c>
      <c r="T14" s="23" t="s">
        <v>294</v>
      </c>
      <c r="U14" s="23">
        <v>10550651.6</v>
      </c>
      <c r="V14" s="23">
        <v>228890.07173146901</v>
      </c>
      <c r="W14" s="3" t="s">
        <v>21</v>
      </c>
      <c r="X14" s="79">
        <v>4.9037908381932199E-2</v>
      </c>
      <c r="Y14" s="3">
        <v>7.98071065250337E-2</v>
      </c>
      <c r="Z14" s="3">
        <v>6.4266046974889397</v>
      </c>
      <c r="AA14" s="3">
        <v>374937.84058856399</v>
      </c>
      <c r="AB14" s="3" t="s">
        <v>289</v>
      </c>
      <c r="AC14" s="3">
        <v>400951.190852158</v>
      </c>
      <c r="AD14" s="3">
        <v>342182.65465843602</v>
      </c>
      <c r="AE14" s="3">
        <v>292582.09258737997</v>
      </c>
      <c r="AF14" s="3">
        <v>31</v>
      </c>
      <c r="AG14" s="3"/>
      <c r="AK14" s="10">
        <v>1</v>
      </c>
      <c r="AL14" s="10">
        <v>1</v>
      </c>
      <c r="AM14" s="10">
        <v>1</v>
      </c>
      <c r="AN14" s="10">
        <v>1.5</v>
      </c>
      <c r="AO14" s="92">
        <v>1.5</v>
      </c>
      <c r="AP14" s="10">
        <v>0</v>
      </c>
      <c r="AQ14" s="92">
        <v>1</v>
      </c>
      <c r="AR14" s="10">
        <v>1</v>
      </c>
      <c r="AS14" s="10">
        <v>1</v>
      </c>
      <c r="AT14" s="10">
        <v>1</v>
      </c>
      <c r="AU14" s="10">
        <v>1.5</v>
      </c>
      <c r="AV14" s="10">
        <v>1.5</v>
      </c>
      <c r="AW14" s="10">
        <v>1.5</v>
      </c>
      <c r="AX14" s="5">
        <v>1.5</v>
      </c>
      <c r="AY14" s="5">
        <v>2</v>
      </c>
      <c r="AZ14" s="5">
        <v>0</v>
      </c>
      <c r="BA14" s="5">
        <v>1</v>
      </c>
      <c r="BB14" s="5">
        <v>0</v>
      </c>
      <c r="BC14" s="5">
        <v>1</v>
      </c>
      <c r="BD14" s="5">
        <v>0</v>
      </c>
      <c r="BE14" s="5">
        <v>1.5</v>
      </c>
      <c r="BF14" s="5">
        <v>1.5</v>
      </c>
      <c r="BG14" s="5">
        <v>1.5</v>
      </c>
      <c r="BH14" s="5">
        <v>0</v>
      </c>
      <c r="BI14" s="5">
        <v>1.5</v>
      </c>
      <c r="BJ14" s="5">
        <v>1.5</v>
      </c>
      <c r="BK14" s="5">
        <v>1.5</v>
      </c>
      <c r="BL14" s="5">
        <v>1.5</v>
      </c>
      <c r="BM14" s="5">
        <v>30.5</v>
      </c>
      <c r="BN14" s="3">
        <v>0.81333333253860474</v>
      </c>
      <c r="BO14" s="3">
        <v>0</v>
      </c>
      <c r="BP14" s="3">
        <v>0</v>
      </c>
      <c r="BQ14" s="3">
        <v>0</v>
      </c>
    </row>
    <row r="15" spans="1:69" x14ac:dyDescent="0.2">
      <c r="A15" s="3">
        <v>290</v>
      </c>
      <c r="B15" s="79">
        <v>290</v>
      </c>
      <c r="C15" s="3">
        <v>1</v>
      </c>
      <c r="E15" s="3">
        <v>150300.5</v>
      </c>
      <c r="F15" s="3">
        <v>125148.133684163</v>
      </c>
      <c r="G15" s="3">
        <v>104774.37</v>
      </c>
      <c r="H15" s="3">
        <v>64779.4</v>
      </c>
      <c r="I15" s="3">
        <v>2018</v>
      </c>
      <c r="J15" s="3">
        <v>2020</v>
      </c>
      <c r="K15" s="3">
        <v>46287.83</v>
      </c>
      <c r="L15" s="3">
        <v>26391.26</v>
      </c>
      <c r="M15" s="3">
        <v>-3667.6100000000301</v>
      </c>
      <c r="N15" s="3">
        <v>-45331.360000000001</v>
      </c>
      <c r="O15" s="3">
        <v>363525065.39999998</v>
      </c>
      <c r="P15" s="3">
        <v>430754299.79112601</v>
      </c>
      <c r="Q15" s="3">
        <v>188705526.64770001</v>
      </c>
      <c r="R15" s="3">
        <v>106297522.30679999</v>
      </c>
      <c r="S15" s="3" t="s">
        <v>317</v>
      </c>
      <c r="T15" s="3" t="s">
        <v>56</v>
      </c>
      <c r="U15" s="3">
        <v>10550430</v>
      </c>
      <c r="V15" s="3">
        <v>229672.37113494601</v>
      </c>
      <c r="W15" s="23" t="s">
        <v>21</v>
      </c>
      <c r="X15" s="23">
        <v>4.9276509161013102E-2</v>
      </c>
      <c r="Y15" s="50">
        <v>5.55888598150601E-2</v>
      </c>
      <c r="Z15" s="50">
        <v>5.8201170517427796</v>
      </c>
      <c r="AA15" s="50">
        <v>236638.994030014</v>
      </c>
      <c r="AB15" s="50" t="s">
        <v>294</v>
      </c>
      <c r="AC15" s="23">
        <v>400942.769497036</v>
      </c>
      <c r="AD15" s="3">
        <v>342175.46764485998</v>
      </c>
      <c r="AE15" s="3">
        <v>292575.94735634001</v>
      </c>
      <c r="AF15" s="10">
        <v>31</v>
      </c>
      <c r="AK15" s="10">
        <v>1</v>
      </c>
      <c r="AL15" s="10">
        <v>1</v>
      </c>
      <c r="AM15" s="10">
        <v>1</v>
      </c>
      <c r="AN15" s="10">
        <v>1.5</v>
      </c>
      <c r="AO15" s="10">
        <v>1.5</v>
      </c>
      <c r="AP15" s="10">
        <v>1.5</v>
      </c>
      <c r="AQ15" s="10">
        <v>1</v>
      </c>
      <c r="AR15" s="10">
        <v>1</v>
      </c>
      <c r="AS15" s="10">
        <v>1</v>
      </c>
      <c r="AT15" s="10">
        <v>1</v>
      </c>
      <c r="AU15" s="10">
        <v>1.5</v>
      </c>
      <c r="AV15" s="10">
        <v>1.5</v>
      </c>
      <c r="AW15" s="10">
        <v>1.5</v>
      </c>
      <c r="AX15" s="10">
        <v>1.5</v>
      </c>
      <c r="AY15" s="10">
        <v>2</v>
      </c>
      <c r="AZ15" s="10">
        <v>1</v>
      </c>
      <c r="BA15" s="10">
        <v>1</v>
      </c>
      <c r="BB15" s="79">
        <v>2</v>
      </c>
      <c r="BC15" s="79">
        <v>1</v>
      </c>
      <c r="BD15" s="79">
        <v>0</v>
      </c>
      <c r="BE15" s="79">
        <v>0</v>
      </c>
      <c r="BF15" s="79">
        <v>0</v>
      </c>
      <c r="BG15" s="79">
        <v>0</v>
      </c>
      <c r="BH15" s="79">
        <v>0</v>
      </c>
      <c r="BI15" s="79">
        <v>1.5</v>
      </c>
      <c r="BJ15" s="79">
        <v>1.5</v>
      </c>
      <c r="BK15" s="5">
        <v>1.5</v>
      </c>
      <c r="BL15" s="12">
        <v>1.5</v>
      </c>
      <c r="BM15" s="5">
        <v>30.5</v>
      </c>
      <c r="BN15" s="5">
        <v>0.81333333253860474</v>
      </c>
      <c r="BO15" s="3">
        <v>0</v>
      </c>
      <c r="BP15" s="3">
        <v>0</v>
      </c>
      <c r="BQ15" s="3">
        <v>0</v>
      </c>
    </row>
    <row r="16" spans="1:69" x14ac:dyDescent="0.2">
      <c r="A16" s="3">
        <v>291</v>
      </c>
      <c r="B16" s="79">
        <v>291</v>
      </c>
      <c r="C16" s="3">
        <v>4</v>
      </c>
      <c r="E16" s="3">
        <v>150300.5</v>
      </c>
      <c r="F16" s="3">
        <v>125148.133684163</v>
      </c>
      <c r="G16" s="3">
        <v>104774.37</v>
      </c>
      <c r="H16" s="3">
        <v>64779.4</v>
      </c>
      <c r="I16" s="3">
        <v>2018</v>
      </c>
      <c r="J16" s="3">
        <v>2021</v>
      </c>
      <c r="K16" s="3">
        <v>46287.83</v>
      </c>
      <c r="L16" s="3">
        <v>26391.26</v>
      </c>
      <c r="M16" s="3">
        <v>-3667.6100000000301</v>
      </c>
      <c r="N16" s="3">
        <v>-45331.360000000001</v>
      </c>
      <c r="O16" s="3">
        <v>363525065.39999998</v>
      </c>
      <c r="P16" s="3">
        <v>430754299.79112601</v>
      </c>
      <c r="Q16" s="3">
        <v>188705526.64770001</v>
      </c>
      <c r="R16" s="3">
        <v>106297522.30679999</v>
      </c>
      <c r="S16" s="3" t="s">
        <v>318</v>
      </c>
      <c r="T16" s="3" t="s">
        <v>294</v>
      </c>
      <c r="U16" s="3">
        <v>10551451.6</v>
      </c>
      <c r="V16" s="3">
        <v>229694.610351201</v>
      </c>
      <c r="W16" s="3" t="s">
        <v>21</v>
      </c>
      <c r="X16" s="23">
        <v>0.05</v>
      </c>
      <c r="Y16" s="23">
        <v>7.9811740116652499E-2</v>
      </c>
      <c r="Z16" s="23">
        <v>6.4268852808699304</v>
      </c>
      <c r="AA16" s="23">
        <v>376704.601097707</v>
      </c>
      <c r="AB16" s="23" t="s">
        <v>294</v>
      </c>
      <c r="AC16" s="50">
        <v>400981.59285620903</v>
      </c>
      <c r="AD16" s="23">
        <v>342208.600555818</v>
      </c>
      <c r="AE16" s="23">
        <v>292604.27753698803</v>
      </c>
      <c r="AF16" s="3">
        <v>31</v>
      </c>
      <c r="AK16" s="10">
        <v>1</v>
      </c>
      <c r="AL16" s="10">
        <v>1</v>
      </c>
      <c r="AM16" s="10">
        <v>1</v>
      </c>
      <c r="AN16" s="10">
        <v>1.5</v>
      </c>
      <c r="AO16" s="10">
        <v>1.5</v>
      </c>
      <c r="AP16" s="10">
        <v>1.5</v>
      </c>
      <c r="AQ16" s="10">
        <v>1</v>
      </c>
      <c r="AR16" s="10">
        <v>1</v>
      </c>
      <c r="AS16" s="10">
        <v>1</v>
      </c>
      <c r="AT16" s="10">
        <v>1</v>
      </c>
      <c r="AU16" s="10">
        <v>1.5</v>
      </c>
      <c r="AV16" s="10">
        <v>1.5</v>
      </c>
      <c r="AW16" s="10">
        <v>1.5</v>
      </c>
      <c r="AX16" s="10">
        <v>1.5</v>
      </c>
      <c r="AY16" s="10">
        <v>1</v>
      </c>
      <c r="AZ16" s="10">
        <v>0</v>
      </c>
      <c r="BA16" s="10">
        <v>1</v>
      </c>
      <c r="BB16" s="10">
        <v>2</v>
      </c>
      <c r="BC16" s="10">
        <v>1</v>
      </c>
      <c r="BD16" s="10">
        <v>0</v>
      </c>
      <c r="BE16" s="10">
        <v>1.5</v>
      </c>
      <c r="BF16" s="10">
        <v>1.5</v>
      </c>
      <c r="BG16" s="10">
        <v>0</v>
      </c>
      <c r="BH16" s="10">
        <v>0</v>
      </c>
      <c r="BI16" s="10">
        <v>1.5</v>
      </c>
      <c r="BJ16" s="10">
        <v>1.5</v>
      </c>
      <c r="BK16" s="79">
        <v>1.5</v>
      </c>
      <c r="BL16" s="3">
        <v>1.5</v>
      </c>
      <c r="BM16" s="3">
        <v>31.5</v>
      </c>
      <c r="BN16" s="3">
        <v>0.8399999737739563</v>
      </c>
      <c r="BO16" s="3">
        <v>0</v>
      </c>
      <c r="BP16" s="3">
        <v>0</v>
      </c>
      <c r="BQ16" s="3">
        <v>0</v>
      </c>
    </row>
    <row r="17" spans="1:69" x14ac:dyDescent="0.2">
      <c r="A17" s="3">
        <v>293</v>
      </c>
      <c r="B17" s="79">
        <v>293</v>
      </c>
      <c r="C17" s="3">
        <v>2</v>
      </c>
      <c r="E17" s="3">
        <v>150300.5</v>
      </c>
      <c r="F17" s="3">
        <v>125148.133684163</v>
      </c>
      <c r="G17" s="3">
        <v>104774.37</v>
      </c>
      <c r="H17" s="3">
        <v>64779.4</v>
      </c>
      <c r="I17" s="3">
        <v>2018</v>
      </c>
      <c r="J17" s="3">
        <v>2021</v>
      </c>
      <c r="K17" s="3">
        <v>46287.83</v>
      </c>
      <c r="L17" s="3">
        <v>26391.26</v>
      </c>
      <c r="M17" s="3">
        <v>-3667.6100000000301</v>
      </c>
      <c r="N17" s="3">
        <v>-45331.360000000001</v>
      </c>
      <c r="O17" s="3">
        <v>363525065.39999998</v>
      </c>
      <c r="P17" s="3">
        <v>430754299.79112601</v>
      </c>
      <c r="Q17" s="3">
        <v>188705526.64770001</v>
      </c>
      <c r="R17" s="3">
        <v>106297522.30679999</v>
      </c>
      <c r="S17" s="3" t="s">
        <v>320</v>
      </c>
      <c r="T17" s="3" t="s">
        <v>294</v>
      </c>
      <c r="U17" s="3">
        <v>10550227.199999999</v>
      </c>
      <c r="V17" s="3">
        <v>207187.93700061899</v>
      </c>
      <c r="W17" s="23" t="s">
        <v>21</v>
      </c>
      <c r="X17" s="23">
        <v>4.9276453124494503E-2</v>
      </c>
      <c r="Y17" s="50">
        <v>7.5360742915094106E-2</v>
      </c>
      <c r="Z17" s="50">
        <v>6.6119300012180897</v>
      </c>
      <c r="AA17" s="50">
        <v>401115.76900661498</v>
      </c>
      <c r="AB17" s="50" t="s">
        <v>289</v>
      </c>
      <c r="AC17" s="23">
        <v>400935.06258900801</v>
      </c>
      <c r="AD17" s="3">
        <v>342168.890359874</v>
      </c>
      <c r="AE17" s="3">
        <v>292570.32347161497</v>
      </c>
      <c r="AF17" s="10">
        <v>31</v>
      </c>
      <c r="AK17" s="10">
        <v>1</v>
      </c>
      <c r="AL17" s="10">
        <v>1</v>
      </c>
      <c r="AM17" s="10">
        <v>1</v>
      </c>
      <c r="AN17" s="10">
        <v>1.5</v>
      </c>
      <c r="AO17" s="10">
        <v>1.5</v>
      </c>
      <c r="AP17" s="10">
        <v>1.5</v>
      </c>
      <c r="AQ17" s="10">
        <v>1</v>
      </c>
      <c r="AR17" s="10">
        <v>1</v>
      </c>
      <c r="AS17" s="10">
        <v>1</v>
      </c>
      <c r="AT17" s="10">
        <v>1</v>
      </c>
      <c r="AU17" s="10">
        <v>1.5</v>
      </c>
      <c r="AV17" s="10">
        <v>1.5</v>
      </c>
      <c r="AW17" s="10">
        <v>1.5</v>
      </c>
      <c r="AX17" s="10">
        <v>1.5</v>
      </c>
      <c r="AY17" s="10">
        <v>1</v>
      </c>
      <c r="AZ17" s="10">
        <v>0</v>
      </c>
      <c r="BA17" s="10">
        <v>1</v>
      </c>
      <c r="BB17" s="79">
        <v>0</v>
      </c>
      <c r="BC17" s="79">
        <v>1</v>
      </c>
      <c r="BD17" s="79">
        <v>0</v>
      </c>
      <c r="BE17" s="79">
        <v>1.5</v>
      </c>
      <c r="BF17" s="79">
        <v>0</v>
      </c>
      <c r="BG17" s="79">
        <v>0</v>
      </c>
      <c r="BH17" s="79">
        <v>0</v>
      </c>
      <c r="BI17" s="79">
        <v>1.5</v>
      </c>
      <c r="BJ17" s="79">
        <v>1.5</v>
      </c>
      <c r="BK17" s="5">
        <v>1.5</v>
      </c>
      <c r="BL17" s="12">
        <v>1.5</v>
      </c>
      <c r="BM17" s="5">
        <v>28</v>
      </c>
      <c r="BN17" s="3">
        <v>0.74666666984558105</v>
      </c>
      <c r="BO17" s="3">
        <v>0</v>
      </c>
      <c r="BP17" s="3">
        <v>0</v>
      </c>
      <c r="BQ17" s="3">
        <v>0</v>
      </c>
    </row>
    <row r="18" spans="1:69" x14ac:dyDescent="0.2">
      <c r="A18" s="3">
        <v>294</v>
      </c>
      <c r="B18" s="79">
        <v>294</v>
      </c>
      <c r="C18" s="3">
        <v>1</v>
      </c>
      <c r="E18" s="3">
        <v>150300.5</v>
      </c>
      <c r="F18" s="3">
        <v>125148.133684163</v>
      </c>
      <c r="G18" s="3">
        <v>104774.37</v>
      </c>
      <c r="H18" s="3">
        <v>64779.4</v>
      </c>
      <c r="I18" s="3">
        <v>2018</v>
      </c>
      <c r="J18" s="3">
        <v>2021</v>
      </c>
      <c r="K18" s="3">
        <v>46287.83</v>
      </c>
      <c r="L18" s="3">
        <v>26391.26</v>
      </c>
      <c r="M18" s="3">
        <v>-3667.6100000000301</v>
      </c>
      <c r="N18" s="3">
        <v>-45331.360000000001</v>
      </c>
      <c r="O18" s="3">
        <v>363525065.39999998</v>
      </c>
      <c r="P18" s="3">
        <v>430754299.79112601</v>
      </c>
      <c r="Q18" s="3">
        <v>188705526.64770001</v>
      </c>
      <c r="R18" s="3">
        <v>106297522.30679999</v>
      </c>
      <c r="S18" s="3" t="s">
        <v>320</v>
      </c>
      <c r="T18" s="3" t="s">
        <v>294</v>
      </c>
      <c r="U18" s="3">
        <v>10550373.199999999</v>
      </c>
      <c r="V18" s="3">
        <v>229671.13465542201</v>
      </c>
      <c r="W18" s="3" t="s">
        <v>21</v>
      </c>
      <c r="X18" s="23">
        <v>4.9276458827047898E-2</v>
      </c>
      <c r="Y18" s="23">
        <v>7.9809869028607802E-2</v>
      </c>
      <c r="Z18" s="23">
        <v>6.4266734426102099</v>
      </c>
      <c r="AA18" s="23">
        <v>374951.723951686</v>
      </c>
      <c r="AB18" s="23" t="s">
        <v>289</v>
      </c>
      <c r="AC18" s="50">
        <v>400940.610954748</v>
      </c>
      <c r="AD18" s="23">
        <v>342173.62548614701</v>
      </c>
      <c r="AE18" s="23">
        <v>292574.37222491798</v>
      </c>
      <c r="AF18" s="3">
        <v>31</v>
      </c>
      <c r="AK18" s="10">
        <v>1</v>
      </c>
      <c r="AL18" s="10">
        <v>1</v>
      </c>
      <c r="AM18" s="10">
        <v>1</v>
      </c>
      <c r="AN18" s="10">
        <v>1.5</v>
      </c>
      <c r="AO18" s="10">
        <v>1.5</v>
      </c>
      <c r="AP18" s="10">
        <v>1.5</v>
      </c>
      <c r="AQ18" s="10">
        <v>1</v>
      </c>
      <c r="AR18" s="10">
        <v>1</v>
      </c>
      <c r="AS18" s="10">
        <v>1</v>
      </c>
      <c r="AT18" s="10">
        <v>1</v>
      </c>
      <c r="AU18" s="10">
        <v>1.5</v>
      </c>
      <c r="AV18" s="10">
        <v>1.5</v>
      </c>
      <c r="AW18" s="10">
        <v>1.5</v>
      </c>
      <c r="AX18" s="10">
        <v>1.5</v>
      </c>
      <c r="AY18" s="10">
        <v>1</v>
      </c>
      <c r="AZ18" s="10">
        <v>0</v>
      </c>
      <c r="BA18" s="10">
        <v>1</v>
      </c>
      <c r="BB18" s="10">
        <v>2</v>
      </c>
      <c r="BC18" s="10">
        <v>1</v>
      </c>
      <c r="BD18" s="10">
        <v>0</v>
      </c>
      <c r="BE18" s="10">
        <v>1.5</v>
      </c>
      <c r="BF18" s="10">
        <v>1.5</v>
      </c>
      <c r="BG18" s="10">
        <v>0</v>
      </c>
      <c r="BH18" s="10">
        <v>0</v>
      </c>
      <c r="BI18" s="10">
        <v>1.5</v>
      </c>
      <c r="BJ18" s="10">
        <v>1.5</v>
      </c>
      <c r="BK18" s="79">
        <v>1.5</v>
      </c>
      <c r="BL18" s="3">
        <v>1.5</v>
      </c>
      <c r="BM18" s="3">
        <v>31.5</v>
      </c>
      <c r="BN18" s="3">
        <v>0.8399999737739563</v>
      </c>
      <c r="BO18" s="3">
        <v>0</v>
      </c>
      <c r="BP18" s="3">
        <v>0</v>
      </c>
      <c r="BQ18" s="3">
        <v>0</v>
      </c>
    </row>
    <row r="19" spans="1:69" x14ac:dyDescent="0.2">
      <c r="A19" s="3">
        <v>295</v>
      </c>
      <c r="B19" s="79">
        <v>295</v>
      </c>
      <c r="C19" s="3">
        <v>3</v>
      </c>
      <c r="E19" s="23">
        <v>150300.5</v>
      </c>
      <c r="F19" s="23">
        <v>125148.133684163</v>
      </c>
      <c r="G19" s="23">
        <v>104774.37</v>
      </c>
      <c r="H19" s="3">
        <v>64779.4</v>
      </c>
      <c r="I19" s="3">
        <v>2018</v>
      </c>
      <c r="J19" s="3">
        <v>2020</v>
      </c>
      <c r="K19" s="3">
        <v>42593.2</v>
      </c>
      <c r="L19" s="3">
        <v>22696.63</v>
      </c>
      <c r="M19" s="3">
        <v>-7362.2400000000298</v>
      </c>
      <c r="N19" s="3">
        <v>-49025.99</v>
      </c>
      <c r="O19" s="3">
        <v>363525065.39999998</v>
      </c>
      <c r="P19" s="19">
        <v>430754299.79112601</v>
      </c>
      <c r="Q19" s="23">
        <v>188705526.64770001</v>
      </c>
      <c r="R19" s="23">
        <v>224665683.1525</v>
      </c>
      <c r="S19" s="50" t="s">
        <v>322</v>
      </c>
      <c r="T19" s="23" t="s">
        <v>56</v>
      </c>
      <c r="U19" s="23">
        <v>10550416.800000001</v>
      </c>
      <c r="V19" s="23">
        <v>229672.08378407199</v>
      </c>
      <c r="W19" s="3" t="s">
        <v>21</v>
      </c>
      <c r="X19" s="79">
        <v>4.9276458827047898E-2</v>
      </c>
      <c r="Y19" s="3">
        <v>7.5357937317597101E-2</v>
      </c>
      <c r="Z19" s="3">
        <v>6.6118759424268001</v>
      </c>
      <c r="AA19" s="3">
        <v>401092.66590158502</v>
      </c>
      <c r="AB19" s="3" t="s">
        <v>294</v>
      </c>
      <c r="AC19" s="3">
        <v>400942.26786396798</v>
      </c>
      <c r="AD19" s="3">
        <v>342175.03953755402</v>
      </c>
      <c r="AE19" s="3">
        <v>292575.58130467101</v>
      </c>
      <c r="AF19" s="3">
        <v>31</v>
      </c>
      <c r="AG19" s="3"/>
      <c r="AK19" s="10">
        <v>1</v>
      </c>
      <c r="AL19" s="10">
        <v>1</v>
      </c>
      <c r="AM19" s="10">
        <v>1</v>
      </c>
      <c r="AN19" s="10">
        <v>1.5</v>
      </c>
      <c r="AO19" s="92">
        <v>1.5</v>
      </c>
      <c r="AP19" s="10">
        <v>1.5</v>
      </c>
      <c r="AQ19" s="92">
        <v>0</v>
      </c>
      <c r="AR19" s="10">
        <v>0</v>
      </c>
      <c r="AS19" s="10">
        <v>0</v>
      </c>
      <c r="AT19" s="10">
        <v>0</v>
      </c>
      <c r="AU19" s="10">
        <v>1.5</v>
      </c>
      <c r="AV19" s="10">
        <v>1.5</v>
      </c>
      <c r="AW19" s="10">
        <v>1.5</v>
      </c>
      <c r="AX19" s="5">
        <v>0</v>
      </c>
      <c r="AY19" s="5">
        <v>0</v>
      </c>
      <c r="AZ19" s="5">
        <v>1</v>
      </c>
      <c r="BA19" s="5">
        <v>1</v>
      </c>
      <c r="BB19" s="5">
        <v>2</v>
      </c>
      <c r="BC19" s="5">
        <v>1</v>
      </c>
      <c r="BD19" s="5">
        <v>0</v>
      </c>
      <c r="BE19" s="5">
        <v>1.5</v>
      </c>
      <c r="BF19" s="5">
        <v>0</v>
      </c>
      <c r="BG19" s="5">
        <v>0</v>
      </c>
      <c r="BH19" s="5">
        <v>0</v>
      </c>
      <c r="BI19" s="5">
        <v>1.5</v>
      </c>
      <c r="BJ19" s="5">
        <v>1.5</v>
      </c>
      <c r="BK19" s="5">
        <v>1.5</v>
      </c>
      <c r="BL19" s="5">
        <v>1.5</v>
      </c>
      <c r="BM19" s="5">
        <v>24.5</v>
      </c>
      <c r="BN19" s="3">
        <v>0.65333330631256104</v>
      </c>
      <c r="BO19" s="3">
        <v>0</v>
      </c>
      <c r="BP19" s="3">
        <v>0</v>
      </c>
      <c r="BQ19" s="3">
        <v>0</v>
      </c>
    </row>
    <row r="20" spans="1:69" x14ac:dyDescent="0.2">
      <c r="A20" s="3">
        <v>297</v>
      </c>
      <c r="B20" s="79">
        <v>297</v>
      </c>
      <c r="C20" s="3">
        <v>4</v>
      </c>
      <c r="E20" s="3">
        <v>150300.5</v>
      </c>
      <c r="F20" s="3">
        <v>124708.514271048</v>
      </c>
      <c r="G20" s="3">
        <v>104773.65</v>
      </c>
      <c r="H20" s="3">
        <v>64779.4</v>
      </c>
      <c r="I20" s="3">
        <v>2018</v>
      </c>
      <c r="J20" s="3">
        <v>2020</v>
      </c>
      <c r="K20" s="3">
        <v>46283.8</v>
      </c>
      <c r="L20" s="3">
        <v>26386.39</v>
      </c>
      <c r="M20" s="3">
        <v>-3673.4000000000401</v>
      </c>
      <c r="N20" s="3">
        <v>-45338.15</v>
      </c>
      <c r="O20" s="3">
        <v>363525065.39999998</v>
      </c>
      <c r="P20" s="3">
        <v>428009464.06866002</v>
      </c>
      <c r="Q20" s="3">
        <v>188705527.7493</v>
      </c>
      <c r="R20" s="3">
        <v>106297558.93889999</v>
      </c>
      <c r="S20" s="3" t="s">
        <v>324</v>
      </c>
      <c r="T20" s="3" t="s">
        <v>56</v>
      </c>
      <c r="U20" s="3">
        <v>10550426</v>
      </c>
      <c r="V20" s="3">
        <v>229672.28405892299</v>
      </c>
      <c r="W20" s="3" t="s">
        <v>21</v>
      </c>
      <c r="X20" s="23">
        <v>4.9276464952815999E-2</v>
      </c>
      <c r="Y20" s="23">
        <v>7.53536023293397E-2</v>
      </c>
      <c r="Z20" s="23">
        <v>6.61169919796356</v>
      </c>
      <c r="AA20" s="23">
        <v>401052.58603908698</v>
      </c>
      <c r="AB20" s="23" t="s">
        <v>294</v>
      </c>
      <c r="AC20" s="50">
        <v>400942.61748701503</v>
      </c>
      <c r="AD20" s="23">
        <v>342175.33791537298</v>
      </c>
      <c r="AE20" s="23">
        <v>292575.83643159299</v>
      </c>
      <c r="AF20" s="3">
        <v>31</v>
      </c>
      <c r="AK20" s="10">
        <v>1</v>
      </c>
      <c r="AL20" s="10">
        <v>0</v>
      </c>
      <c r="AM20" s="10">
        <v>1</v>
      </c>
      <c r="AN20" s="10">
        <v>1.5</v>
      </c>
      <c r="AO20" s="10">
        <v>1.5</v>
      </c>
      <c r="AP20" s="10">
        <v>1.5</v>
      </c>
      <c r="AQ20" s="10">
        <v>1</v>
      </c>
      <c r="AR20" s="10">
        <v>1</v>
      </c>
      <c r="AS20" s="10">
        <v>1</v>
      </c>
      <c r="AT20" s="10">
        <v>1</v>
      </c>
      <c r="AU20" s="10">
        <v>1.5</v>
      </c>
      <c r="AV20" s="10">
        <v>1.5</v>
      </c>
      <c r="AW20" s="10">
        <v>1.5</v>
      </c>
      <c r="AX20" s="10">
        <v>0</v>
      </c>
      <c r="AY20" s="10">
        <v>0</v>
      </c>
      <c r="AZ20" s="10">
        <v>1</v>
      </c>
      <c r="BA20" s="10">
        <v>1</v>
      </c>
      <c r="BB20" s="10">
        <v>2</v>
      </c>
      <c r="BC20" s="10">
        <v>1</v>
      </c>
      <c r="BD20" s="10">
        <v>0</v>
      </c>
      <c r="BE20" s="10">
        <v>1.5</v>
      </c>
      <c r="BF20" s="10">
        <v>0</v>
      </c>
      <c r="BG20" s="10">
        <v>0</v>
      </c>
      <c r="BH20" s="10">
        <v>0</v>
      </c>
      <c r="BI20" s="10">
        <v>1.5</v>
      </c>
      <c r="BJ20" s="10">
        <v>1.5</v>
      </c>
      <c r="BK20" s="79">
        <v>1.5</v>
      </c>
      <c r="BL20" s="3">
        <v>1.5</v>
      </c>
      <c r="BM20" s="3">
        <v>27.5</v>
      </c>
      <c r="BN20" s="3">
        <v>0.73333334922790527</v>
      </c>
      <c r="BO20" s="3">
        <v>0</v>
      </c>
      <c r="BP20" s="3">
        <v>0</v>
      </c>
      <c r="BQ20" s="3">
        <v>0</v>
      </c>
    </row>
    <row r="21" spans="1:69" x14ac:dyDescent="0.2">
      <c r="A21" s="3">
        <v>298</v>
      </c>
      <c r="B21" s="79">
        <v>298</v>
      </c>
      <c r="C21" s="3">
        <v>1</v>
      </c>
      <c r="E21" s="3">
        <v>150300.5</v>
      </c>
      <c r="F21" s="3">
        <v>125148.133684163</v>
      </c>
      <c r="G21" s="3">
        <v>104774.37</v>
      </c>
      <c r="H21" s="3">
        <v>64779.4</v>
      </c>
      <c r="I21" s="3">
        <v>2018</v>
      </c>
      <c r="J21" s="3">
        <v>2020</v>
      </c>
      <c r="K21" s="3">
        <v>46287.83</v>
      </c>
      <c r="L21" s="3">
        <v>26391.26</v>
      </c>
      <c r="M21" s="3">
        <v>-3667.6100000000301</v>
      </c>
      <c r="N21" s="3">
        <v>-45331.360000000001</v>
      </c>
      <c r="O21" s="3">
        <v>360100345.04000002</v>
      </c>
      <c r="P21" s="3">
        <v>430754299.79112601</v>
      </c>
      <c r="Q21" s="3">
        <v>188705526.64770001</v>
      </c>
      <c r="R21" s="3">
        <v>106297522.30679999</v>
      </c>
      <c r="S21" s="3" t="s">
        <v>325</v>
      </c>
      <c r="T21" s="3" t="s">
        <v>56</v>
      </c>
      <c r="U21" s="3">
        <v>10551029.199999999</v>
      </c>
      <c r="V21" s="3">
        <v>229685.41512317999</v>
      </c>
      <c r="W21" s="23" t="s">
        <v>21</v>
      </c>
      <c r="X21" s="23">
        <v>4.9212358369530002E-2</v>
      </c>
      <c r="Y21" s="50">
        <v>7.98106279885369E-2</v>
      </c>
      <c r="Z21" s="50">
        <v>6.4268715944285004</v>
      </c>
      <c r="AA21" s="50">
        <v>374971.744989097</v>
      </c>
      <c r="AB21" s="50" t="s">
        <v>289</v>
      </c>
      <c r="AC21" s="23">
        <v>400965.54059807002</v>
      </c>
      <c r="AD21" s="3">
        <v>342194.90112199902</v>
      </c>
      <c r="AE21" s="3">
        <v>292592.56388359499</v>
      </c>
      <c r="AF21" s="10">
        <v>31</v>
      </c>
      <c r="AK21" s="10">
        <v>1</v>
      </c>
      <c r="AL21" s="10">
        <v>1</v>
      </c>
      <c r="AM21" s="10">
        <v>1</v>
      </c>
      <c r="AN21" s="10">
        <v>1.5</v>
      </c>
      <c r="AO21" s="10">
        <v>1.5</v>
      </c>
      <c r="AP21" s="10">
        <v>1.5</v>
      </c>
      <c r="AQ21" s="10">
        <v>1</v>
      </c>
      <c r="AR21" s="10">
        <v>1</v>
      </c>
      <c r="AS21" s="10">
        <v>1</v>
      </c>
      <c r="AT21" s="10">
        <v>1</v>
      </c>
      <c r="AU21" s="10">
        <v>0</v>
      </c>
      <c r="AV21" s="10">
        <v>1.5</v>
      </c>
      <c r="AW21" s="10">
        <v>1.5</v>
      </c>
      <c r="AX21" s="10">
        <v>1.5</v>
      </c>
      <c r="AY21" s="10">
        <v>0</v>
      </c>
      <c r="AZ21" s="10">
        <v>1</v>
      </c>
      <c r="BA21" s="10">
        <v>1</v>
      </c>
      <c r="BB21" s="79">
        <v>2</v>
      </c>
      <c r="BC21" s="79">
        <v>1</v>
      </c>
      <c r="BD21" s="79">
        <v>0</v>
      </c>
      <c r="BE21" s="79">
        <v>1.5</v>
      </c>
      <c r="BF21" s="79">
        <v>1.5</v>
      </c>
      <c r="BG21" s="79">
        <v>0</v>
      </c>
      <c r="BH21" s="79">
        <v>0</v>
      </c>
      <c r="BI21" s="79">
        <v>1.5</v>
      </c>
      <c r="BJ21" s="79">
        <v>1.5</v>
      </c>
      <c r="BK21" s="5">
        <v>1.5</v>
      </c>
      <c r="BL21" s="12">
        <v>1.5</v>
      </c>
      <c r="BM21" s="5">
        <v>30</v>
      </c>
      <c r="BN21" s="3">
        <v>0.80000001192092896</v>
      </c>
      <c r="BO21" s="3">
        <v>0</v>
      </c>
      <c r="BP21" s="3">
        <v>0</v>
      </c>
      <c r="BQ21" s="3">
        <v>0</v>
      </c>
    </row>
    <row r="22" spans="1:69" x14ac:dyDescent="0.2">
      <c r="A22" s="3">
        <v>299</v>
      </c>
      <c r="B22" s="79">
        <v>299</v>
      </c>
      <c r="C22" s="3">
        <v>3</v>
      </c>
      <c r="E22" s="3">
        <v>150300.5</v>
      </c>
      <c r="F22" s="3">
        <v>125148.133684163</v>
      </c>
      <c r="G22" s="3">
        <v>104774.37</v>
      </c>
      <c r="H22" s="3">
        <v>64779.4</v>
      </c>
      <c r="I22" s="3">
        <v>2018</v>
      </c>
      <c r="J22" s="3">
        <v>2021</v>
      </c>
      <c r="K22" s="3">
        <v>46287.83</v>
      </c>
      <c r="L22" s="3">
        <v>26391.26</v>
      </c>
      <c r="M22" s="3">
        <v>-3667.6100000000301</v>
      </c>
      <c r="N22" s="3">
        <v>-45331.360000000001</v>
      </c>
      <c r="O22" s="3">
        <v>363525065.39999998</v>
      </c>
      <c r="P22" s="3">
        <v>430754299.79112601</v>
      </c>
      <c r="Q22" s="23">
        <v>188705526.64770001</v>
      </c>
      <c r="R22" s="23">
        <v>106297522.30679999</v>
      </c>
      <c r="S22" s="50" t="s">
        <v>327</v>
      </c>
      <c r="T22" s="23" t="s">
        <v>294</v>
      </c>
      <c r="U22" s="23">
        <v>10550642.4</v>
      </c>
      <c r="V22" s="23">
        <v>229676.99487176401</v>
      </c>
      <c r="W22" s="3" t="s">
        <v>21</v>
      </c>
      <c r="X22" s="79">
        <v>4.9276509161013102E-2</v>
      </c>
      <c r="Y22" s="3">
        <v>7.9805758586433698E-2</v>
      </c>
      <c r="Z22" s="3">
        <v>6.4267974765625198</v>
      </c>
      <c r="AA22" s="3">
        <v>374913.507285178</v>
      </c>
      <c r="AB22" s="3" t="s">
        <v>294</v>
      </c>
      <c r="AC22" s="3">
        <v>400950.841229112</v>
      </c>
      <c r="AD22" s="3">
        <v>342182.35628061602</v>
      </c>
      <c r="AE22" s="3">
        <v>292581.83746046002</v>
      </c>
      <c r="AF22" s="3">
        <v>31</v>
      </c>
      <c r="AG22" s="3"/>
      <c r="AK22" s="10">
        <v>1</v>
      </c>
      <c r="AL22" s="10">
        <v>1</v>
      </c>
      <c r="AM22" s="10">
        <v>1</v>
      </c>
      <c r="AN22" s="10">
        <v>1.5</v>
      </c>
      <c r="AO22" s="92">
        <v>1.5</v>
      </c>
      <c r="AP22" s="10">
        <v>1.5</v>
      </c>
      <c r="AQ22" s="92">
        <v>1</v>
      </c>
      <c r="AR22" s="10">
        <v>1</v>
      </c>
      <c r="AS22" s="10">
        <v>1</v>
      </c>
      <c r="AT22" s="10">
        <v>1</v>
      </c>
      <c r="AU22" s="10">
        <v>1.5</v>
      </c>
      <c r="AV22" s="10">
        <v>1.5</v>
      </c>
      <c r="AW22" s="10">
        <v>1.5</v>
      </c>
      <c r="AX22" s="5">
        <v>1.5</v>
      </c>
      <c r="AY22" s="5">
        <v>2</v>
      </c>
      <c r="AZ22" s="5">
        <v>0</v>
      </c>
      <c r="BA22" s="5">
        <v>1</v>
      </c>
      <c r="BB22" s="5">
        <v>2</v>
      </c>
      <c r="BC22" s="5">
        <v>1</v>
      </c>
      <c r="BD22" s="5">
        <v>0</v>
      </c>
      <c r="BE22" s="5">
        <v>1.5</v>
      </c>
      <c r="BF22" s="5">
        <v>1.5</v>
      </c>
      <c r="BG22" s="5">
        <v>1.5</v>
      </c>
      <c r="BH22" s="5">
        <v>0</v>
      </c>
      <c r="BI22" s="5">
        <v>1.5</v>
      </c>
      <c r="BJ22" s="5">
        <v>1.5</v>
      </c>
      <c r="BK22" s="5">
        <v>1.5</v>
      </c>
      <c r="BL22" s="5">
        <v>1.5</v>
      </c>
      <c r="BM22" s="5">
        <v>34</v>
      </c>
      <c r="BN22" s="3">
        <v>0.90666669607162476</v>
      </c>
      <c r="BO22" s="3">
        <v>0</v>
      </c>
      <c r="BP22" s="3">
        <v>0</v>
      </c>
      <c r="BQ22" s="3">
        <v>0</v>
      </c>
    </row>
    <row r="23" spans="1:69" x14ac:dyDescent="0.2">
      <c r="A23" s="5">
        <v>300</v>
      </c>
      <c r="B23" s="11">
        <v>300</v>
      </c>
      <c r="C23" s="5">
        <v>2</v>
      </c>
      <c r="D23" s="5"/>
      <c r="E23" s="22">
        <v>150300.5</v>
      </c>
      <c r="F23" s="22">
        <v>125148.133684163</v>
      </c>
      <c r="G23" s="22">
        <v>104773.65</v>
      </c>
      <c r="H23" s="5">
        <v>64779.4</v>
      </c>
      <c r="I23" s="5">
        <v>2018</v>
      </c>
      <c r="J23" s="5">
        <v>2020</v>
      </c>
      <c r="K23" s="5">
        <v>46287.83</v>
      </c>
      <c r="L23" s="5">
        <v>26391.26</v>
      </c>
      <c r="M23" s="5">
        <v>-3667.6100000000301</v>
      </c>
      <c r="N23" s="5">
        <v>-45331.360000000001</v>
      </c>
      <c r="O23" s="5">
        <v>363525065.39999998</v>
      </c>
      <c r="P23" s="5">
        <v>430754299.79112601</v>
      </c>
      <c r="Q23" s="22">
        <v>188705527.7493</v>
      </c>
      <c r="R23" s="22">
        <v>106297522.30679999</v>
      </c>
      <c r="S23" s="15" t="s">
        <v>330</v>
      </c>
      <c r="T23" s="22" t="s">
        <v>56</v>
      </c>
      <c r="U23" s="22">
        <v>10550704</v>
      </c>
      <c r="V23" s="22">
        <v>229678.33584251601</v>
      </c>
      <c r="W23" s="5" t="s">
        <v>21</v>
      </c>
      <c r="X23" s="79">
        <v>1.71330843800689E-2</v>
      </c>
      <c r="Y23" s="3">
        <v>6.4263938436856396</v>
      </c>
      <c r="Z23" s="3">
        <v>7.9804735128931506E-2</v>
      </c>
      <c r="AA23" s="3">
        <v>374927.61415530799</v>
      </c>
      <c r="AB23" s="3" t="s">
        <v>294</v>
      </c>
      <c r="AC23" s="3">
        <v>398566.99382321897</v>
      </c>
      <c r="AD23" s="3">
        <v>334756.178553654</v>
      </c>
      <c r="AE23" s="3">
        <v>281382.20003810502</v>
      </c>
      <c r="AF23" s="3">
        <v>28</v>
      </c>
      <c r="AG23" s="3"/>
      <c r="AH23" s="17"/>
      <c r="AI23" s="17"/>
      <c r="AJ23" s="17"/>
      <c r="AK23" s="17">
        <v>1</v>
      </c>
      <c r="AL23" s="17">
        <v>1</v>
      </c>
      <c r="AM23" s="17">
        <v>1</v>
      </c>
      <c r="AN23" s="17">
        <v>1.5</v>
      </c>
      <c r="AO23" s="91">
        <v>1.5</v>
      </c>
      <c r="AP23" s="17">
        <v>1.5</v>
      </c>
      <c r="AQ23" s="91">
        <v>1</v>
      </c>
      <c r="AR23" s="17">
        <v>1</v>
      </c>
      <c r="AS23" s="17">
        <v>1</v>
      </c>
      <c r="AT23" s="17">
        <v>1</v>
      </c>
      <c r="AU23" s="17">
        <v>1.5</v>
      </c>
      <c r="AV23" s="17">
        <v>1.5</v>
      </c>
      <c r="AW23" s="17">
        <v>1.5</v>
      </c>
      <c r="AX23" s="5">
        <v>1.5</v>
      </c>
      <c r="AY23" s="5">
        <v>0</v>
      </c>
      <c r="AZ23" s="5">
        <v>1</v>
      </c>
      <c r="BA23" s="5">
        <v>1</v>
      </c>
      <c r="BB23" s="5">
        <v>2</v>
      </c>
      <c r="BC23" s="5">
        <v>1</v>
      </c>
      <c r="BD23" s="5">
        <v>0</v>
      </c>
      <c r="BE23" s="5">
        <v>0</v>
      </c>
      <c r="BF23" s="5">
        <v>0</v>
      </c>
      <c r="BG23" s="5">
        <v>1.5</v>
      </c>
      <c r="BH23" s="5">
        <v>0</v>
      </c>
      <c r="BI23" s="5">
        <v>0</v>
      </c>
      <c r="BJ23" s="5">
        <v>0</v>
      </c>
      <c r="BK23" s="5">
        <v>0</v>
      </c>
      <c r="BL23" s="5">
        <v>0</v>
      </c>
      <c r="BM23" s="5">
        <v>24</v>
      </c>
      <c r="BN23" s="3">
        <v>0.63999998569488525</v>
      </c>
      <c r="BO23" s="3">
        <v>0</v>
      </c>
      <c r="BP23" s="3">
        <v>0</v>
      </c>
      <c r="BQ23" s="3">
        <v>0</v>
      </c>
    </row>
    <row r="24" spans="1:69" ht="21.75" customHeight="1" x14ac:dyDescent="0.2">
      <c r="A24" s="3">
        <v>301</v>
      </c>
      <c r="B24" s="79">
        <v>301</v>
      </c>
      <c r="C24" s="3">
        <v>3</v>
      </c>
      <c r="E24" s="3">
        <v>150300.5</v>
      </c>
      <c r="F24" s="3">
        <v>249517.15041670701</v>
      </c>
      <c r="G24" s="3">
        <v>104773.65</v>
      </c>
      <c r="H24" s="3">
        <v>79681.7</v>
      </c>
      <c r="I24" s="3">
        <v>2018</v>
      </c>
      <c r="J24" s="3">
        <v>2020</v>
      </c>
      <c r="K24" s="3">
        <v>46283.8</v>
      </c>
      <c r="L24" s="3">
        <v>26386.39</v>
      </c>
      <c r="M24" s="3">
        <v>-3673.4000000000401</v>
      </c>
      <c r="N24" s="3">
        <v>-45338.15</v>
      </c>
      <c r="O24" s="3">
        <v>363525065.39999998</v>
      </c>
      <c r="P24" s="3">
        <v>18479412639.445202</v>
      </c>
      <c r="Q24" s="3">
        <v>188705527.7493</v>
      </c>
      <c r="R24" s="3">
        <v>106297558.93889999</v>
      </c>
      <c r="S24" s="3" t="s">
        <v>332</v>
      </c>
      <c r="T24" s="3" t="s">
        <v>56</v>
      </c>
      <c r="U24" s="3">
        <v>10550377.199999999</v>
      </c>
      <c r="V24" s="3">
        <v>229671.22173144299</v>
      </c>
      <c r="W24" s="3" t="s">
        <v>21</v>
      </c>
      <c r="X24" s="23">
        <v>4.9276458827047898E-2</v>
      </c>
      <c r="Y24" s="23">
        <v>7.5358004815498397E-2</v>
      </c>
      <c r="Z24" s="23">
        <v>6.6118726154605199</v>
      </c>
      <c r="AA24" s="23">
        <v>320873.76606724103</v>
      </c>
      <c r="AB24" s="23" t="s">
        <v>294</v>
      </c>
      <c r="AC24" s="50">
        <v>400940.76296476799</v>
      </c>
      <c r="AD24" s="23">
        <v>342173.75521563302</v>
      </c>
      <c r="AE24" s="23">
        <v>292574.48314966599</v>
      </c>
      <c r="AF24" s="3">
        <v>31</v>
      </c>
      <c r="AK24" s="10">
        <v>1</v>
      </c>
      <c r="AL24" s="10">
        <v>0</v>
      </c>
      <c r="AM24" s="10">
        <v>1</v>
      </c>
      <c r="AN24" s="10">
        <v>0</v>
      </c>
      <c r="AO24" s="10">
        <v>1.5</v>
      </c>
      <c r="AP24" s="10">
        <v>1.5</v>
      </c>
      <c r="AQ24" s="10">
        <v>1</v>
      </c>
      <c r="AR24" s="10">
        <v>1</v>
      </c>
      <c r="AS24" s="10">
        <v>1</v>
      </c>
      <c r="AT24" s="10">
        <v>1</v>
      </c>
      <c r="AU24" s="10">
        <v>1.5</v>
      </c>
      <c r="AV24" s="10">
        <v>0</v>
      </c>
      <c r="AW24" s="10">
        <v>1.5</v>
      </c>
      <c r="AX24" s="10">
        <v>0</v>
      </c>
      <c r="AY24" s="10">
        <v>2</v>
      </c>
      <c r="AZ24" s="10">
        <v>1</v>
      </c>
      <c r="BA24" s="10">
        <v>1</v>
      </c>
      <c r="BB24" s="10">
        <v>2</v>
      </c>
      <c r="BC24" s="10">
        <v>1</v>
      </c>
      <c r="BD24" s="10">
        <v>0</v>
      </c>
      <c r="BE24" s="10">
        <v>1.5</v>
      </c>
      <c r="BF24" s="10">
        <v>0</v>
      </c>
      <c r="BG24" s="10">
        <v>0</v>
      </c>
      <c r="BH24" s="10">
        <v>0</v>
      </c>
      <c r="BI24" s="10">
        <v>1.5</v>
      </c>
      <c r="BJ24" s="10">
        <v>1.5</v>
      </c>
      <c r="BK24" s="79">
        <v>1.5</v>
      </c>
      <c r="BL24" s="12">
        <v>1.5</v>
      </c>
      <c r="BM24" s="3">
        <v>26.5</v>
      </c>
      <c r="BN24" s="3">
        <v>0.70666664838790894</v>
      </c>
      <c r="BO24" s="3">
        <v>0</v>
      </c>
      <c r="BP24" s="3">
        <v>0</v>
      </c>
      <c r="BQ24" s="3">
        <v>0</v>
      </c>
    </row>
    <row r="25" spans="1:69" x14ac:dyDescent="0.2">
      <c r="A25" s="5">
        <v>302</v>
      </c>
      <c r="B25" s="11">
        <v>302</v>
      </c>
      <c r="C25" s="5">
        <v>3</v>
      </c>
      <c r="D25" s="5"/>
      <c r="E25" s="22">
        <v>150300.5</v>
      </c>
      <c r="F25" s="22">
        <v>124708.514271048</v>
      </c>
      <c r="G25" s="22">
        <v>104773.65</v>
      </c>
      <c r="H25" s="12">
        <v>7433.0999999999904</v>
      </c>
      <c r="I25" s="12" t="s">
        <v>100</v>
      </c>
      <c r="J25" s="12" t="s">
        <v>105</v>
      </c>
      <c r="K25" s="11">
        <v>46283.8</v>
      </c>
      <c r="L25" s="12">
        <v>26386.39</v>
      </c>
      <c r="M25" s="12">
        <v>-3673.4000000000401</v>
      </c>
      <c r="N25" s="12">
        <v>-45338.15</v>
      </c>
      <c r="O25" s="12">
        <v>363525065.39999998</v>
      </c>
      <c r="P25" s="12">
        <v>428009464.06866002</v>
      </c>
      <c r="Q25" s="22">
        <v>188705527.7493</v>
      </c>
      <c r="R25" s="22">
        <v>106297558.93889999</v>
      </c>
      <c r="S25" s="15" t="s">
        <v>320</v>
      </c>
      <c r="T25" s="88" t="s">
        <v>289</v>
      </c>
      <c r="U25" s="88">
        <v>10551842.4</v>
      </c>
      <c r="V25" s="88">
        <v>229703.11767864</v>
      </c>
      <c r="W25" s="11" t="s">
        <v>21</v>
      </c>
      <c r="X25" s="5">
        <v>0.05</v>
      </c>
      <c r="Y25" s="5">
        <v>7.9809828024685697E-2</v>
      </c>
      <c r="Z25" s="5">
        <v>6.4269602658327099</v>
      </c>
      <c r="AA25" s="5">
        <v>374987.807177854</v>
      </c>
      <c r="AB25" s="5" t="s">
        <v>294</v>
      </c>
      <c r="AC25" s="5">
        <v>1.5163651578852899</v>
      </c>
      <c r="AD25" s="5">
        <v>1.5838956898917</v>
      </c>
      <c r="AE25" s="5">
        <v>2.4814109029139599</v>
      </c>
      <c r="AF25" s="5" t="s">
        <v>104</v>
      </c>
      <c r="AG25" s="5"/>
      <c r="AH25" s="16"/>
      <c r="AI25" s="16"/>
      <c r="AJ25" s="16"/>
      <c r="AK25" s="16">
        <v>1</v>
      </c>
      <c r="AL25" s="16">
        <v>0</v>
      </c>
      <c r="AM25" s="16">
        <v>1</v>
      </c>
      <c r="AN25" s="16">
        <v>0</v>
      </c>
      <c r="AO25" s="90">
        <v>0</v>
      </c>
      <c r="AP25" s="16">
        <v>0</v>
      </c>
      <c r="AQ25" s="90">
        <v>1</v>
      </c>
      <c r="AR25" s="16">
        <v>1</v>
      </c>
      <c r="AS25" s="16">
        <v>1</v>
      </c>
      <c r="AT25" s="16">
        <v>1</v>
      </c>
      <c r="AU25" s="16">
        <v>1.5</v>
      </c>
      <c r="AV25" s="16">
        <v>1.5</v>
      </c>
      <c r="AW25" s="16">
        <v>1.5</v>
      </c>
      <c r="AX25" s="5">
        <v>0</v>
      </c>
      <c r="AY25" s="5">
        <v>1</v>
      </c>
      <c r="AZ25" s="5">
        <v>0</v>
      </c>
      <c r="BA25" s="5">
        <v>1</v>
      </c>
      <c r="BB25" s="5">
        <v>2</v>
      </c>
      <c r="BC25" s="5">
        <v>1</v>
      </c>
      <c r="BD25" s="5">
        <v>0</v>
      </c>
      <c r="BE25" s="5">
        <v>1.5</v>
      </c>
      <c r="BF25" s="5">
        <v>1.5</v>
      </c>
      <c r="BG25" s="5">
        <v>0</v>
      </c>
      <c r="BH25" s="5">
        <v>0</v>
      </c>
      <c r="BI25" s="5">
        <v>0</v>
      </c>
      <c r="BJ25" s="5">
        <v>0</v>
      </c>
      <c r="BK25" s="5">
        <v>0</v>
      </c>
      <c r="BL25" s="5">
        <v>0</v>
      </c>
      <c r="BM25" s="5">
        <v>18.5</v>
      </c>
      <c r="BN25" s="3">
        <v>0.49333333969116211</v>
      </c>
      <c r="BO25" s="3">
        <v>0</v>
      </c>
      <c r="BP25" s="3">
        <v>0</v>
      </c>
      <c r="BQ25" s="3">
        <v>0</v>
      </c>
    </row>
    <row r="26" spans="1:69" x14ac:dyDescent="0.2">
      <c r="A26" s="3">
        <v>303</v>
      </c>
      <c r="B26" s="79">
        <v>303</v>
      </c>
      <c r="C26" s="3">
        <v>4</v>
      </c>
      <c r="E26" s="3">
        <v>150300.5</v>
      </c>
      <c r="F26" s="3">
        <v>125148.133684163</v>
      </c>
      <c r="G26" s="3">
        <v>104774.37</v>
      </c>
      <c r="H26" s="3">
        <v>64779.4</v>
      </c>
      <c r="I26" s="3">
        <v>2018</v>
      </c>
      <c r="J26" s="3">
        <v>2020</v>
      </c>
      <c r="K26" s="3">
        <v>46287.83</v>
      </c>
      <c r="L26" s="3">
        <v>26391.26</v>
      </c>
      <c r="M26" s="3">
        <v>-3667.6100000000301</v>
      </c>
      <c r="N26" s="3">
        <v>-45331.360000000001</v>
      </c>
      <c r="O26" s="3">
        <v>363525065.39999998</v>
      </c>
      <c r="P26" s="3">
        <v>430754299.79112601</v>
      </c>
      <c r="Q26" s="3">
        <v>188705526.64770001</v>
      </c>
      <c r="R26" s="3">
        <v>106297522.30679999</v>
      </c>
      <c r="S26" s="3" t="s">
        <v>335</v>
      </c>
      <c r="T26" s="3" t="s">
        <v>56</v>
      </c>
      <c r="U26" s="3">
        <v>10551745.199999999</v>
      </c>
      <c r="V26" s="3">
        <v>229701.00173128399</v>
      </c>
      <c r="W26" s="3" t="s">
        <v>21</v>
      </c>
      <c r="X26" s="23">
        <v>0.05</v>
      </c>
      <c r="Y26" s="23">
        <v>6.1441569621136297E-2</v>
      </c>
      <c r="Z26" s="23">
        <v>6.0605273585183497</v>
      </c>
      <c r="AA26" s="23">
        <v>280372.01404506102</v>
      </c>
      <c r="AB26" s="23" t="s">
        <v>294</v>
      </c>
      <c r="AC26" s="50">
        <v>370346.84425194003</v>
      </c>
      <c r="AD26" s="23">
        <v>316375.34475834301</v>
      </c>
      <c r="AE26" s="23">
        <v>270744.97628828499</v>
      </c>
      <c r="AF26" s="3">
        <v>31</v>
      </c>
      <c r="AK26" s="10">
        <v>1</v>
      </c>
      <c r="AL26" s="10">
        <v>1</v>
      </c>
      <c r="AM26" s="10">
        <v>1</v>
      </c>
      <c r="AN26" s="10">
        <v>1.5</v>
      </c>
      <c r="AO26" s="10">
        <v>1.5</v>
      </c>
      <c r="AP26" s="10">
        <v>1.5</v>
      </c>
      <c r="AQ26" s="10">
        <v>1</v>
      </c>
      <c r="AR26" s="10">
        <v>1</v>
      </c>
      <c r="AS26" s="10">
        <v>1</v>
      </c>
      <c r="AT26" s="10">
        <v>1</v>
      </c>
      <c r="AU26" s="10">
        <v>1.5</v>
      </c>
      <c r="AV26" s="10">
        <v>1.5</v>
      </c>
      <c r="AW26" s="10">
        <v>1.5</v>
      </c>
      <c r="AX26" s="10">
        <v>1.5</v>
      </c>
      <c r="AY26" s="10">
        <v>2</v>
      </c>
      <c r="AZ26" s="10">
        <v>1</v>
      </c>
      <c r="BA26" s="10">
        <v>1</v>
      </c>
      <c r="BB26" s="10">
        <v>2</v>
      </c>
      <c r="BC26" s="10">
        <v>1</v>
      </c>
      <c r="BD26" s="10">
        <v>0</v>
      </c>
      <c r="BE26" s="10">
        <v>1.5</v>
      </c>
      <c r="BF26" s="10">
        <v>0</v>
      </c>
      <c r="BG26" s="10">
        <v>0</v>
      </c>
      <c r="BH26" s="10">
        <v>0</v>
      </c>
      <c r="BI26" s="10">
        <v>0</v>
      </c>
      <c r="BJ26" s="10">
        <v>0</v>
      </c>
      <c r="BK26" s="79">
        <v>0</v>
      </c>
      <c r="BL26" s="3">
        <v>1.5</v>
      </c>
      <c r="BM26" s="3">
        <v>27.5</v>
      </c>
      <c r="BN26" s="3">
        <v>0.73333334922790527</v>
      </c>
      <c r="BO26" s="3">
        <v>0</v>
      </c>
      <c r="BP26" s="3">
        <v>0</v>
      </c>
      <c r="BQ26" s="3">
        <v>0</v>
      </c>
    </row>
    <row r="27" spans="1:69" x14ac:dyDescent="0.2">
      <c r="A27" s="3">
        <v>304</v>
      </c>
      <c r="B27" s="79">
        <v>304</v>
      </c>
      <c r="C27" s="3">
        <v>2</v>
      </c>
      <c r="E27" s="3">
        <v>150300.5</v>
      </c>
      <c r="F27" s="3">
        <v>124708.514271048</v>
      </c>
      <c r="G27" s="3">
        <v>49699.56</v>
      </c>
      <c r="H27" s="3">
        <v>64779.4</v>
      </c>
      <c r="I27" s="3">
        <v>2018</v>
      </c>
      <c r="J27" s="3">
        <v>2021</v>
      </c>
      <c r="K27" s="3">
        <v>61067.199999999997</v>
      </c>
      <c r="L27" s="3">
        <v>64779.4</v>
      </c>
      <c r="M27" s="3">
        <v>68491.600000000006</v>
      </c>
      <c r="N27" s="3">
        <v>72203.8</v>
      </c>
      <c r="O27" s="3">
        <v>363525065.39999998</v>
      </c>
      <c r="P27" s="3">
        <v>428009464.06866002</v>
      </c>
      <c r="Q27" s="23">
        <v>188705527.7493</v>
      </c>
      <c r="R27" s="23">
        <v>106297558.93889999</v>
      </c>
      <c r="S27" s="50">
        <v>0</v>
      </c>
      <c r="T27" s="23" t="s">
        <v>139</v>
      </c>
      <c r="U27" s="23">
        <v>10551668</v>
      </c>
      <c r="V27" s="23">
        <v>229699.32116404199</v>
      </c>
      <c r="W27" s="3" t="s">
        <v>21</v>
      </c>
      <c r="X27" s="79">
        <v>0</v>
      </c>
      <c r="Y27" s="3">
        <v>19.2</v>
      </c>
      <c r="Z27" s="3">
        <v>5</v>
      </c>
      <c r="AA27" s="3">
        <v>279098.42771027202</v>
      </c>
      <c r="AB27" s="3" t="s">
        <v>294</v>
      </c>
      <c r="AC27" s="3">
        <v>16000181.7127731</v>
      </c>
      <c r="AD27" s="3">
        <v>16712741.4663681</v>
      </c>
      <c r="AE27" s="3">
        <v>17321724.7749874</v>
      </c>
      <c r="AF27" s="3">
        <v>0</v>
      </c>
      <c r="AG27" s="3"/>
      <c r="AK27" s="10">
        <v>1</v>
      </c>
      <c r="AL27" s="10">
        <v>0</v>
      </c>
      <c r="AM27" s="10">
        <v>0</v>
      </c>
      <c r="AN27" s="10">
        <v>1.5</v>
      </c>
      <c r="AO27" s="92">
        <v>1.5</v>
      </c>
      <c r="AP27" s="10">
        <v>1.5</v>
      </c>
      <c r="AQ27" s="92">
        <v>0</v>
      </c>
      <c r="AR27" s="10">
        <v>0</v>
      </c>
      <c r="AS27" s="10">
        <v>0</v>
      </c>
      <c r="AT27" s="10">
        <v>0</v>
      </c>
      <c r="AU27" s="10">
        <v>1.5</v>
      </c>
      <c r="AV27" s="10">
        <v>1.5</v>
      </c>
      <c r="AW27" s="10">
        <v>1.5</v>
      </c>
      <c r="AX27" s="5">
        <v>0</v>
      </c>
      <c r="AY27" s="5">
        <v>0</v>
      </c>
      <c r="AZ27" s="5">
        <v>0</v>
      </c>
      <c r="BA27" s="5">
        <v>1</v>
      </c>
      <c r="BB27" s="5">
        <v>2</v>
      </c>
      <c r="BC27" s="5">
        <v>1</v>
      </c>
      <c r="BD27" s="5">
        <v>0</v>
      </c>
      <c r="BE27" s="5">
        <v>0</v>
      </c>
      <c r="BF27" s="5">
        <v>0</v>
      </c>
      <c r="BG27" s="5">
        <v>0</v>
      </c>
      <c r="BH27" s="5">
        <v>0</v>
      </c>
      <c r="BI27" s="5">
        <v>0</v>
      </c>
      <c r="BJ27" s="5">
        <v>0</v>
      </c>
      <c r="BK27" s="5">
        <v>0</v>
      </c>
      <c r="BL27" s="5">
        <v>0</v>
      </c>
      <c r="BM27" s="5">
        <v>14</v>
      </c>
      <c r="BN27" s="3">
        <v>0.37333333492279053</v>
      </c>
      <c r="BO27" s="3">
        <v>0</v>
      </c>
      <c r="BP27" s="3">
        <v>0</v>
      </c>
      <c r="BQ27" s="3">
        <v>0</v>
      </c>
    </row>
    <row r="28" spans="1:69" x14ac:dyDescent="0.2">
      <c r="A28" s="3">
        <v>305</v>
      </c>
      <c r="B28" s="79">
        <v>284</v>
      </c>
      <c r="C28" s="3">
        <v>1</v>
      </c>
      <c r="E28" s="3">
        <v>150300.5</v>
      </c>
      <c r="F28" s="3">
        <v>125148.133684163</v>
      </c>
      <c r="G28" s="3">
        <v>104774.37</v>
      </c>
      <c r="H28" s="3">
        <v>64779.4</v>
      </c>
      <c r="I28" s="3">
        <v>2018</v>
      </c>
      <c r="J28" s="3">
        <v>2021</v>
      </c>
      <c r="K28" s="3">
        <v>46287.83</v>
      </c>
      <c r="L28" s="3">
        <v>26391.26</v>
      </c>
      <c r="M28" s="3">
        <v>-3667.6100000000301</v>
      </c>
      <c r="N28" s="19">
        <v>-45331.360000000001</v>
      </c>
      <c r="O28" s="3">
        <v>363525065.39999998</v>
      </c>
      <c r="P28" s="3">
        <v>430754299.79112601</v>
      </c>
      <c r="Q28" s="23">
        <v>188705526.64770001</v>
      </c>
      <c r="R28" s="23">
        <v>106297522.30679999</v>
      </c>
      <c r="S28" s="50" t="s">
        <v>338</v>
      </c>
      <c r="T28" s="23" t="s">
        <v>56</v>
      </c>
      <c r="U28" s="23">
        <v>10550543.199999999</v>
      </c>
      <c r="V28" s="23">
        <v>229674.83538639499</v>
      </c>
      <c r="W28" s="3" t="s">
        <v>21</v>
      </c>
      <c r="X28" s="79">
        <v>0.05</v>
      </c>
      <c r="Y28" s="3">
        <v>7.9809144397564299E-2</v>
      </c>
      <c r="Z28" s="3">
        <v>6.4266688148762103</v>
      </c>
      <c r="AA28" s="3">
        <v>374950.79389605799</v>
      </c>
      <c r="AB28" s="3" t="s">
        <v>289</v>
      </c>
      <c r="AC28" s="3">
        <v>400947.07138060901</v>
      </c>
      <c r="AD28" s="3">
        <v>342179.13898933999</v>
      </c>
      <c r="AE28" s="3">
        <v>292579.08652671101</v>
      </c>
      <c r="AF28" s="3">
        <v>31</v>
      </c>
      <c r="AG28" s="3"/>
      <c r="AK28" s="10">
        <v>1</v>
      </c>
      <c r="AL28" s="10">
        <v>1</v>
      </c>
      <c r="AM28" s="10">
        <v>1</v>
      </c>
      <c r="AN28" s="10">
        <v>1.5</v>
      </c>
      <c r="AO28" s="92">
        <v>1.5</v>
      </c>
      <c r="AP28" s="10">
        <v>1.5</v>
      </c>
      <c r="AQ28" s="92">
        <v>1</v>
      </c>
      <c r="AR28" s="10">
        <v>1</v>
      </c>
      <c r="AS28" s="10">
        <v>1</v>
      </c>
      <c r="AT28" s="10">
        <v>1</v>
      </c>
      <c r="AU28" s="10">
        <v>1.5</v>
      </c>
      <c r="AV28" s="10">
        <v>1.5</v>
      </c>
      <c r="AW28" s="10">
        <v>1.5</v>
      </c>
      <c r="AX28" s="5">
        <v>1.5</v>
      </c>
      <c r="AY28" s="5">
        <v>0</v>
      </c>
      <c r="AZ28" s="5">
        <v>1</v>
      </c>
      <c r="BA28" s="5">
        <v>1</v>
      </c>
      <c r="BB28" s="5">
        <v>2</v>
      </c>
      <c r="BC28" s="5">
        <v>1</v>
      </c>
      <c r="BD28" s="5">
        <v>0</v>
      </c>
      <c r="BE28" s="5">
        <v>1.5</v>
      </c>
      <c r="BF28" s="5">
        <v>1.5</v>
      </c>
      <c r="BG28" s="5">
        <v>0</v>
      </c>
      <c r="BH28" s="5">
        <v>0</v>
      </c>
      <c r="BI28" s="5">
        <v>1.5</v>
      </c>
      <c r="BJ28" s="5">
        <v>1.5</v>
      </c>
      <c r="BK28" s="5">
        <v>1.5</v>
      </c>
      <c r="BL28" s="5">
        <v>1.5</v>
      </c>
      <c r="BM28" s="5">
        <v>31.5</v>
      </c>
      <c r="BN28" s="3">
        <v>0.8399999737739563</v>
      </c>
      <c r="BO28" s="3">
        <v>0</v>
      </c>
      <c r="BP28" s="3">
        <v>0</v>
      </c>
      <c r="BQ28" s="3">
        <v>0</v>
      </c>
    </row>
    <row r="29" spans="1:69" x14ac:dyDescent="0.2">
      <c r="A29" s="3">
        <v>306</v>
      </c>
      <c r="B29" s="79">
        <v>306</v>
      </c>
      <c r="C29" s="3">
        <v>4</v>
      </c>
      <c r="E29" s="3">
        <v>150300.5</v>
      </c>
      <c r="F29" s="3">
        <v>125148.133684163</v>
      </c>
      <c r="G29" s="3">
        <v>104774.37</v>
      </c>
      <c r="H29" s="3">
        <v>64779.4</v>
      </c>
      <c r="I29" s="3">
        <v>2014</v>
      </c>
      <c r="J29" s="3">
        <v>2015</v>
      </c>
      <c r="K29" s="3">
        <v>46287.83</v>
      </c>
      <c r="L29" s="3">
        <v>26391.26</v>
      </c>
      <c r="M29" s="3">
        <v>-3667.6100000000301</v>
      </c>
      <c r="N29" s="3">
        <v>-45331.360000000001</v>
      </c>
      <c r="O29" s="3">
        <v>363525065.39999998</v>
      </c>
      <c r="P29" s="3">
        <v>430754299.79112601</v>
      </c>
      <c r="Q29" s="23">
        <v>188705526.64770001</v>
      </c>
      <c r="R29" s="23">
        <v>106297522.30679999</v>
      </c>
      <c r="S29" s="50">
        <v>0</v>
      </c>
      <c r="T29" s="23" t="s">
        <v>139</v>
      </c>
      <c r="U29" s="23">
        <v>10551386.4</v>
      </c>
      <c r="V29" s="23">
        <v>9655165.6141502596</v>
      </c>
      <c r="W29" s="3" t="s">
        <v>22</v>
      </c>
      <c r="X29" s="79">
        <v>0</v>
      </c>
      <c r="Y29" s="3">
        <v>12884902.128</v>
      </c>
      <c r="Z29" s="3">
        <v>5.25</v>
      </c>
      <c r="AA29" s="3">
        <v>632989.40333298396</v>
      </c>
      <c r="AB29" s="3" t="s">
        <v>289</v>
      </c>
      <c r="AC29" s="3">
        <v>9.4407352695744698E-2</v>
      </c>
      <c r="AD29" s="3">
        <v>0.17216217734785699</v>
      </c>
      <c r="AE29" s="3">
        <v>0.24078955886525499</v>
      </c>
      <c r="AF29" s="3">
        <v>3</v>
      </c>
      <c r="AG29" s="3"/>
      <c r="AK29" s="10">
        <v>1</v>
      </c>
      <c r="AL29" s="10">
        <v>1</v>
      </c>
      <c r="AM29" s="10">
        <v>1</v>
      </c>
      <c r="AN29" s="10">
        <v>1.5</v>
      </c>
      <c r="AO29" s="92">
        <v>0</v>
      </c>
      <c r="AP29" s="10">
        <v>0</v>
      </c>
      <c r="AQ29" s="92">
        <v>1</v>
      </c>
      <c r="AR29" s="10">
        <v>1</v>
      </c>
      <c r="AS29" s="10">
        <v>1</v>
      </c>
      <c r="AT29" s="10">
        <v>1</v>
      </c>
      <c r="AU29" s="10">
        <v>1.5</v>
      </c>
      <c r="AV29" s="10">
        <v>1.5</v>
      </c>
      <c r="AW29" s="10">
        <v>1.5</v>
      </c>
      <c r="AX29" s="5">
        <v>1.5</v>
      </c>
      <c r="AY29" s="5">
        <v>0</v>
      </c>
      <c r="AZ29" s="5">
        <v>0</v>
      </c>
      <c r="BA29" s="5">
        <v>1</v>
      </c>
      <c r="BB29" s="5">
        <v>0</v>
      </c>
      <c r="BC29" s="5">
        <v>0</v>
      </c>
      <c r="BD29" s="5">
        <v>0</v>
      </c>
      <c r="BE29" s="5">
        <v>0</v>
      </c>
      <c r="BF29" s="5">
        <v>0</v>
      </c>
      <c r="BG29" s="5">
        <v>0</v>
      </c>
      <c r="BH29" s="5">
        <v>0</v>
      </c>
      <c r="BI29" s="5">
        <v>0</v>
      </c>
      <c r="BJ29" s="5">
        <v>0</v>
      </c>
      <c r="BK29" s="5">
        <v>0</v>
      </c>
      <c r="BL29" s="5">
        <v>0</v>
      </c>
      <c r="BM29" s="5">
        <v>15.5</v>
      </c>
      <c r="BN29" s="5">
        <v>0.41333332657814026</v>
      </c>
      <c r="BO29" s="3">
        <v>0</v>
      </c>
      <c r="BP29" s="3">
        <v>0</v>
      </c>
      <c r="BQ29" s="3">
        <v>0</v>
      </c>
    </row>
    <row r="30" spans="1:69" x14ac:dyDescent="0.2">
      <c r="A30" s="3">
        <v>307</v>
      </c>
      <c r="B30" s="79">
        <v>307</v>
      </c>
      <c r="C30" s="3">
        <v>2</v>
      </c>
      <c r="E30" s="3">
        <v>150300.5</v>
      </c>
      <c r="F30" s="3">
        <v>125148.133684163</v>
      </c>
      <c r="G30" s="3">
        <v>104774.37</v>
      </c>
      <c r="H30" s="3">
        <v>94477</v>
      </c>
      <c r="I30" s="19">
        <v>2018</v>
      </c>
      <c r="J30" s="3">
        <v>2020</v>
      </c>
      <c r="K30" s="3">
        <v>46287.83</v>
      </c>
      <c r="L30" s="3">
        <v>26391.26</v>
      </c>
      <c r="M30" s="3">
        <v>-3667.6100000000301</v>
      </c>
      <c r="N30" s="3">
        <v>-45331.360000000001</v>
      </c>
      <c r="O30" s="3">
        <v>363525065.39999998</v>
      </c>
      <c r="P30" s="3">
        <v>430754299.79112601</v>
      </c>
      <c r="Q30" s="23">
        <v>188705526.64770001</v>
      </c>
      <c r="R30" s="23">
        <v>106297522.30679999</v>
      </c>
      <c r="S30" s="50">
        <v>0</v>
      </c>
      <c r="T30" s="23" t="s">
        <v>139</v>
      </c>
      <c r="U30" s="23">
        <v>10551004.800000001</v>
      </c>
      <c r="V30" s="23">
        <v>9654816.4267488495</v>
      </c>
      <c r="W30" s="3" t="s">
        <v>22</v>
      </c>
      <c r="X30" s="79">
        <v>2.8635549656496702</v>
      </c>
      <c r="Y30" s="3">
        <v>7.9811491725134104E-2</v>
      </c>
      <c r="Z30" s="3">
        <v>6.4268946739377704</v>
      </c>
      <c r="AA30" s="3">
        <v>3.1280332150430197E-2</v>
      </c>
      <c r="AB30" s="3" t="s">
        <v>139</v>
      </c>
      <c r="AC30" s="3">
        <v>1.5163651578852899</v>
      </c>
      <c r="AD30" s="3">
        <v>1.5838956898917</v>
      </c>
      <c r="AE30" s="3">
        <v>1.64161010135908</v>
      </c>
      <c r="AF30" s="3">
        <v>0.31</v>
      </c>
      <c r="AG30" s="3"/>
      <c r="AK30" s="10">
        <v>1</v>
      </c>
      <c r="AL30" s="10">
        <v>1</v>
      </c>
      <c r="AM30" s="10">
        <v>1</v>
      </c>
      <c r="AN30" s="10">
        <v>0</v>
      </c>
      <c r="AO30" s="92">
        <v>1.5</v>
      </c>
      <c r="AP30" s="10">
        <v>1.5</v>
      </c>
      <c r="AQ30" s="92">
        <v>1</v>
      </c>
      <c r="AR30" s="10">
        <v>1</v>
      </c>
      <c r="AS30" s="10">
        <v>1</v>
      </c>
      <c r="AT30" s="10">
        <v>1</v>
      </c>
      <c r="AU30" s="10">
        <v>1.5</v>
      </c>
      <c r="AV30" s="10">
        <v>1.5</v>
      </c>
      <c r="AW30" s="10">
        <v>1.5</v>
      </c>
      <c r="AX30" s="5">
        <v>1.5</v>
      </c>
      <c r="AY30" s="5">
        <v>0</v>
      </c>
      <c r="AZ30" s="5">
        <v>0</v>
      </c>
      <c r="BA30" s="5">
        <v>1</v>
      </c>
      <c r="BB30" s="5">
        <v>0</v>
      </c>
      <c r="BC30" s="5">
        <v>0</v>
      </c>
      <c r="BD30" s="5">
        <v>0</v>
      </c>
      <c r="BE30" s="5">
        <v>1.5</v>
      </c>
      <c r="BF30" s="5">
        <v>1.5</v>
      </c>
      <c r="BG30" s="5">
        <v>0</v>
      </c>
      <c r="BH30" s="5">
        <v>1</v>
      </c>
      <c r="BI30" s="5">
        <v>0</v>
      </c>
      <c r="BJ30" s="5">
        <v>0</v>
      </c>
      <c r="BK30" s="5">
        <v>0</v>
      </c>
      <c r="BL30" s="5">
        <v>0</v>
      </c>
      <c r="BM30" s="5">
        <v>21</v>
      </c>
      <c r="BN30" s="3">
        <v>0.56000000238418579</v>
      </c>
      <c r="BO30" s="3">
        <v>0</v>
      </c>
      <c r="BP30" s="3">
        <v>0</v>
      </c>
      <c r="BQ30" s="3">
        <v>0</v>
      </c>
    </row>
    <row r="31" spans="1:69" ht="25.5" customHeight="1" x14ac:dyDescent="0.2">
      <c r="A31" s="5">
        <v>308</v>
      </c>
      <c r="B31" s="11">
        <v>308</v>
      </c>
      <c r="C31" s="5">
        <v>4</v>
      </c>
      <c r="D31" s="5"/>
      <c r="E31" s="21">
        <v>150300.5</v>
      </c>
      <c r="F31" s="21">
        <v>124708.514271048</v>
      </c>
      <c r="G31" s="22">
        <v>104773.65</v>
      </c>
      <c r="H31" s="12">
        <v>64779.4</v>
      </c>
      <c r="I31" s="13">
        <v>2018</v>
      </c>
      <c r="J31" s="12">
        <v>2020</v>
      </c>
      <c r="K31" s="11">
        <v>46283.8</v>
      </c>
      <c r="L31" s="12">
        <v>26386.39</v>
      </c>
      <c r="M31" s="12">
        <v>-3673.4000000000401</v>
      </c>
      <c r="N31" s="12">
        <v>-45338.15</v>
      </c>
      <c r="O31" s="12">
        <v>363525065.39999998</v>
      </c>
      <c r="P31" s="13">
        <v>428009464.06866002</v>
      </c>
      <c r="Q31" s="21">
        <v>188705527.7493</v>
      </c>
      <c r="R31" s="22">
        <v>106297558.93889999</v>
      </c>
      <c r="S31" s="49" t="s">
        <v>341</v>
      </c>
      <c r="T31" s="87" t="s">
        <v>56</v>
      </c>
      <c r="U31" s="87">
        <v>10551926</v>
      </c>
      <c r="V31" s="87">
        <v>229704.93756751899</v>
      </c>
      <c r="W31" s="11" t="s">
        <v>21</v>
      </c>
      <c r="X31" s="5">
        <v>598375.25632657297</v>
      </c>
      <c r="Y31" s="5">
        <v>7.98096513661401E-2</v>
      </c>
      <c r="Z31" s="5">
        <v>6.4269664294005402</v>
      </c>
      <c r="AA31" s="5">
        <v>374988.67854928598</v>
      </c>
      <c r="AB31" s="5" t="s">
        <v>289</v>
      </c>
      <c r="AC31" s="5">
        <v>400999.62124461099</v>
      </c>
      <c r="AD31" s="5">
        <v>342223.986472964</v>
      </c>
      <c r="AE31" s="5">
        <v>292617.43321210501</v>
      </c>
      <c r="AF31" s="5">
        <v>31</v>
      </c>
      <c r="AG31" s="5"/>
      <c r="AH31" s="16"/>
      <c r="AI31" s="16"/>
      <c r="AJ31" s="16"/>
      <c r="AK31" s="16">
        <v>1</v>
      </c>
      <c r="AL31" s="16">
        <v>0</v>
      </c>
      <c r="AM31" s="16">
        <v>1</v>
      </c>
      <c r="AN31" s="16">
        <v>1.5</v>
      </c>
      <c r="AO31" s="90">
        <v>1.5</v>
      </c>
      <c r="AP31" s="16">
        <v>1.5</v>
      </c>
      <c r="AQ31" s="90">
        <v>1</v>
      </c>
      <c r="AR31" s="16">
        <v>1</v>
      </c>
      <c r="AS31" s="16">
        <v>1</v>
      </c>
      <c r="AT31" s="16">
        <v>1</v>
      </c>
      <c r="AU31" s="16">
        <v>1.5</v>
      </c>
      <c r="AV31" s="16">
        <v>1.5</v>
      </c>
      <c r="AW31" s="16">
        <v>1.5</v>
      </c>
      <c r="AX31" s="5">
        <v>0</v>
      </c>
      <c r="AY31" s="5">
        <v>0</v>
      </c>
      <c r="AZ31" s="5">
        <v>1</v>
      </c>
      <c r="BA31" s="5">
        <v>1</v>
      </c>
      <c r="BB31" s="5">
        <v>2</v>
      </c>
      <c r="BC31" s="5">
        <v>1</v>
      </c>
      <c r="BD31" s="5">
        <v>0</v>
      </c>
      <c r="BE31" s="5">
        <v>1.5</v>
      </c>
      <c r="BF31" s="5">
        <v>1.5</v>
      </c>
      <c r="BG31" s="5">
        <v>0</v>
      </c>
      <c r="BH31" s="5">
        <v>0</v>
      </c>
      <c r="BI31" s="5">
        <v>1.5</v>
      </c>
      <c r="BJ31" s="5">
        <v>1.5</v>
      </c>
      <c r="BK31" s="5">
        <v>1.5</v>
      </c>
      <c r="BL31" s="5">
        <v>1.5</v>
      </c>
      <c r="BM31" s="5">
        <v>29</v>
      </c>
      <c r="BN31" s="3">
        <v>0.77333331108093262</v>
      </c>
      <c r="BO31" s="3">
        <v>0</v>
      </c>
      <c r="BP31" s="3">
        <v>0</v>
      </c>
      <c r="BQ31" s="3">
        <v>0</v>
      </c>
    </row>
    <row r="32" spans="1:69" x14ac:dyDescent="0.2">
      <c r="A32" s="3">
        <v>310</v>
      </c>
      <c r="B32" s="79">
        <v>310</v>
      </c>
      <c r="C32" s="3">
        <v>1</v>
      </c>
      <c r="E32" s="3">
        <v>150300.5</v>
      </c>
      <c r="F32" s="3">
        <v>124708.514271048</v>
      </c>
      <c r="G32" s="3">
        <v>52386.824999999997</v>
      </c>
      <c r="H32" s="3">
        <v>64779.4</v>
      </c>
      <c r="I32" s="3">
        <v>2018</v>
      </c>
      <c r="J32" s="3">
        <v>2020</v>
      </c>
      <c r="K32" s="3">
        <v>46283.8</v>
      </c>
      <c r="L32" s="3">
        <v>26386.39</v>
      </c>
      <c r="M32" s="3">
        <v>-3673.4000000000401</v>
      </c>
      <c r="N32" s="3">
        <v>-45338.15</v>
      </c>
      <c r="O32" s="3">
        <v>363525065.39999998</v>
      </c>
      <c r="P32" s="3">
        <v>428009464.06866002</v>
      </c>
      <c r="Q32" s="3">
        <v>188705527.7493</v>
      </c>
      <c r="R32" s="3">
        <v>106297558.93889999</v>
      </c>
      <c r="S32" s="3" t="s">
        <v>342</v>
      </c>
      <c r="T32" s="3" t="s">
        <v>294</v>
      </c>
      <c r="U32" s="3">
        <v>349236</v>
      </c>
      <c r="V32" s="3">
        <v>574247.41038086603</v>
      </c>
      <c r="W32" s="23" t="s">
        <v>20</v>
      </c>
      <c r="X32" s="23">
        <v>0</v>
      </c>
      <c r="Y32" s="50">
        <v>6.4228023091227798E-2</v>
      </c>
      <c r="Z32" s="50">
        <v>7.2129160175145799</v>
      </c>
      <c r="AA32" s="50">
        <v>475964.73800444201</v>
      </c>
      <c r="AB32" s="50" t="s">
        <v>289</v>
      </c>
      <c r="AC32" s="23">
        <v>20240825.112488199</v>
      </c>
      <c r="AD32" s="3">
        <v>21096362.8300636</v>
      </c>
      <c r="AE32" s="3">
        <v>21827887.389499601</v>
      </c>
      <c r="AF32" s="10">
        <v>31</v>
      </c>
      <c r="AK32" s="10">
        <v>1</v>
      </c>
      <c r="AL32" s="10">
        <v>0</v>
      </c>
      <c r="AM32" s="10">
        <v>0</v>
      </c>
      <c r="AN32" s="10">
        <v>1.5</v>
      </c>
      <c r="AO32" s="10">
        <v>1.5</v>
      </c>
      <c r="AP32" s="10">
        <v>1.5</v>
      </c>
      <c r="AQ32" s="10">
        <v>1</v>
      </c>
      <c r="AR32" s="10">
        <v>1</v>
      </c>
      <c r="AS32" s="10">
        <v>1</v>
      </c>
      <c r="AT32" s="10">
        <v>1</v>
      </c>
      <c r="AU32" s="10">
        <v>1.5</v>
      </c>
      <c r="AV32" s="10">
        <v>1.5</v>
      </c>
      <c r="AW32" s="10">
        <v>1.5</v>
      </c>
      <c r="AX32" s="10">
        <v>0</v>
      </c>
      <c r="AY32" s="10">
        <v>2</v>
      </c>
      <c r="AZ32" s="10">
        <v>0</v>
      </c>
      <c r="BA32" s="10">
        <v>0</v>
      </c>
      <c r="BB32" s="79">
        <v>0</v>
      </c>
      <c r="BC32" s="79">
        <v>0</v>
      </c>
      <c r="BD32" s="79">
        <v>0</v>
      </c>
      <c r="BE32" s="79">
        <v>1.5</v>
      </c>
      <c r="BF32" s="79">
        <v>0</v>
      </c>
      <c r="BG32" s="79">
        <v>0</v>
      </c>
      <c r="BH32" s="79">
        <v>0</v>
      </c>
      <c r="BI32" s="79">
        <v>0</v>
      </c>
      <c r="BJ32" s="79">
        <v>0</v>
      </c>
      <c r="BK32" s="5">
        <v>0</v>
      </c>
      <c r="BL32" s="12">
        <v>1.5</v>
      </c>
      <c r="BM32" s="5">
        <v>19</v>
      </c>
      <c r="BN32" s="5">
        <v>0.50666666030883789</v>
      </c>
      <c r="BO32" s="3">
        <v>0</v>
      </c>
      <c r="BP32" s="3">
        <v>0</v>
      </c>
      <c r="BQ32" s="3">
        <v>0</v>
      </c>
    </row>
    <row r="33" spans="1:69" x14ac:dyDescent="0.2">
      <c r="A33" s="3">
        <v>311</v>
      </c>
      <c r="B33" s="79">
        <v>311</v>
      </c>
      <c r="C33" s="3">
        <v>1</v>
      </c>
      <c r="E33" s="3">
        <v>0</v>
      </c>
      <c r="F33" s="3">
        <v>0</v>
      </c>
      <c r="G33" s="3">
        <v>0</v>
      </c>
      <c r="H33" s="3">
        <v>0</v>
      </c>
      <c r="I33" s="3">
        <v>0</v>
      </c>
      <c r="J33" s="3">
        <v>0</v>
      </c>
      <c r="K33" s="3">
        <v>0</v>
      </c>
      <c r="L33" s="3">
        <v>0</v>
      </c>
      <c r="M33" s="3">
        <v>0</v>
      </c>
      <c r="N33" s="3">
        <v>0</v>
      </c>
      <c r="O33" s="3">
        <v>0</v>
      </c>
      <c r="P33" s="3">
        <v>0</v>
      </c>
      <c r="Q33" s="3">
        <v>0</v>
      </c>
      <c r="R33" s="3">
        <v>0</v>
      </c>
      <c r="S33" s="3">
        <v>0</v>
      </c>
      <c r="T33" s="3" t="s">
        <v>55</v>
      </c>
      <c r="U33" s="3">
        <v>0</v>
      </c>
      <c r="V33" s="3">
        <v>0</v>
      </c>
      <c r="W33" s="3" t="s">
        <v>55</v>
      </c>
      <c r="X33" s="23">
        <v>0</v>
      </c>
      <c r="Y33" s="23">
        <v>0</v>
      </c>
      <c r="Z33" s="23">
        <v>0</v>
      </c>
      <c r="AA33" s="23">
        <v>0</v>
      </c>
      <c r="AB33" s="23" t="s">
        <v>55</v>
      </c>
      <c r="AC33" s="50">
        <v>0</v>
      </c>
      <c r="AD33" s="23">
        <v>0</v>
      </c>
      <c r="AE33" s="23">
        <v>0</v>
      </c>
      <c r="AF33" s="3">
        <v>0</v>
      </c>
      <c r="AK33" s="10">
        <v>0</v>
      </c>
      <c r="AL33" s="10">
        <v>0</v>
      </c>
      <c r="AM33" s="10">
        <v>0</v>
      </c>
      <c r="AN33" s="10">
        <v>0</v>
      </c>
      <c r="AO33" s="10">
        <v>0</v>
      </c>
      <c r="AP33" s="10">
        <v>0</v>
      </c>
      <c r="AQ33" s="10">
        <v>0</v>
      </c>
      <c r="AR33" s="10">
        <v>0</v>
      </c>
      <c r="AS33" s="10">
        <v>0</v>
      </c>
      <c r="AT33" s="10">
        <v>0</v>
      </c>
      <c r="AU33" s="10">
        <v>0</v>
      </c>
      <c r="AV33" s="10">
        <v>0</v>
      </c>
      <c r="AW33" s="10">
        <v>0</v>
      </c>
      <c r="AX33" s="10">
        <v>0</v>
      </c>
      <c r="AY33" s="10">
        <v>0</v>
      </c>
      <c r="AZ33" s="10">
        <v>0</v>
      </c>
      <c r="BA33" s="10">
        <v>0</v>
      </c>
      <c r="BB33" s="10">
        <v>0</v>
      </c>
      <c r="BC33" s="10">
        <v>0</v>
      </c>
      <c r="BD33" s="10">
        <v>0</v>
      </c>
      <c r="BE33" s="10">
        <v>0</v>
      </c>
      <c r="BF33" s="10">
        <v>0</v>
      </c>
      <c r="BG33" s="10">
        <v>0</v>
      </c>
      <c r="BH33" s="10">
        <v>0</v>
      </c>
      <c r="BI33" s="10">
        <v>0</v>
      </c>
      <c r="BJ33" s="10">
        <v>0</v>
      </c>
      <c r="BK33" s="79">
        <v>0</v>
      </c>
      <c r="BL33" s="3">
        <v>0</v>
      </c>
      <c r="BM33" s="3">
        <v>0</v>
      </c>
      <c r="BN33" s="3">
        <v>0</v>
      </c>
      <c r="BO33" s="3">
        <v>0</v>
      </c>
      <c r="BP33" s="3">
        <v>0</v>
      </c>
      <c r="BQ33" s="3">
        <v>0</v>
      </c>
    </row>
    <row r="34" spans="1:69" x14ac:dyDescent="0.2">
      <c r="A34" s="3">
        <v>312</v>
      </c>
      <c r="B34" s="79">
        <v>312</v>
      </c>
      <c r="C34" s="3">
        <v>2</v>
      </c>
      <c r="E34" s="3">
        <v>150300.5</v>
      </c>
      <c r="F34" s="3">
        <v>125148.133684163</v>
      </c>
      <c r="G34" s="3">
        <v>104774.37</v>
      </c>
      <c r="H34" s="3">
        <v>64779.4</v>
      </c>
      <c r="I34" s="3">
        <v>2018</v>
      </c>
      <c r="J34" s="3">
        <v>2021</v>
      </c>
      <c r="K34" s="3">
        <v>46287.83</v>
      </c>
      <c r="L34" s="3">
        <v>26391.26</v>
      </c>
      <c r="M34" s="3">
        <v>-3667.6100000000301</v>
      </c>
      <c r="N34" s="3">
        <v>-45331.360000000001</v>
      </c>
      <c r="O34" s="3">
        <v>363525065.39999998</v>
      </c>
      <c r="P34" s="3">
        <v>430754299.79112601</v>
      </c>
      <c r="Q34" s="3">
        <v>188705526.64770001</v>
      </c>
      <c r="R34" s="3">
        <v>106297522.30679999</v>
      </c>
      <c r="S34" s="3" t="s">
        <v>344</v>
      </c>
      <c r="T34" s="3" t="s">
        <v>56</v>
      </c>
      <c r="U34" s="3">
        <v>10551526.800000001</v>
      </c>
      <c r="V34" s="3">
        <v>229696.247380432</v>
      </c>
      <c r="W34" s="3" t="s">
        <v>21</v>
      </c>
      <c r="X34" s="23">
        <v>0.05</v>
      </c>
      <c r="Y34" s="23">
        <v>7.5755006171651401E-2</v>
      </c>
      <c r="Z34" s="23">
        <v>6.3712392798015003</v>
      </c>
      <c r="AA34" s="23">
        <v>338049.49355032301</v>
      </c>
      <c r="AB34" s="23" t="s">
        <v>289</v>
      </c>
      <c r="AC34" s="50">
        <v>400984.45064459002</v>
      </c>
      <c r="AD34" s="23">
        <v>342211.03947017202</v>
      </c>
      <c r="AE34" s="23">
        <v>292606.36292225099</v>
      </c>
      <c r="AF34" s="3">
        <v>31</v>
      </c>
      <c r="AK34" s="10">
        <v>1</v>
      </c>
      <c r="AL34" s="10">
        <v>1</v>
      </c>
      <c r="AM34" s="10">
        <v>1</v>
      </c>
      <c r="AN34" s="10">
        <v>1.5</v>
      </c>
      <c r="AO34" s="10">
        <v>1.5</v>
      </c>
      <c r="AP34" s="10">
        <v>1.5</v>
      </c>
      <c r="AQ34" s="10">
        <v>1</v>
      </c>
      <c r="AR34" s="10">
        <v>1</v>
      </c>
      <c r="AS34" s="10">
        <v>1</v>
      </c>
      <c r="AT34" s="10">
        <v>1</v>
      </c>
      <c r="AU34" s="10">
        <v>1.5</v>
      </c>
      <c r="AV34" s="10">
        <v>1.5</v>
      </c>
      <c r="AW34" s="10">
        <v>1.5</v>
      </c>
      <c r="AX34" s="10">
        <v>1.5</v>
      </c>
      <c r="AY34" s="10">
        <v>1</v>
      </c>
      <c r="AZ34" s="10">
        <v>1</v>
      </c>
      <c r="BA34" s="10">
        <v>1</v>
      </c>
      <c r="BB34" s="10">
        <v>2</v>
      </c>
      <c r="BC34" s="10">
        <v>1</v>
      </c>
      <c r="BD34" s="10">
        <v>0</v>
      </c>
      <c r="BE34" s="10">
        <v>1.5</v>
      </c>
      <c r="BF34" s="10">
        <v>0</v>
      </c>
      <c r="BG34" s="10">
        <v>0</v>
      </c>
      <c r="BH34" s="10">
        <v>0</v>
      </c>
      <c r="BI34" s="10">
        <v>1.5</v>
      </c>
      <c r="BJ34" s="10">
        <v>1.5</v>
      </c>
      <c r="BK34" s="10">
        <v>1.5</v>
      </c>
      <c r="BL34" s="10">
        <v>1.5</v>
      </c>
      <c r="BM34" s="79">
        <v>31</v>
      </c>
      <c r="BN34" s="3">
        <v>0.82666665315628052</v>
      </c>
      <c r="BO34" s="3">
        <v>0</v>
      </c>
      <c r="BP34" s="3">
        <v>0</v>
      </c>
      <c r="BQ34" s="3">
        <v>0</v>
      </c>
    </row>
    <row r="35" spans="1:69" x14ac:dyDescent="0.2">
      <c r="A35" s="3">
        <v>313</v>
      </c>
      <c r="B35" s="79">
        <v>313</v>
      </c>
      <c r="C35" s="3">
        <v>3</v>
      </c>
      <c r="E35" s="3">
        <v>150300.5</v>
      </c>
      <c r="F35" s="3">
        <v>125148.133684163</v>
      </c>
      <c r="G35" s="3">
        <v>61873.56</v>
      </c>
      <c r="H35" s="3">
        <v>49930.6</v>
      </c>
      <c r="I35" s="3">
        <v>2018</v>
      </c>
      <c r="J35" s="3">
        <v>2021</v>
      </c>
      <c r="K35" s="3">
        <v>46287.83</v>
      </c>
      <c r="L35" s="3">
        <v>26391.26</v>
      </c>
      <c r="M35" s="3">
        <v>-3667.6100000000301</v>
      </c>
      <c r="N35" s="3">
        <v>-45331.360000000001</v>
      </c>
      <c r="O35" s="3">
        <v>363525065.39999998</v>
      </c>
      <c r="P35" s="3">
        <v>430754299.79112601</v>
      </c>
      <c r="Q35" s="3">
        <v>2146922746.0680001</v>
      </c>
      <c r="R35" s="94">
        <v>106297522.30679999</v>
      </c>
      <c r="S35" s="3">
        <v>0</v>
      </c>
      <c r="T35" s="3" t="s">
        <v>56</v>
      </c>
      <c r="U35" s="3">
        <v>10551899.199999999</v>
      </c>
      <c r="V35" s="3">
        <v>284139.487900885</v>
      </c>
      <c r="W35" s="23" t="s">
        <v>21</v>
      </c>
      <c r="X35" s="23">
        <v>0</v>
      </c>
      <c r="Y35" s="50">
        <v>7.5356518633291902E-2</v>
      </c>
      <c r="Z35" s="50">
        <v>6.6120277513245798</v>
      </c>
      <c r="AA35" s="50">
        <v>401121.38369715703</v>
      </c>
      <c r="AB35" s="50" t="s">
        <v>139</v>
      </c>
      <c r="AC35" s="23">
        <v>1.5163651578852899</v>
      </c>
      <c r="AD35" s="3">
        <v>1.5838956898917</v>
      </c>
      <c r="AE35" s="3">
        <v>0.82746808620934997</v>
      </c>
      <c r="AF35" s="10">
        <v>32</v>
      </c>
      <c r="AK35" s="10">
        <v>1</v>
      </c>
      <c r="AL35" s="10">
        <v>1</v>
      </c>
      <c r="AM35" s="10">
        <v>0</v>
      </c>
      <c r="AN35" s="10">
        <v>0</v>
      </c>
      <c r="AO35" s="10">
        <v>1.5</v>
      </c>
      <c r="AP35" s="10">
        <v>1.5</v>
      </c>
      <c r="AQ35" s="10">
        <v>1</v>
      </c>
      <c r="AR35" s="10">
        <v>1</v>
      </c>
      <c r="AS35" s="10">
        <v>1</v>
      </c>
      <c r="AT35" s="10">
        <v>1</v>
      </c>
      <c r="AU35" s="10">
        <v>1.5</v>
      </c>
      <c r="AV35" s="10">
        <v>1.5</v>
      </c>
      <c r="AW35" s="10">
        <v>0</v>
      </c>
      <c r="AX35" s="10">
        <v>1.5</v>
      </c>
      <c r="AY35" s="10">
        <v>0</v>
      </c>
      <c r="AZ35" s="10">
        <v>1</v>
      </c>
      <c r="BA35" s="10">
        <v>1</v>
      </c>
      <c r="BB35" s="79">
        <v>0</v>
      </c>
      <c r="BC35" s="79">
        <v>1</v>
      </c>
      <c r="BD35" s="79">
        <v>0</v>
      </c>
      <c r="BE35" s="79">
        <v>1.5</v>
      </c>
      <c r="BF35" s="79">
        <v>0</v>
      </c>
      <c r="BG35" s="79">
        <v>0</v>
      </c>
      <c r="BH35" s="79">
        <v>1</v>
      </c>
      <c r="BI35" s="79">
        <v>0</v>
      </c>
      <c r="BJ35" s="79">
        <v>0</v>
      </c>
      <c r="BK35" s="5">
        <v>0</v>
      </c>
      <c r="BL35" s="12">
        <v>0</v>
      </c>
      <c r="BM35" s="5">
        <v>19</v>
      </c>
      <c r="BN35" s="3">
        <v>0.50666666030883789</v>
      </c>
      <c r="BO35" s="3">
        <v>0</v>
      </c>
      <c r="BP35" s="3">
        <v>0</v>
      </c>
      <c r="BQ35" s="3">
        <v>0</v>
      </c>
    </row>
    <row r="36" spans="1:69" x14ac:dyDescent="0.2">
      <c r="A36" s="3">
        <v>314</v>
      </c>
      <c r="B36" s="79">
        <v>314</v>
      </c>
      <c r="C36" s="3">
        <v>1</v>
      </c>
      <c r="E36" s="3">
        <v>150300.5</v>
      </c>
      <c r="F36" s="3">
        <v>125148.133684163</v>
      </c>
      <c r="G36" s="3">
        <v>104774.37</v>
      </c>
      <c r="H36" s="3">
        <v>64779.4</v>
      </c>
      <c r="I36" s="3">
        <v>2018</v>
      </c>
      <c r="J36" s="3">
        <v>2021</v>
      </c>
      <c r="K36" s="3">
        <v>46287.83</v>
      </c>
      <c r="L36" s="3">
        <v>26391.26</v>
      </c>
      <c r="M36" s="3">
        <v>-3667.6100000000301</v>
      </c>
      <c r="N36" s="3">
        <v>-45331.360000000001</v>
      </c>
      <c r="O36" s="3">
        <v>363525065.39999998</v>
      </c>
      <c r="P36" s="3">
        <v>430754299.79112601</v>
      </c>
      <c r="Q36" s="23">
        <v>188705526.64770001</v>
      </c>
      <c r="R36" s="23">
        <v>106297522.30679999</v>
      </c>
      <c r="S36" s="50" t="s">
        <v>346</v>
      </c>
      <c r="T36" s="23" t="s">
        <v>56</v>
      </c>
      <c r="U36" s="23">
        <v>10550527.6</v>
      </c>
      <c r="V36" s="23">
        <v>147684.14927607399</v>
      </c>
      <c r="W36" s="3" t="s">
        <v>21</v>
      </c>
      <c r="X36" s="79">
        <v>-1.7134633879682601E-2</v>
      </c>
      <c r="Y36" s="3">
        <v>7.9812432661181806E-2</v>
      </c>
      <c r="Z36" s="3">
        <v>6.4268583294139399</v>
      </c>
      <c r="AA36" s="3">
        <v>2617493.6942958902</v>
      </c>
      <c r="AB36" s="3" t="s">
        <v>289</v>
      </c>
      <c r="AC36" s="3">
        <v>400946.47854153003</v>
      </c>
      <c r="AD36" s="3">
        <v>342178.63304434199</v>
      </c>
      <c r="AE36" s="3">
        <v>292578.65392019198</v>
      </c>
      <c r="AF36" s="3">
        <v>31</v>
      </c>
      <c r="AG36" s="3"/>
      <c r="AK36" s="10">
        <v>1</v>
      </c>
      <c r="AL36" s="10">
        <v>1</v>
      </c>
      <c r="AM36" s="10">
        <v>1</v>
      </c>
      <c r="AN36" s="10">
        <v>1.5</v>
      </c>
      <c r="AO36" s="92">
        <v>1.5</v>
      </c>
      <c r="AP36" s="10">
        <v>1.5</v>
      </c>
      <c r="AQ36" s="92">
        <v>1</v>
      </c>
      <c r="AR36" s="10">
        <v>1</v>
      </c>
      <c r="AS36" s="10">
        <v>1</v>
      </c>
      <c r="AT36" s="10">
        <v>1</v>
      </c>
      <c r="AU36" s="10">
        <v>1.5</v>
      </c>
      <c r="AV36" s="10">
        <v>1.5</v>
      </c>
      <c r="AW36" s="10">
        <v>1.5</v>
      </c>
      <c r="AX36" s="5">
        <v>1.5</v>
      </c>
      <c r="AY36" s="5">
        <v>2</v>
      </c>
      <c r="AZ36" s="5">
        <v>1</v>
      </c>
      <c r="BA36" s="5">
        <v>1</v>
      </c>
      <c r="BB36" s="5">
        <v>0</v>
      </c>
      <c r="BC36" s="5">
        <v>1</v>
      </c>
      <c r="BD36" s="5">
        <v>0</v>
      </c>
      <c r="BE36" s="5">
        <v>1.5</v>
      </c>
      <c r="BF36" s="5">
        <v>1.5</v>
      </c>
      <c r="BG36" s="5">
        <v>0</v>
      </c>
      <c r="BH36" s="5">
        <v>0</v>
      </c>
      <c r="BI36" s="5">
        <v>1.5</v>
      </c>
      <c r="BJ36" s="5">
        <v>1.5</v>
      </c>
      <c r="BK36" s="5">
        <v>1.5</v>
      </c>
      <c r="BL36" s="5">
        <v>1.5</v>
      </c>
      <c r="BM36" s="5">
        <v>31.5</v>
      </c>
      <c r="BN36" s="3">
        <v>0.8399999737739563</v>
      </c>
      <c r="BO36" s="3">
        <v>0</v>
      </c>
      <c r="BP36" s="3">
        <v>0</v>
      </c>
      <c r="BQ36" s="3">
        <v>0</v>
      </c>
    </row>
    <row r="37" spans="1:69" x14ac:dyDescent="0.2">
      <c r="A37" s="3">
        <v>316</v>
      </c>
      <c r="B37" s="79">
        <v>316</v>
      </c>
      <c r="C37" s="3">
        <v>2</v>
      </c>
      <c r="E37" s="3">
        <v>150300.5</v>
      </c>
      <c r="F37" s="3">
        <v>125148.133684163</v>
      </c>
      <c r="G37" s="3">
        <v>104774.37</v>
      </c>
      <c r="H37" s="3">
        <v>64779.4</v>
      </c>
      <c r="I37" s="3">
        <v>2018</v>
      </c>
      <c r="J37" s="3">
        <v>2021</v>
      </c>
      <c r="K37" s="3">
        <v>46287.83</v>
      </c>
      <c r="L37" s="3">
        <v>26391.26</v>
      </c>
      <c r="M37" s="3">
        <v>-3667.6100000000301</v>
      </c>
      <c r="N37" s="3">
        <v>-45331.360000000001</v>
      </c>
      <c r="O37" s="3">
        <v>363525065.39999998</v>
      </c>
      <c r="P37" s="3">
        <v>430754299.79112601</v>
      </c>
      <c r="Q37" s="19">
        <v>188705526.64770001</v>
      </c>
      <c r="R37" s="3">
        <v>106297522.30679999</v>
      </c>
      <c r="S37" s="3" t="s">
        <v>348</v>
      </c>
      <c r="T37" s="3" t="s">
        <v>56</v>
      </c>
      <c r="U37" s="3">
        <v>10550449.6</v>
      </c>
      <c r="V37" s="3">
        <v>229672.79780745899</v>
      </c>
      <c r="W37" s="3" t="s">
        <v>21</v>
      </c>
      <c r="X37" s="23">
        <v>0.05</v>
      </c>
      <c r="Y37" s="23">
        <v>7.5757052994283203E-2</v>
      </c>
      <c r="Z37" s="23">
        <v>6.3711509001648796</v>
      </c>
      <c r="AA37" s="23">
        <v>338039.813353759</v>
      </c>
      <c r="AB37" s="23" t="s">
        <v>289</v>
      </c>
      <c r="AC37" s="50">
        <v>400943.51434613502</v>
      </c>
      <c r="AD37" s="23">
        <v>342176.10331934597</v>
      </c>
      <c r="AE37" s="23">
        <v>292576.49088760698</v>
      </c>
      <c r="AF37" s="3">
        <v>31</v>
      </c>
      <c r="AK37" s="10">
        <v>1</v>
      </c>
      <c r="AL37" s="10">
        <v>1</v>
      </c>
      <c r="AM37" s="10">
        <v>1</v>
      </c>
      <c r="AN37" s="10">
        <v>1.5</v>
      </c>
      <c r="AO37" s="10">
        <v>1.5</v>
      </c>
      <c r="AP37" s="10">
        <v>1.5</v>
      </c>
      <c r="AQ37" s="10">
        <v>1</v>
      </c>
      <c r="AR37" s="10">
        <v>1</v>
      </c>
      <c r="AS37" s="10">
        <v>1</v>
      </c>
      <c r="AT37" s="10">
        <v>1</v>
      </c>
      <c r="AU37" s="10">
        <v>1.5</v>
      </c>
      <c r="AV37" s="10">
        <v>1.5</v>
      </c>
      <c r="AW37" s="10">
        <v>1.5</v>
      </c>
      <c r="AX37" s="10">
        <v>1.5</v>
      </c>
      <c r="AY37" s="10">
        <v>1</v>
      </c>
      <c r="AZ37" s="10">
        <v>1</v>
      </c>
      <c r="BA37" s="10">
        <v>1</v>
      </c>
      <c r="BB37" s="10">
        <v>2</v>
      </c>
      <c r="BC37" s="10">
        <v>1</v>
      </c>
      <c r="BD37" s="10">
        <v>0</v>
      </c>
      <c r="BE37" s="10">
        <v>1.5</v>
      </c>
      <c r="BF37" s="10">
        <v>0</v>
      </c>
      <c r="BG37" s="10">
        <v>0</v>
      </c>
      <c r="BH37" s="10">
        <v>0</v>
      </c>
      <c r="BI37" s="10">
        <v>1.5</v>
      </c>
      <c r="BJ37" s="10">
        <v>1.5</v>
      </c>
      <c r="BK37" s="79">
        <v>1.5</v>
      </c>
      <c r="BL37" s="12">
        <v>1.5</v>
      </c>
      <c r="BM37" s="3">
        <v>31</v>
      </c>
      <c r="BN37" s="3">
        <v>0.82666665315628052</v>
      </c>
      <c r="BO37" s="3">
        <v>0</v>
      </c>
      <c r="BP37" s="3">
        <v>0</v>
      </c>
      <c r="BQ37" s="3">
        <v>0</v>
      </c>
    </row>
    <row r="38" spans="1:69" x14ac:dyDescent="0.2">
      <c r="A38" s="3">
        <v>317</v>
      </c>
      <c r="B38" s="79">
        <v>317</v>
      </c>
      <c r="C38" s="3">
        <v>3</v>
      </c>
      <c r="E38" s="3">
        <v>150300.5</v>
      </c>
      <c r="F38" s="3">
        <v>125148.133684163</v>
      </c>
      <c r="G38" s="3">
        <v>104774.37</v>
      </c>
      <c r="H38" s="3">
        <v>64779.4</v>
      </c>
      <c r="I38" s="3">
        <v>2018</v>
      </c>
      <c r="J38" s="3">
        <v>2021</v>
      </c>
      <c r="K38" s="3">
        <v>46287.83</v>
      </c>
      <c r="L38" s="3">
        <v>26391.26</v>
      </c>
      <c r="M38" s="3">
        <v>-3667.6100000000301</v>
      </c>
      <c r="N38" s="3">
        <v>-45331.360000000001</v>
      </c>
      <c r="O38" s="3">
        <v>363525065.39999998</v>
      </c>
      <c r="P38" s="3">
        <v>430754299.79112601</v>
      </c>
      <c r="Q38" s="23">
        <v>188705526.64770001</v>
      </c>
      <c r="R38" s="23">
        <v>106297522.30679999</v>
      </c>
      <c r="S38" s="50" t="s">
        <v>349</v>
      </c>
      <c r="T38" s="23" t="s">
        <v>56</v>
      </c>
      <c r="U38" s="23">
        <v>10550874</v>
      </c>
      <c r="V38" s="23">
        <v>229682.03657349199</v>
      </c>
      <c r="W38" s="3" t="s">
        <v>21</v>
      </c>
      <c r="X38" s="79">
        <v>0.05</v>
      </c>
      <c r="Y38" s="3">
        <v>7.9811744096938406E-2</v>
      </c>
      <c r="Z38" s="3">
        <v>6.4268851261343798</v>
      </c>
      <c r="AA38" s="3">
        <v>374976.61698206002</v>
      </c>
      <c r="AB38" s="3" t="s">
        <v>289</v>
      </c>
      <c r="AC38" s="3">
        <v>400959.64260928298</v>
      </c>
      <c r="AD38" s="3">
        <v>342189.86761790799</v>
      </c>
      <c r="AE38" s="3">
        <v>292588.26000337099</v>
      </c>
      <c r="AF38" s="3">
        <v>31</v>
      </c>
      <c r="AG38" s="3"/>
      <c r="AK38" s="10">
        <v>1</v>
      </c>
      <c r="AL38" s="10">
        <v>1</v>
      </c>
      <c r="AM38" s="10">
        <v>1</v>
      </c>
      <c r="AN38" s="10">
        <v>1.5</v>
      </c>
      <c r="AO38" s="92">
        <v>1.5</v>
      </c>
      <c r="AP38" s="10">
        <v>1.5</v>
      </c>
      <c r="AQ38" s="92">
        <v>1</v>
      </c>
      <c r="AR38" s="10">
        <v>1</v>
      </c>
      <c r="AS38" s="10">
        <v>1</v>
      </c>
      <c r="AT38" s="10">
        <v>1</v>
      </c>
      <c r="AU38" s="10">
        <v>1.5</v>
      </c>
      <c r="AV38" s="10">
        <v>1.5</v>
      </c>
      <c r="AW38" s="10">
        <v>1.5</v>
      </c>
      <c r="AX38" s="5">
        <v>1.5</v>
      </c>
      <c r="AY38" s="5">
        <v>2</v>
      </c>
      <c r="AZ38" s="5">
        <v>1</v>
      </c>
      <c r="BA38" s="5">
        <v>1</v>
      </c>
      <c r="BB38" s="5">
        <v>2</v>
      </c>
      <c r="BC38" s="5">
        <v>1</v>
      </c>
      <c r="BD38" s="5">
        <v>0</v>
      </c>
      <c r="BE38" s="5">
        <v>1.5</v>
      </c>
      <c r="BF38" s="5">
        <v>1.5</v>
      </c>
      <c r="BG38" s="5">
        <v>0</v>
      </c>
      <c r="BH38" s="5">
        <v>0</v>
      </c>
      <c r="BI38" s="5">
        <v>1.5</v>
      </c>
      <c r="BJ38" s="5">
        <v>1.5</v>
      </c>
      <c r="BK38" s="5">
        <v>1.5</v>
      </c>
      <c r="BL38" s="5">
        <v>1.5</v>
      </c>
      <c r="BM38" s="5">
        <v>33.5</v>
      </c>
      <c r="BN38" s="3">
        <v>0.8933333158493042</v>
      </c>
      <c r="BO38" s="3">
        <v>0</v>
      </c>
      <c r="BP38" s="3">
        <v>0</v>
      </c>
      <c r="BQ38" s="3">
        <v>0</v>
      </c>
    </row>
    <row r="39" spans="1:69" x14ac:dyDescent="0.2">
      <c r="A39" s="3">
        <v>318</v>
      </c>
      <c r="B39" s="79">
        <v>318</v>
      </c>
      <c r="C39" s="3">
        <v>3</v>
      </c>
      <c r="E39" s="3">
        <v>150300.5</v>
      </c>
      <c r="F39" s="3">
        <v>125148.133684163</v>
      </c>
      <c r="G39" s="3">
        <v>104774.37</v>
      </c>
      <c r="H39" s="3">
        <v>64779.4</v>
      </c>
      <c r="I39" s="3">
        <v>2018</v>
      </c>
      <c r="J39" s="3">
        <v>2021</v>
      </c>
      <c r="K39" s="3">
        <v>46287.83</v>
      </c>
      <c r="L39" s="3">
        <v>26391.26</v>
      </c>
      <c r="M39" s="3">
        <v>-3667.6100000000301</v>
      </c>
      <c r="N39" s="3">
        <v>-45331.360000000001</v>
      </c>
      <c r="O39" s="3">
        <v>363525065.39999998</v>
      </c>
      <c r="P39" s="3">
        <v>430754299.79112601</v>
      </c>
      <c r="Q39" s="23">
        <v>188705526.64770001</v>
      </c>
      <c r="R39" s="23">
        <v>106297522.30679999</v>
      </c>
      <c r="S39" s="50" t="s">
        <v>351</v>
      </c>
      <c r="T39" s="23" t="s">
        <v>294</v>
      </c>
      <c r="U39" s="23">
        <v>10551792.4</v>
      </c>
      <c r="V39" s="23">
        <v>229702.02922835399</v>
      </c>
      <c r="W39" s="3" t="s">
        <v>21</v>
      </c>
      <c r="X39" s="79">
        <v>4.9276458827047898E-2</v>
      </c>
      <c r="Y39" s="3">
        <v>7.9804897474766906E-2</v>
      </c>
      <c r="Z39" s="3">
        <v>6.4266953493172601</v>
      </c>
      <c r="AA39" s="3">
        <v>374951.38317594898</v>
      </c>
      <c r="AB39" s="3" t="s">
        <v>289</v>
      </c>
      <c r="AC39" s="3">
        <v>400994.54410993401</v>
      </c>
      <c r="AD39" s="3">
        <v>342219.653508102</v>
      </c>
      <c r="AE39" s="3">
        <v>292613.72832552198</v>
      </c>
      <c r="AF39" s="3">
        <v>31</v>
      </c>
      <c r="AG39" s="3"/>
      <c r="AK39" s="10">
        <v>1</v>
      </c>
      <c r="AL39" s="10">
        <v>1</v>
      </c>
      <c r="AM39" s="10">
        <v>1</v>
      </c>
      <c r="AN39" s="10">
        <v>1.5</v>
      </c>
      <c r="AO39" s="92">
        <v>1.5</v>
      </c>
      <c r="AP39" s="10">
        <v>1.5</v>
      </c>
      <c r="AQ39" s="92">
        <v>1</v>
      </c>
      <c r="AR39" s="10">
        <v>1</v>
      </c>
      <c r="AS39" s="10">
        <v>1</v>
      </c>
      <c r="AT39" s="10">
        <v>1</v>
      </c>
      <c r="AU39" s="10">
        <v>1.5</v>
      </c>
      <c r="AV39" s="10">
        <v>1.5</v>
      </c>
      <c r="AW39" s="10">
        <v>1.5</v>
      </c>
      <c r="AX39" s="5">
        <v>1.5</v>
      </c>
      <c r="AY39" s="5">
        <v>1</v>
      </c>
      <c r="AZ39" s="5">
        <v>0</v>
      </c>
      <c r="BA39" s="5">
        <v>0</v>
      </c>
      <c r="BB39" s="5">
        <v>0</v>
      </c>
      <c r="BC39" s="5">
        <v>1</v>
      </c>
      <c r="BD39" s="5">
        <v>0</v>
      </c>
      <c r="BE39" s="5">
        <v>1.5</v>
      </c>
      <c r="BF39" s="5">
        <v>1.5</v>
      </c>
      <c r="BG39" s="5">
        <v>0</v>
      </c>
      <c r="BH39" s="5">
        <v>0</v>
      </c>
      <c r="BI39" s="5">
        <v>0</v>
      </c>
      <c r="BJ39" s="5">
        <v>0</v>
      </c>
      <c r="BK39" s="5">
        <v>0</v>
      </c>
      <c r="BL39" s="5">
        <v>1.5</v>
      </c>
      <c r="BM39" s="5">
        <v>24</v>
      </c>
      <c r="BN39" s="3">
        <v>0.63999998569488525</v>
      </c>
      <c r="BO39" s="3">
        <v>0</v>
      </c>
      <c r="BP39" s="3">
        <v>0</v>
      </c>
      <c r="BQ39" s="3">
        <v>0</v>
      </c>
    </row>
    <row r="40" spans="1:69" x14ac:dyDescent="0.2">
      <c r="A40" s="3">
        <v>319</v>
      </c>
      <c r="B40" s="79">
        <v>319</v>
      </c>
      <c r="C40" s="3">
        <v>2</v>
      </c>
      <c r="E40" s="3">
        <v>150300.5</v>
      </c>
      <c r="F40" s="3">
        <v>125148.133684163</v>
      </c>
      <c r="G40" s="3">
        <v>104774.37</v>
      </c>
      <c r="H40" s="3">
        <v>64779.4</v>
      </c>
      <c r="I40" s="3">
        <v>2018</v>
      </c>
      <c r="J40" s="3">
        <v>2020</v>
      </c>
      <c r="K40" s="3">
        <v>46287.83</v>
      </c>
      <c r="L40" s="3">
        <v>26391.26</v>
      </c>
      <c r="M40" s="3">
        <v>-3667.6100000000301</v>
      </c>
      <c r="N40" s="3">
        <v>-45331.360000000001</v>
      </c>
      <c r="O40" s="3">
        <v>363525065.39999998</v>
      </c>
      <c r="P40" s="3">
        <v>430754299.79112601</v>
      </c>
      <c r="Q40" s="23">
        <v>188705526.64770001</v>
      </c>
      <c r="R40" s="23">
        <v>106297522.30679999</v>
      </c>
      <c r="S40" s="50" t="s">
        <v>353</v>
      </c>
      <c r="T40" s="23" t="s">
        <v>56</v>
      </c>
      <c r="U40" s="23">
        <v>10551418.800000001</v>
      </c>
      <c r="V40" s="23">
        <v>229693.89632781199</v>
      </c>
      <c r="W40" s="3" t="s">
        <v>21</v>
      </c>
      <c r="X40" s="79">
        <v>4.9276509161013102E-2</v>
      </c>
      <c r="Y40" s="3">
        <v>7.9804807973568703E-2</v>
      </c>
      <c r="Z40" s="3">
        <v>6.4268834493589999</v>
      </c>
      <c r="AA40" s="3">
        <v>374926.90465428698</v>
      </c>
      <c r="AB40" s="3" t="s">
        <v>289</v>
      </c>
      <c r="AC40" s="3">
        <v>400980.34637404198</v>
      </c>
      <c r="AD40" s="3">
        <v>342207.53677402501</v>
      </c>
      <c r="AE40" s="3">
        <v>292603.36795405298</v>
      </c>
      <c r="AF40" s="3">
        <v>31</v>
      </c>
      <c r="AG40" s="3"/>
      <c r="AK40" s="10">
        <v>1</v>
      </c>
      <c r="AL40" s="10">
        <v>1</v>
      </c>
      <c r="AM40" s="10">
        <v>1</v>
      </c>
      <c r="AN40" s="10">
        <v>1.5</v>
      </c>
      <c r="AO40" s="92">
        <v>1.5</v>
      </c>
      <c r="AP40" s="10">
        <v>1.5</v>
      </c>
      <c r="AQ40" s="92">
        <v>1</v>
      </c>
      <c r="AR40" s="10">
        <v>1</v>
      </c>
      <c r="AS40" s="10">
        <v>1</v>
      </c>
      <c r="AT40" s="10">
        <v>1</v>
      </c>
      <c r="AU40" s="10">
        <v>1.5</v>
      </c>
      <c r="AV40" s="10">
        <v>1.5</v>
      </c>
      <c r="AW40" s="10">
        <v>1.5</v>
      </c>
      <c r="AX40" s="5">
        <v>1.5</v>
      </c>
      <c r="AY40" s="5">
        <v>2</v>
      </c>
      <c r="AZ40" s="5">
        <v>1</v>
      </c>
      <c r="BA40" s="5">
        <v>1</v>
      </c>
      <c r="BB40" s="5">
        <v>2</v>
      </c>
      <c r="BC40" s="5">
        <v>1</v>
      </c>
      <c r="BD40" s="5">
        <v>0</v>
      </c>
      <c r="BE40" s="5">
        <v>1.5</v>
      </c>
      <c r="BF40" s="5">
        <v>1.5</v>
      </c>
      <c r="BG40" s="5">
        <v>0</v>
      </c>
      <c r="BH40" s="5">
        <v>0</v>
      </c>
      <c r="BI40" s="5">
        <v>1.5</v>
      </c>
      <c r="BJ40" s="5">
        <v>1.5</v>
      </c>
      <c r="BK40" s="5">
        <v>1.5</v>
      </c>
      <c r="BL40" s="5">
        <v>1.5</v>
      </c>
      <c r="BM40" s="5">
        <v>33.5</v>
      </c>
      <c r="BN40" s="3">
        <v>0.8933333158493042</v>
      </c>
      <c r="BO40" s="3">
        <v>0</v>
      </c>
      <c r="BP40" s="3">
        <v>0</v>
      </c>
      <c r="BQ40" s="3">
        <v>0</v>
      </c>
    </row>
    <row r="41" spans="1:69" x14ac:dyDescent="0.2">
      <c r="A41" s="3">
        <v>320</v>
      </c>
      <c r="B41" s="79">
        <v>320</v>
      </c>
      <c r="C41" s="3">
        <v>4</v>
      </c>
      <c r="E41" s="3">
        <v>150300.5</v>
      </c>
      <c r="F41" s="3">
        <v>125148.133684163</v>
      </c>
      <c r="G41" s="3">
        <v>104774.37</v>
      </c>
      <c r="H41" s="3">
        <v>64779.4</v>
      </c>
      <c r="I41" s="3">
        <v>2015</v>
      </c>
      <c r="J41" s="3">
        <v>2016</v>
      </c>
      <c r="K41" s="3">
        <v>46287.83</v>
      </c>
      <c r="L41" s="3">
        <v>26391.26</v>
      </c>
      <c r="M41" s="3">
        <v>-3667.6100000000301</v>
      </c>
      <c r="N41" s="3">
        <v>-45331.360000000001</v>
      </c>
      <c r="O41" s="3">
        <v>363525065.39999998</v>
      </c>
      <c r="P41" s="3">
        <v>430754299.79112601</v>
      </c>
      <c r="Q41" s="3">
        <v>188705526.64770001</v>
      </c>
      <c r="R41" s="3">
        <v>106297522.30679999</v>
      </c>
      <c r="S41" s="3" t="s">
        <v>356</v>
      </c>
      <c r="T41" s="3" t="s">
        <v>56</v>
      </c>
      <c r="U41" s="3">
        <v>10551508.800000001</v>
      </c>
      <c r="V41" s="3">
        <v>229695.85553832899</v>
      </c>
      <c r="W41" s="3" t="s">
        <v>21</v>
      </c>
      <c r="X41" s="23">
        <v>4.9213E-2</v>
      </c>
      <c r="Y41" s="23">
        <v>7.9809563730576696E-2</v>
      </c>
      <c r="Z41" s="23">
        <v>6.4269005491342597</v>
      </c>
      <c r="AA41" s="23">
        <v>374976.58949834399</v>
      </c>
      <c r="AB41" s="23" t="s">
        <v>289</v>
      </c>
      <c r="AC41" s="50">
        <v>400983.76659949898</v>
      </c>
      <c r="AD41" s="23">
        <v>342210.45568747999</v>
      </c>
      <c r="AE41" s="23">
        <v>292605.86376088503</v>
      </c>
      <c r="AF41" s="3" t="s">
        <v>98</v>
      </c>
      <c r="AK41" s="10">
        <v>1</v>
      </c>
      <c r="AL41" s="10">
        <v>1</v>
      </c>
      <c r="AM41" s="10">
        <v>1</v>
      </c>
      <c r="AN41" s="10">
        <v>1.5</v>
      </c>
      <c r="AO41" s="10">
        <v>0</v>
      </c>
      <c r="AP41" s="10">
        <v>0</v>
      </c>
      <c r="AQ41" s="10">
        <v>1</v>
      </c>
      <c r="AR41" s="10">
        <v>1</v>
      </c>
      <c r="AS41" s="10">
        <v>1</v>
      </c>
      <c r="AT41" s="10">
        <v>1</v>
      </c>
      <c r="AU41" s="10">
        <v>1.5</v>
      </c>
      <c r="AV41" s="10">
        <v>1.5</v>
      </c>
      <c r="AW41" s="10">
        <v>1.5</v>
      </c>
      <c r="AX41" s="10">
        <v>1.5</v>
      </c>
      <c r="AY41" s="10">
        <v>1</v>
      </c>
      <c r="AZ41" s="10">
        <v>1</v>
      </c>
      <c r="BA41" s="10">
        <v>1</v>
      </c>
      <c r="BB41" s="10">
        <v>2</v>
      </c>
      <c r="BC41" s="10">
        <v>1</v>
      </c>
      <c r="BD41" s="10">
        <v>0</v>
      </c>
      <c r="BE41" s="10">
        <v>1.5</v>
      </c>
      <c r="BF41" s="10">
        <v>1.5</v>
      </c>
      <c r="BG41" s="10">
        <v>0</v>
      </c>
      <c r="BH41" s="10">
        <v>0</v>
      </c>
      <c r="BI41" s="10">
        <v>1.5</v>
      </c>
      <c r="BJ41" s="10">
        <v>1.5</v>
      </c>
      <c r="BK41" s="79">
        <v>1.5</v>
      </c>
      <c r="BL41" s="3">
        <v>0</v>
      </c>
      <c r="BM41" s="3">
        <v>28</v>
      </c>
      <c r="BN41" s="3">
        <v>0.74666666984558105</v>
      </c>
      <c r="BO41" s="3">
        <v>0</v>
      </c>
      <c r="BP41" s="3">
        <v>0</v>
      </c>
      <c r="BQ41" s="3">
        <v>0</v>
      </c>
    </row>
    <row r="42" spans="1:69" x14ac:dyDescent="0.2">
      <c r="A42" s="3">
        <v>321</v>
      </c>
      <c r="B42" s="79">
        <v>321</v>
      </c>
      <c r="C42" s="3">
        <v>1</v>
      </c>
      <c r="E42" s="3">
        <v>150300.5</v>
      </c>
      <c r="F42" s="3">
        <v>133699.77899863201</v>
      </c>
      <c r="G42" s="3">
        <v>104773.65</v>
      </c>
      <c r="H42" s="3">
        <v>64779.4</v>
      </c>
      <c r="I42" s="3">
        <v>2018</v>
      </c>
      <c r="J42" s="3">
        <v>2020</v>
      </c>
      <c r="K42" s="3">
        <v>46283.8</v>
      </c>
      <c r="L42" s="3">
        <v>26386.39</v>
      </c>
      <c r="M42" s="3">
        <v>-3673.4000000000401</v>
      </c>
      <c r="N42" s="3">
        <v>-45338.15</v>
      </c>
      <c r="O42" s="3">
        <v>363525065.39999998</v>
      </c>
      <c r="P42" s="3">
        <v>428009464.06866002</v>
      </c>
      <c r="Q42" s="23">
        <v>188705527.7493</v>
      </c>
      <c r="R42" s="23">
        <v>106297558.93889999</v>
      </c>
      <c r="S42" s="50" t="s">
        <v>358</v>
      </c>
      <c r="T42" s="23" t="s">
        <v>56</v>
      </c>
      <c r="U42" s="23">
        <v>10551502</v>
      </c>
      <c r="V42" s="23">
        <v>229695.707509089</v>
      </c>
      <c r="W42" s="3" t="s">
        <v>21</v>
      </c>
      <c r="X42" s="79">
        <v>0.05</v>
      </c>
      <c r="Y42" s="3">
        <v>7.9810496142506696E-2</v>
      </c>
      <c r="Z42" s="3">
        <v>6.4269332299669797</v>
      </c>
      <c r="AA42" s="3">
        <v>374983.854589305</v>
      </c>
      <c r="AB42" s="3" t="s">
        <v>294</v>
      </c>
      <c r="AC42" s="3">
        <v>400983.508182463</v>
      </c>
      <c r="AD42" s="3">
        <v>342210.23514735198</v>
      </c>
      <c r="AE42" s="3">
        <v>292605.67518881301</v>
      </c>
      <c r="AF42" s="3">
        <v>31</v>
      </c>
      <c r="AG42" s="3"/>
      <c r="AK42" s="10">
        <v>1</v>
      </c>
      <c r="AL42" s="10">
        <v>0</v>
      </c>
      <c r="AM42" s="10">
        <v>1</v>
      </c>
      <c r="AN42" s="10">
        <v>1.5</v>
      </c>
      <c r="AO42" s="92">
        <v>1.5</v>
      </c>
      <c r="AP42" s="10">
        <v>1.5</v>
      </c>
      <c r="AQ42" s="92">
        <v>1</v>
      </c>
      <c r="AR42" s="10">
        <v>1</v>
      </c>
      <c r="AS42" s="10">
        <v>1</v>
      </c>
      <c r="AT42" s="10">
        <v>1</v>
      </c>
      <c r="AU42" s="10">
        <v>1.5</v>
      </c>
      <c r="AV42" s="10">
        <v>1.5</v>
      </c>
      <c r="AW42" s="10">
        <v>1.5</v>
      </c>
      <c r="AX42" s="5">
        <v>0</v>
      </c>
      <c r="AY42" s="5">
        <v>2</v>
      </c>
      <c r="AZ42" s="5">
        <v>1</v>
      </c>
      <c r="BA42" s="5">
        <v>1</v>
      </c>
      <c r="BB42" s="5">
        <v>2</v>
      </c>
      <c r="BC42" s="5">
        <v>1</v>
      </c>
      <c r="BD42" s="5">
        <v>0</v>
      </c>
      <c r="BE42" s="5">
        <v>1.5</v>
      </c>
      <c r="BF42" s="5">
        <v>1.5</v>
      </c>
      <c r="BG42" s="5">
        <v>0</v>
      </c>
      <c r="BH42" s="5">
        <v>0</v>
      </c>
      <c r="BI42" s="5">
        <v>1.5</v>
      </c>
      <c r="BJ42" s="5">
        <v>1.5</v>
      </c>
      <c r="BK42" s="5">
        <v>1.5</v>
      </c>
      <c r="BL42" s="5">
        <v>1.5</v>
      </c>
      <c r="BM42" s="5">
        <v>31</v>
      </c>
      <c r="BN42" s="3">
        <v>0.82666665315628052</v>
      </c>
      <c r="BO42" s="3">
        <v>0</v>
      </c>
      <c r="BP42" s="3">
        <v>0</v>
      </c>
      <c r="BQ42" s="3">
        <v>0</v>
      </c>
    </row>
    <row r="43" spans="1:69" x14ac:dyDescent="0.2">
      <c r="A43" s="3">
        <v>322</v>
      </c>
      <c r="B43" s="79">
        <v>322</v>
      </c>
      <c r="C43" s="3">
        <v>2</v>
      </c>
      <c r="E43" s="23">
        <v>150300.5</v>
      </c>
      <c r="F43" s="23">
        <v>125148.133684163</v>
      </c>
      <c r="G43" s="23">
        <v>104774.37</v>
      </c>
      <c r="H43" s="3">
        <v>64779.4</v>
      </c>
      <c r="I43" s="3">
        <v>2018</v>
      </c>
      <c r="J43" s="3">
        <v>2020</v>
      </c>
      <c r="K43" s="3">
        <v>46287.83</v>
      </c>
      <c r="L43" s="3">
        <v>26391.26</v>
      </c>
      <c r="M43" s="3">
        <v>-3667.6100000000301</v>
      </c>
      <c r="N43" s="3">
        <v>-45331.360000000001</v>
      </c>
      <c r="O43" s="3">
        <v>363525065.39999998</v>
      </c>
      <c r="P43" s="23">
        <v>430754299.79112601</v>
      </c>
      <c r="Q43" s="23">
        <v>188705526.64770001</v>
      </c>
      <c r="R43" s="23">
        <v>106297522.30679999</v>
      </c>
      <c r="S43" s="50" t="s">
        <v>335</v>
      </c>
      <c r="T43" s="23" t="s">
        <v>56</v>
      </c>
      <c r="U43" s="23">
        <v>10550229.6</v>
      </c>
      <c r="V43" s="23">
        <v>229668.008626197</v>
      </c>
      <c r="W43" s="3" t="s">
        <v>21</v>
      </c>
      <c r="X43" s="79">
        <v>4.9276464952815999E-2</v>
      </c>
      <c r="Y43" s="3">
        <v>7.5361674323057098E-2</v>
      </c>
      <c r="Z43" s="3">
        <v>6.6120037390404303</v>
      </c>
      <c r="AA43" s="3">
        <v>401122.090334696</v>
      </c>
      <c r="AB43" s="3" t="s">
        <v>294</v>
      </c>
      <c r="AC43" s="3">
        <v>400935.15379502199</v>
      </c>
      <c r="AD43" s="3">
        <v>342168.96819756599</v>
      </c>
      <c r="AE43" s="3">
        <v>292570.39002646302</v>
      </c>
      <c r="AF43" s="3">
        <v>31</v>
      </c>
      <c r="AG43" s="3"/>
      <c r="AK43" s="10">
        <v>1</v>
      </c>
      <c r="AL43" s="10">
        <v>1</v>
      </c>
      <c r="AM43" s="10">
        <v>1</v>
      </c>
      <c r="AN43" s="10">
        <v>1.5</v>
      </c>
      <c r="AO43" s="92">
        <v>1.5</v>
      </c>
      <c r="AP43" s="10">
        <v>1.5</v>
      </c>
      <c r="AQ43" s="92">
        <v>1</v>
      </c>
      <c r="AR43" s="10">
        <v>1</v>
      </c>
      <c r="AS43" s="10">
        <v>1</v>
      </c>
      <c r="AT43" s="10">
        <v>1</v>
      </c>
      <c r="AU43" s="10">
        <v>1.5</v>
      </c>
      <c r="AV43" s="10">
        <v>1.5</v>
      </c>
      <c r="AW43" s="10">
        <v>1.5</v>
      </c>
      <c r="AX43" s="5">
        <v>1.5</v>
      </c>
      <c r="AY43" s="5">
        <v>2</v>
      </c>
      <c r="AZ43" s="5">
        <v>1</v>
      </c>
      <c r="BA43" s="5">
        <v>1</v>
      </c>
      <c r="BB43" s="5">
        <v>2</v>
      </c>
      <c r="BC43" s="5">
        <v>1</v>
      </c>
      <c r="BD43" s="5">
        <v>0</v>
      </c>
      <c r="BE43" s="5">
        <v>1.5</v>
      </c>
      <c r="BF43" s="5">
        <v>0</v>
      </c>
      <c r="BG43" s="5">
        <v>0</v>
      </c>
      <c r="BH43" s="5">
        <v>0</v>
      </c>
      <c r="BI43" s="5">
        <v>1.5</v>
      </c>
      <c r="BJ43" s="5">
        <v>1.5</v>
      </c>
      <c r="BK43" s="5">
        <v>1.5</v>
      </c>
      <c r="BL43" s="5">
        <v>1.5</v>
      </c>
      <c r="BM43" s="5">
        <v>32</v>
      </c>
      <c r="BN43" s="3">
        <v>0.85333335399627686</v>
      </c>
      <c r="BO43" s="3">
        <v>0</v>
      </c>
      <c r="BP43" s="3">
        <v>0</v>
      </c>
      <c r="BQ43" s="3">
        <v>0</v>
      </c>
    </row>
    <row r="44" spans="1:69" x14ac:dyDescent="0.2">
      <c r="A44" s="3">
        <v>323</v>
      </c>
      <c r="B44" s="79">
        <v>323</v>
      </c>
      <c r="C44" s="3">
        <v>2</v>
      </c>
      <c r="E44" s="3">
        <v>150300.5</v>
      </c>
      <c r="F44" s="3">
        <v>125148.133684163</v>
      </c>
      <c r="G44" s="3">
        <v>104774.37</v>
      </c>
      <c r="H44" s="3">
        <v>64779.4</v>
      </c>
      <c r="I44" s="3">
        <v>2018</v>
      </c>
      <c r="J44" s="3">
        <v>2020</v>
      </c>
      <c r="K44" s="3">
        <v>46287.83</v>
      </c>
      <c r="L44" s="3">
        <v>26391.26</v>
      </c>
      <c r="M44" s="3">
        <v>-3667.6100000000301</v>
      </c>
      <c r="N44" s="3">
        <v>-45331.360000000001</v>
      </c>
      <c r="O44" s="3">
        <v>363525065.39999998</v>
      </c>
      <c r="P44" s="3">
        <v>430754299.79112601</v>
      </c>
      <c r="Q44" s="3">
        <v>188705526.64770001</v>
      </c>
      <c r="R44" s="3">
        <v>106297522.30679999</v>
      </c>
      <c r="S44" s="3" t="s">
        <v>361</v>
      </c>
      <c r="T44" s="3" t="s">
        <v>56</v>
      </c>
      <c r="U44" s="3">
        <v>10550205.199999999</v>
      </c>
      <c r="V44" s="3">
        <v>229667.477462457</v>
      </c>
      <c r="W44" s="23" t="s">
        <v>21</v>
      </c>
      <c r="X44" s="23">
        <v>4.9277651622224201E-2</v>
      </c>
      <c r="Y44" s="50">
        <v>7.9813535253320606E-2</v>
      </c>
      <c r="Z44" s="50">
        <v>6.4268611733467802</v>
      </c>
      <c r="AA44" s="50">
        <v>374972.02017513698</v>
      </c>
      <c r="AB44" s="50" t="s">
        <v>289</v>
      </c>
      <c r="AC44" s="23">
        <v>400934.22653389699</v>
      </c>
      <c r="AD44" s="3">
        <v>342168.17684769601</v>
      </c>
      <c r="AE44" s="3">
        <v>292569.71338550001</v>
      </c>
      <c r="AF44" s="10">
        <v>31</v>
      </c>
      <c r="AK44" s="10">
        <v>1</v>
      </c>
      <c r="AL44" s="10">
        <v>1</v>
      </c>
      <c r="AM44" s="10">
        <v>1</v>
      </c>
      <c r="AN44" s="10">
        <v>1.5</v>
      </c>
      <c r="AO44" s="10">
        <v>1.5</v>
      </c>
      <c r="AP44" s="10">
        <v>1.5</v>
      </c>
      <c r="AQ44" s="10">
        <v>1</v>
      </c>
      <c r="AR44" s="10">
        <v>1</v>
      </c>
      <c r="AS44" s="10">
        <v>1</v>
      </c>
      <c r="AT44" s="10">
        <v>1</v>
      </c>
      <c r="AU44" s="10">
        <v>1.5</v>
      </c>
      <c r="AV44" s="10">
        <v>1.5</v>
      </c>
      <c r="AW44" s="10">
        <v>1.5</v>
      </c>
      <c r="AX44" s="10">
        <v>1.5</v>
      </c>
      <c r="AY44" s="10">
        <v>2</v>
      </c>
      <c r="AZ44" s="10">
        <v>1</v>
      </c>
      <c r="BA44" s="10">
        <v>0</v>
      </c>
      <c r="BB44" s="79">
        <v>2</v>
      </c>
      <c r="BC44" s="79">
        <v>1</v>
      </c>
      <c r="BD44" s="79">
        <v>0</v>
      </c>
      <c r="BE44" s="79">
        <v>1.5</v>
      </c>
      <c r="BF44" s="79">
        <v>1.5</v>
      </c>
      <c r="BG44" s="79">
        <v>0</v>
      </c>
      <c r="BH44" s="79">
        <v>0</v>
      </c>
      <c r="BI44" s="79">
        <v>1.5</v>
      </c>
      <c r="BJ44" s="79">
        <v>1.5</v>
      </c>
      <c r="BK44" s="5">
        <v>1.5</v>
      </c>
      <c r="BL44" s="12">
        <v>1.5</v>
      </c>
      <c r="BM44" s="5">
        <v>32.5</v>
      </c>
      <c r="BN44" s="3">
        <v>0.86666667461395264</v>
      </c>
      <c r="BO44" s="3">
        <v>0</v>
      </c>
      <c r="BP44" s="3">
        <v>0</v>
      </c>
      <c r="BQ44" s="3">
        <v>0</v>
      </c>
    </row>
    <row r="45" spans="1:69" x14ac:dyDescent="0.2">
      <c r="A45" s="3">
        <v>324</v>
      </c>
      <c r="B45" s="79">
        <v>324</v>
      </c>
      <c r="C45" s="3">
        <v>4</v>
      </c>
      <c r="E45" s="3">
        <v>150300.5</v>
      </c>
      <c r="F45" s="3">
        <v>125148.133684163</v>
      </c>
      <c r="G45" s="3">
        <v>104774.37</v>
      </c>
      <c r="H45" s="3">
        <v>64779.4</v>
      </c>
      <c r="I45" s="3">
        <v>2018</v>
      </c>
      <c r="J45" s="3">
        <v>2021</v>
      </c>
      <c r="K45" s="3">
        <v>46287.83</v>
      </c>
      <c r="L45" s="3">
        <v>26391.26</v>
      </c>
      <c r="M45" s="3">
        <v>-3667.6100000000301</v>
      </c>
      <c r="N45" s="3">
        <v>-45331.360000000001</v>
      </c>
      <c r="O45" s="3">
        <v>363525065.39999998</v>
      </c>
      <c r="P45" s="3">
        <v>430754299.79112601</v>
      </c>
      <c r="Q45" s="3">
        <v>188705526.64770001</v>
      </c>
      <c r="R45" s="3">
        <v>106297522.30679999</v>
      </c>
      <c r="S45" s="3" t="s">
        <v>363</v>
      </c>
      <c r="T45" s="3" t="s">
        <v>294</v>
      </c>
      <c r="U45" s="3">
        <v>10550622.4</v>
      </c>
      <c r="V45" s="3">
        <v>229676.55949164901</v>
      </c>
      <c r="W45" s="3" t="s">
        <v>21</v>
      </c>
      <c r="X45" s="23">
        <v>4.9276458827047898E-2</v>
      </c>
      <c r="Y45" s="23">
        <v>7.9808813916590698E-2</v>
      </c>
      <c r="Z45" s="23">
        <v>6.4266671955605199</v>
      </c>
      <c r="AA45" s="23">
        <v>374950.40203050699</v>
      </c>
      <c r="AB45" s="23" t="s">
        <v>289</v>
      </c>
      <c r="AC45" s="50">
        <v>400950.08117900998</v>
      </c>
      <c r="AD45" s="23">
        <v>342181.70763318101</v>
      </c>
      <c r="AE45" s="23">
        <v>292581.28283672</v>
      </c>
      <c r="AF45" s="3">
        <v>31</v>
      </c>
      <c r="AK45" s="10">
        <v>1</v>
      </c>
      <c r="AL45" s="10">
        <v>1</v>
      </c>
      <c r="AM45" s="10">
        <v>1</v>
      </c>
      <c r="AN45" s="10">
        <v>1.5</v>
      </c>
      <c r="AO45" s="10">
        <v>1.5</v>
      </c>
      <c r="AP45" s="10">
        <v>1.5</v>
      </c>
      <c r="AQ45" s="10">
        <v>1</v>
      </c>
      <c r="AR45" s="10">
        <v>1</v>
      </c>
      <c r="AS45" s="10">
        <v>1</v>
      </c>
      <c r="AT45" s="10">
        <v>1</v>
      </c>
      <c r="AU45" s="10">
        <v>1.5</v>
      </c>
      <c r="AV45" s="10">
        <v>1.5</v>
      </c>
      <c r="AW45" s="10">
        <v>1.5</v>
      </c>
      <c r="AX45" s="10">
        <v>1.5</v>
      </c>
      <c r="AY45" s="10">
        <v>1</v>
      </c>
      <c r="AZ45" s="10">
        <v>0</v>
      </c>
      <c r="BA45" s="10">
        <v>1</v>
      </c>
      <c r="BB45" s="10">
        <v>2</v>
      </c>
      <c r="BC45" s="10">
        <v>1</v>
      </c>
      <c r="BD45" s="10">
        <v>0</v>
      </c>
      <c r="BE45" s="10">
        <v>1.5</v>
      </c>
      <c r="BF45" s="10">
        <v>1.5</v>
      </c>
      <c r="BG45" s="10">
        <v>0</v>
      </c>
      <c r="BH45" s="10">
        <v>0</v>
      </c>
      <c r="BI45" s="10">
        <v>1.5</v>
      </c>
      <c r="BJ45" s="10">
        <v>1.5</v>
      </c>
      <c r="BK45" s="79">
        <v>1.5</v>
      </c>
      <c r="BL45" s="12">
        <v>1.5</v>
      </c>
      <c r="BM45" s="3">
        <v>31.5</v>
      </c>
      <c r="BN45" s="3">
        <v>0.8399999737739563</v>
      </c>
      <c r="BO45" s="3">
        <v>0</v>
      </c>
      <c r="BP45" s="3">
        <v>0</v>
      </c>
      <c r="BQ45" s="3">
        <v>0</v>
      </c>
    </row>
    <row r="46" spans="1:69" x14ac:dyDescent="0.2">
      <c r="A46" s="3">
        <v>325</v>
      </c>
      <c r="B46" s="79">
        <v>325</v>
      </c>
      <c r="C46" s="3">
        <v>2</v>
      </c>
      <c r="E46" s="3">
        <v>150300.5</v>
      </c>
      <c r="F46" s="3">
        <v>125148.133684163</v>
      </c>
      <c r="G46" s="3">
        <v>104774.37</v>
      </c>
      <c r="H46" s="3">
        <v>64779.4</v>
      </c>
      <c r="I46" s="3">
        <v>2018</v>
      </c>
      <c r="J46" s="3">
        <v>2020</v>
      </c>
      <c r="K46" s="3">
        <v>46287.83</v>
      </c>
      <c r="L46" s="3">
        <v>26391.26</v>
      </c>
      <c r="M46" s="3">
        <v>-3667.6100000000301</v>
      </c>
      <c r="N46" s="3">
        <v>-45331.360000000001</v>
      </c>
      <c r="O46" s="3">
        <v>363525065.39999998</v>
      </c>
      <c r="P46" s="3">
        <v>430754299.79112601</v>
      </c>
      <c r="Q46" s="3">
        <v>188705526.64770001</v>
      </c>
      <c r="R46" s="3">
        <v>106297522.30679999</v>
      </c>
      <c r="S46" s="3" t="s">
        <v>365</v>
      </c>
      <c r="T46" s="3" t="s">
        <v>139</v>
      </c>
      <c r="U46" s="3">
        <v>10550234</v>
      </c>
      <c r="V46" s="3">
        <v>229668.10440982299</v>
      </c>
      <c r="W46" s="3" t="s">
        <v>21</v>
      </c>
      <c r="X46" s="23">
        <v>8.8120236161284993</v>
      </c>
      <c r="Y46" s="23">
        <v>7.9813016103462905E-2</v>
      </c>
      <c r="Z46" s="23">
        <v>6.4268356064802603</v>
      </c>
      <c r="AA46" s="23">
        <v>374969.26853739499</v>
      </c>
      <c r="AB46" s="23" t="s">
        <v>289</v>
      </c>
      <c r="AC46" s="50">
        <v>400935.321006043</v>
      </c>
      <c r="AD46" s="23">
        <v>342169.11090000201</v>
      </c>
      <c r="AE46" s="23">
        <v>292570.51204368699</v>
      </c>
      <c r="AF46" s="3">
        <v>0.91083661213236</v>
      </c>
      <c r="AK46" s="10">
        <v>1</v>
      </c>
      <c r="AL46" s="10">
        <v>1</v>
      </c>
      <c r="AM46" s="10">
        <v>1</v>
      </c>
      <c r="AN46" s="10">
        <v>1.5</v>
      </c>
      <c r="AO46" s="10">
        <v>1.5</v>
      </c>
      <c r="AP46" s="10">
        <v>1.5</v>
      </c>
      <c r="AQ46" s="10">
        <v>1</v>
      </c>
      <c r="AR46" s="10">
        <v>1</v>
      </c>
      <c r="AS46" s="10">
        <v>1</v>
      </c>
      <c r="AT46" s="10">
        <v>1</v>
      </c>
      <c r="AU46" s="10">
        <v>1.5</v>
      </c>
      <c r="AV46" s="10">
        <v>1.5</v>
      </c>
      <c r="AW46" s="10">
        <v>1.5</v>
      </c>
      <c r="AX46" s="10">
        <v>1.5</v>
      </c>
      <c r="AY46" s="10">
        <v>1</v>
      </c>
      <c r="AZ46" s="10">
        <v>0</v>
      </c>
      <c r="BA46" s="10">
        <v>1</v>
      </c>
      <c r="BB46" s="10">
        <v>2</v>
      </c>
      <c r="BC46" s="10">
        <v>1</v>
      </c>
      <c r="BD46" s="10">
        <v>0</v>
      </c>
      <c r="BE46" s="10">
        <v>1.5</v>
      </c>
      <c r="BF46" s="10">
        <v>1.5</v>
      </c>
      <c r="BG46" s="10">
        <v>0</v>
      </c>
      <c r="BH46" s="10">
        <v>0</v>
      </c>
      <c r="BI46" s="10">
        <v>1.5</v>
      </c>
      <c r="BJ46" s="10">
        <v>1.5</v>
      </c>
      <c r="BK46" s="79">
        <v>1.5</v>
      </c>
      <c r="BL46" s="3">
        <v>0</v>
      </c>
      <c r="BM46" s="3">
        <v>30</v>
      </c>
      <c r="BN46" s="3">
        <v>0.80000001192092896</v>
      </c>
      <c r="BO46" s="3">
        <v>0</v>
      </c>
      <c r="BP46" s="3">
        <v>0</v>
      </c>
      <c r="BQ46" s="3">
        <v>0</v>
      </c>
    </row>
    <row r="47" spans="1:69" x14ac:dyDescent="0.2">
      <c r="A47" s="3">
        <v>326</v>
      </c>
      <c r="B47" s="79">
        <v>326</v>
      </c>
      <c r="C47" s="3">
        <v>3</v>
      </c>
      <c r="E47" s="3">
        <v>150300.5</v>
      </c>
      <c r="F47" s="3">
        <v>113135</v>
      </c>
      <c r="G47" s="3">
        <v>85935.52</v>
      </c>
      <c r="H47" s="3">
        <v>64779.4</v>
      </c>
      <c r="I47" s="3">
        <v>2018</v>
      </c>
      <c r="J47" s="3">
        <v>2021</v>
      </c>
      <c r="K47" s="3">
        <v>108090.880502906</v>
      </c>
      <c r="L47" s="3">
        <v>145828.63486046399</v>
      </c>
      <c r="M47" s="3">
        <v>189272.389218022</v>
      </c>
      <c r="N47" s="3">
        <v>238422.14357558</v>
      </c>
      <c r="O47" s="3">
        <v>363525065.39999998</v>
      </c>
      <c r="P47" s="3">
        <v>428009464.06866002</v>
      </c>
      <c r="Q47" s="3">
        <v>287459122.79519999</v>
      </c>
      <c r="R47" s="3">
        <v>27703482250.3452</v>
      </c>
      <c r="S47" s="3" t="s">
        <v>335</v>
      </c>
      <c r="T47" s="3" t="s">
        <v>56</v>
      </c>
      <c r="U47" s="3">
        <v>10551450</v>
      </c>
      <c r="V47" s="3">
        <v>9655223.8120505009</v>
      </c>
      <c r="W47" s="23" t="s">
        <v>21</v>
      </c>
      <c r="X47" s="23">
        <v>4.9276464952816401E-2</v>
      </c>
      <c r="Y47" s="50">
        <v>7.5359491341101204E-2</v>
      </c>
      <c r="Z47" s="50">
        <v>6.6121005812831601</v>
      </c>
      <c r="AA47" s="50">
        <v>401135.35905801097</v>
      </c>
      <c r="AB47" s="50" t="s">
        <v>294</v>
      </c>
      <c r="AC47" s="23">
        <v>400981.5320522</v>
      </c>
      <c r="AD47" s="3">
        <v>342208.54866402101</v>
      </c>
      <c r="AE47" s="3">
        <v>292604.23316708999</v>
      </c>
      <c r="AF47" s="10">
        <v>31</v>
      </c>
      <c r="AK47" s="10">
        <v>1</v>
      </c>
      <c r="AL47" s="10">
        <v>0</v>
      </c>
      <c r="AM47" s="10">
        <v>0</v>
      </c>
      <c r="AN47" s="10">
        <v>1.5</v>
      </c>
      <c r="AO47" s="10">
        <v>1.5</v>
      </c>
      <c r="AP47" s="10">
        <v>1.5</v>
      </c>
      <c r="AQ47" s="10">
        <v>0</v>
      </c>
      <c r="AR47" s="10">
        <v>0</v>
      </c>
      <c r="AS47" s="10">
        <v>0</v>
      </c>
      <c r="AT47" s="10">
        <v>0</v>
      </c>
      <c r="AU47" s="10">
        <v>1.5</v>
      </c>
      <c r="AV47" s="10">
        <v>1.5</v>
      </c>
      <c r="AW47" s="10">
        <v>0</v>
      </c>
      <c r="AX47" s="10">
        <v>0</v>
      </c>
      <c r="AY47" s="10">
        <v>2</v>
      </c>
      <c r="AZ47" s="10">
        <v>1</v>
      </c>
      <c r="BA47" s="10">
        <v>1</v>
      </c>
      <c r="BB47" s="79">
        <v>0</v>
      </c>
      <c r="BC47" s="79">
        <v>1</v>
      </c>
      <c r="BD47" s="79">
        <v>0</v>
      </c>
      <c r="BE47" s="79">
        <v>1.5</v>
      </c>
      <c r="BF47" s="79">
        <v>0</v>
      </c>
      <c r="BG47" s="79">
        <v>0</v>
      </c>
      <c r="BH47" s="79">
        <v>0</v>
      </c>
      <c r="BI47" s="79">
        <v>1.5</v>
      </c>
      <c r="BJ47" s="79">
        <v>1.5</v>
      </c>
      <c r="BK47" s="5">
        <v>1.5</v>
      </c>
      <c r="BL47" s="12">
        <v>1.5</v>
      </c>
      <c r="BM47" s="5">
        <v>21</v>
      </c>
      <c r="BN47" s="3">
        <v>0.56000000238418579</v>
      </c>
      <c r="BO47" s="3">
        <v>0</v>
      </c>
      <c r="BP47" s="3">
        <v>0</v>
      </c>
      <c r="BQ47" s="3">
        <v>0</v>
      </c>
    </row>
    <row r="48" spans="1:69" x14ac:dyDescent="0.2">
      <c r="A48" s="3">
        <v>327</v>
      </c>
      <c r="B48" s="79">
        <v>327</v>
      </c>
      <c r="C48" s="3">
        <v>1</v>
      </c>
      <c r="E48" s="3">
        <v>150300.5</v>
      </c>
      <c r="F48" s="3">
        <v>125148.133684163</v>
      </c>
      <c r="G48" s="3">
        <v>104774.37</v>
      </c>
      <c r="H48" s="3">
        <v>64779.4</v>
      </c>
      <c r="I48" s="3">
        <v>0</v>
      </c>
      <c r="J48" s="3">
        <v>0</v>
      </c>
      <c r="K48" s="3">
        <v>46287.83</v>
      </c>
      <c r="L48" s="3">
        <v>26391.26</v>
      </c>
      <c r="M48" s="3">
        <v>26391.26</v>
      </c>
      <c r="N48" s="3">
        <v>-45331.360000000001</v>
      </c>
      <c r="O48" s="3">
        <v>363525065.39999998</v>
      </c>
      <c r="P48" s="3">
        <v>430754299.79112601</v>
      </c>
      <c r="Q48" s="3">
        <v>188705526.64770001</v>
      </c>
      <c r="R48" s="3">
        <v>106297522.30679999</v>
      </c>
      <c r="S48" s="3" t="s">
        <v>366</v>
      </c>
      <c r="T48" s="3" t="s">
        <v>139</v>
      </c>
      <c r="U48" s="3">
        <v>10551878</v>
      </c>
      <c r="V48" s="3">
        <v>1789637.06652786</v>
      </c>
      <c r="W48" s="23" t="s">
        <v>20</v>
      </c>
      <c r="X48" s="23">
        <v>0</v>
      </c>
      <c r="Y48" s="50">
        <v>0</v>
      </c>
      <c r="Z48" s="50">
        <v>0</v>
      </c>
      <c r="AA48" s="50">
        <v>0</v>
      </c>
      <c r="AB48" s="50" t="s">
        <v>294</v>
      </c>
      <c r="AC48" s="23">
        <v>400997.79712436802</v>
      </c>
      <c r="AD48" s="3">
        <v>342222.42971912102</v>
      </c>
      <c r="AE48" s="3">
        <v>292616.10211512801</v>
      </c>
      <c r="AF48" s="10">
        <v>0</v>
      </c>
      <c r="AK48" s="10">
        <v>1</v>
      </c>
      <c r="AL48" s="10">
        <v>1</v>
      </c>
      <c r="AM48" s="10">
        <v>1</v>
      </c>
      <c r="AN48" s="10">
        <v>1.5</v>
      </c>
      <c r="AO48" s="10">
        <v>0</v>
      </c>
      <c r="AP48" s="10">
        <v>0</v>
      </c>
      <c r="AQ48" s="10">
        <v>1</v>
      </c>
      <c r="AR48" s="10">
        <v>1</v>
      </c>
      <c r="AS48" s="10">
        <v>0</v>
      </c>
      <c r="AT48" s="10">
        <v>1</v>
      </c>
      <c r="AU48" s="10">
        <v>1.5</v>
      </c>
      <c r="AV48" s="10">
        <v>1.5</v>
      </c>
      <c r="AW48" s="10">
        <v>1.5</v>
      </c>
      <c r="AX48" s="10">
        <v>1.5</v>
      </c>
      <c r="AY48" s="10">
        <v>0</v>
      </c>
      <c r="AZ48" s="10">
        <v>0</v>
      </c>
      <c r="BA48" s="10">
        <v>1</v>
      </c>
      <c r="BB48" s="79">
        <v>0</v>
      </c>
      <c r="BC48" s="79">
        <v>0</v>
      </c>
      <c r="BD48" s="79">
        <v>0</v>
      </c>
      <c r="BE48" s="79">
        <v>0</v>
      </c>
      <c r="BF48" s="79">
        <v>0</v>
      </c>
      <c r="BG48" s="79">
        <v>0</v>
      </c>
      <c r="BH48" s="79">
        <v>0</v>
      </c>
      <c r="BI48" s="79">
        <v>1.5</v>
      </c>
      <c r="BJ48" s="79">
        <v>1.5</v>
      </c>
      <c r="BK48" s="5">
        <v>1.5</v>
      </c>
      <c r="BL48" s="12">
        <v>0</v>
      </c>
      <c r="BM48" s="5">
        <v>19</v>
      </c>
      <c r="BN48" s="3">
        <v>0.50666666030883789</v>
      </c>
      <c r="BO48" s="3">
        <v>0</v>
      </c>
      <c r="BP48" s="3">
        <v>0</v>
      </c>
      <c r="BQ48" s="3">
        <v>0</v>
      </c>
    </row>
    <row r="49" spans="1:69" x14ac:dyDescent="0.2">
      <c r="A49" s="3">
        <v>328</v>
      </c>
      <c r="B49" s="79">
        <v>328</v>
      </c>
      <c r="C49" s="3">
        <v>4</v>
      </c>
      <c r="E49" s="3">
        <v>150300.5</v>
      </c>
      <c r="F49" s="3">
        <v>125148.133684163</v>
      </c>
      <c r="G49" s="3">
        <v>104774.37</v>
      </c>
      <c r="H49" s="3">
        <v>64779.4</v>
      </c>
      <c r="I49" s="3">
        <v>2018</v>
      </c>
      <c r="J49" s="3">
        <v>2020</v>
      </c>
      <c r="K49" s="3">
        <v>46287.83</v>
      </c>
      <c r="L49" s="3">
        <v>26391.26</v>
      </c>
      <c r="M49" s="3">
        <v>-3667.6100000000301</v>
      </c>
      <c r="N49" s="3">
        <v>-45331.360000000001</v>
      </c>
      <c r="O49" s="3">
        <v>363525065.39999998</v>
      </c>
      <c r="P49" s="3">
        <v>430754299.79112601</v>
      </c>
      <c r="Q49" s="19">
        <v>188705526.64770001</v>
      </c>
      <c r="R49" s="3">
        <v>106297522.30679999</v>
      </c>
      <c r="S49" s="3" t="s">
        <v>368</v>
      </c>
      <c r="T49" s="3" t="s">
        <v>56</v>
      </c>
      <c r="U49" s="3">
        <v>10551500</v>
      </c>
      <c r="V49" s="3">
        <v>229695.663971078</v>
      </c>
      <c r="W49" s="3" t="s">
        <v>21</v>
      </c>
      <c r="X49" s="23">
        <v>4.9276509161013102E-2</v>
      </c>
      <c r="Y49" s="23">
        <v>7.9804807973568703E-2</v>
      </c>
      <c r="Z49" s="23">
        <v>6.4268924425847596</v>
      </c>
      <c r="AA49" s="23">
        <v>374928.30570585199</v>
      </c>
      <c r="AB49" s="23" t="s">
        <v>289</v>
      </c>
      <c r="AC49" s="50">
        <v>400983.432177454</v>
      </c>
      <c r="AD49" s="23">
        <v>342210.17028260801</v>
      </c>
      <c r="AE49" s="23">
        <v>292605.61972644</v>
      </c>
      <c r="AF49" s="3">
        <v>31</v>
      </c>
      <c r="AK49" s="10">
        <v>1</v>
      </c>
      <c r="AL49" s="10">
        <v>1</v>
      </c>
      <c r="AM49" s="10">
        <v>1</v>
      </c>
      <c r="AN49" s="10">
        <v>1.5</v>
      </c>
      <c r="AO49" s="10">
        <v>1.5</v>
      </c>
      <c r="AP49" s="10">
        <v>1.5</v>
      </c>
      <c r="AQ49" s="10">
        <v>1</v>
      </c>
      <c r="AR49" s="10">
        <v>1</v>
      </c>
      <c r="AS49" s="10">
        <v>1</v>
      </c>
      <c r="AT49" s="10">
        <v>1</v>
      </c>
      <c r="AU49" s="10">
        <v>1.5</v>
      </c>
      <c r="AV49" s="10">
        <v>1.5</v>
      </c>
      <c r="AW49" s="10">
        <v>1.5</v>
      </c>
      <c r="AX49" s="10">
        <v>1.5</v>
      </c>
      <c r="AY49" s="10">
        <v>2</v>
      </c>
      <c r="AZ49" s="10">
        <v>1</v>
      </c>
      <c r="BA49" s="10">
        <v>1</v>
      </c>
      <c r="BB49" s="10">
        <v>2</v>
      </c>
      <c r="BC49" s="10">
        <v>1</v>
      </c>
      <c r="BD49" s="10">
        <v>0</v>
      </c>
      <c r="BE49" s="10">
        <v>1.5</v>
      </c>
      <c r="BF49" s="10">
        <v>1.5</v>
      </c>
      <c r="BG49" s="10">
        <v>0</v>
      </c>
      <c r="BH49" s="10">
        <v>0</v>
      </c>
      <c r="BI49" s="10">
        <v>1.5</v>
      </c>
      <c r="BJ49" s="10">
        <v>1.5</v>
      </c>
      <c r="BK49" s="79">
        <v>1.5</v>
      </c>
      <c r="BL49" s="12">
        <v>1.5</v>
      </c>
      <c r="BM49" s="3">
        <v>33.5</v>
      </c>
      <c r="BN49" s="3">
        <v>0.8933333158493042</v>
      </c>
      <c r="BO49" s="3">
        <v>0</v>
      </c>
      <c r="BP49" s="3">
        <v>0</v>
      </c>
      <c r="BQ49" s="3">
        <v>0</v>
      </c>
    </row>
    <row r="50" spans="1:69" x14ac:dyDescent="0.2">
      <c r="A50" s="5">
        <v>329</v>
      </c>
      <c r="B50" s="11">
        <v>329</v>
      </c>
      <c r="C50" s="5">
        <v>4</v>
      </c>
      <c r="D50" s="5"/>
      <c r="E50" s="22">
        <v>150.30099999999999</v>
      </c>
      <c r="F50" s="22">
        <v>124.709</v>
      </c>
      <c r="G50" s="22">
        <v>104.774</v>
      </c>
      <c r="H50" s="5">
        <v>64.778999999999996</v>
      </c>
      <c r="I50" s="5">
        <v>2015</v>
      </c>
      <c r="J50" s="5">
        <v>2016</v>
      </c>
      <c r="K50" s="5">
        <v>46.283999999999999</v>
      </c>
      <c r="L50" s="5">
        <v>26.385999999999999</v>
      </c>
      <c r="M50" s="5">
        <v>-3.673</v>
      </c>
      <c r="N50" s="5">
        <v>-45.338000000000001</v>
      </c>
      <c r="O50" s="5">
        <v>0.9</v>
      </c>
      <c r="P50" s="5">
        <v>0.95</v>
      </c>
      <c r="Q50" s="22">
        <v>0.94</v>
      </c>
      <c r="R50" s="22">
        <v>0.97</v>
      </c>
      <c r="S50" s="15" t="s">
        <v>369</v>
      </c>
      <c r="T50" s="22" t="s">
        <v>294</v>
      </c>
      <c r="U50" s="22">
        <v>10551846</v>
      </c>
      <c r="V50" s="22">
        <v>229.703</v>
      </c>
      <c r="W50" s="5" t="s">
        <v>21</v>
      </c>
      <c r="X50" s="79">
        <v>4.9299999999999997E-2</v>
      </c>
      <c r="Y50" s="3">
        <v>0.01</v>
      </c>
      <c r="Z50" s="3">
        <v>5.16</v>
      </c>
      <c r="AA50" s="3">
        <v>8.8339999999999996</v>
      </c>
      <c r="AB50" s="3" t="s">
        <v>289</v>
      </c>
      <c r="AC50" s="3">
        <v>12133020</v>
      </c>
      <c r="AD50" s="3">
        <v>13237123</v>
      </c>
      <c r="AE50" s="3">
        <v>14218936</v>
      </c>
      <c r="AF50" s="3">
        <v>31</v>
      </c>
      <c r="AG50" s="3"/>
      <c r="AK50" s="10">
        <v>0</v>
      </c>
      <c r="AL50" s="10">
        <v>0</v>
      </c>
      <c r="AM50" s="10">
        <v>0</v>
      </c>
      <c r="AN50" s="10">
        <v>0</v>
      </c>
      <c r="AO50" s="92">
        <v>0</v>
      </c>
      <c r="AP50" s="10">
        <v>0</v>
      </c>
      <c r="AQ50" s="92">
        <v>0</v>
      </c>
      <c r="AR50" s="10">
        <v>0</v>
      </c>
      <c r="AS50" s="10">
        <v>0</v>
      </c>
      <c r="AT50" s="10">
        <v>0</v>
      </c>
      <c r="AU50" s="10">
        <v>0</v>
      </c>
      <c r="AV50" s="10">
        <v>0</v>
      </c>
      <c r="AW50" s="10">
        <v>0</v>
      </c>
      <c r="AX50" s="5">
        <v>0</v>
      </c>
      <c r="AY50" s="5">
        <v>0</v>
      </c>
      <c r="AZ50" s="5">
        <v>0</v>
      </c>
      <c r="BA50" s="5">
        <v>1</v>
      </c>
      <c r="BB50" s="5">
        <v>0</v>
      </c>
      <c r="BC50" s="5">
        <v>1</v>
      </c>
      <c r="BD50" s="5">
        <v>0</v>
      </c>
      <c r="BE50" s="5">
        <v>0</v>
      </c>
      <c r="BF50" s="5">
        <v>0</v>
      </c>
      <c r="BG50" s="5">
        <v>0</v>
      </c>
      <c r="BH50" s="5">
        <v>0</v>
      </c>
      <c r="BI50" s="5">
        <v>0</v>
      </c>
      <c r="BJ50" s="5">
        <v>0</v>
      </c>
      <c r="BK50" s="5">
        <v>0</v>
      </c>
      <c r="BL50" s="5">
        <v>1.5</v>
      </c>
      <c r="BM50" s="5">
        <v>3.5</v>
      </c>
      <c r="BN50" s="3">
        <v>9.3333333730697632E-2</v>
      </c>
      <c r="BO50" s="3">
        <v>0</v>
      </c>
      <c r="BP50" s="3">
        <v>0</v>
      </c>
      <c r="BQ50" s="3">
        <v>0</v>
      </c>
    </row>
    <row r="51" spans="1:69" x14ac:dyDescent="0.2">
      <c r="A51" s="3">
        <v>330</v>
      </c>
      <c r="B51" s="79">
        <v>330</v>
      </c>
      <c r="C51" s="3">
        <v>4</v>
      </c>
      <c r="E51" s="3">
        <v>150300.5</v>
      </c>
      <c r="F51" s="3">
        <v>125148.133684163</v>
      </c>
      <c r="G51" s="3">
        <v>104774.37</v>
      </c>
      <c r="H51" s="3">
        <v>64779.4</v>
      </c>
      <c r="I51" s="3">
        <v>2018</v>
      </c>
      <c r="J51" s="3">
        <v>2020</v>
      </c>
      <c r="K51" s="3">
        <v>46283.8</v>
      </c>
      <c r="L51" s="3">
        <v>26386.39</v>
      </c>
      <c r="M51" s="3">
        <v>-3673.4000000000401</v>
      </c>
      <c r="N51" s="3">
        <v>-45338.15</v>
      </c>
      <c r="O51" s="3">
        <v>363525065.39999998</v>
      </c>
      <c r="P51" s="3">
        <v>430754299.79112601</v>
      </c>
      <c r="Q51" s="3">
        <v>188705526.64770001</v>
      </c>
      <c r="R51" s="3">
        <v>106297558.93889999</v>
      </c>
      <c r="S51" s="3" t="s">
        <v>371</v>
      </c>
      <c r="T51" s="3" t="s">
        <v>294</v>
      </c>
      <c r="U51" s="3">
        <v>10550943.199999999</v>
      </c>
      <c r="V51" s="3">
        <v>9654760.0589712597</v>
      </c>
      <c r="W51" s="23" t="s">
        <v>21</v>
      </c>
      <c r="X51" s="23">
        <v>0.71</v>
      </c>
      <c r="Y51" s="50">
        <v>0</v>
      </c>
      <c r="Z51" s="50">
        <v>0</v>
      </c>
      <c r="AA51" s="50">
        <v>0</v>
      </c>
      <c r="AB51" s="50" t="s">
        <v>289</v>
      </c>
      <c r="AC51" s="23">
        <v>0</v>
      </c>
      <c r="AD51" s="3">
        <v>0</v>
      </c>
      <c r="AE51" s="3">
        <v>0</v>
      </c>
      <c r="AF51" s="10">
        <v>16</v>
      </c>
      <c r="AK51" s="10">
        <v>1</v>
      </c>
      <c r="AL51" s="10">
        <v>1</v>
      </c>
      <c r="AM51" s="10">
        <v>1</v>
      </c>
      <c r="AN51" s="10">
        <v>1.5</v>
      </c>
      <c r="AO51" s="10">
        <v>1.5</v>
      </c>
      <c r="AP51" s="10">
        <v>1.5</v>
      </c>
      <c r="AQ51" s="10">
        <v>1</v>
      </c>
      <c r="AR51" s="10">
        <v>1</v>
      </c>
      <c r="AS51" s="10">
        <v>1</v>
      </c>
      <c r="AT51" s="10">
        <v>1</v>
      </c>
      <c r="AU51" s="10">
        <v>1.5</v>
      </c>
      <c r="AV51" s="10">
        <v>1.5</v>
      </c>
      <c r="AW51" s="10">
        <v>1.5</v>
      </c>
      <c r="AX51" s="10">
        <v>0</v>
      </c>
      <c r="AY51" s="10">
        <v>1</v>
      </c>
      <c r="AZ51" s="10">
        <v>0</v>
      </c>
      <c r="BA51" s="10">
        <v>1</v>
      </c>
      <c r="BB51" s="79">
        <v>0</v>
      </c>
      <c r="BC51" s="79">
        <v>1</v>
      </c>
      <c r="BD51" s="79">
        <v>0</v>
      </c>
      <c r="BE51" s="79">
        <v>0</v>
      </c>
      <c r="BF51" s="79">
        <v>0</v>
      </c>
      <c r="BG51" s="79">
        <v>0</v>
      </c>
      <c r="BH51" s="79">
        <v>0</v>
      </c>
      <c r="BI51" s="79">
        <v>0</v>
      </c>
      <c r="BJ51" s="79">
        <v>0</v>
      </c>
      <c r="BK51" s="5">
        <v>0</v>
      </c>
      <c r="BL51" s="12">
        <v>0</v>
      </c>
      <c r="BM51" s="5">
        <v>19</v>
      </c>
      <c r="BN51" s="3">
        <v>0.50666666030883789</v>
      </c>
      <c r="BO51" s="3">
        <v>0</v>
      </c>
      <c r="BP51" s="3">
        <v>0</v>
      </c>
      <c r="BQ51" s="3">
        <v>0</v>
      </c>
    </row>
    <row r="52" spans="1:69" x14ac:dyDescent="0.2">
      <c r="A52" s="3">
        <v>331</v>
      </c>
      <c r="B52" s="79">
        <v>331</v>
      </c>
      <c r="C52" s="3">
        <v>1</v>
      </c>
      <c r="E52" s="3">
        <v>150300.5</v>
      </c>
      <c r="F52" s="3">
        <v>125148.133684163</v>
      </c>
      <c r="G52" s="3">
        <v>104774.37</v>
      </c>
      <c r="H52" s="3">
        <v>64779.4</v>
      </c>
      <c r="I52" s="3">
        <v>2018</v>
      </c>
      <c r="J52" s="3">
        <v>2020</v>
      </c>
      <c r="K52" s="3">
        <v>46287.83</v>
      </c>
      <c r="L52" s="3">
        <v>26391.26</v>
      </c>
      <c r="M52" s="3">
        <v>-3667.6100000000301</v>
      </c>
      <c r="N52" s="3">
        <v>-45331.360000000001</v>
      </c>
      <c r="O52" s="3">
        <v>363525065.39999998</v>
      </c>
      <c r="P52" s="3">
        <v>430754299.79112601</v>
      </c>
      <c r="Q52" s="23">
        <v>188705526.64770001</v>
      </c>
      <c r="R52" s="23">
        <v>106297522.30679999</v>
      </c>
      <c r="S52" s="50" t="s">
        <v>373</v>
      </c>
      <c r="T52" s="23" t="s">
        <v>55</v>
      </c>
      <c r="U52" s="23">
        <v>8000000</v>
      </c>
      <c r="V52" s="23">
        <v>9655499.0624969006</v>
      </c>
      <c r="W52" s="3" t="s">
        <v>21</v>
      </c>
      <c r="X52" s="79">
        <v>71</v>
      </c>
      <c r="Y52" s="3">
        <v>0</v>
      </c>
      <c r="Z52" s="3">
        <v>0</v>
      </c>
      <c r="AA52" s="3">
        <v>0</v>
      </c>
      <c r="AB52" s="3" t="s">
        <v>55</v>
      </c>
      <c r="AC52" s="3">
        <v>0</v>
      </c>
      <c r="AD52" s="3">
        <v>0</v>
      </c>
      <c r="AE52" s="3">
        <v>0</v>
      </c>
      <c r="AF52" s="3">
        <v>0</v>
      </c>
      <c r="AG52" s="3"/>
      <c r="AK52" s="10">
        <v>1</v>
      </c>
      <c r="AL52" s="10">
        <v>1</v>
      </c>
      <c r="AM52" s="10">
        <v>1</v>
      </c>
      <c r="AN52" s="10">
        <v>1.5</v>
      </c>
      <c r="AO52" s="92">
        <v>1.5</v>
      </c>
      <c r="AP52" s="10">
        <v>1.5</v>
      </c>
      <c r="AQ52" s="92">
        <v>1</v>
      </c>
      <c r="AR52" s="10">
        <v>1</v>
      </c>
      <c r="AS52" s="10">
        <v>1</v>
      </c>
      <c r="AT52" s="10">
        <v>1</v>
      </c>
      <c r="AU52" s="10">
        <v>1.5</v>
      </c>
      <c r="AV52" s="10">
        <v>1.5</v>
      </c>
      <c r="AW52" s="10">
        <v>1.5</v>
      </c>
      <c r="AX52" s="5">
        <v>1.5</v>
      </c>
      <c r="AY52" s="5">
        <v>1</v>
      </c>
      <c r="AZ52" s="5">
        <v>0</v>
      </c>
      <c r="BA52" s="5">
        <v>0</v>
      </c>
      <c r="BB52" s="5">
        <v>0</v>
      </c>
      <c r="BC52" s="5">
        <v>1</v>
      </c>
      <c r="BD52" s="5">
        <v>0</v>
      </c>
      <c r="BE52" s="5">
        <v>0</v>
      </c>
      <c r="BF52" s="5">
        <v>0</v>
      </c>
      <c r="BG52" s="5">
        <v>0</v>
      </c>
      <c r="BH52" s="5">
        <v>0</v>
      </c>
      <c r="BI52" s="5">
        <v>0</v>
      </c>
      <c r="BJ52" s="5">
        <v>0</v>
      </c>
      <c r="BK52" s="5">
        <v>0</v>
      </c>
      <c r="BL52" s="5">
        <v>0</v>
      </c>
      <c r="BM52" s="5">
        <v>19.5</v>
      </c>
      <c r="BN52" s="5">
        <v>0.51999998092651367</v>
      </c>
      <c r="BO52" s="3">
        <v>0</v>
      </c>
      <c r="BP52" s="3">
        <v>0</v>
      </c>
      <c r="BQ52" s="3">
        <v>0</v>
      </c>
    </row>
    <row r="53" spans="1:69" x14ac:dyDescent="0.2">
      <c r="A53" s="3">
        <v>332</v>
      </c>
      <c r="B53" s="79">
        <v>332</v>
      </c>
      <c r="C53" s="3">
        <v>2</v>
      </c>
      <c r="E53" s="23">
        <v>150300.5</v>
      </c>
      <c r="F53" s="23">
        <v>125148.133684163</v>
      </c>
      <c r="G53" s="23">
        <v>104773.65</v>
      </c>
      <c r="H53" s="3">
        <v>64779.4</v>
      </c>
      <c r="I53" s="19">
        <v>2018</v>
      </c>
      <c r="J53" s="3">
        <v>2020</v>
      </c>
      <c r="K53" s="3">
        <v>46287.83</v>
      </c>
      <c r="L53" s="3">
        <v>26391.26</v>
      </c>
      <c r="M53" s="3">
        <v>-3667.6100000000301</v>
      </c>
      <c r="N53" s="3">
        <v>-45331.360000000001</v>
      </c>
      <c r="O53" s="3">
        <v>363525065.39999998</v>
      </c>
      <c r="P53" s="19">
        <v>430754299.79112601</v>
      </c>
      <c r="Q53" s="23">
        <v>188705527.7493</v>
      </c>
      <c r="R53" s="23">
        <v>106297522.30679999</v>
      </c>
      <c r="S53" s="50" t="s">
        <v>375</v>
      </c>
      <c r="T53" s="23" t="s">
        <v>56</v>
      </c>
      <c r="U53" s="23">
        <v>10551746</v>
      </c>
      <c r="V53" s="23">
        <v>229701.01914648901</v>
      </c>
      <c r="W53" s="3" t="s">
        <v>22</v>
      </c>
      <c r="X53" s="79">
        <v>-2.9</v>
      </c>
      <c r="Y53" s="3">
        <v>7.9810009594194195E-2</v>
      </c>
      <c r="Z53" s="3">
        <v>6.4269525263712204</v>
      </c>
      <c r="AA53" s="3">
        <v>374986.616243981</v>
      </c>
      <c r="AB53" s="3" t="s">
        <v>294</v>
      </c>
      <c r="AC53" s="3">
        <v>400992.78079369903</v>
      </c>
      <c r="AD53" s="3">
        <v>342218.14864605397</v>
      </c>
      <c r="AE53" s="3">
        <v>292612.44159844302</v>
      </c>
      <c r="AF53" s="3">
        <v>31</v>
      </c>
      <c r="AG53" s="3"/>
      <c r="AK53" s="10">
        <v>1</v>
      </c>
      <c r="AL53" s="10">
        <v>1</v>
      </c>
      <c r="AM53" s="10">
        <v>1</v>
      </c>
      <c r="AN53" s="10">
        <v>1.5</v>
      </c>
      <c r="AO53" s="92">
        <v>1.5</v>
      </c>
      <c r="AP53" s="10">
        <v>1.5</v>
      </c>
      <c r="AQ53" s="92">
        <v>1</v>
      </c>
      <c r="AR53" s="10">
        <v>1</v>
      </c>
      <c r="AS53" s="10">
        <v>1</v>
      </c>
      <c r="AT53" s="10">
        <v>1</v>
      </c>
      <c r="AU53" s="10">
        <v>1.5</v>
      </c>
      <c r="AV53" s="10">
        <v>1.5</v>
      </c>
      <c r="AW53" s="10">
        <v>1.5</v>
      </c>
      <c r="AX53" s="5">
        <v>1.5</v>
      </c>
      <c r="AY53" s="5">
        <v>1</v>
      </c>
      <c r="AZ53" s="5">
        <v>1</v>
      </c>
      <c r="BA53" s="5">
        <v>1</v>
      </c>
      <c r="BB53" s="5">
        <v>2</v>
      </c>
      <c r="BC53" s="5">
        <v>0</v>
      </c>
      <c r="BD53" s="5">
        <v>0</v>
      </c>
      <c r="BE53" s="5">
        <v>1.5</v>
      </c>
      <c r="BF53" s="5">
        <v>1.5</v>
      </c>
      <c r="BG53" s="5">
        <v>0</v>
      </c>
      <c r="BH53" s="5">
        <v>0</v>
      </c>
      <c r="BI53" s="5">
        <v>1.5</v>
      </c>
      <c r="BJ53" s="5">
        <v>1.5</v>
      </c>
      <c r="BK53" s="5">
        <v>1.5</v>
      </c>
      <c r="BL53" s="5">
        <v>1.5</v>
      </c>
      <c r="BM53" s="5">
        <v>31.5</v>
      </c>
      <c r="BN53" s="3">
        <v>0.8399999737739563</v>
      </c>
      <c r="BO53" s="3">
        <v>0</v>
      </c>
      <c r="BP53" s="3">
        <v>0</v>
      </c>
      <c r="BQ53" s="3">
        <v>0</v>
      </c>
    </row>
    <row r="54" spans="1:69" x14ac:dyDescent="0.2">
      <c r="A54" s="3">
        <v>333</v>
      </c>
      <c r="B54" s="79">
        <v>333</v>
      </c>
      <c r="C54" s="3">
        <v>2</v>
      </c>
      <c r="E54" s="3">
        <v>150300.5</v>
      </c>
      <c r="F54" s="3">
        <v>125148.133684163</v>
      </c>
      <c r="G54" s="3">
        <v>104774.37</v>
      </c>
      <c r="H54" s="3">
        <v>64779.4</v>
      </c>
      <c r="I54" s="3">
        <v>2018</v>
      </c>
      <c r="J54" s="3">
        <v>2020</v>
      </c>
      <c r="K54" s="3">
        <v>46287.83</v>
      </c>
      <c r="L54" s="3">
        <v>26391.26</v>
      </c>
      <c r="M54" s="3">
        <v>-3667.6100000000301</v>
      </c>
      <c r="N54" s="3">
        <v>-45331.360000000001</v>
      </c>
      <c r="O54" s="3">
        <v>363525065.39999998</v>
      </c>
      <c r="P54" s="3">
        <v>430754299.79112601</v>
      </c>
      <c r="Q54" s="3">
        <v>188705526.64770001</v>
      </c>
      <c r="R54" s="3">
        <v>106297522.30679999</v>
      </c>
      <c r="S54" s="3" t="s">
        <v>376</v>
      </c>
      <c r="T54" s="3" t="s">
        <v>56</v>
      </c>
      <c r="U54" s="3">
        <v>10550605.6</v>
      </c>
      <c r="V54" s="3">
        <v>229676.19377235099</v>
      </c>
      <c r="W54" s="3" t="s">
        <v>21</v>
      </c>
      <c r="X54" s="23">
        <v>4.9276509161013102E-2</v>
      </c>
      <c r="Y54" s="23">
        <v>7.9805800948934899E-2</v>
      </c>
      <c r="Z54" s="23">
        <v>6.4267932854335896</v>
      </c>
      <c r="AA54" s="23">
        <v>374912.85171772301</v>
      </c>
      <c r="AB54" s="23" t="s">
        <v>289</v>
      </c>
      <c r="AC54" s="50">
        <v>400949.44273692498</v>
      </c>
      <c r="AD54" s="23">
        <v>342181.16276933602</v>
      </c>
      <c r="AE54" s="23">
        <v>292580.81695277803</v>
      </c>
      <c r="AF54" s="3">
        <v>31</v>
      </c>
      <c r="AK54" s="10">
        <v>1</v>
      </c>
      <c r="AL54" s="10">
        <v>1</v>
      </c>
      <c r="AM54" s="10">
        <v>1</v>
      </c>
      <c r="AN54" s="10">
        <v>1.5</v>
      </c>
      <c r="AO54" s="10">
        <v>1.5</v>
      </c>
      <c r="AP54" s="10">
        <v>1.5</v>
      </c>
      <c r="AQ54" s="10">
        <v>1</v>
      </c>
      <c r="AR54" s="10">
        <v>1</v>
      </c>
      <c r="AS54" s="10">
        <v>1</v>
      </c>
      <c r="AT54" s="10">
        <v>1</v>
      </c>
      <c r="AU54" s="10">
        <v>1.5</v>
      </c>
      <c r="AV54" s="10">
        <v>1.5</v>
      </c>
      <c r="AW54" s="10">
        <v>1.5</v>
      </c>
      <c r="AX54" s="10">
        <v>1.5</v>
      </c>
      <c r="AY54" s="10">
        <v>0</v>
      </c>
      <c r="AZ54" s="10">
        <v>1</v>
      </c>
      <c r="BA54" s="10">
        <v>1</v>
      </c>
      <c r="BB54" s="10">
        <v>2</v>
      </c>
      <c r="BC54" s="10">
        <v>1</v>
      </c>
      <c r="BD54" s="10">
        <v>0</v>
      </c>
      <c r="BE54" s="10">
        <v>1.5</v>
      </c>
      <c r="BF54" s="10">
        <v>1.5</v>
      </c>
      <c r="BG54" s="10">
        <v>1.5</v>
      </c>
      <c r="BH54" s="10">
        <v>0</v>
      </c>
      <c r="BI54" s="10">
        <v>1.5</v>
      </c>
      <c r="BJ54" s="10">
        <v>1.5</v>
      </c>
      <c r="BK54" s="79">
        <v>1.5</v>
      </c>
      <c r="BL54" s="3">
        <v>1.5</v>
      </c>
      <c r="BM54" s="3">
        <v>33</v>
      </c>
      <c r="BN54" s="3">
        <v>0.87999999523162842</v>
      </c>
      <c r="BO54" s="3">
        <v>0</v>
      </c>
      <c r="BP54" s="3">
        <v>0</v>
      </c>
      <c r="BQ54" s="3">
        <v>0</v>
      </c>
    </row>
    <row r="55" spans="1:69" x14ac:dyDescent="0.2">
      <c r="A55" s="5">
        <v>334</v>
      </c>
      <c r="B55" s="234">
        <v>334</v>
      </c>
      <c r="C55" s="5">
        <v>3</v>
      </c>
      <c r="D55" s="5"/>
      <c r="E55" s="21">
        <v>150300.5</v>
      </c>
      <c r="F55" s="21">
        <v>125148.133684163</v>
      </c>
      <c r="G55" s="22">
        <v>0</v>
      </c>
      <c r="H55" s="5">
        <v>0</v>
      </c>
      <c r="I55" s="8">
        <v>0</v>
      </c>
      <c r="J55" s="5">
        <v>0</v>
      </c>
      <c r="K55" s="5">
        <v>0</v>
      </c>
      <c r="L55" s="5">
        <v>0</v>
      </c>
      <c r="M55" s="5">
        <v>0</v>
      </c>
      <c r="N55" s="5">
        <v>0</v>
      </c>
      <c r="O55" s="5">
        <v>0</v>
      </c>
      <c r="P55" s="8">
        <v>0</v>
      </c>
      <c r="Q55" s="21">
        <v>0</v>
      </c>
      <c r="R55" s="111">
        <v>0</v>
      </c>
      <c r="S55" s="49">
        <v>0</v>
      </c>
      <c r="T55" s="87" t="s">
        <v>55</v>
      </c>
      <c r="U55" s="87">
        <v>0</v>
      </c>
      <c r="V55" s="87">
        <v>0</v>
      </c>
      <c r="W55" s="5" t="s">
        <v>21</v>
      </c>
      <c r="X55" s="5">
        <v>0</v>
      </c>
      <c r="Y55" s="5">
        <v>0</v>
      </c>
      <c r="Z55" s="5">
        <v>0</v>
      </c>
      <c r="AA55" s="5">
        <v>0</v>
      </c>
      <c r="AB55" s="5" t="s">
        <v>139</v>
      </c>
      <c r="AC55" s="5">
        <v>0</v>
      </c>
      <c r="AD55" s="5">
        <v>0</v>
      </c>
      <c r="AE55" s="5">
        <v>0</v>
      </c>
      <c r="AF55" s="5">
        <v>0</v>
      </c>
      <c r="AG55" s="5"/>
      <c r="AH55" s="16"/>
      <c r="AI55" s="16"/>
      <c r="AJ55" s="16"/>
      <c r="AK55" s="16">
        <v>1</v>
      </c>
      <c r="AL55" s="16">
        <v>1</v>
      </c>
      <c r="AM55" s="16">
        <v>0</v>
      </c>
      <c r="AN55" s="16">
        <v>0</v>
      </c>
      <c r="AO55" s="90">
        <v>0</v>
      </c>
      <c r="AP55" s="16">
        <v>0</v>
      </c>
      <c r="AQ55" s="90">
        <v>0</v>
      </c>
      <c r="AR55" s="16">
        <v>0</v>
      </c>
      <c r="AS55" s="16">
        <v>0</v>
      </c>
      <c r="AT55" s="16">
        <v>0</v>
      </c>
      <c r="AU55" s="16">
        <v>0</v>
      </c>
      <c r="AV55" s="16">
        <v>0</v>
      </c>
      <c r="AW55" s="16">
        <v>0</v>
      </c>
      <c r="AX55" s="5">
        <v>0</v>
      </c>
      <c r="AY55" s="5">
        <v>0</v>
      </c>
      <c r="AZ55" s="5">
        <v>0</v>
      </c>
      <c r="BA55" s="5">
        <v>0</v>
      </c>
      <c r="BB55" s="5">
        <v>0</v>
      </c>
      <c r="BC55" s="5">
        <v>1</v>
      </c>
      <c r="BD55" s="5">
        <v>0</v>
      </c>
      <c r="BE55" s="5">
        <v>0</v>
      </c>
      <c r="BF55" s="5">
        <v>0</v>
      </c>
      <c r="BG55" s="5">
        <v>0</v>
      </c>
      <c r="BH55" s="5">
        <v>1</v>
      </c>
      <c r="BI55" s="5">
        <v>0</v>
      </c>
      <c r="BJ55" s="5">
        <v>0</v>
      </c>
      <c r="BK55" s="5">
        <v>0</v>
      </c>
      <c r="BL55" s="5">
        <v>0</v>
      </c>
      <c r="BM55" s="5">
        <v>4</v>
      </c>
      <c r="BN55" s="3">
        <v>0.10666666924953461</v>
      </c>
      <c r="BO55" s="3">
        <v>0</v>
      </c>
      <c r="BP55" s="3">
        <v>0</v>
      </c>
      <c r="BQ55" s="3">
        <v>0</v>
      </c>
    </row>
    <row r="56" spans="1:69" x14ac:dyDescent="0.2">
      <c r="A56" s="3">
        <v>335</v>
      </c>
      <c r="B56" s="79">
        <v>335</v>
      </c>
      <c r="C56" s="3">
        <v>4</v>
      </c>
      <c r="E56" s="3">
        <v>157733.6</v>
      </c>
      <c r="F56" s="3">
        <v>133699.77899863201</v>
      </c>
      <c r="G56" s="3">
        <v>-269303.28999999998</v>
      </c>
      <c r="H56" s="3">
        <v>68491.600000000006</v>
      </c>
      <c r="I56" s="3">
        <v>2018</v>
      </c>
      <c r="J56" s="3">
        <v>2020</v>
      </c>
      <c r="K56" s="3">
        <v>26386.39</v>
      </c>
      <c r="L56" s="3">
        <v>-3673.4000000000401</v>
      </c>
      <c r="M56" s="3">
        <v>-45338.15</v>
      </c>
      <c r="N56" s="19">
        <v>-100050.44</v>
      </c>
      <c r="O56" s="19">
        <v>363525065.39999998</v>
      </c>
      <c r="P56" s="3">
        <v>428009464.06866002</v>
      </c>
      <c r="Q56" s="3">
        <v>188705527.7493</v>
      </c>
      <c r="R56" s="3">
        <v>106297558.93889999</v>
      </c>
      <c r="S56" s="3" t="s">
        <v>377</v>
      </c>
      <c r="T56" s="3" t="s">
        <v>139</v>
      </c>
      <c r="U56" s="3">
        <v>10550183.199999999</v>
      </c>
      <c r="V56" s="3">
        <v>229666.99854433199</v>
      </c>
      <c r="W56" s="23" t="s">
        <v>21</v>
      </c>
      <c r="X56" s="23">
        <v>0.6</v>
      </c>
      <c r="Y56" s="50">
        <v>0</v>
      </c>
      <c r="Z56" s="50">
        <v>0</v>
      </c>
      <c r="AA56" s="50">
        <v>10550183.199999999</v>
      </c>
      <c r="AB56" s="50" t="s">
        <v>294</v>
      </c>
      <c r="AC56" s="23">
        <v>10550183.199999999</v>
      </c>
      <c r="AD56" s="3">
        <v>10550183.199999999</v>
      </c>
      <c r="AE56" s="3">
        <v>10550183.199999999</v>
      </c>
      <c r="AF56" s="10">
        <v>2</v>
      </c>
      <c r="AK56" s="10">
        <v>0</v>
      </c>
      <c r="AL56" s="10">
        <v>0</v>
      </c>
      <c r="AM56" s="10">
        <v>0</v>
      </c>
      <c r="AN56" s="10">
        <v>0</v>
      </c>
      <c r="AO56" s="10">
        <v>1.5</v>
      </c>
      <c r="AP56" s="10">
        <v>1.5</v>
      </c>
      <c r="AQ56" s="10">
        <v>0</v>
      </c>
      <c r="AR56" s="10">
        <v>0</v>
      </c>
      <c r="AS56" s="10">
        <v>0</v>
      </c>
      <c r="AT56" s="10">
        <v>0</v>
      </c>
      <c r="AU56" s="10">
        <v>1.5</v>
      </c>
      <c r="AV56" s="10">
        <v>1.5</v>
      </c>
      <c r="AW56" s="10">
        <v>1.5</v>
      </c>
      <c r="AX56" s="10">
        <v>0</v>
      </c>
      <c r="AY56" s="10">
        <v>0</v>
      </c>
      <c r="AZ56" s="10">
        <v>0</v>
      </c>
      <c r="BA56" s="10">
        <v>1</v>
      </c>
      <c r="BB56" s="79">
        <v>2</v>
      </c>
      <c r="BC56" s="79">
        <v>1</v>
      </c>
      <c r="BD56" s="79">
        <v>0</v>
      </c>
      <c r="BE56" s="79">
        <v>0</v>
      </c>
      <c r="BF56" s="79">
        <v>0</v>
      </c>
      <c r="BG56" s="79">
        <v>0</v>
      </c>
      <c r="BH56" s="79">
        <v>0</v>
      </c>
      <c r="BI56" s="79">
        <v>0</v>
      </c>
      <c r="BJ56" s="79">
        <v>0</v>
      </c>
      <c r="BK56" s="5">
        <v>0</v>
      </c>
      <c r="BL56" s="12">
        <v>0</v>
      </c>
      <c r="BM56" s="5">
        <v>11.5</v>
      </c>
      <c r="BN56" s="3">
        <v>0.30666667222976685</v>
      </c>
      <c r="BO56" s="3">
        <v>0</v>
      </c>
      <c r="BP56" s="3">
        <v>0</v>
      </c>
      <c r="BQ56" s="3">
        <v>0</v>
      </c>
    </row>
    <row r="57" spans="1:69" x14ac:dyDescent="0.2">
      <c r="A57" s="3">
        <v>337</v>
      </c>
      <c r="B57" s="79">
        <v>337</v>
      </c>
      <c r="C57" s="3">
        <v>3</v>
      </c>
      <c r="E57" s="3">
        <v>150300.5</v>
      </c>
      <c r="F57" s="3">
        <v>124706.65796473699</v>
      </c>
      <c r="G57" s="3">
        <v>104773.65</v>
      </c>
      <c r="H57" s="3">
        <v>64779.4</v>
      </c>
      <c r="I57" s="3">
        <v>2018</v>
      </c>
      <c r="J57" s="3">
        <v>2020</v>
      </c>
      <c r="K57" s="3">
        <v>46283.8</v>
      </c>
      <c r="L57" s="3">
        <v>26386.39</v>
      </c>
      <c r="M57" s="3">
        <v>-3673.4000000000401</v>
      </c>
      <c r="N57" s="3">
        <v>-45338.15</v>
      </c>
      <c r="O57" s="3">
        <v>363525065.39999998</v>
      </c>
      <c r="P57" s="3">
        <v>428000383.40346003</v>
      </c>
      <c r="Q57" s="3">
        <v>188705527.7493</v>
      </c>
      <c r="R57" s="94">
        <v>106297558.93889999</v>
      </c>
      <c r="S57" s="3">
        <v>0</v>
      </c>
      <c r="T57" s="3" t="s">
        <v>139</v>
      </c>
      <c r="U57" s="3">
        <v>10550789.199999999</v>
      </c>
      <c r="V57" s="3">
        <v>229680.19056180501</v>
      </c>
      <c r="W57" s="23" t="s">
        <v>20</v>
      </c>
      <c r="X57" s="23">
        <v>14205.4799018464</v>
      </c>
      <c r="Y57" s="50">
        <v>0</v>
      </c>
      <c r="Z57" s="50">
        <v>0</v>
      </c>
      <c r="AA57" s="50">
        <v>0</v>
      </c>
      <c r="AB57" s="50" t="s">
        <v>139</v>
      </c>
      <c r="AC57" s="23">
        <v>1.5163651578852899</v>
      </c>
      <c r="AD57" s="3">
        <v>1.5838956898917</v>
      </c>
      <c r="AE57" s="3">
        <v>1.64161010135908</v>
      </c>
      <c r="AF57" s="10">
        <v>31</v>
      </c>
      <c r="AK57" s="10">
        <v>1</v>
      </c>
      <c r="AL57" s="10">
        <v>0</v>
      </c>
      <c r="AM57" s="10">
        <v>1</v>
      </c>
      <c r="AN57" s="10">
        <v>1.5</v>
      </c>
      <c r="AO57" s="10">
        <v>1.5</v>
      </c>
      <c r="AP57" s="10">
        <v>1.5</v>
      </c>
      <c r="AQ57" s="10">
        <v>1</v>
      </c>
      <c r="AR57" s="10">
        <v>1</v>
      </c>
      <c r="AS57" s="10">
        <v>1</v>
      </c>
      <c r="AT57" s="10">
        <v>1</v>
      </c>
      <c r="AU57" s="10">
        <v>1.5</v>
      </c>
      <c r="AV57" s="10">
        <v>0</v>
      </c>
      <c r="AW57" s="10">
        <v>1.5</v>
      </c>
      <c r="AX57" s="10">
        <v>0</v>
      </c>
      <c r="AY57" s="10">
        <v>0</v>
      </c>
      <c r="AZ57" s="10">
        <v>0</v>
      </c>
      <c r="BA57" s="10">
        <v>1</v>
      </c>
      <c r="BB57" s="79">
        <v>2</v>
      </c>
      <c r="BC57" s="79">
        <v>0</v>
      </c>
      <c r="BD57" s="79">
        <v>0</v>
      </c>
      <c r="BE57" s="79">
        <v>0</v>
      </c>
      <c r="BF57" s="79">
        <v>0</v>
      </c>
      <c r="BG57" s="79">
        <v>0</v>
      </c>
      <c r="BH57" s="79">
        <v>1</v>
      </c>
      <c r="BI57" s="79">
        <v>0</v>
      </c>
      <c r="BJ57" s="79">
        <v>0</v>
      </c>
      <c r="BK57" s="5">
        <v>0</v>
      </c>
      <c r="BL57" s="12">
        <v>1.5</v>
      </c>
      <c r="BM57" s="5">
        <v>19</v>
      </c>
      <c r="BN57" s="5">
        <v>0.50666666030883789</v>
      </c>
      <c r="BO57" s="3">
        <v>0</v>
      </c>
      <c r="BP57" s="3">
        <v>0</v>
      </c>
      <c r="BQ57" s="3">
        <v>0</v>
      </c>
    </row>
    <row r="58" spans="1:69" x14ac:dyDescent="0.2">
      <c r="A58" s="3">
        <v>339</v>
      </c>
      <c r="B58" s="79">
        <v>339</v>
      </c>
      <c r="C58" s="3">
        <v>1</v>
      </c>
      <c r="E58" s="3">
        <v>150300.5</v>
      </c>
      <c r="F58" s="3">
        <v>125148.319969452</v>
      </c>
      <c r="G58" s="3">
        <v>129121.65</v>
      </c>
      <c r="H58" s="3">
        <v>64779.4</v>
      </c>
      <c r="I58" s="3">
        <v>2018</v>
      </c>
      <c r="J58" s="3">
        <v>2021</v>
      </c>
      <c r="K58" s="3">
        <v>46287.83</v>
      </c>
      <c r="L58" s="3">
        <v>26391.26</v>
      </c>
      <c r="M58" s="3">
        <v>-3667.61</v>
      </c>
      <c r="N58" s="3">
        <v>-45331.4</v>
      </c>
      <c r="O58" s="3">
        <v>363525065.39999998</v>
      </c>
      <c r="P58" s="3">
        <v>430755342.834647</v>
      </c>
      <c r="Q58" s="3">
        <v>1500435523.2693</v>
      </c>
      <c r="R58" s="3">
        <v>106297522.30679999</v>
      </c>
      <c r="S58" s="3" t="s">
        <v>380</v>
      </c>
      <c r="T58" s="3" t="s">
        <v>294</v>
      </c>
      <c r="U58" s="3">
        <v>10551862</v>
      </c>
      <c r="V58" s="3">
        <v>9655600.8173161801</v>
      </c>
      <c r="W58" s="3" t="s">
        <v>21</v>
      </c>
      <c r="X58" s="23">
        <v>0</v>
      </c>
      <c r="Y58" s="23">
        <v>0</v>
      </c>
      <c r="Z58" s="23">
        <v>0</v>
      </c>
      <c r="AA58" s="23">
        <v>0</v>
      </c>
      <c r="AB58" s="23" t="s">
        <v>289</v>
      </c>
      <c r="AC58" s="50">
        <v>0</v>
      </c>
      <c r="AD58" s="23">
        <v>0</v>
      </c>
      <c r="AE58" s="23">
        <v>0</v>
      </c>
      <c r="AF58" s="3">
        <v>0</v>
      </c>
      <c r="AK58" s="10">
        <v>1</v>
      </c>
      <c r="AL58" s="10">
        <v>1</v>
      </c>
      <c r="AM58" s="10">
        <v>0</v>
      </c>
      <c r="AN58" s="10">
        <v>1.5</v>
      </c>
      <c r="AO58" s="10">
        <v>1.5</v>
      </c>
      <c r="AP58" s="10">
        <v>1.5</v>
      </c>
      <c r="AQ58" s="10">
        <v>1</v>
      </c>
      <c r="AR58" s="10">
        <v>1</v>
      </c>
      <c r="AS58" s="10">
        <v>1</v>
      </c>
      <c r="AT58" s="10">
        <v>1</v>
      </c>
      <c r="AU58" s="10">
        <v>1.5</v>
      </c>
      <c r="AV58" s="10">
        <v>0</v>
      </c>
      <c r="AW58" s="10">
        <v>0</v>
      </c>
      <c r="AX58" s="10">
        <v>1.5</v>
      </c>
      <c r="AY58" s="10">
        <v>2</v>
      </c>
      <c r="AZ58" s="10">
        <v>0</v>
      </c>
      <c r="BA58" s="10">
        <v>1</v>
      </c>
      <c r="BB58" s="10">
        <v>0</v>
      </c>
      <c r="BC58" s="10">
        <v>1</v>
      </c>
      <c r="BD58" s="10">
        <v>0</v>
      </c>
      <c r="BE58" s="10">
        <v>0</v>
      </c>
      <c r="BF58" s="10">
        <v>0</v>
      </c>
      <c r="BG58" s="10">
        <v>0</v>
      </c>
      <c r="BH58" s="10">
        <v>0</v>
      </c>
      <c r="BI58" s="10">
        <v>0</v>
      </c>
      <c r="BJ58" s="10">
        <v>0</v>
      </c>
      <c r="BK58" s="79">
        <v>0</v>
      </c>
      <c r="BL58" s="3">
        <v>0</v>
      </c>
      <c r="BM58" s="3">
        <v>17.5</v>
      </c>
      <c r="BN58" s="3">
        <v>0.46666666865348816</v>
      </c>
      <c r="BO58" s="3">
        <v>0</v>
      </c>
      <c r="BP58" s="3">
        <v>0</v>
      </c>
      <c r="BQ58" s="3">
        <v>0</v>
      </c>
    </row>
    <row r="59" spans="1:69" ht="19.5" customHeight="1" x14ac:dyDescent="0.2">
      <c r="A59" s="5">
        <v>340</v>
      </c>
      <c r="B59" s="11">
        <v>340</v>
      </c>
      <c r="C59" s="5">
        <v>1</v>
      </c>
      <c r="D59" s="5"/>
      <c r="E59" s="22">
        <v>150300.5</v>
      </c>
      <c r="F59" s="22">
        <v>125148.133684163</v>
      </c>
      <c r="G59" s="22">
        <v>223389.123281623</v>
      </c>
      <c r="H59" s="5">
        <v>64779.4</v>
      </c>
      <c r="I59" s="5">
        <v>2018</v>
      </c>
      <c r="J59" s="18">
        <v>2020</v>
      </c>
      <c r="K59" s="5">
        <v>46287.83</v>
      </c>
      <c r="L59" s="5">
        <v>26391.26</v>
      </c>
      <c r="M59" s="5">
        <v>-3667.6100000000301</v>
      </c>
      <c r="N59" s="5">
        <v>-45331.360000000001</v>
      </c>
      <c r="O59" s="5">
        <v>363525065.39999998</v>
      </c>
      <c r="P59" s="5">
        <v>363525065.39999998</v>
      </c>
      <c r="Q59" s="22">
        <v>188705527.7493</v>
      </c>
      <c r="R59" s="111">
        <v>106297522.30679999</v>
      </c>
      <c r="S59" s="15" t="s">
        <v>382</v>
      </c>
      <c r="T59" s="22" t="s">
        <v>56</v>
      </c>
      <c r="U59" s="22">
        <v>10551461.6</v>
      </c>
      <c r="V59" s="22">
        <v>229694.82804125699</v>
      </c>
      <c r="W59" s="5" t="s">
        <v>21</v>
      </c>
      <c r="X59" s="79">
        <v>0.289276458827048</v>
      </c>
      <c r="Y59" s="3">
        <v>7.9805848967597001E-2</v>
      </c>
      <c r="Z59" s="3">
        <v>6.4266794924680202</v>
      </c>
      <c r="AA59" s="3">
        <v>374949.98564198503</v>
      </c>
      <c r="AB59" s="3" t="s">
        <v>294</v>
      </c>
      <c r="AC59" s="3">
        <v>400981.97288125899</v>
      </c>
      <c r="AD59" s="3">
        <v>342208.924879534</v>
      </c>
      <c r="AE59" s="3">
        <v>292604.55484885903</v>
      </c>
      <c r="AF59" s="3">
        <v>30.871235733709</v>
      </c>
      <c r="AG59" s="3"/>
      <c r="AH59" s="17"/>
      <c r="AI59" s="17"/>
      <c r="AJ59" s="17"/>
      <c r="AK59" s="17">
        <v>1</v>
      </c>
      <c r="AL59" s="17">
        <v>1</v>
      </c>
      <c r="AM59" s="17">
        <v>0</v>
      </c>
      <c r="AN59" s="17">
        <v>1.5</v>
      </c>
      <c r="AO59" s="91">
        <v>1.5</v>
      </c>
      <c r="AP59" s="17">
        <v>1.5</v>
      </c>
      <c r="AQ59" s="91">
        <v>1</v>
      </c>
      <c r="AR59" s="17">
        <v>1</v>
      </c>
      <c r="AS59" s="17">
        <v>1</v>
      </c>
      <c r="AT59" s="17">
        <v>1</v>
      </c>
      <c r="AU59" s="17">
        <v>1.5</v>
      </c>
      <c r="AV59" s="17">
        <v>0</v>
      </c>
      <c r="AW59" s="17">
        <v>1.5</v>
      </c>
      <c r="AX59" s="5">
        <v>1.5</v>
      </c>
      <c r="AY59" s="5">
        <v>2</v>
      </c>
      <c r="AZ59" s="5">
        <v>1</v>
      </c>
      <c r="BA59" s="5">
        <v>1</v>
      </c>
      <c r="BB59" s="5">
        <v>2</v>
      </c>
      <c r="BC59" s="5">
        <v>1</v>
      </c>
      <c r="BD59" s="5">
        <v>0</v>
      </c>
      <c r="BE59" s="5">
        <v>1.5</v>
      </c>
      <c r="BF59" s="5">
        <v>1.5</v>
      </c>
      <c r="BG59" s="5">
        <v>1.5</v>
      </c>
      <c r="BH59" s="5">
        <v>0</v>
      </c>
      <c r="BI59" s="5">
        <v>1.5</v>
      </c>
      <c r="BJ59" s="5">
        <v>1.5</v>
      </c>
      <c r="BK59" s="5">
        <v>1.5</v>
      </c>
      <c r="BL59" s="5">
        <v>0</v>
      </c>
      <c r="BM59" s="5">
        <v>31</v>
      </c>
      <c r="BN59" s="3">
        <v>0.82666665315628052</v>
      </c>
      <c r="BO59" s="3">
        <v>0</v>
      </c>
      <c r="BP59" s="3">
        <v>0</v>
      </c>
      <c r="BQ59" s="3">
        <v>0</v>
      </c>
    </row>
    <row r="60" spans="1:69" x14ac:dyDescent="0.2">
      <c r="A60" s="3">
        <v>341</v>
      </c>
      <c r="B60" s="79">
        <v>341</v>
      </c>
      <c r="C60" s="3">
        <v>3</v>
      </c>
      <c r="E60" s="23">
        <v>150300.5</v>
      </c>
      <c r="F60" s="23">
        <v>125148.133684163</v>
      </c>
      <c r="G60" s="23">
        <v>203970.7</v>
      </c>
      <c r="H60" s="3">
        <v>64779.4</v>
      </c>
      <c r="I60" s="3">
        <v>2018</v>
      </c>
      <c r="J60" s="3">
        <v>2020</v>
      </c>
      <c r="K60" s="19">
        <v>46287.83</v>
      </c>
      <c r="L60" s="3">
        <v>26391.26</v>
      </c>
      <c r="M60" s="3">
        <v>-3667.6100000000401</v>
      </c>
      <c r="N60" s="3">
        <v>-45331.359999999899</v>
      </c>
      <c r="O60" s="3">
        <v>363525065.39999998</v>
      </c>
      <c r="P60" s="3">
        <v>430754299.79112601</v>
      </c>
      <c r="Q60" s="23">
        <v>1500431792.7981</v>
      </c>
      <c r="R60" s="93">
        <v>106297522.30679999</v>
      </c>
      <c r="S60" s="50" t="s">
        <v>384</v>
      </c>
      <c r="T60" s="93" t="s">
        <v>56</v>
      </c>
      <c r="U60" s="93">
        <v>10551180.4</v>
      </c>
      <c r="V60" s="93">
        <v>229688.706596848</v>
      </c>
      <c r="W60" s="3" t="s">
        <v>21</v>
      </c>
      <c r="X60" s="79">
        <v>4.9276464999999998E-2</v>
      </c>
      <c r="Y60" s="3">
        <v>4.9276464952816401E-2</v>
      </c>
      <c r="Z60" s="3">
        <v>5.8575753795355103</v>
      </c>
      <c r="AA60" s="3">
        <v>146715.45205984401</v>
      </c>
      <c r="AB60" s="3" t="s">
        <v>294</v>
      </c>
      <c r="AC60" s="3">
        <v>400971.28657683497</v>
      </c>
      <c r="AD60" s="3">
        <v>370327.02081101399</v>
      </c>
      <c r="AE60" s="3">
        <v>316358.41023316898</v>
      </c>
      <c r="AF60" s="3">
        <v>31</v>
      </c>
      <c r="AG60" s="3"/>
      <c r="AK60" s="10">
        <v>1</v>
      </c>
      <c r="AL60" s="10">
        <v>1</v>
      </c>
      <c r="AM60" s="10">
        <v>0</v>
      </c>
      <c r="AN60" s="10">
        <v>1.5</v>
      </c>
      <c r="AO60" s="92">
        <v>1.5</v>
      </c>
      <c r="AP60" s="10">
        <v>1.5</v>
      </c>
      <c r="AQ60" s="92">
        <v>1</v>
      </c>
      <c r="AR60" s="10">
        <v>1</v>
      </c>
      <c r="AS60" s="10">
        <v>1</v>
      </c>
      <c r="AT60" s="10">
        <v>1</v>
      </c>
      <c r="AU60" s="10">
        <v>1.5</v>
      </c>
      <c r="AV60" s="10">
        <v>1.5</v>
      </c>
      <c r="AW60" s="10">
        <v>0</v>
      </c>
      <c r="AX60" s="5">
        <v>1.5</v>
      </c>
      <c r="AY60" s="5">
        <v>2</v>
      </c>
      <c r="AZ60" s="5">
        <v>1</v>
      </c>
      <c r="BA60" s="5">
        <v>1</v>
      </c>
      <c r="BB60" s="5">
        <v>2</v>
      </c>
      <c r="BC60" s="5">
        <v>1</v>
      </c>
      <c r="BD60" s="5">
        <v>0</v>
      </c>
      <c r="BE60" s="5">
        <v>0</v>
      </c>
      <c r="BF60" s="5">
        <v>0</v>
      </c>
      <c r="BG60" s="5">
        <v>0</v>
      </c>
      <c r="BH60" s="5">
        <v>0</v>
      </c>
      <c r="BI60" s="5">
        <v>1.5</v>
      </c>
      <c r="BJ60" s="5">
        <v>0</v>
      </c>
      <c r="BK60" s="5">
        <v>0</v>
      </c>
      <c r="BL60" s="5">
        <v>1.5</v>
      </c>
      <c r="BM60" s="5">
        <v>25</v>
      </c>
      <c r="BN60" s="3">
        <v>0.66666668653488159</v>
      </c>
      <c r="BO60" s="3">
        <v>0</v>
      </c>
      <c r="BP60" s="3">
        <v>0</v>
      </c>
      <c r="BQ60" s="3">
        <v>0</v>
      </c>
    </row>
    <row r="61" spans="1:69" x14ac:dyDescent="0.2">
      <c r="A61" s="3">
        <v>342</v>
      </c>
      <c r="B61" s="79">
        <v>342</v>
      </c>
      <c r="C61" s="3">
        <v>3</v>
      </c>
      <c r="E61" s="23">
        <v>150300.5</v>
      </c>
      <c r="F61" s="23">
        <v>125148.133684163</v>
      </c>
      <c r="G61" s="23">
        <v>104774.37</v>
      </c>
      <c r="H61" s="3">
        <v>64779.4</v>
      </c>
      <c r="I61" s="3">
        <v>2018</v>
      </c>
      <c r="J61" s="3">
        <v>2021</v>
      </c>
      <c r="K61" s="19">
        <v>46287.83</v>
      </c>
      <c r="L61" s="3">
        <v>26391.26</v>
      </c>
      <c r="M61" s="3">
        <v>-3667.6100000000301</v>
      </c>
      <c r="N61" s="3">
        <v>-45331.360000000001</v>
      </c>
      <c r="O61" s="3">
        <v>363525065.39999998</v>
      </c>
      <c r="P61" s="3">
        <v>430754299.79112601</v>
      </c>
      <c r="Q61" s="23">
        <v>188705526.64770001</v>
      </c>
      <c r="R61" s="93">
        <v>106297522.30679999</v>
      </c>
      <c r="S61" s="50" t="s">
        <v>386</v>
      </c>
      <c r="T61" s="93" t="s">
        <v>294</v>
      </c>
      <c r="U61" s="93">
        <v>10550967.6</v>
      </c>
      <c r="V61" s="93">
        <v>229684.074152427</v>
      </c>
      <c r="W61" s="3" t="s">
        <v>21</v>
      </c>
      <c r="X61" s="79">
        <v>4.9276458827047898E-2</v>
      </c>
      <c r="Y61" s="3">
        <v>7.9807487664031895E-2</v>
      </c>
      <c r="Z61" s="3">
        <v>6.42666653749645</v>
      </c>
      <c r="AA61" s="3">
        <v>374949.48127245199</v>
      </c>
      <c r="AB61" s="3" t="s">
        <v>289</v>
      </c>
      <c r="AC61" s="3">
        <v>400963.19964375801</v>
      </c>
      <c r="AD61" s="3">
        <v>342192.90328790201</v>
      </c>
      <c r="AE61" s="3">
        <v>292590.85564247501</v>
      </c>
      <c r="AF61" s="3">
        <v>31</v>
      </c>
      <c r="AG61" s="3"/>
      <c r="AK61" s="10">
        <v>1</v>
      </c>
      <c r="AL61" s="10">
        <v>1</v>
      </c>
      <c r="AM61" s="10">
        <v>1</v>
      </c>
      <c r="AN61" s="10">
        <v>1.5</v>
      </c>
      <c r="AO61" s="92">
        <v>1.5</v>
      </c>
      <c r="AP61" s="10">
        <v>1.5</v>
      </c>
      <c r="AQ61" s="92">
        <v>1</v>
      </c>
      <c r="AR61" s="10">
        <v>1</v>
      </c>
      <c r="AS61" s="10">
        <v>1</v>
      </c>
      <c r="AT61" s="10">
        <v>1</v>
      </c>
      <c r="AU61" s="10">
        <v>1.5</v>
      </c>
      <c r="AV61" s="10">
        <v>1.5</v>
      </c>
      <c r="AW61" s="10">
        <v>1.5</v>
      </c>
      <c r="AX61" s="5">
        <v>1.5</v>
      </c>
      <c r="AY61" s="5">
        <v>2</v>
      </c>
      <c r="AZ61" s="5">
        <v>0</v>
      </c>
      <c r="BA61" s="5">
        <v>1</v>
      </c>
      <c r="BB61" s="5">
        <v>2</v>
      </c>
      <c r="BC61" s="5">
        <v>1</v>
      </c>
      <c r="BD61" s="5">
        <v>0</v>
      </c>
      <c r="BE61" s="5">
        <v>1.5</v>
      </c>
      <c r="BF61" s="5">
        <v>1.5</v>
      </c>
      <c r="BG61" s="5">
        <v>1.5</v>
      </c>
      <c r="BH61" s="5">
        <v>0</v>
      </c>
      <c r="BI61" s="5">
        <v>1.5</v>
      </c>
      <c r="BJ61" s="5">
        <v>1.5</v>
      </c>
      <c r="BK61" s="5">
        <v>1.5</v>
      </c>
      <c r="BL61" s="5">
        <v>1.5</v>
      </c>
      <c r="BM61" s="5">
        <v>34</v>
      </c>
      <c r="BN61" s="3">
        <v>0.90666669607162476</v>
      </c>
      <c r="BO61" s="3">
        <v>0</v>
      </c>
      <c r="BP61" s="3">
        <v>0</v>
      </c>
      <c r="BQ61" s="3">
        <v>0</v>
      </c>
    </row>
    <row r="62" spans="1:69" x14ac:dyDescent="0.2">
      <c r="A62" s="3">
        <v>343</v>
      </c>
      <c r="B62" s="79">
        <v>343</v>
      </c>
      <c r="C62" s="3">
        <v>2</v>
      </c>
      <c r="E62" s="3">
        <v>150300.5</v>
      </c>
      <c r="F62" s="3">
        <v>124708.514271048</v>
      </c>
      <c r="G62" s="3">
        <v>104774.37</v>
      </c>
      <c r="H62" s="3">
        <v>64779.4</v>
      </c>
      <c r="I62" s="3">
        <v>2018</v>
      </c>
      <c r="J62" s="3">
        <v>2020</v>
      </c>
      <c r="K62" s="3">
        <v>46287.83</v>
      </c>
      <c r="L62" s="3">
        <v>26391.26</v>
      </c>
      <c r="M62" s="3">
        <v>-3667.6100000000301</v>
      </c>
      <c r="N62" s="3">
        <v>-45331.360000000001</v>
      </c>
      <c r="O62" s="3">
        <v>363525065.39999998</v>
      </c>
      <c r="P62" s="3">
        <v>430754299.79112601</v>
      </c>
      <c r="Q62" s="23">
        <v>188705526.64770001</v>
      </c>
      <c r="R62" s="23">
        <v>106297522.30679999</v>
      </c>
      <c r="S62" s="50" t="s">
        <v>387</v>
      </c>
      <c r="T62" s="23" t="s">
        <v>56</v>
      </c>
      <c r="U62" s="23">
        <v>10551475.199999999</v>
      </c>
      <c r="V62" s="23">
        <v>229695.124099735</v>
      </c>
      <c r="W62" s="3" t="s">
        <v>21</v>
      </c>
      <c r="X62" s="79">
        <v>4.9276457852856101E-2</v>
      </c>
      <c r="Y62" s="3">
        <v>7.9807070107241196E-2</v>
      </c>
      <c r="Z62" s="3">
        <v>6.4267804778310698</v>
      </c>
      <c r="AA62" s="3">
        <v>374957.11060295597</v>
      </c>
      <c r="AB62" s="3" t="s">
        <v>289</v>
      </c>
      <c r="AC62" s="3">
        <v>400982.48971532797</v>
      </c>
      <c r="AD62" s="3">
        <v>342209.365959791</v>
      </c>
      <c r="AE62" s="3">
        <v>292604.93199299998</v>
      </c>
      <c r="AF62" s="3">
        <v>31</v>
      </c>
      <c r="AG62" s="3"/>
      <c r="AK62" s="10">
        <v>1</v>
      </c>
      <c r="AL62" s="10">
        <v>0</v>
      </c>
      <c r="AM62" s="10">
        <v>1</v>
      </c>
      <c r="AN62" s="10">
        <v>1.5</v>
      </c>
      <c r="AO62" s="92">
        <v>1.5</v>
      </c>
      <c r="AP62" s="10">
        <v>1.5</v>
      </c>
      <c r="AQ62" s="92">
        <v>1</v>
      </c>
      <c r="AR62" s="10">
        <v>1</v>
      </c>
      <c r="AS62" s="10">
        <v>1</v>
      </c>
      <c r="AT62" s="10">
        <v>1</v>
      </c>
      <c r="AU62" s="10">
        <v>1.5</v>
      </c>
      <c r="AV62" s="10">
        <v>1.5</v>
      </c>
      <c r="AW62" s="10">
        <v>1.5</v>
      </c>
      <c r="AX62" s="5">
        <v>1.5</v>
      </c>
      <c r="AY62" s="5">
        <v>1</v>
      </c>
      <c r="AZ62" s="5">
        <v>1</v>
      </c>
      <c r="BA62" s="5">
        <v>1</v>
      </c>
      <c r="BB62" s="5">
        <v>2</v>
      </c>
      <c r="BC62" s="5">
        <v>1</v>
      </c>
      <c r="BD62" s="5">
        <v>0</v>
      </c>
      <c r="BE62" s="5">
        <v>1.5</v>
      </c>
      <c r="BF62" s="5">
        <v>1.5</v>
      </c>
      <c r="BG62" s="5">
        <v>1.5</v>
      </c>
      <c r="BH62" s="5">
        <v>0</v>
      </c>
      <c r="BI62" s="5">
        <v>1.5</v>
      </c>
      <c r="BJ62" s="5">
        <v>1.5</v>
      </c>
      <c r="BK62" s="5">
        <v>1.5</v>
      </c>
      <c r="BL62" s="5">
        <v>1.5</v>
      </c>
      <c r="BM62" s="5">
        <v>33</v>
      </c>
      <c r="BN62" s="3">
        <v>0.87999999523162842</v>
      </c>
      <c r="BO62" s="3">
        <v>0</v>
      </c>
      <c r="BP62" s="3">
        <v>0</v>
      </c>
      <c r="BQ62" s="3">
        <v>0</v>
      </c>
    </row>
    <row r="63" spans="1:69" x14ac:dyDescent="0.2">
      <c r="A63" s="3">
        <v>344</v>
      </c>
      <c r="B63" s="79">
        <v>344</v>
      </c>
      <c r="C63" s="3">
        <v>1</v>
      </c>
      <c r="E63" s="3">
        <v>150300</v>
      </c>
      <c r="F63" s="3">
        <v>124706.65796473699</v>
      </c>
      <c r="G63" s="3">
        <v>55074.09</v>
      </c>
      <c r="H63" s="3">
        <v>64779.4</v>
      </c>
      <c r="I63" s="3">
        <v>2018</v>
      </c>
      <c r="J63" s="3">
        <v>2020</v>
      </c>
      <c r="K63" s="3">
        <v>46283.8</v>
      </c>
      <c r="L63" s="3">
        <v>26386.39</v>
      </c>
      <c r="M63" s="3">
        <v>-3673.4000000000201</v>
      </c>
      <c r="N63" s="3">
        <v>-45338.15</v>
      </c>
      <c r="O63" s="3">
        <v>363525065.39999998</v>
      </c>
      <c r="P63" s="3">
        <v>428009464.06866002</v>
      </c>
      <c r="Q63" s="23">
        <v>188705527.7493</v>
      </c>
      <c r="R63" s="23">
        <v>106297558.93889999</v>
      </c>
      <c r="S63" s="50">
        <v>0</v>
      </c>
      <c r="T63" s="23" t="s">
        <v>139</v>
      </c>
      <c r="U63" s="23">
        <v>10551944.4</v>
      </c>
      <c r="V63" s="23">
        <v>0</v>
      </c>
      <c r="W63" s="3" t="s">
        <v>20</v>
      </c>
      <c r="X63" s="79">
        <v>0</v>
      </c>
      <c r="Y63" s="3">
        <v>0</v>
      </c>
      <c r="Z63" s="3">
        <v>0</v>
      </c>
      <c r="AA63" s="3">
        <v>0</v>
      </c>
      <c r="AB63" s="3" t="s">
        <v>55</v>
      </c>
      <c r="AC63" s="3">
        <v>0</v>
      </c>
      <c r="AD63" s="3">
        <v>0</v>
      </c>
      <c r="AE63" s="3">
        <v>0</v>
      </c>
      <c r="AF63" s="3">
        <v>0</v>
      </c>
      <c r="AG63" s="3"/>
      <c r="AK63" s="10">
        <v>1</v>
      </c>
      <c r="AL63" s="10">
        <v>0</v>
      </c>
      <c r="AM63" s="10">
        <v>0</v>
      </c>
      <c r="AN63" s="10">
        <v>1.5</v>
      </c>
      <c r="AO63" s="92">
        <v>1.5</v>
      </c>
      <c r="AP63" s="10">
        <v>1.5</v>
      </c>
      <c r="AQ63" s="92">
        <v>1</v>
      </c>
      <c r="AR63" s="10">
        <v>1</v>
      </c>
      <c r="AS63" s="10">
        <v>1</v>
      </c>
      <c r="AT63" s="10">
        <v>1</v>
      </c>
      <c r="AU63" s="10">
        <v>1.5</v>
      </c>
      <c r="AV63" s="10">
        <v>1.5</v>
      </c>
      <c r="AW63" s="10">
        <v>1.5</v>
      </c>
      <c r="AX63" s="5">
        <v>0</v>
      </c>
      <c r="AY63" s="5">
        <v>0</v>
      </c>
      <c r="AZ63" s="5">
        <v>0</v>
      </c>
      <c r="BA63" s="5">
        <v>1</v>
      </c>
      <c r="BB63" s="5">
        <v>0</v>
      </c>
      <c r="BC63" s="5">
        <v>0</v>
      </c>
      <c r="BD63" s="5">
        <v>0</v>
      </c>
      <c r="BE63" s="5">
        <v>0</v>
      </c>
      <c r="BF63" s="5">
        <v>0</v>
      </c>
      <c r="BG63" s="5">
        <v>0</v>
      </c>
      <c r="BH63" s="5">
        <v>0</v>
      </c>
      <c r="BI63" s="5">
        <v>0</v>
      </c>
      <c r="BJ63" s="5">
        <v>0</v>
      </c>
      <c r="BK63" s="5">
        <v>0</v>
      </c>
      <c r="BL63" s="5">
        <v>0</v>
      </c>
      <c r="BM63" s="5">
        <v>15</v>
      </c>
      <c r="BN63" s="3">
        <v>0.40000000596046448</v>
      </c>
      <c r="BO63" s="3">
        <v>0</v>
      </c>
      <c r="BP63" s="3">
        <v>0</v>
      </c>
      <c r="BQ63" s="3">
        <v>0</v>
      </c>
    </row>
    <row r="64" spans="1:69" x14ac:dyDescent="0.2">
      <c r="A64" s="3">
        <v>345</v>
      </c>
      <c r="B64" s="79">
        <v>345</v>
      </c>
      <c r="C64" s="3">
        <v>1</v>
      </c>
      <c r="E64" s="3">
        <v>150300.5</v>
      </c>
      <c r="F64" s="3">
        <v>125148.133684163</v>
      </c>
      <c r="G64" s="3">
        <v>104774.37</v>
      </c>
      <c r="H64" s="3">
        <v>64779.4</v>
      </c>
      <c r="I64" s="3">
        <v>2018</v>
      </c>
      <c r="J64" s="3">
        <v>2020</v>
      </c>
      <c r="K64" s="3">
        <v>46287.83</v>
      </c>
      <c r="L64" s="3">
        <v>26391.26</v>
      </c>
      <c r="M64" s="3">
        <v>-3667.6100000000301</v>
      </c>
      <c r="N64" s="3">
        <v>-45331.360000000001</v>
      </c>
      <c r="O64" s="3">
        <v>363525065.39999998</v>
      </c>
      <c r="P64" s="3">
        <v>430754299.79112601</v>
      </c>
      <c r="Q64" s="23">
        <v>188705526.64770001</v>
      </c>
      <c r="R64" s="23">
        <v>106297522.30679999</v>
      </c>
      <c r="S64" s="50" t="s">
        <v>390</v>
      </c>
      <c r="T64" s="23" t="s">
        <v>294</v>
      </c>
      <c r="U64" s="23">
        <v>10551172.4</v>
      </c>
      <c r="V64" s="23">
        <v>229688.53244480101</v>
      </c>
      <c r="W64" s="3" t="s">
        <v>21</v>
      </c>
      <c r="X64" s="79">
        <v>4.9276509161013102E-2</v>
      </c>
      <c r="Y64" s="3">
        <v>7.9805109945723096E-2</v>
      </c>
      <c r="Z64" s="3">
        <v>6.4268561768786796</v>
      </c>
      <c r="AA64" s="3">
        <v>374922.65523106401</v>
      </c>
      <c r="AB64" s="3" t="s">
        <v>139</v>
      </c>
      <c r="AC64" s="3">
        <v>400970.982556795</v>
      </c>
      <c r="AD64" s="3">
        <v>342199.54543762997</v>
      </c>
      <c r="AE64" s="3">
        <v>292596.53498957702</v>
      </c>
      <c r="AF64" s="3">
        <v>31</v>
      </c>
      <c r="AG64" s="3"/>
      <c r="AK64" s="10">
        <v>1</v>
      </c>
      <c r="AL64" s="10">
        <v>1</v>
      </c>
      <c r="AM64" s="10">
        <v>1</v>
      </c>
      <c r="AN64" s="10">
        <v>1.5</v>
      </c>
      <c r="AO64" s="92">
        <v>1.5</v>
      </c>
      <c r="AP64" s="10">
        <v>1.5</v>
      </c>
      <c r="AQ64" s="92">
        <v>1</v>
      </c>
      <c r="AR64" s="10">
        <v>1</v>
      </c>
      <c r="AS64" s="10">
        <v>1</v>
      </c>
      <c r="AT64" s="10">
        <v>1</v>
      </c>
      <c r="AU64" s="10">
        <v>1.5</v>
      </c>
      <c r="AV64" s="10">
        <v>1.5</v>
      </c>
      <c r="AW64" s="10">
        <v>1.5</v>
      </c>
      <c r="AX64" s="5">
        <v>1.5</v>
      </c>
      <c r="AY64" s="5">
        <v>2</v>
      </c>
      <c r="AZ64" s="5">
        <v>0</v>
      </c>
      <c r="BA64" s="5">
        <v>1</v>
      </c>
      <c r="BB64" s="5">
        <v>2</v>
      </c>
      <c r="BC64" s="5">
        <v>1</v>
      </c>
      <c r="BD64" s="5">
        <v>0</v>
      </c>
      <c r="BE64" s="5">
        <v>1.5</v>
      </c>
      <c r="BF64" s="5">
        <v>1.5</v>
      </c>
      <c r="BG64" s="5">
        <v>0</v>
      </c>
      <c r="BH64" s="5">
        <v>1</v>
      </c>
      <c r="BI64" s="5">
        <v>1.5</v>
      </c>
      <c r="BJ64" s="5">
        <v>1.5</v>
      </c>
      <c r="BK64" s="5">
        <v>1.5</v>
      </c>
      <c r="BL64" s="5">
        <v>1.5</v>
      </c>
      <c r="BM64" s="5">
        <v>33.5</v>
      </c>
      <c r="BN64" s="3">
        <v>0.8933333158493042</v>
      </c>
      <c r="BO64" s="3">
        <v>0</v>
      </c>
      <c r="BP64" s="3">
        <v>0</v>
      </c>
      <c r="BQ64" s="3">
        <v>0</v>
      </c>
    </row>
    <row r="65" spans="1:69" x14ac:dyDescent="0.2">
      <c r="A65" s="3">
        <v>346</v>
      </c>
      <c r="B65" s="79">
        <v>346</v>
      </c>
      <c r="C65" s="3">
        <v>3</v>
      </c>
      <c r="E65" s="23">
        <v>150300.5</v>
      </c>
      <c r="F65" s="23">
        <v>125148.133684163</v>
      </c>
      <c r="G65" s="23">
        <v>104774.37</v>
      </c>
      <c r="H65" s="3">
        <v>64779.4</v>
      </c>
      <c r="I65" s="3" t="s">
        <v>100</v>
      </c>
      <c r="J65" s="3" t="s">
        <v>105</v>
      </c>
      <c r="K65" s="3">
        <v>46283.8</v>
      </c>
      <c r="L65" s="3">
        <v>26386.39</v>
      </c>
      <c r="M65" s="3">
        <v>-3673.4000000000201</v>
      </c>
      <c r="N65" s="3">
        <v>-45338.15</v>
      </c>
      <c r="O65" s="3">
        <v>363525065.39999998</v>
      </c>
      <c r="P65" s="3">
        <v>430754299.79112601</v>
      </c>
      <c r="Q65" s="23">
        <v>188705526.64770001</v>
      </c>
      <c r="R65" s="23">
        <v>106297558.93889999</v>
      </c>
      <c r="S65" s="50" t="s">
        <v>391</v>
      </c>
      <c r="T65" s="23" t="s">
        <v>56</v>
      </c>
      <c r="U65" s="23">
        <v>10551978</v>
      </c>
      <c r="V65" s="23">
        <v>229706.069555817</v>
      </c>
      <c r="W65" s="3" t="s">
        <v>22</v>
      </c>
      <c r="X65" s="79">
        <v>9426000.8948740009</v>
      </c>
      <c r="Y65" s="3">
        <v>7.5776720471431497E-2</v>
      </c>
      <c r="Z65" s="3">
        <v>6.6326801792104799</v>
      </c>
      <c r="AA65" s="3">
        <v>404810.53608448</v>
      </c>
      <c r="AB65" s="3" t="s">
        <v>56</v>
      </c>
      <c r="AC65" s="3">
        <v>1.5163651578852899</v>
      </c>
      <c r="AD65" s="3">
        <v>1.5838956898917</v>
      </c>
      <c r="AE65" s="3">
        <v>1.64161010135908</v>
      </c>
      <c r="AF65" s="3">
        <v>2024</v>
      </c>
      <c r="AG65" s="3"/>
      <c r="AK65" s="10">
        <v>1</v>
      </c>
      <c r="AL65" s="10">
        <v>1</v>
      </c>
      <c r="AM65" s="10">
        <v>1</v>
      </c>
      <c r="AN65" s="10">
        <v>1.5</v>
      </c>
      <c r="AO65" s="92">
        <v>0</v>
      </c>
      <c r="AP65" s="10">
        <v>0</v>
      </c>
      <c r="AQ65" s="92">
        <v>1</v>
      </c>
      <c r="AR65" s="10">
        <v>1</v>
      </c>
      <c r="AS65" s="10">
        <v>1</v>
      </c>
      <c r="AT65" s="10">
        <v>1</v>
      </c>
      <c r="AU65" s="10">
        <v>1.5</v>
      </c>
      <c r="AV65" s="10">
        <v>1.5</v>
      </c>
      <c r="AW65" s="10">
        <v>1.5</v>
      </c>
      <c r="AX65" s="5">
        <v>0</v>
      </c>
      <c r="AY65" s="5">
        <v>2</v>
      </c>
      <c r="AZ65" s="5">
        <v>1</v>
      </c>
      <c r="BA65" s="5">
        <v>1</v>
      </c>
      <c r="BB65" s="5">
        <v>2</v>
      </c>
      <c r="BC65" s="5">
        <v>0</v>
      </c>
      <c r="BD65" s="5">
        <v>0</v>
      </c>
      <c r="BE65" s="5">
        <v>1.5</v>
      </c>
      <c r="BF65" s="5">
        <v>0</v>
      </c>
      <c r="BG65" s="5">
        <v>0</v>
      </c>
      <c r="BH65" s="5">
        <v>0</v>
      </c>
      <c r="BI65" s="5">
        <v>0</v>
      </c>
      <c r="BJ65" s="5">
        <v>0</v>
      </c>
      <c r="BK65" s="5">
        <v>0</v>
      </c>
      <c r="BL65" s="5">
        <v>0</v>
      </c>
      <c r="BM65" s="5">
        <v>20.5</v>
      </c>
      <c r="BN65" s="3">
        <v>0.54666668176651001</v>
      </c>
      <c r="BO65" s="3">
        <v>0</v>
      </c>
      <c r="BP65" s="3">
        <v>0</v>
      </c>
      <c r="BQ65" s="3">
        <v>0</v>
      </c>
    </row>
    <row r="66" spans="1:69" x14ac:dyDescent="0.2">
      <c r="A66" s="3">
        <v>347</v>
      </c>
      <c r="B66" s="79">
        <v>347</v>
      </c>
      <c r="C66" s="3">
        <v>4</v>
      </c>
      <c r="E66" s="23">
        <v>150300.5</v>
      </c>
      <c r="F66" s="23">
        <v>125148.133684163</v>
      </c>
      <c r="G66" s="23">
        <v>104774.37</v>
      </c>
      <c r="H66" s="3">
        <v>64779.4</v>
      </c>
      <c r="I66" s="3">
        <v>2018</v>
      </c>
      <c r="J66" s="3">
        <v>2021</v>
      </c>
      <c r="K66" s="3">
        <v>46287.83</v>
      </c>
      <c r="L66" s="3">
        <v>26391.26</v>
      </c>
      <c r="M66" s="3">
        <v>-3667.6100000000401</v>
      </c>
      <c r="N66" s="3">
        <v>-45331.359999999899</v>
      </c>
      <c r="O66" s="3">
        <v>363525065.39999998</v>
      </c>
      <c r="P66" s="23">
        <v>430754299.79112601</v>
      </c>
      <c r="Q66" s="23">
        <v>188705526.64770001</v>
      </c>
      <c r="R66" s="23">
        <v>106297522.30679999</v>
      </c>
      <c r="S66" s="50" t="s">
        <v>392</v>
      </c>
      <c r="T66" s="23" t="s">
        <v>289</v>
      </c>
      <c r="U66" s="23">
        <v>10551746.4</v>
      </c>
      <c r="V66" s="23">
        <v>434673</v>
      </c>
      <c r="W66" s="3" t="s">
        <v>21</v>
      </c>
      <c r="X66" s="79">
        <v>598365.07162701897</v>
      </c>
      <c r="Y66" s="3">
        <v>0</v>
      </c>
      <c r="Z66" s="3">
        <v>0</v>
      </c>
      <c r="AA66" s="3">
        <v>0</v>
      </c>
      <c r="AB66" s="3" t="s">
        <v>289</v>
      </c>
      <c r="AC66" s="3">
        <v>290312.90202044602</v>
      </c>
      <c r="AD66" s="3">
        <v>297768.42979009298</v>
      </c>
      <c r="AE66" s="3">
        <v>303312.39142206701</v>
      </c>
      <c r="AF66" s="3" t="s">
        <v>393</v>
      </c>
      <c r="AG66" s="3"/>
      <c r="AK66" s="10">
        <v>1</v>
      </c>
      <c r="AL66" s="10">
        <v>1</v>
      </c>
      <c r="AM66" s="10">
        <v>1</v>
      </c>
      <c r="AN66" s="10">
        <v>1.5</v>
      </c>
      <c r="AO66" s="92">
        <v>1.5</v>
      </c>
      <c r="AP66" s="10">
        <v>1.5</v>
      </c>
      <c r="AQ66" s="92">
        <v>1</v>
      </c>
      <c r="AR66" s="10">
        <v>1</v>
      </c>
      <c r="AS66" s="10">
        <v>1</v>
      </c>
      <c r="AT66" s="10">
        <v>1</v>
      </c>
      <c r="AU66" s="10">
        <v>1.5</v>
      </c>
      <c r="AV66" s="10">
        <v>1.5</v>
      </c>
      <c r="AW66" s="10">
        <v>1.5</v>
      </c>
      <c r="AX66" s="5">
        <v>1.5</v>
      </c>
      <c r="AY66" s="5">
        <v>0</v>
      </c>
      <c r="AZ66" s="5">
        <v>0</v>
      </c>
      <c r="BA66" s="5">
        <v>1</v>
      </c>
      <c r="BB66" s="5">
        <v>0</v>
      </c>
      <c r="BC66" s="5">
        <v>1</v>
      </c>
      <c r="BD66" s="5">
        <v>0</v>
      </c>
      <c r="BE66" s="5">
        <v>0</v>
      </c>
      <c r="BF66" s="5">
        <v>0</v>
      </c>
      <c r="BG66" s="5">
        <v>0</v>
      </c>
      <c r="BH66" s="5">
        <v>0</v>
      </c>
      <c r="BI66" s="5">
        <v>0</v>
      </c>
      <c r="BJ66" s="5">
        <v>0</v>
      </c>
      <c r="BK66" s="5">
        <v>0</v>
      </c>
      <c r="BL66" s="5">
        <v>0</v>
      </c>
      <c r="BM66" s="5">
        <v>19.5</v>
      </c>
      <c r="BN66" s="5">
        <v>0.51999998092651367</v>
      </c>
      <c r="BO66" s="3">
        <v>0</v>
      </c>
      <c r="BP66" s="3">
        <v>0</v>
      </c>
      <c r="BQ66" s="3">
        <v>0</v>
      </c>
    </row>
    <row r="67" spans="1:69" x14ac:dyDescent="0.2">
      <c r="A67" s="3">
        <v>348</v>
      </c>
      <c r="B67" s="79">
        <v>348</v>
      </c>
      <c r="C67" s="3">
        <v>3</v>
      </c>
      <c r="E67" s="3">
        <v>150300.5</v>
      </c>
      <c r="F67" s="3">
        <v>124708.514271048</v>
      </c>
      <c r="G67" s="3">
        <v>49699.56</v>
      </c>
      <c r="H67" s="3">
        <v>79681.7</v>
      </c>
      <c r="I67" s="3" t="s">
        <v>311</v>
      </c>
      <c r="J67" s="3" t="s">
        <v>395</v>
      </c>
      <c r="K67" s="3">
        <v>46283.8</v>
      </c>
      <c r="L67" s="3">
        <v>26386.39</v>
      </c>
      <c r="M67" s="94">
        <v>-3673.4000000000401</v>
      </c>
      <c r="N67" s="3">
        <v>-45338.15</v>
      </c>
      <c r="O67" s="3">
        <v>0.90117999999999998</v>
      </c>
      <c r="P67" s="3">
        <v>0.95111999999999997</v>
      </c>
      <c r="Q67" s="119">
        <v>0.94869999999999999</v>
      </c>
      <c r="R67" s="3">
        <v>0.97109999999999996</v>
      </c>
      <c r="S67" s="3" t="s">
        <v>396</v>
      </c>
      <c r="T67" s="94" t="s">
        <v>56</v>
      </c>
      <c r="U67" s="3">
        <v>8000000</v>
      </c>
      <c r="V67" s="3">
        <v>5330781.6901735198</v>
      </c>
      <c r="W67" s="3" t="s">
        <v>21</v>
      </c>
      <c r="X67" s="23">
        <v>0.272260831799161</v>
      </c>
      <c r="Y67" s="23">
        <v>0.06</v>
      </c>
      <c r="Z67" s="93">
        <v>5.99</v>
      </c>
      <c r="AA67" s="23">
        <v>233703.1</v>
      </c>
      <c r="AB67" s="93" t="s">
        <v>294</v>
      </c>
      <c r="AC67" s="50">
        <v>342188.129242783</v>
      </c>
      <c r="AD67" s="23">
        <v>292586.773611749</v>
      </c>
      <c r="AE67" s="23">
        <v>250585.571441162</v>
      </c>
      <c r="AF67" s="3">
        <v>30</v>
      </c>
      <c r="AK67" s="10">
        <v>1</v>
      </c>
      <c r="AL67" s="10">
        <v>0</v>
      </c>
      <c r="AM67" s="10">
        <v>0</v>
      </c>
      <c r="AN67" s="10">
        <v>0</v>
      </c>
      <c r="AO67" s="10">
        <v>0</v>
      </c>
      <c r="AP67" s="10">
        <v>0</v>
      </c>
      <c r="AQ67" s="10">
        <v>1</v>
      </c>
      <c r="AR67" s="10">
        <v>1</v>
      </c>
      <c r="AS67" s="10">
        <v>1</v>
      </c>
      <c r="AT67" s="10">
        <v>1</v>
      </c>
      <c r="AU67" s="10">
        <v>0</v>
      </c>
      <c r="AV67" s="10">
        <v>0</v>
      </c>
      <c r="AW67" s="10">
        <v>0</v>
      </c>
      <c r="AX67" s="10">
        <v>0</v>
      </c>
      <c r="AY67" s="10">
        <v>0</v>
      </c>
      <c r="AZ67" s="10">
        <v>1</v>
      </c>
      <c r="BA67" s="10">
        <v>0</v>
      </c>
      <c r="BB67" s="10">
        <v>0</v>
      </c>
      <c r="BC67" s="10">
        <v>1</v>
      </c>
      <c r="BD67" s="10">
        <v>0</v>
      </c>
      <c r="BE67" s="10">
        <v>1.5</v>
      </c>
      <c r="BF67" s="10">
        <v>0</v>
      </c>
      <c r="BG67" s="10">
        <v>0</v>
      </c>
      <c r="BH67" s="10">
        <v>0</v>
      </c>
      <c r="BI67" s="10">
        <v>0</v>
      </c>
      <c r="BJ67" s="10">
        <v>0</v>
      </c>
      <c r="BK67" s="79">
        <v>0</v>
      </c>
      <c r="BL67" s="12">
        <v>0</v>
      </c>
      <c r="BM67" s="3">
        <v>8.5</v>
      </c>
      <c r="BN67" s="3">
        <v>0.22666667401790619</v>
      </c>
      <c r="BO67" s="3">
        <v>0</v>
      </c>
      <c r="BP67" s="3">
        <v>0</v>
      </c>
      <c r="BQ67" s="3">
        <v>0</v>
      </c>
    </row>
    <row r="68" spans="1:69" x14ac:dyDescent="0.2">
      <c r="A68" s="3">
        <v>351</v>
      </c>
      <c r="B68" s="79">
        <v>351</v>
      </c>
      <c r="C68" s="3">
        <v>2</v>
      </c>
      <c r="E68" s="3">
        <v>150300.5</v>
      </c>
      <c r="F68" s="3">
        <v>125148.133684163</v>
      </c>
      <c r="G68" s="3">
        <v>49699.92</v>
      </c>
      <c r="H68" s="3">
        <v>68491.600000000006</v>
      </c>
      <c r="I68" s="3">
        <v>2017</v>
      </c>
      <c r="J68" s="3">
        <v>2020</v>
      </c>
      <c r="K68" s="3">
        <v>26391.26</v>
      </c>
      <c r="L68" s="3">
        <v>-3667.6100000000301</v>
      </c>
      <c r="M68" s="3">
        <v>-45331.360000000001</v>
      </c>
      <c r="N68" s="3">
        <v>-100042.57</v>
      </c>
      <c r="O68" s="3">
        <v>363525065.39999998</v>
      </c>
      <c r="P68" s="3">
        <v>430754299.79112601</v>
      </c>
      <c r="Q68" s="3">
        <v>188705526.64770001</v>
      </c>
      <c r="R68" s="3">
        <v>106297522.30679999</v>
      </c>
      <c r="S68" s="3" t="s">
        <v>397</v>
      </c>
      <c r="T68" s="3" t="s">
        <v>294</v>
      </c>
      <c r="U68" s="3">
        <v>10550139.199999999</v>
      </c>
      <c r="V68" s="3">
        <v>184587.86034731401</v>
      </c>
      <c r="W68" s="3" t="s">
        <v>21</v>
      </c>
      <c r="X68" s="23">
        <v>0.95</v>
      </c>
      <c r="Y68" s="23">
        <v>7.9809578827001099E-2</v>
      </c>
      <c r="Z68" s="23">
        <v>6.4266356110347402</v>
      </c>
      <c r="AA68" s="23">
        <v>403477.48542928399</v>
      </c>
      <c r="AB68" s="23" t="s">
        <v>294</v>
      </c>
      <c r="AC68" s="50">
        <v>370290.476606532</v>
      </c>
      <c r="AD68" s="23">
        <v>316327.19169986201</v>
      </c>
      <c r="AE68" s="23">
        <v>270703.76827731897</v>
      </c>
      <c r="AF68" s="3">
        <v>2026</v>
      </c>
      <c r="AK68" s="10">
        <v>1</v>
      </c>
      <c r="AL68" s="10">
        <v>1</v>
      </c>
      <c r="AM68" s="10">
        <v>0</v>
      </c>
      <c r="AN68" s="10">
        <v>0</v>
      </c>
      <c r="AO68" s="10">
        <v>0</v>
      </c>
      <c r="AP68" s="10">
        <v>1.5</v>
      </c>
      <c r="AQ68" s="10">
        <v>0</v>
      </c>
      <c r="AR68" s="10">
        <v>0</v>
      </c>
      <c r="AS68" s="10">
        <v>0</v>
      </c>
      <c r="AT68" s="10">
        <v>0</v>
      </c>
      <c r="AU68" s="10">
        <v>1.5</v>
      </c>
      <c r="AV68" s="10">
        <v>1.5</v>
      </c>
      <c r="AW68" s="10">
        <v>1.5</v>
      </c>
      <c r="AX68" s="10">
        <v>1.5</v>
      </c>
      <c r="AY68" s="10">
        <v>1</v>
      </c>
      <c r="AZ68" s="10">
        <v>0</v>
      </c>
      <c r="BA68" s="10">
        <v>0</v>
      </c>
      <c r="BB68" s="10">
        <v>0</v>
      </c>
      <c r="BC68" s="10">
        <v>1</v>
      </c>
      <c r="BD68" s="10">
        <v>0</v>
      </c>
      <c r="BE68" s="10">
        <v>1.5</v>
      </c>
      <c r="BF68" s="10">
        <v>1.5</v>
      </c>
      <c r="BG68" s="10">
        <v>0</v>
      </c>
      <c r="BH68" s="10">
        <v>0</v>
      </c>
      <c r="BI68" s="10">
        <v>0</v>
      </c>
      <c r="BJ68" s="10">
        <v>0</v>
      </c>
      <c r="BK68" s="79">
        <v>0</v>
      </c>
      <c r="BL68" s="3">
        <v>0</v>
      </c>
      <c r="BM68" s="3">
        <v>14.5</v>
      </c>
      <c r="BN68" s="3">
        <v>0.38666665554046631</v>
      </c>
      <c r="BO68" s="3">
        <v>0</v>
      </c>
      <c r="BP68" s="3">
        <v>0</v>
      </c>
      <c r="BQ68" s="3">
        <v>0</v>
      </c>
    </row>
    <row r="69" spans="1:69" x14ac:dyDescent="0.2">
      <c r="A69" s="5">
        <v>352</v>
      </c>
      <c r="B69" s="11">
        <v>352</v>
      </c>
      <c r="C69" s="5">
        <v>2</v>
      </c>
      <c r="D69" s="5"/>
      <c r="E69" s="22">
        <v>150300.5</v>
      </c>
      <c r="F69" s="22">
        <v>125148.133684163</v>
      </c>
      <c r="G69" s="22">
        <v>104774.37</v>
      </c>
      <c r="H69" s="18">
        <v>64779.4</v>
      </c>
      <c r="I69" s="18">
        <v>2018</v>
      </c>
      <c r="J69" s="18">
        <v>2020</v>
      </c>
      <c r="K69" s="18">
        <v>46287.83</v>
      </c>
      <c r="L69" s="5">
        <v>26391.26</v>
      </c>
      <c r="M69" s="5">
        <v>-3667.6100000000301</v>
      </c>
      <c r="N69" s="5">
        <v>-45331.360000000001</v>
      </c>
      <c r="O69" s="18">
        <v>363525065.39999998</v>
      </c>
      <c r="P69" s="5">
        <v>430754299.79112601</v>
      </c>
      <c r="Q69" s="22">
        <v>188705526.64770001</v>
      </c>
      <c r="R69" s="22">
        <v>106297522.30679999</v>
      </c>
      <c r="S69" s="15" t="s">
        <v>399</v>
      </c>
      <c r="T69" s="22" t="s">
        <v>56</v>
      </c>
      <c r="U69" s="22">
        <v>10551708</v>
      </c>
      <c r="V69" s="22">
        <v>229700.19192427001</v>
      </c>
      <c r="W69" s="5" t="s">
        <v>22</v>
      </c>
      <c r="X69" s="79">
        <v>2.8620000000000001</v>
      </c>
      <c r="Y69" s="3">
        <v>7.9810085216780194E-2</v>
      </c>
      <c r="Z69" s="3">
        <v>6.4269495907462098</v>
      </c>
      <c r="AA69" s="3">
        <v>374986.18084627198</v>
      </c>
      <c r="AB69" s="3" t="s">
        <v>294</v>
      </c>
      <c r="AC69" s="3">
        <v>400991.33669850702</v>
      </c>
      <c r="AD69" s="3">
        <v>342216.91621592699</v>
      </c>
      <c r="AE69" s="3">
        <v>292611.38781333697</v>
      </c>
      <c r="AF69" s="3">
        <v>31</v>
      </c>
      <c r="AG69" s="3"/>
      <c r="AH69" s="17"/>
      <c r="AI69" s="17"/>
      <c r="AJ69" s="17"/>
      <c r="AK69" s="17">
        <v>1</v>
      </c>
      <c r="AL69" s="17">
        <v>1</v>
      </c>
      <c r="AM69" s="17">
        <v>1</v>
      </c>
      <c r="AN69" s="17">
        <v>1.5</v>
      </c>
      <c r="AO69" s="91">
        <v>1.5</v>
      </c>
      <c r="AP69" s="17">
        <v>1.5</v>
      </c>
      <c r="AQ69" s="91">
        <v>1</v>
      </c>
      <c r="AR69" s="17">
        <v>1</v>
      </c>
      <c r="AS69" s="17">
        <v>1</v>
      </c>
      <c r="AT69" s="17">
        <v>1</v>
      </c>
      <c r="AU69" s="17">
        <v>1.5</v>
      </c>
      <c r="AV69" s="17">
        <v>1.5</v>
      </c>
      <c r="AW69" s="17">
        <v>1.5</v>
      </c>
      <c r="AX69" s="5">
        <v>1.5</v>
      </c>
      <c r="AY69" s="5">
        <v>1</v>
      </c>
      <c r="AZ69" s="5">
        <v>1</v>
      </c>
      <c r="BA69" s="5">
        <v>1</v>
      </c>
      <c r="BB69" s="5">
        <v>2</v>
      </c>
      <c r="BC69" s="5">
        <v>0</v>
      </c>
      <c r="BD69" s="5">
        <v>0</v>
      </c>
      <c r="BE69" s="5">
        <v>1.5</v>
      </c>
      <c r="BF69" s="5">
        <v>1.5</v>
      </c>
      <c r="BG69" s="5">
        <v>0</v>
      </c>
      <c r="BH69" s="5">
        <v>0</v>
      </c>
      <c r="BI69" s="5">
        <v>1.5</v>
      </c>
      <c r="BJ69" s="5">
        <v>1.5</v>
      </c>
      <c r="BK69" s="5">
        <v>1.5</v>
      </c>
      <c r="BL69" s="5">
        <v>1.5</v>
      </c>
      <c r="BM69" s="5">
        <v>31.5</v>
      </c>
      <c r="BN69" s="3">
        <v>0.8399999737739563</v>
      </c>
      <c r="BO69" s="3">
        <v>0</v>
      </c>
      <c r="BP69" s="3">
        <v>0</v>
      </c>
      <c r="BQ69" s="3">
        <v>0</v>
      </c>
    </row>
    <row r="70" spans="1:69" x14ac:dyDescent="0.2">
      <c r="A70" s="3">
        <v>353</v>
      </c>
      <c r="B70" s="79">
        <v>353</v>
      </c>
      <c r="C70" s="3">
        <v>4</v>
      </c>
      <c r="E70" s="3">
        <v>150300.5</v>
      </c>
      <c r="F70" s="3">
        <v>120568.1</v>
      </c>
      <c r="G70" s="3">
        <v>104774.37</v>
      </c>
      <c r="H70" s="3">
        <v>64779.4</v>
      </c>
      <c r="I70" s="3">
        <v>2018</v>
      </c>
      <c r="J70" s="3">
        <v>2021</v>
      </c>
      <c r="K70" s="3">
        <v>46287.83</v>
      </c>
      <c r="L70" s="3">
        <v>26391.26</v>
      </c>
      <c r="M70" s="3">
        <v>-3667.6100000000301</v>
      </c>
      <c r="N70" s="3">
        <v>-45331.360000000001</v>
      </c>
      <c r="O70" s="3">
        <v>363525065.39999998</v>
      </c>
      <c r="P70" s="3">
        <v>430754299.79112601</v>
      </c>
      <c r="Q70" s="23">
        <v>188705526.64770001</v>
      </c>
      <c r="R70" s="23">
        <v>106297522.30679999</v>
      </c>
      <c r="S70" s="50" t="s">
        <v>401</v>
      </c>
      <c r="T70" s="23" t="s">
        <v>294</v>
      </c>
      <c r="U70" s="23">
        <v>10551958.4</v>
      </c>
      <c r="V70" s="23">
        <v>207222.02507315599</v>
      </c>
      <c r="W70" s="3" t="s">
        <v>21</v>
      </c>
      <c r="X70" s="79">
        <v>4.9276458827047898E-2</v>
      </c>
      <c r="Y70" s="3">
        <v>7.9805261271179095E-2</v>
      </c>
      <c r="Z70" s="3">
        <v>6.4266885587568998</v>
      </c>
      <c r="AA70" s="3">
        <v>374961.281976333</v>
      </c>
      <c r="AB70" s="3" t="s">
        <v>289</v>
      </c>
      <c r="AC70" s="3">
        <v>401000.85252577497</v>
      </c>
      <c r="AD70" s="3">
        <v>342225.03728180798</v>
      </c>
      <c r="AE70" s="3">
        <v>292618.33170256601</v>
      </c>
      <c r="AF70" s="3">
        <v>31</v>
      </c>
      <c r="AG70" s="3"/>
      <c r="AK70" s="10">
        <v>1</v>
      </c>
      <c r="AL70" s="10">
        <v>0</v>
      </c>
      <c r="AM70" s="10">
        <v>1</v>
      </c>
      <c r="AN70" s="10">
        <v>1.5</v>
      </c>
      <c r="AO70" s="92">
        <v>1.5</v>
      </c>
      <c r="AP70" s="10">
        <v>1.5</v>
      </c>
      <c r="AQ70" s="92">
        <v>1</v>
      </c>
      <c r="AR70" s="10">
        <v>1</v>
      </c>
      <c r="AS70" s="10">
        <v>1</v>
      </c>
      <c r="AT70" s="10">
        <v>1</v>
      </c>
      <c r="AU70" s="10">
        <v>1.5</v>
      </c>
      <c r="AV70" s="10">
        <v>1.5</v>
      </c>
      <c r="AW70" s="10">
        <v>1.5</v>
      </c>
      <c r="AX70" s="5">
        <v>1.5</v>
      </c>
      <c r="AY70" s="5">
        <v>1</v>
      </c>
      <c r="AZ70" s="5">
        <v>0</v>
      </c>
      <c r="BA70" s="5">
        <v>1</v>
      </c>
      <c r="BB70" s="5">
        <v>0</v>
      </c>
      <c r="BC70" s="5">
        <v>1</v>
      </c>
      <c r="BD70" s="5">
        <v>0</v>
      </c>
      <c r="BE70" s="5">
        <v>1.5</v>
      </c>
      <c r="BF70" s="5">
        <v>1.5</v>
      </c>
      <c r="BG70" s="5">
        <v>1.5</v>
      </c>
      <c r="BH70" s="5">
        <v>0</v>
      </c>
      <c r="BI70" s="5">
        <v>1.5</v>
      </c>
      <c r="BJ70" s="5">
        <v>1.5</v>
      </c>
      <c r="BK70" s="5">
        <v>1.5</v>
      </c>
      <c r="BL70" s="5">
        <v>1.5</v>
      </c>
      <c r="BM70" s="5">
        <v>30</v>
      </c>
      <c r="BN70" s="3">
        <v>0.80000001192092896</v>
      </c>
      <c r="BO70" s="3">
        <v>0</v>
      </c>
      <c r="BP70" s="3">
        <v>0</v>
      </c>
      <c r="BQ70" s="3">
        <v>0</v>
      </c>
    </row>
    <row r="71" spans="1:69" x14ac:dyDescent="0.2">
      <c r="A71" s="3">
        <v>354</v>
      </c>
      <c r="B71" s="79">
        <v>354</v>
      </c>
      <c r="C71" s="3">
        <v>1</v>
      </c>
      <c r="E71" s="23">
        <v>150300.5</v>
      </c>
      <c r="F71" s="23">
        <v>125148.133684163</v>
      </c>
      <c r="G71" s="23">
        <v>104774.37</v>
      </c>
      <c r="H71" s="3">
        <v>64779.4</v>
      </c>
      <c r="I71" s="3">
        <v>2018</v>
      </c>
      <c r="J71" s="3">
        <v>2020</v>
      </c>
      <c r="K71" s="3">
        <v>46287.83</v>
      </c>
      <c r="L71" s="3">
        <v>26391.26</v>
      </c>
      <c r="M71" s="3">
        <v>-3667.6100000000301</v>
      </c>
      <c r="N71" s="3">
        <v>-45331.360000000001</v>
      </c>
      <c r="O71" s="3">
        <v>363525065.39999998</v>
      </c>
      <c r="P71" s="19">
        <v>430754299.79112601</v>
      </c>
      <c r="Q71" s="23">
        <v>188705526.64770001</v>
      </c>
      <c r="R71" s="23">
        <v>106297522.30679999</v>
      </c>
      <c r="S71" s="50" t="s">
        <v>402</v>
      </c>
      <c r="T71" s="23" t="s">
        <v>294</v>
      </c>
      <c r="U71" s="23">
        <v>10550276.800000001</v>
      </c>
      <c r="V71" s="23">
        <v>229669.03612326799</v>
      </c>
      <c r="W71" s="3" t="s">
        <v>21</v>
      </c>
      <c r="X71" s="79">
        <v>4.8205444124914197E-2</v>
      </c>
      <c r="Y71" s="3">
        <v>8.00707490984119E-2</v>
      </c>
      <c r="Z71" s="3">
        <v>6.4391918614463703</v>
      </c>
      <c r="AA71" s="3">
        <v>35456941942.619797</v>
      </c>
      <c r="AB71" s="3" t="s">
        <v>139</v>
      </c>
      <c r="AC71" s="3">
        <v>400936.94751326001</v>
      </c>
      <c r="AD71" s="3">
        <v>342170.49900551001</v>
      </c>
      <c r="AE71" s="3">
        <v>292571.698938491</v>
      </c>
      <c r="AF71" s="3">
        <v>31</v>
      </c>
      <c r="AG71" s="3"/>
      <c r="AK71" s="10">
        <v>1</v>
      </c>
      <c r="AL71" s="10">
        <v>1</v>
      </c>
      <c r="AM71" s="10">
        <v>1</v>
      </c>
      <c r="AN71" s="10">
        <v>1.5</v>
      </c>
      <c r="AO71" s="92">
        <v>1.5</v>
      </c>
      <c r="AP71" s="10">
        <v>1.5</v>
      </c>
      <c r="AQ71" s="92">
        <v>1</v>
      </c>
      <c r="AR71" s="10">
        <v>1</v>
      </c>
      <c r="AS71" s="10">
        <v>1</v>
      </c>
      <c r="AT71" s="10">
        <v>1</v>
      </c>
      <c r="AU71" s="10">
        <v>1.5</v>
      </c>
      <c r="AV71" s="10">
        <v>1.5</v>
      </c>
      <c r="AW71" s="10">
        <v>1.5</v>
      </c>
      <c r="AX71" s="5">
        <v>1.5</v>
      </c>
      <c r="AY71" s="5">
        <v>2</v>
      </c>
      <c r="AZ71" s="5">
        <v>0</v>
      </c>
      <c r="BA71" s="5">
        <v>1</v>
      </c>
      <c r="BB71" s="5">
        <v>2</v>
      </c>
      <c r="BC71" s="5">
        <v>1</v>
      </c>
      <c r="BD71" s="5">
        <v>0</v>
      </c>
      <c r="BE71" s="5">
        <v>1.5</v>
      </c>
      <c r="BF71" s="5">
        <v>1.5</v>
      </c>
      <c r="BG71" s="5">
        <v>0</v>
      </c>
      <c r="BH71" s="5">
        <v>1</v>
      </c>
      <c r="BI71" s="5">
        <v>1.5</v>
      </c>
      <c r="BJ71" s="5">
        <v>1.5</v>
      </c>
      <c r="BK71" s="5">
        <v>1.5</v>
      </c>
      <c r="BL71" s="5">
        <v>1.5</v>
      </c>
      <c r="BM71" s="5">
        <v>33.5</v>
      </c>
      <c r="BN71" s="3">
        <v>0.8933333158493042</v>
      </c>
      <c r="BO71" s="3">
        <v>0</v>
      </c>
      <c r="BP71" s="3">
        <v>0</v>
      </c>
      <c r="BQ71" s="3">
        <v>0</v>
      </c>
    </row>
    <row r="72" spans="1:69" x14ac:dyDescent="0.2">
      <c r="A72" s="3">
        <v>355</v>
      </c>
      <c r="B72" s="79">
        <v>355</v>
      </c>
      <c r="C72" s="3">
        <v>2</v>
      </c>
      <c r="E72" s="3">
        <v>150300.5</v>
      </c>
      <c r="F72" s="3">
        <v>125148.133684163</v>
      </c>
      <c r="G72" s="3">
        <v>104773.65</v>
      </c>
      <c r="H72" s="3">
        <v>64779.4</v>
      </c>
      <c r="I72" s="3">
        <v>2018</v>
      </c>
      <c r="J72" s="3">
        <v>2020</v>
      </c>
      <c r="K72" s="3">
        <v>46283.8</v>
      </c>
      <c r="L72" s="3">
        <v>26386.39</v>
      </c>
      <c r="M72" s="3">
        <v>-3673.4000000000401</v>
      </c>
      <c r="N72" s="3">
        <v>-45338.15</v>
      </c>
      <c r="O72" s="3">
        <v>363525065.39999998</v>
      </c>
      <c r="P72" s="3">
        <v>430754299.79112601</v>
      </c>
      <c r="Q72" s="23">
        <v>188705527.7493</v>
      </c>
      <c r="R72" s="23">
        <v>106297558.93889999</v>
      </c>
      <c r="S72" s="50" t="s">
        <v>403</v>
      </c>
      <c r="T72" s="23" t="s">
        <v>56</v>
      </c>
      <c r="U72" s="23">
        <v>10551956.4</v>
      </c>
      <c r="V72" s="23">
        <v>229705.59934529301</v>
      </c>
      <c r="W72" s="3" t="s">
        <v>20</v>
      </c>
      <c r="X72" s="79">
        <v>0.95</v>
      </c>
      <c r="Y72" s="3">
        <v>7.57541899551466E-2</v>
      </c>
      <c r="Z72" s="3">
        <v>6.3712745230853098</v>
      </c>
      <c r="AA72" s="3">
        <v>1190761310.18764</v>
      </c>
      <c r="AB72" s="3" t="s">
        <v>289</v>
      </c>
      <c r="AC72" s="3">
        <v>1.5163651578852899</v>
      </c>
      <c r="AD72" s="3">
        <v>1.5838956898917</v>
      </c>
      <c r="AE72" s="3">
        <v>1.64161010135908</v>
      </c>
      <c r="AF72" s="3">
        <v>31</v>
      </c>
      <c r="AG72" s="3"/>
      <c r="AK72" s="10">
        <v>1</v>
      </c>
      <c r="AL72" s="10">
        <v>1</v>
      </c>
      <c r="AM72" s="10">
        <v>1</v>
      </c>
      <c r="AN72" s="10">
        <v>1.5</v>
      </c>
      <c r="AO72" s="92">
        <v>1.5</v>
      </c>
      <c r="AP72" s="10">
        <v>1.5</v>
      </c>
      <c r="AQ72" s="92">
        <v>1</v>
      </c>
      <c r="AR72" s="10">
        <v>1</v>
      </c>
      <c r="AS72" s="10">
        <v>1</v>
      </c>
      <c r="AT72" s="10">
        <v>1</v>
      </c>
      <c r="AU72" s="10">
        <v>1.5</v>
      </c>
      <c r="AV72" s="10">
        <v>1.5</v>
      </c>
      <c r="AW72" s="10">
        <v>1.5</v>
      </c>
      <c r="AX72" s="5">
        <v>0</v>
      </c>
      <c r="AY72" s="5">
        <v>0</v>
      </c>
      <c r="AZ72" s="5">
        <v>1</v>
      </c>
      <c r="BA72" s="5">
        <v>1</v>
      </c>
      <c r="BB72" s="5">
        <v>2</v>
      </c>
      <c r="BC72" s="5">
        <v>0</v>
      </c>
      <c r="BD72" s="5">
        <v>0</v>
      </c>
      <c r="BE72" s="5">
        <v>1.5</v>
      </c>
      <c r="BF72" s="5">
        <v>0</v>
      </c>
      <c r="BG72" s="5">
        <v>0</v>
      </c>
      <c r="BH72" s="5">
        <v>0</v>
      </c>
      <c r="BI72" s="5">
        <v>0</v>
      </c>
      <c r="BJ72" s="5">
        <v>0</v>
      </c>
      <c r="BK72" s="5">
        <v>0</v>
      </c>
      <c r="BL72" s="5">
        <v>1.5</v>
      </c>
      <c r="BM72" s="5">
        <v>23</v>
      </c>
      <c r="BN72" s="3">
        <v>0.61333334445953369</v>
      </c>
      <c r="BO72" s="3">
        <v>0</v>
      </c>
      <c r="BP72" s="3">
        <v>0</v>
      </c>
      <c r="BQ72" s="3">
        <v>0</v>
      </c>
    </row>
    <row r="73" spans="1:69" x14ac:dyDescent="0.2">
      <c r="A73" s="3">
        <v>356</v>
      </c>
      <c r="B73" s="79">
        <v>356</v>
      </c>
      <c r="C73" s="3">
        <v>2</v>
      </c>
      <c r="E73" s="3">
        <v>150300.5</v>
      </c>
      <c r="F73" s="3">
        <v>125148.133684163</v>
      </c>
      <c r="G73" s="3">
        <v>104774.37</v>
      </c>
      <c r="H73" s="3">
        <v>64779.4</v>
      </c>
      <c r="I73" s="3">
        <v>2018</v>
      </c>
      <c r="J73" s="3">
        <v>2021</v>
      </c>
      <c r="K73" s="3">
        <v>46287.83</v>
      </c>
      <c r="L73" s="3">
        <v>26391.26</v>
      </c>
      <c r="M73" s="3">
        <v>-3667.6100000000301</v>
      </c>
      <c r="N73" s="3">
        <v>-45331.360000000001</v>
      </c>
      <c r="O73" s="3">
        <v>363525065.39999998</v>
      </c>
      <c r="P73" s="3">
        <v>430754299.79112601</v>
      </c>
      <c r="Q73" s="3">
        <v>188705526.64770001</v>
      </c>
      <c r="R73" s="3">
        <v>106297522.30679999</v>
      </c>
      <c r="S73" s="3" t="s">
        <v>406</v>
      </c>
      <c r="T73" s="3" t="s">
        <v>294</v>
      </c>
      <c r="U73" s="3">
        <v>10551528</v>
      </c>
      <c r="V73" s="3">
        <v>229696.27350323999</v>
      </c>
      <c r="W73" s="3" t="s">
        <v>21</v>
      </c>
      <c r="X73" s="23">
        <v>4.9276458827047898E-2</v>
      </c>
      <c r="Y73" s="23">
        <v>7.9805654339071302E-2</v>
      </c>
      <c r="Z73" s="23">
        <v>6.4266824456895302</v>
      </c>
      <c r="AA73" s="23">
        <v>207215.70550488401</v>
      </c>
      <c r="AB73" s="23" t="s">
        <v>289</v>
      </c>
      <c r="AC73" s="50">
        <v>400984.496247595</v>
      </c>
      <c r="AD73" s="23">
        <v>342211.07838901703</v>
      </c>
      <c r="AE73" s="23">
        <v>292606.39619967702</v>
      </c>
      <c r="AF73" s="3">
        <v>31</v>
      </c>
      <c r="AK73" s="10">
        <v>1</v>
      </c>
      <c r="AL73" s="10">
        <v>1</v>
      </c>
      <c r="AM73" s="10">
        <v>1</v>
      </c>
      <c r="AN73" s="10">
        <v>1.5</v>
      </c>
      <c r="AO73" s="10">
        <v>1.5</v>
      </c>
      <c r="AP73" s="10">
        <v>1.5</v>
      </c>
      <c r="AQ73" s="10">
        <v>1</v>
      </c>
      <c r="AR73" s="10">
        <v>1</v>
      </c>
      <c r="AS73" s="10">
        <v>1</v>
      </c>
      <c r="AT73" s="10">
        <v>1</v>
      </c>
      <c r="AU73" s="10">
        <v>1.5</v>
      </c>
      <c r="AV73" s="10">
        <v>1.5</v>
      </c>
      <c r="AW73" s="10">
        <v>1.5</v>
      </c>
      <c r="AX73" s="10">
        <v>1.5</v>
      </c>
      <c r="AY73" s="10">
        <v>2</v>
      </c>
      <c r="AZ73" s="10">
        <v>0</v>
      </c>
      <c r="BA73" s="10">
        <v>1</v>
      </c>
      <c r="BB73" s="10">
        <v>2</v>
      </c>
      <c r="BC73" s="10">
        <v>1</v>
      </c>
      <c r="BD73" s="10">
        <v>0</v>
      </c>
      <c r="BE73" s="10">
        <v>1.5</v>
      </c>
      <c r="BF73" s="10">
        <v>1.5</v>
      </c>
      <c r="BG73" s="10">
        <v>0</v>
      </c>
      <c r="BH73" s="10">
        <v>0</v>
      </c>
      <c r="BI73" s="10">
        <v>1.5</v>
      </c>
      <c r="BJ73" s="10">
        <v>1.5</v>
      </c>
      <c r="BK73" s="79">
        <v>1.5</v>
      </c>
      <c r="BL73" s="3">
        <v>1.5</v>
      </c>
      <c r="BM73" s="3">
        <v>32.5</v>
      </c>
      <c r="BN73" s="3">
        <v>0.86666667461395264</v>
      </c>
      <c r="BO73" s="3">
        <v>0</v>
      </c>
      <c r="BP73" s="3">
        <v>0</v>
      </c>
      <c r="BQ73" s="3">
        <v>0</v>
      </c>
    </row>
    <row r="74" spans="1:69" x14ac:dyDescent="0.2">
      <c r="A74" s="3">
        <v>357</v>
      </c>
      <c r="B74" s="79">
        <v>357</v>
      </c>
      <c r="C74" s="3">
        <v>1</v>
      </c>
      <c r="E74" s="3">
        <v>150300.5</v>
      </c>
      <c r="F74" s="3">
        <v>124708.514271048</v>
      </c>
      <c r="G74" s="3">
        <v>104773.65</v>
      </c>
      <c r="H74" s="3">
        <v>64779.4</v>
      </c>
      <c r="I74" s="3">
        <v>2018</v>
      </c>
      <c r="J74" s="3">
        <v>2021</v>
      </c>
      <c r="K74" s="3">
        <v>46283.8</v>
      </c>
      <c r="L74" s="3">
        <v>26386.39</v>
      </c>
      <c r="M74" s="3">
        <v>-3673.4000000000401</v>
      </c>
      <c r="N74" s="3">
        <v>-45338.15</v>
      </c>
      <c r="O74" s="3">
        <v>363525065.39999998</v>
      </c>
      <c r="P74" s="3">
        <v>428009464.06866002</v>
      </c>
      <c r="Q74" s="23">
        <v>188705527.7493</v>
      </c>
      <c r="R74" s="23">
        <v>106297558.93889999</v>
      </c>
      <c r="S74" s="50" t="s">
        <v>407</v>
      </c>
      <c r="T74" s="23" t="s">
        <v>56</v>
      </c>
      <c r="U74" s="23">
        <v>10550615.6</v>
      </c>
      <c r="V74" s="23">
        <v>4922475.1429216703</v>
      </c>
      <c r="W74" s="3" t="s">
        <v>21</v>
      </c>
      <c r="X74" s="79">
        <v>0.05</v>
      </c>
      <c r="Y74" s="3">
        <v>5.4138419234615098E-2</v>
      </c>
      <c r="Z74" s="3">
        <v>6.73560929788328</v>
      </c>
      <c r="AA74" s="3">
        <v>496806.21998281998</v>
      </c>
      <c r="AB74" s="3" t="s">
        <v>289</v>
      </c>
      <c r="AC74" s="3">
        <v>1.5163651578852899</v>
      </c>
      <c r="AD74" s="3">
        <v>1.5838956898917</v>
      </c>
      <c r="AE74" s="3">
        <v>1.64161010135908</v>
      </c>
      <c r="AF74" s="3">
        <v>31</v>
      </c>
      <c r="AG74" s="3"/>
      <c r="AK74" s="10">
        <v>1</v>
      </c>
      <c r="AL74" s="10">
        <v>0</v>
      </c>
      <c r="AM74" s="10">
        <v>1</v>
      </c>
      <c r="AN74" s="10">
        <v>1.5</v>
      </c>
      <c r="AO74" s="92">
        <v>1.5</v>
      </c>
      <c r="AP74" s="10">
        <v>1.5</v>
      </c>
      <c r="AQ74" s="92">
        <v>1</v>
      </c>
      <c r="AR74" s="10">
        <v>1</v>
      </c>
      <c r="AS74" s="10">
        <v>1</v>
      </c>
      <c r="AT74" s="10">
        <v>1</v>
      </c>
      <c r="AU74" s="10">
        <v>1.5</v>
      </c>
      <c r="AV74" s="10">
        <v>1.5</v>
      </c>
      <c r="AW74" s="10">
        <v>1.5</v>
      </c>
      <c r="AX74" s="5">
        <v>0</v>
      </c>
      <c r="AY74" s="5">
        <v>0</v>
      </c>
      <c r="AZ74" s="5">
        <v>1</v>
      </c>
      <c r="BA74" s="5">
        <v>1</v>
      </c>
      <c r="BB74" s="5">
        <v>0</v>
      </c>
      <c r="BC74" s="5">
        <v>1</v>
      </c>
      <c r="BD74" s="5">
        <v>0</v>
      </c>
      <c r="BE74" s="5">
        <v>0</v>
      </c>
      <c r="BF74" s="5">
        <v>0</v>
      </c>
      <c r="BG74" s="5">
        <v>0</v>
      </c>
      <c r="BH74" s="5">
        <v>0</v>
      </c>
      <c r="BI74" s="5">
        <v>0</v>
      </c>
      <c r="BJ74" s="5">
        <v>0</v>
      </c>
      <c r="BK74" s="5">
        <v>0</v>
      </c>
      <c r="BL74" s="5">
        <v>1.5</v>
      </c>
      <c r="BM74" s="5">
        <v>19.5</v>
      </c>
      <c r="BN74" s="3">
        <v>0.51999998092651367</v>
      </c>
      <c r="BO74" s="3">
        <v>0</v>
      </c>
      <c r="BP74" s="3">
        <v>0</v>
      </c>
      <c r="BQ74" s="3">
        <v>0</v>
      </c>
    </row>
    <row r="75" spans="1:69" x14ac:dyDescent="0.2">
      <c r="A75" s="3">
        <v>358</v>
      </c>
      <c r="B75" s="79">
        <v>358</v>
      </c>
      <c r="C75" s="3">
        <v>1</v>
      </c>
      <c r="E75" s="3">
        <v>150300.5</v>
      </c>
      <c r="F75" s="3">
        <v>125148.13370000001</v>
      </c>
      <c r="G75" s="3">
        <v>49699.92</v>
      </c>
      <c r="H75" s="3">
        <v>68492</v>
      </c>
      <c r="I75" s="3">
        <v>2018</v>
      </c>
      <c r="J75" s="3">
        <v>2020</v>
      </c>
      <c r="K75" s="3">
        <v>46287.83</v>
      </c>
      <c r="L75" s="3">
        <v>26391.26</v>
      </c>
      <c r="M75" s="3">
        <v>-3667.61</v>
      </c>
      <c r="N75" s="3">
        <v>-45331.360000000001</v>
      </c>
      <c r="O75" s="3">
        <v>363525065.39999998</v>
      </c>
      <c r="P75" s="3">
        <v>428009464.06866002</v>
      </c>
      <c r="Q75" s="23">
        <v>188705527.7493</v>
      </c>
      <c r="R75" s="93">
        <v>106297558.93889999</v>
      </c>
      <c r="S75" s="50">
        <v>0</v>
      </c>
      <c r="T75" s="23" t="s">
        <v>56</v>
      </c>
      <c r="U75" s="23">
        <v>10551377.6</v>
      </c>
      <c r="V75" s="23">
        <v>9425464.5621658303</v>
      </c>
      <c r="W75" s="3" t="s">
        <v>21</v>
      </c>
      <c r="X75" s="79">
        <v>0.95</v>
      </c>
      <c r="Y75" s="3">
        <v>5.1716015408268902E-2</v>
      </c>
      <c r="Z75" s="3">
        <v>6.9472434625568296</v>
      </c>
      <c r="AA75" s="3">
        <v>430849.43948027201</v>
      </c>
      <c r="AB75" s="3" t="s">
        <v>289</v>
      </c>
      <c r="AC75" s="3">
        <v>1.4783626528217899</v>
      </c>
      <c r="AD75" s="3">
        <v>1.5514633181642099</v>
      </c>
      <c r="AE75" s="3">
        <v>1.6138789143499901</v>
      </c>
      <c r="AF75" s="3">
        <v>31</v>
      </c>
      <c r="AG75" s="3"/>
      <c r="AK75" s="10">
        <v>1</v>
      </c>
      <c r="AL75" s="10">
        <v>1</v>
      </c>
      <c r="AM75" s="10">
        <v>0</v>
      </c>
      <c r="AN75" s="10">
        <v>0</v>
      </c>
      <c r="AO75" s="92">
        <v>1.5</v>
      </c>
      <c r="AP75" s="10">
        <v>1.5</v>
      </c>
      <c r="AQ75" s="92">
        <v>1</v>
      </c>
      <c r="AR75" s="10">
        <v>1</v>
      </c>
      <c r="AS75" s="10">
        <v>1</v>
      </c>
      <c r="AT75" s="10">
        <v>1</v>
      </c>
      <c r="AU75" s="10">
        <v>1.5</v>
      </c>
      <c r="AV75" s="10">
        <v>1.5</v>
      </c>
      <c r="AW75" s="10">
        <v>1.5</v>
      </c>
      <c r="AX75" s="5">
        <v>0</v>
      </c>
      <c r="AY75" s="5">
        <v>0</v>
      </c>
      <c r="AZ75" s="5">
        <v>1</v>
      </c>
      <c r="BA75" s="5">
        <v>1</v>
      </c>
      <c r="BB75" s="5">
        <v>0</v>
      </c>
      <c r="BC75" s="5">
        <v>1</v>
      </c>
      <c r="BD75" s="5">
        <v>0</v>
      </c>
      <c r="BE75" s="5">
        <v>0</v>
      </c>
      <c r="BF75" s="5">
        <v>0</v>
      </c>
      <c r="BG75" s="5">
        <v>0</v>
      </c>
      <c r="BH75" s="5">
        <v>0</v>
      </c>
      <c r="BI75" s="5">
        <v>0</v>
      </c>
      <c r="BJ75" s="5">
        <v>0</v>
      </c>
      <c r="BK75" s="5">
        <v>0</v>
      </c>
      <c r="BL75" s="5">
        <v>1.5</v>
      </c>
      <c r="BM75" s="5">
        <v>18</v>
      </c>
      <c r="BN75" s="3">
        <v>0.47999998927116394</v>
      </c>
      <c r="BO75" s="3">
        <v>0</v>
      </c>
      <c r="BP75" s="3">
        <v>0</v>
      </c>
      <c r="BQ75" s="3">
        <v>0</v>
      </c>
    </row>
    <row r="76" spans="1:69" x14ac:dyDescent="0.2">
      <c r="A76" s="3">
        <v>359</v>
      </c>
      <c r="B76" s="79">
        <v>359</v>
      </c>
      <c r="C76" s="3">
        <v>1</v>
      </c>
      <c r="E76" s="3">
        <v>150300.5</v>
      </c>
      <c r="F76" s="3">
        <v>125148.133684163</v>
      </c>
      <c r="G76" s="3">
        <v>104774.37</v>
      </c>
      <c r="H76" s="3">
        <v>64779.4</v>
      </c>
      <c r="I76" s="3">
        <v>2018</v>
      </c>
      <c r="J76" s="3">
        <v>2020</v>
      </c>
      <c r="K76" s="3">
        <v>46287.83</v>
      </c>
      <c r="L76" s="3">
        <v>26391.26</v>
      </c>
      <c r="M76" s="3">
        <v>-3667.6100000000301</v>
      </c>
      <c r="N76" s="3">
        <v>-45331.360000000001</v>
      </c>
      <c r="O76" s="3">
        <v>363525065.39999998</v>
      </c>
      <c r="P76" s="3">
        <v>430754299.79112601</v>
      </c>
      <c r="Q76" s="3">
        <v>188705526.64770001</v>
      </c>
      <c r="R76" s="3">
        <v>106297522.30679999</v>
      </c>
      <c r="S76" s="3" t="s">
        <v>410</v>
      </c>
      <c r="T76" s="3" t="s">
        <v>56</v>
      </c>
      <c r="U76" s="3">
        <v>10551043.6</v>
      </c>
      <c r="V76" s="3">
        <v>229685.728596862</v>
      </c>
      <c r="W76" s="3" t="s">
        <v>21</v>
      </c>
      <c r="X76" s="23">
        <v>5.6707681263740303E-2</v>
      </c>
      <c r="Y76" s="23">
        <v>7.9000000000000001E-2</v>
      </c>
      <c r="Z76" s="23">
        <v>6.4263000000000003</v>
      </c>
      <c r="AA76" s="23">
        <v>374913.8</v>
      </c>
      <c r="AB76" s="23" t="s">
        <v>294</v>
      </c>
      <c r="AC76" s="50">
        <v>8429464.0446604397</v>
      </c>
      <c r="AD76" s="23">
        <v>334766.95349324303</v>
      </c>
      <c r="AE76" s="23">
        <v>281391.25700673502</v>
      </c>
      <c r="AF76" s="3">
        <v>28</v>
      </c>
      <c r="AK76" s="10">
        <v>1</v>
      </c>
      <c r="AL76" s="10">
        <v>1</v>
      </c>
      <c r="AM76" s="10">
        <v>1</v>
      </c>
      <c r="AN76" s="10">
        <v>1.5</v>
      </c>
      <c r="AO76" s="10">
        <v>1.5</v>
      </c>
      <c r="AP76" s="10">
        <v>1.5</v>
      </c>
      <c r="AQ76" s="10">
        <v>1</v>
      </c>
      <c r="AR76" s="10">
        <v>1</v>
      </c>
      <c r="AS76" s="10">
        <v>1</v>
      </c>
      <c r="AT76" s="10">
        <v>1</v>
      </c>
      <c r="AU76" s="10">
        <v>1.5</v>
      </c>
      <c r="AV76" s="10">
        <v>1.5</v>
      </c>
      <c r="AW76" s="10">
        <v>1.5</v>
      </c>
      <c r="AX76" s="10">
        <v>1.5</v>
      </c>
      <c r="AY76" s="10">
        <v>0</v>
      </c>
      <c r="AZ76" s="10">
        <v>1</v>
      </c>
      <c r="BA76" s="10">
        <v>0</v>
      </c>
      <c r="BB76" s="10">
        <v>2</v>
      </c>
      <c r="BC76" s="10">
        <v>1</v>
      </c>
      <c r="BD76" s="10">
        <v>0</v>
      </c>
      <c r="BE76" s="10">
        <v>1.5</v>
      </c>
      <c r="BF76" s="10">
        <v>1.5</v>
      </c>
      <c r="BG76" s="10">
        <v>0</v>
      </c>
      <c r="BH76" s="10">
        <v>0</v>
      </c>
      <c r="BI76" s="10">
        <v>0</v>
      </c>
      <c r="BJ76" s="10">
        <v>0</v>
      </c>
      <c r="BK76" s="79">
        <v>0</v>
      </c>
      <c r="BL76" s="12">
        <v>0</v>
      </c>
      <c r="BM76" s="3">
        <v>24.5</v>
      </c>
      <c r="BN76" s="3">
        <v>0.65333330631256104</v>
      </c>
      <c r="BO76" s="3">
        <v>0</v>
      </c>
      <c r="BP76" s="3">
        <v>0</v>
      </c>
      <c r="BQ76" s="3">
        <v>0</v>
      </c>
    </row>
    <row r="77" spans="1:69" x14ac:dyDescent="0.2">
      <c r="A77" s="3">
        <v>360</v>
      </c>
      <c r="B77" s="79">
        <v>360</v>
      </c>
      <c r="C77" s="3">
        <v>3</v>
      </c>
      <c r="E77" s="3">
        <v>150300.5</v>
      </c>
      <c r="F77" s="3">
        <v>125148.133684163</v>
      </c>
      <c r="G77" s="3">
        <v>104774.37</v>
      </c>
      <c r="H77" s="3">
        <v>64779.4</v>
      </c>
      <c r="I77" s="3">
        <v>2018</v>
      </c>
      <c r="J77" s="3">
        <v>2020</v>
      </c>
      <c r="K77" s="3">
        <v>46287.83</v>
      </c>
      <c r="L77" s="3">
        <v>26391.26</v>
      </c>
      <c r="M77" s="3">
        <v>-3667.6100000000301</v>
      </c>
      <c r="N77" s="3">
        <v>-45331.360000000001</v>
      </c>
      <c r="O77" s="3">
        <v>363525065.39999998</v>
      </c>
      <c r="P77" s="3">
        <v>430754299.79112601</v>
      </c>
      <c r="Q77" s="3">
        <v>188705526.64770001</v>
      </c>
      <c r="R77" s="3">
        <v>106297522.30679999</v>
      </c>
      <c r="S77" s="3" t="s">
        <v>410</v>
      </c>
      <c r="T77" s="3" t="s">
        <v>56</v>
      </c>
      <c r="U77" s="3">
        <v>10551043.6</v>
      </c>
      <c r="V77" s="3">
        <v>229685.728596862</v>
      </c>
      <c r="W77" s="3" t="s">
        <v>21</v>
      </c>
      <c r="X77" s="23">
        <v>5.6707681263740303E-2</v>
      </c>
      <c r="Y77" s="23">
        <v>7.9804735128931506E-2</v>
      </c>
      <c r="Z77" s="23">
        <v>6.4263938436856396</v>
      </c>
      <c r="AA77" s="23">
        <v>374913.89</v>
      </c>
      <c r="AB77" s="23" t="s">
        <v>294</v>
      </c>
      <c r="AC77" s="50">
        <v>8429464.0446604397</v>
      </c>
      <c r="AD77" s="23">
        <v>334766.95349324303</v>
      </c>
      <c r="AE77" s="23">
        <v>281391.25700673502</v>
      </c>
      <c r="AF77" s="3">
        <v>28</v>
      </c>
      <c r="AK77" s="10">
        <v>1</v>
      </c>
      <c r="AL77" s="10">
        <v>1</v>
      </c>
      <c r="AM77" s="10">
        <v>1</v>
      </c>
      <c r="AN77" s="10">
        <v>1.5</v>
      </c>
      <c r="AO77" s="10">
        <v>1.5</v>
      </c>
      <c r="AP77" s="10">
        <v>1.5</v>
      </c>
      <c r="AQ77" s="10">
        <v>1</v>
      </c>
      <c r="AR77" s="10">
        <v>1</v>
      </c>
      <c r="AS77" s="10">
        <v>1</v>
      </c>
      <c r="AT77" s="10">
        <v>1</v>
      </c>
      <c r="AU77" s="10">
        <v>1.5</v>
      </c>
      <c r="AV77" s="10">
        <v>1.5</v>
      </c>
      <c r="AW77" s="10">
        <v>1.5</v>
      </c>
      <c r="AX77" s="10">
        <v>1.5</v>
      </c>
      <c r="AY77" s="10">
        <v>0</v>
      </c>
      <c r="AZ77" s="10">
        <v>1</v>
      </c>
      <c r="BA77" s="10">
        <v>1</v>
      </c>
      <c r="BB77" s="10">
        <v>2</v>
      </c>
      <c r="BC77" s="10">
        <v>1</v>
      </c>
      <c r="BD77" s="10">
        <v>0</v>
      </c>
      <c r="BE77" s="10">
        <v>1.5</v>
      </c>
      <c r="BF77" s="10">
        <v>1.5</v>
      </c>
      <c r="BG77" s="10">
        <v>0</v>
      </c>
      <c r="BH77" s="10">
        <v>0</v>
      </c>
      <c r="BI77" s="10">
        <v>0</v>
      </c>
      <c r="BJ77" s="10">
        <v>0</v>
      </c>
      <c r="BK77" s="10">
        <v>0</v>
      </c>
      <c r="BL77" s="10">
        <v>0</v>
      </c>
      <c r="BM77" s="79">
        <v>25.5</v>
      </c>
      <c r="BN77" s="3">
        <v>0.68000000715255737</v>
      </c>
      <c r="BO77" s="3">
        <v>0</v>
      </c>
      <c r="BP77" s="3">
        <v>0</v>
      </c>
      <c r="BQ77" s="3">
        <v>0</v>
      </c>
    </row>
    <row r="78" spans="1:69" x14ac:dyDescent="0.2">
      <c r="A78" s="3">
        <v>361</v>
      </c>
      <c r="B78" s="79">
        <v>361</v>
      </c>
      <c r="C78" s="3">
        <v>3</v>
      </c>
      <c r="E78" s="3">
        <v>150300.5</v>
      </c>
      <c r="F78" s="3">
        <v>125148.133684163</v>
      </c>
      <c r="G78" s="3">
        <v>104774.37</v>
      </c>
      <c r="H78" s="3">
        <v>64779.4</v>
      </c>
      <c r="I78" s="3">
        <v>2018</v>
      </c>
      <c r="J78" s="3">
        <v>2020</v>
      </c>
      <c r="K78" s="3">
        <v>46287.83</v>
      </c>
      <c r="L78" s="3">
        <v>26391.26</v>
      </c>
      <c r="M78" s="3">
        <v>-3667.6100000000301</v>
      </c>
      <c r="N78" s="19">
        <v>-45331.360000000001</v>
      </c>
      <c r="O78" s="3">
        <v>363525065.39999998</v>
      </c>
      <c r="P78" s="3">
        <v>430754299.79112601</v>
      </c>
      <c r="Q78" s="23">
        <v>188705526.64770001</v>
      </c>
      <c r="R78" s="23">
        <v>106297522.30679999</v>
      </c>
      <c r="S78" s="50" t="s">
        <v>413</v>
      </c>
      <c r="T78" s="23" t="s">
        <v>56</v>
      </c>
      <c r="U78" s="23">
        <v>10551107.199999999</v>
      </c>
      <c r="V78" s="23">
        <v>229687.11310562701</v>
      </c>
      <c r="W78" s="3" t="s">
        <v>21</v>
      </c>
      <c r="X78" s="79">
        <v>4.9277651622224201E-2</v>
      </c>
      <c r="Y78" s="3">
        <v>7.9811491871135107E-2</v>
      </c>
      <c r="Z78" s="3">
        <v>6.4269175401069996</v>
      </c>
      <c r="AA78" s="3">
        <v>374980.61312562798</v>
      </c>
      <c r="AB78" s="3" t="s">
        <v>294</v>
      </c>
      <c r="AC78" s="3">
        <v>400968.50479346397</v>
      </c>
      <c r="AD78" s="3">
        <v>342197.43084699498</v>
      </c>
      <c r="AE78" s="3">
        <v>292594.72691618302</v>
      </c>
      <c r="AF78" s="3">
        <v>31</v>
      </c>
      <c r="AG78" s="3"/>
      <c r="AK78" s="10">
        <v>1</v>
      </c>
      <c r="AL78" s="10">
        <v>1</v>
      </c>
      <c r="AM78" s="10">
        <v>1</v>
      </c>
      <c r="AN78" s="10">
        <v>1.5</v>
      </c>
      <c r="AO78" s="92">
        <v>1.5</v>
      </c>
      <c r="AP78" s="10">
        <v>1.5</v>
      </c>
      <c r="AQ78" s="92">
        <v>1</v>
      </c>
      <c r="AR78" s="10">
        <v>1</v>
      </c>
      <c r="AS78" s="10">
        <v>1</v>
      </c>
      <c r="AT78" s="10">
        <v>1</v>
      </c>
      <c r="AU78" s="10">
        <v>1.5</v>
      </c>
      <c r="AV78" s="10">
        <v>1.5</v>
      </c>
      <c r="AW78" s="10">
        <v>1.5</v>
      </c>
      <c r="AX78" s="5">
        <v>1.5</v>
      </c>
      <c r="AY78" s="5">
        <v>2</v>
      </c>
      <c r="AZ78" s="5">
        <v>1</v>
      </c>
      <c r="BA78" s="5">
        <v>1</v>
      </c>
      <c r="BB78" s="5">
        <v>2</v>
      </c>
      <c r="BC78" s="5">
        <v>1</v>
      </c>
      <c r="BD78" s="5">
        <v>0</v>
      </c>
      <c r="BE78" s="5">
        <v>1.5</v>
      </c>
      <c r="BF78" s="5">
        <v>1.5</v>
      </c>
      <c r="BG78" s="5">
        <v>0</v>
      </c>
      <c r="BH78" s="5">
        <v>0</v>
      </c>
      <c r="BI78" s="5">
        <v>1.5</v>
      </c>
      <c r="BJ78" s="5">
        <v>1.5</v>
      </c>
      <c r="BK78" s="5">
        <v>1.5</v>
      </c>
      <c r="BL78" s="5">
        <v>1.5</v>
      </c>
      <c r="BM78" s="5">
        <v>33.5</v>
      </c>
      <c r="BN78" s="3">
        <v>0.8933333158493042</v>
      </c>
      <c r="BO78" s="3">
        <v>0</v>
      </c>
      <c r="BP78" s="3">
        <v>0</v>
      </c>
      <c r="BQ78" s="3">
        <v>0</v>
      </c>
    </row>
    <row r="79" spans="1:69" x14ac:dyDescent="0.2">
      <c r="A79" s="5">
        <v>362</v>
      </c>
      <c r="B79" s="11">
        <v>362</v>
      </c>
      <c r="C79" s="5">
        <v>3</v>
      </c>
      <c r="D79" s="5"/>
      <c r="E79" s="21">
        <v>150300.5</v>
      </c>
      <c r="F79" s="21">
        <v>125148.133684163</v>
      </c>
      <c r="G79" s="21">
        <v>104774.37</v>
      </c>
      <c r="H79" s="5">
        <v>64779.4</v>
      </c>
      <c r="I79" s="8">
        <v>2018</v>
      </c>
      <c r="J79" s="5">
        <v>2021</v>
      </c>
      <c r="K79" s="8">
        <v>46287.83</v>
      </c>
      <c r="L79" s="5">
        <v>26391.26</v>
      </c>
      <c r="M79" s="5">
        <v>-3667.6100000000301</v>
      </c>
      <c r="N79" s="5">
        <v>-45331.360000000001</v>
      </c>
      <c r="O79" s="5">
        <v>363525065.39999998</v>
      </c>
      <c r="P79" s="8">
        <v>430754299.79112601</v>
      </c>
      <c r="Q79" s="21">
        <v>188705526.64770001</v>
      </c>
      <c r="R79" s="22">
        <v>106297522.30679999</v>
      </c>
      <c r="S79" s="49" t="s">
        <v>320</v>
      </c>
      <c r="T79" s="21" t="s">
        <v>294</v>
      </c>
      <c r="U79" s="21">
        <v>10551662</v>
      </c>
      <c r="V79" s="21">
        <v>229699.19055000701</v>
      </c>
      <c r="W79" s="5" t="s">
        <v>21</v>
      </c>
      <c r="X79" s="79">
        <v>4.9276458827047898E-2</v>
      </c>
      <c r="Y79" s="3">
        <v>7.9805261271179095E-2</v>
      </c>
      <c r="Z79" s="3">
        <v>6.4266885587568998</v>
      </c>
      <c r="AA79" s="3">
        <v>374950.74947423598</v>
      </c>
      <c r="AB79" s="3" t="s">
        <v>289</v>
      </c>
      <c r="AC79" s="3">
        <v>400989.58858327399</v>
      </c>
      <c r="AD79" s="3">
        <v>342215.42432682798</v>
      </c>
      <c r="AE79" s="3">
        <v>292610.11217873503</v>
      </c>
      <c r="AF79" s="3">
        <v>31</v>
      </c>
      <c r="AG79" s="3"/>
      <c r="AK79" s="10">
        <v>1</v>
      </c>
      <c r="AL79" s="10">
        <v>1</v>
      </c>
      <c r="AM79" s="10">
        <v>1</v>
      </c>
      <c r="AN79" s="10">
        <v>1.5</v>
      </c>
      <c r="AO79" s="92">
        <v>1.5</v>
      </c>
      <c r="AP79" s="10">
        <v>1.5</v>
      </c>
      <c r="AQ79" s="92">
        <v>1</v>
      </c>
      <c r="AR79" s="10">
        <v>1</v>
      </c>
      <c r="AS79" s="10">
        <v>1</v>
      </c>
      <c r="AT79" s="10">
        <v>1</v>
      </c>
      <c r="AU79" s="10">
        <v>1.5</v>
      </c>
      <c r="AV79" s="10">
        <v>1.5</v>
      </c>
      <c r="AW79" s="10">
        <v>1.5</v>
      </c>
      <c r="AX79" s="5">
        <v>1.5</v>
      </c>
      <c r="AY79" s="5">
        <v>1</v>
      </c>
      <c r="AZ79" s="5">
        <v>0</v>
      </c>
      <c r="BA79" s="5">
        <v>1</v>
      </c>
      <c r="BB79" s="5">
        <v>2</v>
      </c>
      <c r="BC79" s="5">
        <v>1</v>
      </c>
      <c r="BD79" s="5">
        <v>0</v>
      </c>
      <c r="BE79" s="5">
        <v>1.5</v>
      </c>
      <c r="BF79" s="5">
        <v>1.5</v>
      </c>
      <c r="BG79" s="5">
        <v>1.5</v>
      </c>
      <c r="BH79" s="5">
        <v>0</v>
      </c>
      <c r="BI79" s="5">
        <v>1.5</v>
      </c>
      <c r="BJ79" s="5">
        <v>1.5</v>
      </c>
      <c r="BK79" s="5">
        <v>1.5</v>
      </c>
      <c r="BL79" s="5">
        <v>1.5</v>
      </c>
      <c r="BM79" s="5">
        <v>33</v>
      </c>
      <c r="BN79" s="3">
        <v>0.87999999523162842</v>
      </c>
      <c r="BO79" s="3">
        <v>0</v>
      </c>
      <c r="BP79" s="3">
        <v>0</v>
      </c>
      <c r="BQ79" s="3">
        <v>0</v>
      </c>
    </row>
    <row r="80" spans="1:69" x14ac:dyDescent="0.2">
      <c r="A80" s="5">
        <v>364</v>
      </c>
      <c r="B80" s="11">
        <v>364</v>
      </c>
      <c r="C80" s="5">
        <v>3</v>
      </c>
      <c r="D80" s="5"/>
      <c r="E80" s="21">
        <v>150300.5</v>
      </c>
      <c r="F80" s="21">
        <v>125148.133684163</v>
      </c>
      <c r="G80" s="21">
        <v>104774.37</v>
      </c>
      <c r="H80" s="5">
        <v>64779.4</v>
      </c>
      <c r="I80" s="8">
        <v>2018</v>
      </c>
      <c r="J80" s="5">
        <v>2021</v>
      </c>
      <c r="K80" s="8">
        <v>46287.83</v>
      </c>
      <c r="L80" s="5">
        <v>26391.26</v>
      </c>
      <c r="M80" s="5">
        <v>-3667.6100000000301</v>
      </c>
      <c r="N80" s="5">
        <v>-45331.360000000001</v>
      </c>
      <c r="O80" s="5">
        <v>363525065.39999998</v>
      </c>
      <c r="P80" s="8">
        <v>430754299.79112601</v>
      </c>
      <c r="Q80" s="21">
        <v>188705526.64770001</v>
      </c>
      <c r="R80" s="22">
        <v>106297522.30679999</v>
      </c>
      <c r="S80" s="49" t="s">
        <v>416</v>
      </c>
      <c r="T80" s="21" t="s">
        <v>294</v>
      </c>
      <c r="U80" s="21">
        <v>10550886.4</v>
      </c>
      <c r="V80" s="21">
        <v>229682.306509163</v>
      </c>
      <c r="W80" s="5" t="s">
        <v>21</v>
      </c>
      <c r="X80" s="79">
        <v>4.9276458827047898E-2</v>
      </c>
      <c r="Y80" s="3">
        <v>7.9807780996596703E-2</v>
      </c>
      <c r="Z80" s="3">
        <v>6.4266657112242003</v>
      </c>
      <c r="AA80" s="3">
        <v>374949.56587121298</v>
      </c>
      <c r="AB80" s="3" t="s">
        <v>289</v>
      </c>
      <c r="AC80" s="3">
        <v>400960.11384034599</v>
      </c>
      <c r="AD80" s="3">
        <v>342190.26977931598</v>
      </c>
      <c r="AE80" s="3">
        <v>292588.60387009202</v>
      </c>
      <c r="AF80" s="3">
        <v>31</v>
      </c>
      <c r="AG80" s="3"/>
      <c r="AK80" s="10">
        <v>1</v>
      </c>
      <c r="AL80" s="10">
        <v>1</v>
      </c>
      <c r="AM80" s="10">
        <v>1</v>
      </c>
      <c r="AN80" s="10">
        <v>1.5</v>
      </c>
      <c r="AO80" s="92">
        <v>1.5</v>
      </c>
      <c r="AP80" s="10">
        <v>1.5</v>
      </c>
      <c r="AQ80" s="92">
        <v>1</v>
      </c>
      <c r="AR80" s="10">
        <v>1</v>
      </c>
      <c r="AS80" s="10">
        <v>1</v>
      </c>
      <c r="AT80" s="10">
        <v>1</v>
      </c>
      <c r="AU80" s="10">
        <v>1.5</v>
      </c>
      <c r="AV80" s="10">
        <v>1.5</v>
      </c>
      <c r="AW80" s="10">
        <v>1.5</v>
      </c>
      <c r="AX80" s="5">
        <v>1.5</v>
      </c>
      <c r="AY80" s="5">
        <v>1</v>
      </c>
      <c r="AZ80" s="5">
        <v>0</v>
      </c>
      <c r="BA80" s="5">
        <v>1</v>
      </c>
      <c r="BB80" s="5">
        <v>2</v>
      </c>
      <c r="BC80" s="5">
        <v>1</v>
      </c>
      <c r="BD80" s="5">
        <v>0</v>
      </c>
      <c r="BE80" s="5">
        <v>1.5</v>
      </c>
      <c r="BF80" s="5">
        <v>1.5</v>
      </c>
      <c r="BG80" s="5">
        <v>0</v>
      </c>
      <c r="BH80" s="5">
        <v>0</v>
      </c>
      <c r="BI80" s="5">
        <v>1.5</v>
      </c>
      <c r="BJ80" s="5">
        <v>1.5</v>
      </c>
      <c r="BK80" s="5">
        <v>1.5</v>
      </c>
      <c r="BL80" s="5">
        <v>1.5</v>
      </c>
      <c r="BM80" s="5">
        <v>31.5</v>
      </c>
      <c r="BN80" s="3">
        <v>0.8399999737739563</v>
      </c>
      <c r="BO80" s="3">
        <v>0</v>
      </c>
      <c r="BP80" s="3">
        <v>0</v>
      </c>
      <c r="BQ80" s="3">
        <v>0</v>
      </c>
    </row>
    <row r="81" spans="1:69" x14ac:dyDescent="0.2">
      <c r="A81" s="3">
        <v>366</v>
      </c>
      <c r="B81" s="79">
        <v>366</v>
      </c>
      <c r="C81" s="3">
        <v>3</v>
      </c>
      <c r="E81" s="3">
        <v>150300.5</v>
      </c>
      <c r="F81" s="3">
        <v>125148.133684163</v>
      </c>
      <c r="G81" s="3">
        <v>104774.37</v>
      </c>
      <c r="H81" s="3">
        <v>64779.4</v>
      </c>
      <c r="I81" s="3">
        <v>2018</v>
      </c>
      <c r="J81" s="3">
        <v>2020</v>
      </c>
      <c r="K81" s="3">
        <v>46287.83</v>
      </c>
      <c r="L81" s="3">
        <v>26391.26</v>
      </c>
      <c r="M81" s="3">
        <v>-3667.6100000000301</v>
      </c>
      <c r="N81" s="3">
        <v>-45331.360000000001</v>
      </c>
      <c r="O81" s="3">
        <v>363525065.39999998</v>
      </c>
      <c r="P81" s="3">
        <v>430754299.79112601</v>
      </c>
      <c r="Q81" s="3">
        <v>188705526.64770001</v>
      </c>
      <c r="R81" s="3">
        <v>106297522.30679999</v>
      </c>
      <c r="S81" s="3" t="s">
        <v>417</v>
      </c>
      <c r="T81" s="3" t="s">
        <v>56</v>
      </c>
      <c r="U81" s="3">
        <v>10550616.4</v>
      </c>
      <c r="V81" s="3">
        <v>229676.428877614</v>
      </c>
      <c r="W81" s="23" t="s">
        <v>21</v>
      </c>
      <c r="X81" s="23">
        <v>4.9276509161013102E-2</v>
      </c>
      <c r="Y81" s="50">
        <v>7.9812105914802103E-2</v>
      </c>
      <c r="Z81" s="50">
        <v>6.4268631675382801</v>
      </c>
      <c r="AA81" s="50">
        <v>374972.273205609</v>
      </c>
      <c r="AB81" s="50" t="s">
        <v>289</v>
      </c>
      <c r="AC81" s="23">
        <v>400992.14235161297</v>
      </c>
      <c r="AD81" s="3">
        <v>342217.60378220998</v>
      </c>
      <c r="AE81" s="3">
        <v>292611.97571450099</v>
      </c>
      <c r="AF81" s="10">
        <v>31</v>
      </c>
      <c r="AK81" s="10">
        <v>1</v>
      </c>
      <c r="AL81" s="10">
        <v>1</v>
      </c>
      <c r="AM81" s="10">
        <v>1</v>
      </c>
      <c r="AN81" s="10">
        <v>1.5</v>
      </c>
      <c r="AO81" s="10">
        <v>1.5</v>
      </c>
      <c r="AP81" s="10">
        <v>1.5</v>
      </c>
      <c r="AQ81" s="10">
        <v>1</v>
      </c>
      <c r="AR81" s="10">
        <v>1</v>
      </c>
      <c r="AS81" s="10">
        <v>1</v>
      </c>
      <c r="AT81" s="10">
        <v>1</v>
      </c>
      <c r="AU81" s="10">
        <v>1.5</v>
      </c>
      <c r="AV81" s="10">
        <v>1.5</v>
      </c>
      <c r="AW81" s="10">
        <v>1.5</v>
      </c>
      <c r="AX81" s="10">
        <v>1.5</v>
      </c>
      <c r="AY81" s="10">
        <v>0</v>
      </c>
      <c r="AZ81" s="10">
        <v>1</v>
      </c>
      <c r="BA81" s="10">
        <v>1</v>
      </c>
      <c r="BB81" s="79">
        <v>2</v>
      </c>
      <c r="BC81" s="79">
        <v>1</v>
      </c>
      <c r="BD81" s="79">
        <v>0</v>
      </c>
      <c r="BE81" s="79">
        <v>1.5</v>
      </c>
      <c r="BF81" s="79">
        <v>1.5</v>
      </c>
      <c r="BG81" s="79">
        <v>0</v>
      </c>
      <c r="BH81" s="79">
        <v>0</v>
      </c>
      <c r="BI81" s="79">
        <v>0</v>
      </c>
      <c r="BJ81" s="79">
        <v>0</v>
      </c>
      <c r="BK81" s="5">
        <v>0</v>
      </c>
      <c r="BL81" s="12">
        <v>1.5</v>
      </c>
      <c r="BM81" s="5">
        <v>27</v>
      </c>
      <c r="BN81" s="3">
        <v>0.72000002861022949</v>
      </c>
      <c r="BO81" s="3">
        <v>0</v>
      </c>
      <c r="BP81" s="3">
        <v>0</v>
      </c>
      <c r="BQ81" s="3">
        <v>0</v>
      </c>
    </row>
    <row r="82" spans="1:69" x14ac:dyDescent="0.2">
      <c r="A82" s="5">
        <v>367</v>
      </c>
      <c r="B82" s="11">
        <v>367</v>
      </c>
      <c r="C82" s="5">
        <v>3</v>
      </c>
      <c r="D82" s="5"/>
      <c r="E82" s="22">
        <v>150300.5</v>
      </c>
      <c r="F82" s="22">
        <v>124708.32864041701</v>
      </c>
      <c r="G82" s="22">
        <v>104773.65</v>
      </c>
      <c r="H82" s="5">
        <v>64779.4</v>
      </c>
      <c r="I82" s="5">
        <v>2018</v>
      </c>
      <c r="J82" s="5">
        <v>2021</v>
      </c>
      <c r="K82" s="5">
        <v>46283.8</v>
      </c>
      <c r="L82" s="5">
        <v>26386.39</v>
      </c>
      <c r="M82" s="5">
        <v>-3673.4000000000401</v>
      </c>
      <c r="N82" s="5">
        <v>-45338.15</v>
      </c>
      <c r="O82" s="5">
        <v>363525065.39999998</v>
      </c>
      <c r="P82" s="5">
        <v>428008555.65491301</v>
      </c>
      <c r="Q82" s="22">
        <v>188705527.7493</v>
      </c>
      <c r="R82" s="22">
        <v>106297558.93889999</v>
      </c>
      <c r="S82" s="15" t="s">
        <v>418</v>
      </c>
      <c r="T82" s="22" t="s">
        <v>56</v>
      </c>
      <c r="U82" s="22">
        <v>10551656.800000001</v>
      </c>
      <c r="V82" s="22">
        <v>229699.07735117699</v>
      </c>
      <c r="W82" s="5" t="s">
        <v>20</v>
      </c>
      <c r="X82" s="79">
        <v>0.95</v>
      </c>
      <c r="Y82" s="3">
        <v>7.5755645203373703E-2</v>
      </c>
      <c r="Z82" s="3">
        <v>6.3712981102853803</v>
      </c>
      <c r="AA82" s="3">
        <v>1190753546.08674</v>
      </c>
      <c r="AB82" s="3" t="s">
        <v>289</v>
      </c>
      <c r="AC82" s="3">
        <v>1.5163651578852899</v>
      </c>
      <c r="AD82" s="3">
        <v>1.5838956898917</v>
      </c>
      <c r="AE82" s="3">
        <v>1.64161010135908</v>
      </c>
      <c r="AF82" s="3">
        <v>31</v>
      </c>
      <c r="AG82" s="3"/>
      <c r="AK82" s="10">
        <v>1</v>
      </c>
      <c r="AL82" s="10">
        <v>0</v>
      </c>
      <c r="AM82" s="10">
        <v>1</v>
      </c>
      <c r="AN82" s="10">
        <v>1.5</v>
      </c>
      <c r="AO82" s="92">
        <v>1.5</v>
      </c>
      <c r="AP82" s="10">
        <v>1.5</v>
      </c>
      <c r="AQ82" s="92">
        <v>1</v>
      </c>
      <c r="AR82" s="10">
        <v>1</v>
      </c>
      <c r="AS82" s="10">
        <v>1</v>
      </c>
      <c r="AT82" s="10">
        <v>1</v>
      </c>
      <c r="AU82" s="10">
        <v>1.5</v>
      </c>
      <c r="AV82" s="10">
        <v>0</v>
      </c>
      <c r="AW82" s="10">
        <v>1.5</v>
      </c>
      <c r="AX82" s="5">
        <v>0</v>
      </c>
      <c r="AY82" s="5">
        <v>0</v>
      </c>
      <c r="AZ82" s="5">
        <v>1</v>
      </c>
      <c r="BA82" s="5">
        <v>1</v>
      </c>
      <c r="BB82" s="5">
        <v>2</v>
      </c>
      <c r="BC82" s="5">
        <v>0</v>
      </c>
      <c r="BD82" s="5">
        <v>0</v>
      </c>
      <c r="BE82" s="5">
        <v>1.5</v>
      </c>
      <c r="BF82" s="5">
        <v>0</v>
      </c>
      <c r="BG82" s="5">
        <v>0</v>
      </c>
      <c r="BH82" s="5">
        <v>0</v>
      </c>
      <c r="BI82" s="5">
        <v>0</v>
      </c>
      <c r="BJ82" s="5">
        <v>0</v>
      </c>
      <c r="BK82" s="5">
        <v>0</v>
      </c>
      <c r="BL82" s="5">
        <v>1.5</v>
      </c>
      <c r="BM82" s="5">
        <v>20.5</v>
      </c>
      <c r="BN82" s="5">
        <v>0.54666668176651001</v>
      </c>
      <c r="BO82" s="3">
        <v>0</v>
      </c>
      <c r="BP82" s="3">
        <v>0</v>
      </c>
      <c r="BQ82" s="3">
        <v>0</v>
      </c>
    </row>
    <row r="83" spans="1:69" x14ac:dyDescent="0.2">
      <c r="A83" s="5">
        <v>368</v>
      </c>
      <c r="B83" s="11">
        <v>368</v>
      </c>
      <c r="C83" s="5">
        <v>4</v>
      </c>
      <c r="D83" s="5"/>
      <c r="E83" s="22">
        <v>150300.5</v>
      </c>
      <c r="F83" s="22">
        <v>125148.133684163</v>
      </c>
      <c r="G83" s="22">
        <v>104774.37</v>
      </c>
      <c r="H83" s="5">
        <v>64779.4</v>
      </c>
      <c r="I83" s="5">
        <v>2018</v>
      </c>
      <c r="J83" s="5">
        <v>2021</v>
      </c>
      <c r="K83" s="5">
        <v>46287.83</v>
      </c>
      <c r="L83" s="5">
        <v>26391.26</v>
      </c>
      <c r="M83" s="5">
        <v>-3667.6100000000301</v>
      </c>
      <c r="N83" s="5">
        <v>-45331.360000000001</v>
      </c>
      <c r="O83" s="5">
        <v>363525065.39999998</v>
      </c>
      <c r="P83" s="5">
        <v>430754299.79112601</v>
      </c>
      <c r="Q83" s="22">
        <v>188705526.64770001</v>
      </c>
      <c r="R83" s="22">
        <v>106297522.30679999</v>
      </c>
      <c r="S83" s="15" t="s">
        <v>320</v>
      </c>
      <c r="T83" s="22" t="s">
        <v>294</v>
      </c>
      <c r="U83" s="22">
        <v>10550908.4</v>
      </c>
      <c r="V83" s="22">
        <v>229682.78542728699</v>
      </c>
      <c r="W83" s="5" t="s">
        <v>21</v>
      </c>
      <c r="X83" s="79">
        <v>4.9276458827047898E-2</v>
      </c>
      <c r="Y83" s="3">
        <v>7.9807703050780901E-2</v>
      </c>
      <c r="Z83" s="3">
        <v>6.4266659894797797</v>
      </c>
      <c r="AA83" s="3">
        <v>374949.55521493498</v>
      </c>
      <c r="AB83" s="3" t="s">
        <v>289</v>
      </c>
      <c r="AC83" s="3">
        <v>400960.949895458</v>
      </c>
      <c r="AD83" s="3">
        <v>342190.98329149501</v>
      </c>
      <c r="AE83" s="3">
        <v>292589.213956205</v>
      </c>
      <c r="AF83" s="3">
        <v>31</v>
      </c>
      <c r="AG83" s="3"/>
      <c r="AK83" s="10">
        <v>1</v>
      </c>
      <c r="AL83" s="10">
        <v>1</v>
      </c>
      <c r="AM83" s="10">
        <v>1</v>
      </c>
      <c r="AN83" s="10">
        <v>1.5</v>
      </c>
      <c r="AO83" s="92">
        <v>1.5</v>
      </c>
      <c r="AP83" s="10">
        <v>1.5</v>
      </c>
      <c r="AQ83" s="92">
        <v>1</v>
      </c>
      <c r="AR83" s="10">
        <v>1</v>
      </c>
      <c r="AS83" s="10">
        <v>1</v>
      </c>
      <c r="AT83" s="10">
        <v>1</v>
      </c>
      <c r="AU83" s="10">
        <v>1.5</v>
      </c>
      <c r="AV83" s="10">
        <v>1.5</v>
      </c>
      <c r="AW83" s="10">
        <v>1.5</v>
      </c>
      <c r="AX83" s="5">
        <v>1.5</v>
      </c>
      <c r="AY83" s="5">
        <v>1</v>
      </c>
      <c r="AZ83" s="5">
        <v>0</v>
      </c>
      <c r="BA83" s="5">
        <v>1</v>
      </c>
      <c r="BB83" s="5">
        <v>2</v>
      </c>
      <c r="BC83" s="5">
        <v>1</v>
      </c>
      <c r="BD83" s="5">
        <v>0</v>
      </c>
      <c r="BE83" s="5">
        <v>1.5</v>
      </c>
      <c r="BF83" s="5">
        <v>1.5</v>
      </c>
      <c r="BG83" s="5">
        <v>1.5</v>
      </c>
      <c r="BH83" s="5">
        <v>0</v>
      </c>
      <c r="BI83" s="5">
        <v>1.5</v>
      </c>
      <c r="BJ83" s="5">
        <v>1.5</v>
      </c>
      <c r="BK83" s="5">
        <v>1.5</v>
      </c>
      <c r="BL83" s="5">
        <v>1.5</v>
      </c>
      <c r="BM83" s="5">
        <v>33</v>
      </c>
      <c r="BN83" s="5">
        <v>0.87999999523162842</v>
      </c>
      <c r="BO83" s="3">
        <v>0</v>
      </c>
      <c r="BP83" s="3">
        <v>0</v>
      </c>
      <c r="BQ83" s="3">
        <v>0</v>
      </c>
    </row>
    <row r="84" spans="1:69" x14ac:dyDescent="0.2">
      <c r="A84" s="3">
        <v>369</v>
      </c>
      <c r="B84" s="79">
        <v>369</v>
      </c>
      <c r="C84" s="3">
        <v>4</v>
      </c>
      <c r="E84" s="23">
        <v>150300.5</v>
      </c>
      <c r="F84" s="23">
        <v>124708.514271048</v>
      </c>
      <c r="G84" s="23">
        <v>703444.35</v>
      </c>
      <c r="H84" s="3">
        <v>0</v>
      </c>
      <c r="I84" s="3">
        <v>0</v>
      </c>
      <c r="J84" s="3">
        <v>0</v>
      </c>
      <c r="K84" s="3">
        <v>0</v>
      </c>
      <c r="L84" s="3">
        <v>0</v>
      </c>
      <c r="M84" s="94">
        <v>0</v>
      </c>
      <c r="N84" s="3">
        <v>0</v>
      </c>
      <c r="O84" s="3">
        <v>428009464.06866002</v>
      </c>
      <c r="P84" s="3">
        <v>428009464.06866002</v>
      </c>
      <c r="Q84" s="23">
        <v>61247140441.389297</v>
      </c>
      <c r="R84" s="93">
        <v>0</v>
      </c>
      <c r="S84" s="50">
        <v>0</v>
      </c>
      <c r="T84" s="93" t="s">
        <v>294</v>
      </c>
      <c r="U84" s="23">
        <v>10550338</v>
      </c>
      <c r="V84" s="23">
        <v>0</v>
      </c>
      <c r="W84" s="3" t="s">
        <v>21</v>
      </c>
      <c r="X84" s="79">
        <v>0</v>
      </c>
      <c r="Y84" s="3">
        <v>0</v>
      </c>
      <c r="Z84" s="94">
        <v>0</v>
      </c>
      <c r="AA84" s="3">
        <v>0</v>
      </c>
      <c r="AB84" s="94" t="s">
        <v>55</v>
      </c>
      <c r="AC84" s="3">
        <v>0</v>
      </c>
      <c r="AD84" s="3">
        <v>0</v>
      </c>
      <c r="AE84" s="3">
        <v>0</v>
      </c>
      <c r="AF84" s="3">
        <v>0</v>
      </c>
      <c r="AG84" s="3"/>
      <c r="AK84" s="10">
        <v>1</v>
      </c>
      <c r="AL84" s="10">
        <v>0</v>
      </c>
      <c r="AM84" s="10">
        <v>0</v>
      </c>
      <c r="AN84" s="10">
        <v>0</v>
      </c>
      <c r="AO84" s="92">
        <v>0</v>
      </c>
      <c r="AP84" s="10">
        <v>0</v>
      </c>
      <c r="AQ84" s="92">
        <v>0</v>
      </c>
      <c r="AR84" s="10">
        <v>0</v>
      </c>
      <c r="AS84" s="10">
        <v>0</v>
      </c>
      <c r="AT84" s="10">
        <v>0</v>
      </c>
      <c r="AU84" s="10">
        <v>0</v>
      </c>
      <c r="AV84" s="10">
        <v>1.5</v>
      </c>
      <c r="AW84" s="10">
        <v>0</v>
      </c>
      <c r="AX84" s="5">
        <v>0</v>
      </c>
      <c r="AY84" s="5">
        <v>0</v>
      </c>
      <c r="AZ84" s="5">
        <v>0</v>
      </c>
      <c r="BA84" s="5">
        <v>1</v>
      </c>
      <c r="BB84" s="5">
        <v>0</v>
      </c>
      <c r="BC84" s="5">
        <v>1</v>
      </c>
      <c r="BD84" s="5">
        <v>0</v>
      </c>
      <c r="BE84" s="5">
        <v>0</v>
      </c>
      <c r="BF84" s="5">
        <v>0</v>
      </c>
      <c r="BG84" s="5">
        <v>0</v>
      </c>
      <c r="BH84" s="5">
        <v>0</v>
      </c>
      <c r="BI84" s="5">
        <v>0</v>
      </c>
      <c r="BJ84" s="5">
        <v>0</v>
      </c>
      <c r="BK84" s="5">
        <v>0</v>
      </c>
      <c r="BL84" s="5">
        <v>0</v>
      </c>
      <c r="BM84" s="5">
        <v>4.5</v>
      </c>
      <c r="BN84" s="3">
        <v>0.11999999731779099</v>
      </c>
      <c r="BO84" s="3">
        <v>0</v>
      </c>
      <c r="BP84" s="3">
        <v>0</v>
      </c>
      <c r="BQ84" s="3">
        <v>0</v>
      </c>
    </row>
    <row r="85" spans="1:69" x14ac:dyDescent="0.2">
      <c r="A85" s="3">
        <v>370</v>
      </c>
      <c r="B85" s="79">
        <v>370</v>
      </c>
      <c r="C85" s="3">
        <v>1</v>
      </c>
      <c r="E85" s="3">
        <v>150300.5</v>
      </c>
      <c r="F85" s="3">
        <v>125148.133684163</v>
      </c>
      <c r="G85" s="3">
        <v>104774.37</v>
      </c>
      <c r="H85" s="3">
        <v>64779.4</v>
      </c>
      <c r="I85" s="3">
        <v>2015</v>
      </c>
      <c r="J85" s="3">
        <v>2016</v>
      </c>
      <c r="K85" s="3">
        <v>46287.83</v>
      </c>
      <c r="L85" s="3">
        <v>26391.26</v>
      </c>
      <c r="M85" s="3">
        <v>-3667.6100000000301</v>
      </c>
      <c r="N85" s="3">
        <v>-45331.360000000001</v>
      </c>
      <c r="O85" s="3">
        <v>363525065.39999998</v>
      </c>
      <c r="P85" s="3">
        <v>430754299.79112601</v>
      </c>
      <c r="Q85" s="3">
        <v>188705526.64770001</v>
      </c>
      <c r="R85" s="3">
        <v>106297522.30679999</v>
      </c>
      <c r="S85" s="3" t="s">
        <v>422</v>
      </c>
      <c r="T85" s="3" t="s">
        <v>56</v>
      </c>
      <c r="U85" s="3">
        <v>10550757.199999999</v>
      </c>
      <c r="V85" s="3">
        <v>9654589.8575649094</v>
      </c>
      <c r="W85" s="23" t="s">
        <v>20</v>
      </c>
      <c r="X85" s="23">
        <v>0.1</v>
      </c>
      <c r="Y85" s="50">
        <v>7.9803253702174698E-2</v>
      </c>
      <c r="Z85" s="50">
        <v>6.4264027740565703</v>
      </c>
      <c r="AA85" s="50">
        <v>2617201.3604983701</v>
      </c>
      <c r="AB85" s="50" t="s">
        <v>289</v>
      </c>
      <c r="AC85" s="23">
        <v>15998800.607387301</v>
      </c>
      <c r="AD85" s="3">
        <v>16711298.8541738</v>
      </c>
      <c r="AE85" s="3">
        <v>17320229.596507099</v>
      </c>
      <c r="AF85" s="10">
        <v>31</v>
      </c>
      <c r="AK85" s="10">
        <v>1</v>
      </c>
      <c r="AL85" s="10">
        <v>1</v>
      </c>
      <c r="AM85" s="10">
        <v>1</v>
      </c>
      <c r="AN85" s="10">
        <v>1.5</v>
      </c>
      <c r="AO85" s="10">
        <v>0</v>
      </c>
      <c r="AP85" s="10">
        <v>0</v>
      </c>
      <c r="AQ85" s="10">
        <v>1</v>
      </c>
      <c r="AR85" s="10">
        <v>1</v>
      </c>
      <c r="AS85" s="10">
        <v>1</v>
      </c>
      <c r="AT85" s="10">
        <v>1</v>
      </c>
      <c r="AU85" s="10">
        <v>1.5</v>
      </c>
      <c r="AV85" s="10">
        <v>1.5</v>
      </c>
      <c r="AW85" s="10">
        <v>1.5</v>
      </c>
      <c r="AX85" s="10">
        <v>1.5</v>
      </c>
      <c r="AY85" s="10">
        <v>2</v>
      </c>
      <c r="AZ85" s="10">
        <v>1</v>
      </c>
      <c r="BA85" s="10">
        <v>1</v>
      </c>
      <c r="BB85" s="79">
        <v>0</v>
      </c>
      <c r="BC85" s="79">
        <v>0</v>
      </c>
      <c r="BD85" s="79">
        <v>0</v>
      </c>
      <c r="BE85" s="79">
        <v>1.5</v>
      </c>
      <c r="BF85" s="79">
        <v>1.5</v>
      </c>
      <c r="BG85" s="79">
        <v>0</v>
      </c>
      <c r="BH85" s="79">
        <v>0</v>
      </c>
      <c r="BI85" s="79">
        <v>0</v>
      </c>
      <c r="BJ85" s="79">
        <v>0</v>
      </c>
      <c r="BK85" s="5">
        <v>0</v>
      </c>
      <c r="BL85" s="12">
        <v>1.5</v>
      </c>
      <c r="BM85" s="5">
        <v>23</v>
      </c>
      <c r="BN85" s="3">
        <v>0.61333334445953369</v>
      </c>
      <c r="BO85" s="3">
        <v>0</v>
      </c>
      <c r="BP85" s="3">
        <v>0</v>
      </c>
      <c r="BQ85" s="3">
        <v>0</v>
      </c>
    </row>
    <row r="86" spans="1:69" x14ac:dyDescent="0.2">
      <c r="A86" s="3">
        <v>372</v>
      </c>
      <c r="B86" s="79">
        <v>372</v>
      </c>
      <c r="C86" s="3">
        <v>2</v>
      </c>
      <c r="E86" s="3">
        <v>150300.5</v>
      </c>
      <c r="F86" s="3">
        <v>125148.133684163</v>
      </c>
      <c r="G86" s="3">
        <v>104774.37</v>
      </c>
      <c r="H86" s="3">
        <v>64779.4</v>
      </c>
      <c r="I86" s="3">
        <v>2018</v>
      </c>
      <c r="J86" s="3">
        <v>2020</v>
      </c>
      <c r="K86" s="3">
        <v>46287.83</v>
      </c>
      <c r="L86" s="3">
        <v>26391.26</v>
      </c>
      <c r="M86" s="3">
        <v>0</v>
      </c>
      <c r="N86" s="3">
        <v>-45331.360000000001</v>
      </c>
      <c r="O86" s="3">
        <v>363525065.39999998</v>
      </c>
      <c r="P86" s="3">
        <v>430754299.79112601</v>
      </c>
      <c r="Q86" s="23">
        <v>188705526.64770001</v>
      </c>
      <c r="R86" s="23">
        <v>106297522.30679999</v>
      </c>
      <c r="S86" s="50" t="s">
        <v>423</v>
      </c>
      <c r="T86" s="23" t="s">
        <v>56</v>
      </c>
      <c r="U86" s="23">
        <v>0</v>
      </c>
      <c r="V86" s="23">
        <v>0</v>
      </c>
      <c r="W86" s="3" t="s">
        <v>21</v>
      </c>
      <c r="X86" s="79">
        <v>0</v>
      </c>
      <c r="Y86" s="3">
        <v>0</v>
      </c>
      <c r="Z86" s="3">
        <v>0</v>
      </c>
      <c r="AA86" s="3">
        <v>0</v>
      </c>
      <c r="AB86" s="3" t="s">
        <v>289</v>
      </c>
      <c r="AC86" s="3">
        <v>0</v>
      </c>
      <c r="AD86" s="3">
        <v>0</v>
      </c>
      <c r="AE86" s="3">
        <v>0</v>
      </c>
      <c r="AF86" s="3">
        <v>0</v>
      </c>
      <c r="AG86" s="3"/>
      <c r="AK86" s="10">
        <v>1</v>
      </c>
      <c r="AL86" s="10">
        <v>1</v>
      </c>
      <c r="AM86" s="10">
        <v>1</v>
      </c>
      <c r="AN86" s="10">
        <v>1.5</v>
      </c>
      <c r="AO86" s="92">
        <v>1.5</v>
      </c>
      <c r="AP86" s="10">
        <v>1.5</v>
      </c>
      <c r="AQ86" s="92">
        <v>1</v>
      </c>
      <c r="AR86" s="10">
        <v>1</v>
      </c>
      <c r="AS86" s="10">
        <v>0</v>
      </c>
      <c r="AT86" s="10">
        <v>1</v>
      </c>
      <c r="AU86" s="10">
        <v>1.5</v>
      </c>
      <c r="AV86" s="10">
        <v>1.5</v>
      </c>
      <c r="AW86" s="10">
        <v>1.5</v>
      </c>
      <c r="AX86" s="5">
        <v>1.5</v>
      </c>
      <c r="AY86" s="5">
        <v>0</v>
      </c>
      <c r="AZ86" s="5">
        <v>1</v>
      </c>
      <c r="BA86" s="5">
        <v>0</v>
      </c>
      <c r="BB86" s="5">
        <v>0</v>
      </c>
      <c r="BC86" s="5">
        <v>1</v>
      </c>
      <c r="BD86" s="5">
        <v>0</v>
      </c>
      <c r="BE86" s="5">
        <v>0</v>
      </c>
      <c r="BF86" s="5">
        <v>0</v>
      </c>
      <c r="BG86" s="5">
        <v>0</v>
      </c>
      <c r="BH86" s="5">
        <v>0</v>
      </c>
      <c r="BI86" s="5">
        <v>0</v>
      </c>
      <c r="BJ86" s="5">
        <v>0</v>
      </c>
      <c r="BK86" s="5">
        <v>0</v>
      </c>
      <c r="BL86" s="5">
        <v>0</v>
      </c>
      <c r="BM86" s="5">
        <v>18.5</v>
      </c>
      <c r="BN86" s="3">
        <v>0.49333333969116211</v>
      </c>
      <c r="BO86" s="3">
        <v>0</v>
      </c>
      <c r="BP86" s="3">
        <v>0</v>
      </c>
      <c r="BQ86" s="3">
        <v>0</v>
      </c>
    </row>
    <row r="87" spans="1:69" x14ac:dyDescent="0.2">
      <c r="A87" s="3">
        <v>374</v>
      </c>
      <c r="B87" s="79">
        <v>374</v>
      </c>
      <c r="C87" s="3">
        <v>3</v>
      </c>
      <c r="E87" s="3">
        <v>150300.5</v>
      </c>
      <c r="F87" s="3">
        <v>125148.133684163</v>
      </c>
      <c r="G87" s="3">
        <v>104774.37</v>
      </c>
      <c r="H87" s="3">
        <v>64779.4</v>
      </c>
      <c r="I87" s="3">
        <v>2015</v>
      </c>
      <c r="J87" s="3">
        <v>2021</v>
      </c>
      <c r="K87" s="3">
        <v>46287.83</v>
      </c>
      <c r="L87" s="3">
        <v>26391.26</v>
      </c>
      <c r="M87" s="3">
        <v>-3667.6100000000301</v>
      </c>
      <c r="N87" s="3">
        <v>-45331.360000000001</v>
      </c>
      <c r="O87" s="3">
        <v>363525065.39999998</v>
      </c>
      <c r="P87" s="3">
        <v>430754299.79112601</v>
      </c>
      <c r="Q87" s="23">
        <v>188705526.64770001</v>
      </c>
      <c r="R87" s="23">
        <v>106297522.30679999</v>
      </c>
      <c r="S87" s="50">
        <v>0</v>
      </c>
      <c r="T87" s="23" t="s">
        <v>56</v>
      </c>
      <c r="U87" s="23">
        <v>10551695.6</v>
      </c>
      <c r="V87" s="23">
        <v>9655448.5511117894</v>
      </c>
      <c r="W87" s="3" t="s">
        <v>21</v>
      </c>
      <c r="X87" s="79">
        <v>0</v>
      </c>
      <c r="Y87" s="3">
        <v>0.62</v>
      </c>
      <c r="Z87" s="3">
        <v>0</v>
      </c>
      <c r="AA87" s="3">
        <v>10551696</v>
      </c>
      <c r="AB87" s="3" t="s">
        <v>294</v>
      </c>
      <c r="AC87" s="3">
        <v>0</v>
      </c>
      <c r="AD87" s="3">
        <v>0</v>
      </c>
      <c r="AE87" s="3">
        <v>0</v>
      </c>
      <c r="AF87" s="3">
        <v>0</v>
      </c>
      <c r="AG87" s="3"/>
      <c r="AK87" s="10">
        <v>1</v>
      </c>
      <c r="AL87" s="10">
        <v>1</v>
      </c>
      <c r="AM87" s="10">
        <v>1</v>
      </c>
      <c r="AN87" s="10">
        <v>1.5</v>
      </c>
      <c r="AO87" s="92">
        <v>0</v>
      </c>
      <c r="AP87" s="10">
        <v>1.5</v>
      </c>
      <c r="AQ87" s="92">
        <v>1</v>
      </c>
      <c r="AR87" s="10">
        <v>1</v>
      </c>
      <c r="AS87" s="10">
        <v>1</v>
      </c>
      <c r="AT87" s="10">
        <v>1</v>
      </c>
      <c r="AU87" s="10">
        <v>1.5</v>
      </c>
      <c r="AV87" s="10">
        <v>1.5</v>
      </c>
      <c r="AW87" s="10">
        <v>1.5</v>
      </c>
      <c r="AX87" s="5">
        <v>1.5</v>
      </c>
      <c r="AY87" s="5">
        <v>0</v>
      </c>
      <c r="AZ87" s="5">
        <v>1</v>
      </c>
      <c r="BA87" s="5">
        <v>1</v>
      </c>
      <c r="BB87" s="5">
        <v>0</v>
      </c>
      <c r="BC87" s="5">
        <v>1</v>
      </c>
      <c r="BD87" s="5">
        <v>0</v>
      </c>
      <c r="BE87" s="5">
        <v>0</v>
      </c>
      <c r="BF87" s="5">
        <v>0</v>
      </c>
      <c r="BG87" s="5">
        <v>0</v>
      </c>
      <c r="BH87" s="5">
        <v>0</v>
      </c>
      <c r="BI87" s="5">
        <v>0</v>
      </c>
      <c r="BJ87" s="5">
        <v>0</v>
      </c>
      <c r="BK87" s="5">
        <v>0</v>
      </c>
      <c r="BL87" s="5">
        <v>0</v>
      </c>
      <c r="BM87" s="5">
        <v>19</v>
      </c>
      <c r="BN87" s="3">
        <v>0.50666666030883789</v>
      </c>
      <c r="BO87" s="3">
        <v>0</v>
      </c>
      <c r="BP87" s="3">
        <v>0</v>
      </c>
      <c r="BQ87" s="3">
        <v>0</v>
      </c>
    </row>
    <row r="88" spans="1:69" x14ac:dyDescent="0.2">
      <c r="A88" s="3">
        <v>375</v>
      </c>
      <c r="B88" s="79">
        <v>375</v>
      </c>
      <c r="C88" s="3">
        <v>3</v>
      </c>
      <c r="E88" s="3">
        <v>150300.5</v>
      </c>
      <c r="F88" s="3">
        <v>125148.133684163</v>
      </c>
      <c r="G88" s="3">
        <v>104774.37</v>
      </c>
      <c r="H88" s="3">
        <v>64779.4</v>
      </c>
      <c r="I88" s="3">
        <v>2018</v>
      </c>
      <c r="J88" s="3">
        <v>2020</v>
      </c>
      <c r="K88" s="3">
        <v>46287.83</v>
      </c>
      <c r="L88" s="3">
        <v>26391.26</v>
      </c>
      <c r="M88" s="3">
        <v>-3667.6100000000301</v>
      </c>
      <c r="N88" s="3">
        <v>-45331.360000000001</v>
      </c>
      <c r="O88" s="3">
        <v>363525065.39999998</v>
      </c>
      <c r="P88" s="3">
        <v>430754299.79112601</v>
      </c>
      <c r="Q88" s="23">
        <v>188705526.64770001</v>
      </c>
      <c r="R88" s="23">
        <v>106297522.30679999</v>
      </c>
      <c r="S88" s="50" t="s">
        <v>424</v>
      </c>
      <c r="T88" s="23" t="s">
        <v>56</v>
      </c>
      <c r="U88" s="23">
        <v>10550880</v>
      </c>
      <c r="V88" s="23">
        <v>229682.16718752499</v>
      </c>
      <c r="W88" s="3" t="s">
        <v>21</v>
      </c>
      <c r="X88" s="79">
        <v>4.9277651622224201E-2</v>
      </c>
      <c r="Y88" s="3">
        <v>7.9812008083641195E-2</v>
      </c>
      <c r="Z88" s="3">
        <v>6.4269034170984796</v>
      </c>
      <c r="AA88" s="3">
        <v>374978.46006827097</v>
      </c>
      <c r="AB88" s="3" t="s">
        <v>294</v>
      </c>
      <c r="AC88" s="3">
        <v>400959.870624314</v>
      </c>
      <c r="AD88" s="3">
        <v>342190.06221213797</v>
      </c>
      <c r="AE88" s="3">
        <v>292588.42639049498</v>
      </c>
      <c r="AF88" s="3">
        <v>31</v>
      </c>
      <c r="AG88" s="3"/>
      <c r="AK88" s="10">
        <v>1</v>
      </c>
      <c r="AL88" s="10">
        <v>1</v>
      </c>
      <c r="AM88" s="10">
        <v>1</v>
      </c>
      <c r="AN88" s="10">
        <v>1.5</v>
      </c>
      <c r="AO88" s="92">
        <v>1.5</v>
      </c>
      <c r="AP88" s="10">
        <v>1.5</v>
      </c>
      <c r="AQ88" s="92">
        <v>1</v>
      </c>
      <c r="AR88" s="10">
        <v>1</v>
      </c>
      <c r="AS88" s="10">
        <v>1</v>
      </c>
      <c r="AT88" s="10">
        <v>1</v>
      </c>
      <c r="AU88" s="10">
        <v>1.5</v>
      </c>
      <c r="AV88" s="10">
        <v>1.5</v>
      </c>
      <c r="AW88" s="10">
        <v>1.5</v>
      </c>
      <c r="AX88" s="5">
        <v>1.5</v>
      </c>
      <c r="AY88" s="5">
        <v>2</v>
      </c>
      <c r="AZ88" s="5">
        <v>1</v>
      </c>
      <c r="BA88" s="5">
        <v>1</v>
      </c>
      <c r="BB88" s="5">
        <v>2</v>
      </c>
      <c r="BC88" s="5">
        <v>1</v>
      </c>
      <c r="BD88" s="5">
        <v>0</v>
      </c>
      <c r="BE88" s="5">
        <v>1.5</v>
      </c>
      <c r="BF88" s="5">
        <v>1.5</v>
      </c>
      <c r="BG88" s="5">
        <v>0</v>
      </c>
      <c r="BH88" s="5">
        <v>0</v>
      </c>
      <c r="BI88" s="5">
        <v>1.5</v>
      </c>
      <c r="BJ88" s="5">
        <v>1.5</v>
      </c>
      <c r="BK88" s="5">
        <v>1.5</v>
      </c>
      <c r="BL88" s="5">
        <v>1.5</v>
      </c>
      <c r="BM88" s="5">
        <v>33.5</v>
      </c>
      <c r="BN88" s="3">
        <v>0.8933333158493042</v>
      </c>
      <c r="BO88" s="3">
        <v>0</v>
      </c>
      <c r="BP88" s="3">
        <v>0</v>
      </c>
      <c r="BQ88" s="3">
        <v>0</v>
      </c>
    </row>
    <row r="89" spans="1:69" x14ac:dyDescent="0.2">
      <c r="A89" s="3">
        <v>376</v>
      </c>
      <c r="B89" s="79">
        <v>376</v>
      </c>
      <c r="C89" s="3">
        <v>2</v>
      </c>
      <c r="E89" s="3">
        <v>150300.5</v>
      </c>
      <c r="F89" s="3">
        <v>125148.133684163</v>
      </c>
      <c r="G89" s="3">
        <v>104774.37</v>
      </c>
      <c r="H89" s="3">
        <v>64779.4</v>
      </c>
      <c r="I89" s="3">
        <v>2018</v>
      </c>
      <c r="J89" s="3">
        <v>2020</v>
      </c>
      <c r="K89" s="3">
        <v>46287.83</v>
      </c>
      <c r="L89" s="3">
        <v>26391.26</v>
      </c>
      <c r="M89" s="3">
        <v>-3667.6100000000301</v>
      </c>
      <c r="N89" s="3">
        <v>-45331.360000000001</v>
      </c>
      <c r="O89" s="19">
        <v>363525065.39999998</v>
      </c>
      <c r="P89" s="3">
        <v>430754299.79112601</v>
      </c>
      <c r="Q89" s="3">
        <v>188705526.64770001</v>
      </c>
      <c r="R89" s="3">
        <v>106297522.30679999</v>
      </c>
      <c r="S89" s="3" t="s">
        <v>426</v>
      </c>
      <c r="T89" s="3" t="s">
        <v>56</v>
      </c>
      <c r="U89" s="3">
        <v>10551048</v>
      </c>
      <c r="V89" s="3">
        <v>229685.824380487</v>
      </c>
      <c r="W89" s="23" t="s">
        <v>21</v>
      </c>
      <c r="X89" s="23">
        <v>4.9277651622224201E-2</v>
      </c>
      <c r="Y89" s="50">
        <v>7.9811626373868405E-2</v>
      </c>
      <c r="Z89" s="50">
        <v>6.4269138592264596</v>
      </c>
      <c r="AA89" s="50">
        <v>374980.05215983302</v>
      </c>
      <c r="AB89" s="50" t="s">
        <v>294</v>
      </c>
      <c r="AC89" s="23">
        <v>400966.25504516403</v>
      </c>
      <c r="AD89" s="3">
        <v>342195.51085058798</v>
      </c>
      <c r="AE89" s="3">
        <v>292593.08522991103</v>
      </c>
      <c r="AF89" s="10">
        <v>31</v>
      </c>
      <c r="AK89" s="10">
        <v>1</v>
      </c>
      <c r="AL89" s="10">
        <v>1</v>
      </c>
      <c r="AM89" s="10">
        <v>1</v>
      </c>
      <c r="AN89" s="10">
        <v>1.5</v>
      </c>
      <c r="AO89" s="10">
        <v>1.5</v>
      </c>
      <c r="AP89" s="10">
        <v>1.5</v>
      </c>
      <c r="AQ89" s="10">
        <v>1</v>
      </c>
      <c r="AR89" s="10">
        <v>1</v>
      </c>
      <c r="AS89" s="10">
        <v>1</v>
      </c>
      <c r="AT89" s="10">
        <v>1</v>
      </c>
      <c r="AU89" s="10">
        <v>1.5</v>
      </c>
      <c r="AV89" s="10">
        <v>1.5</v>
      </c>
      <c r="AW89" s="10">
        <v>1.5</v>
      </c>
      <c r="AX89" s="10">
        <v>1.5</v>
      </c>
      <c r="AY89" s="10">
        <v>2</v>
      </c>
      <c r="AZ89" s="10">
        <v>1</v>
      </c>
      <c r="BA89" s="10">
        <v>1</v>
      </c>
      <c r="BB89" s="79">
        <v>2</v>
      </c>
      <c r="BC89" s="79">
        <v>1</v>
      </c>
      <c r="BD89" s="79">
        <v>0</v>
      </c>
      <c r="BE89" s="79">
        <v>1.5</v>
      </c>
      <c r="BF89" s="79">
        <v>1.5</v>
      </c>
      <c r="BG89" s="79">
        <v>0</v>
      </c>
      <c r="BH89" s="79">
        <v>0</v>
      </c>
      <c r="BI89" s="79">
        <v>1.5</v>
      </c>
      <c r="BJ89" s="79">
        <v>1.5</v>
      </c>
      <c r="BK89" s="5">
        <v>1.5</v>
      </c>
      <c r="BL89" s="12">
        <v>1.5</v>
      </c>
      <c r="BM89" s="5">
        <v>33.5</v>
      </c>
      <c r="BN89" s="3">
        <v>0.8933333158493042</v>
      </c>
      <c r="BO89" s="3">
        <v>0</v>
      </c>
      <c r="BP89" s="3">
        <v>0</v>
      </c>
      <c r="BQ89" s="3">
        <v>0</v>
      </c>
    </row>
    <row r="90" spans="1:69" x14ac:dyDescent="0.2">
      <c r="A90" s="3">
        <v>377</v>
      </c>
      <c r="B90" s="79">
        <v>377</v>
      </c>
      <c r="C90" s="3">
        <v>4</v>
      </c>
      <c r="E90" s="3">
        <v>150300.5</v>
      </c>
      <c r="F90" s="3">
        <v>125148.133684163</v>
      </c>
      <c r="G90" s="3">
        <v>104774.37</v>
      </c>
      <c r="H90" s="3">
        <v>64779.4</v>
      </c>
      <c r="I90" s="3">
        <v>2018</v>
      </c>
      <c r="J90" s="3">
        <v>2020</v>
      </c>
      <c r="K90" s="3">
        <v>46287.83</v>
      </c>
      <c r="L90" s="3">
        <v>26391.26</v>
      </c>
      <c r="M90" s="3">
        <v>-3667.6100000000301</v>
      </c>
      <c r="N90" s="3">
        <v>-45331.360000000001</v>
      </c>
      <c r="O90" s="3">
        <v>363525065.39999998</v>
      </c>
      <c r="P90" s="3">
        <v>430754299.79112601</v>
      </c>
      <c r="Q90" s="3">
        <v>188705526.64770001</v>
      </c>
      <c r="R90" s="3">
        <v>106297522.30679999</v>
      </c>
      <c r="S90" s="3" t="s">
        <v>428</v>
      </c>
      <c r="T90" s="3" t="s">
        <v>56</v>
      </c>
      <c r="U90" s="3">
        <v>10551969.6</v>
      </c>
      <c r="V90" s="3">
        <v>229705.88669616901</v>
      </c>
      <c r="W90" s="3" t="s">
        <v>21</v>
      </c>
      <c r="X90" s="23">
        <v>4.9277651622224201E-2</v>
      </c>
      <c r="Y90" s="23">
        <v>7.9809522046938905E-2</v>
      </c>
      <c r="Z90" s="23">
        <v>6.4269706253838699</v>
      </c>
      <c r="AA90" s="23">
        <v>374988.70834290102</v>
      </c>
      <c r="AB90" s="23" t="s">
        <v>289</v>
      </c>
      <c r="AC90" s="50">
        <v>401001.27815383102</v>
      </c>
      <c r="AD90" s="23">
        <v>342225.40052437101</v>
      </c>
      <c r="AE90" s="23">
        <v>292618.64229185903</v>
      </c>
      <c r="AF90" s="3">
        <v>31</v>
      </c>
      <c r="AK90" s="10">
        <v>1</v>
      </c>
      <c r="AL90" s="10">
        <v>1</v>
      </c>
      <c r="AM90" s="10">
        <v>1</v>
      </c>
      <c r="AN90" s="10">
        <v>1.5</v>
      </c>
      <c r="AO90" s="10">
        <v>1.5</v>
      </c>
      <c r="AP90" s="10">
        <v>1.5</v>
      </c>
      <c r="AQ90" s="10">
        <v>1</v>
      </c>
      <c r="AR90" s="10">
        <v>1</v>
      </c>
      <c r="AS90" s="10">
        <v>1</v>
      </c>
      <c r="AT90" s="10">
        <v>1</v>
      </c>
      <c r="AU90" s="10">
        <v>1.5</v>
      </c>
      <c r="AV90" s="10">
        <v>1.5</v>
      </c>
      <c r="AW90" s="10">
        <v>1.5</v>
      </c>
      <c r="AX90" s="10">
        <v>1.5</v>
      </c>
      <c r="AY90" s="10">
        <v>2</v>
      </c>
      <c r="AZ90" s="10">
        <v>1</v>
      </c>
      <c r="BA90" s="10">
        <v>1</v>
      </c>
      <c r="BB90" s="10">
        <v>2</v>
      </c>
      <c r="BC90" s="10">
        <v>1</v>
      </c>
      <c r="BD90" s="10">
        <v>0</v>
      </c>
      <c r="BE90" s="10">
        <v>1.5</v>
      </c>
      <c r="BF90" s="10">
        <v>1.5</v>
      </c>
      <c r="BG90" s="10">
        <v>0</v>
      </c>
      <c r="BH90" s="10">
        <v>0</v>
      </c>
      <c r="BI90" s="10">
        <v>1.5</v>
      </c>
      <c r="BJ90" s="10">
        <v>1.5</v>
      </c>
      <c r="BK90" s="79">
        <v>1.5</v>
      </c>
      <c r="BL90" s="12">
        <v>1.5</v>
      </c>
      <c r="BM90" s="3">
        <v>33.5</v>
      </c>
      <c r="BN90" s="3">
        <v>0.8933333158493042</v>
      </c>
      <c r="BO90" s="3">
        <v>0</v>
      </c>
      <c r="BP90" s="3">
        <v>0</v>
      </c>
      <c r="BQ90" s="3">
        <v>0</v>
      </c>
    </row>
    <row r="91" spans="1:69" x14ac:dyDescent="0.2">
      <c r="A91" s="3">
        <v>378</v>
      </c>
      <c r="B91" s="79">
        <v>378</v>
      </c>
      <c r="C91" s="3">
        <v>3</v>
      </c>
      <c r="E91" s="3">
        <v>150300.5</v>
      </c>
      <c r="F91" s="3">
        <v>125148.133684163</v>
      </c>
      <c r="G91" s="3">
        <v>104774.37</v>
      </c>
      <c r="H91" s="3">
        <v>64779.4</v>
      </c>
      <c r="I91" s="3">
        <v>2018</v>
      </c>
      <c r="J91" s="3">
        <v>2020</v>
      </c>
      <c r="K91" s="3">
        <v>46287.83</v>
      </c>
      <c r="L91" s="3">
        <v>26391.26</v>
      </c>
      <c r="M91" s="3">
        <v>-3667.6100000000301</v>
      </c>
      <c r="N91" s="3">
        <v>-45331.360000000001</v>
      </c>
      <c r="O91" s="3">
        <v>363525065.39999998</v>
      </c>
      <c r="P91" s="3">
        <v>430754299.79112601</v>
      </c>
      <c r="Q91" s="3">
        <v>188705526.64770001</v>
      </c>
      <c r="R91" s="3">
        <v>106297522.30679999</v>
      </c>
      <c r="S91" s="3" t="s">
        <v>430</v>
      </c>
      <c r="T91" s="3" t="s">
        <v>56</v>
      </c>
      <c r="U91" s="3">
        <v>10550813.199999999</v>
      </c>
      <c r="V91" s="3">
        <v>229680.71301794201</v>
      </c>
      <c r="W91" s="23" t="s">
        <v>21</v>
      </c>
      <c r="X91" s="23">
        <v>0</v>
      </c>
      <c r="Y91" s="50">
        <v>0</v>
      </c>
      <c r="Z91" s="50">
        <v>0</v>
      </c>
      <c r="AA91" s="50">
        <v>0</v>
      </c>
      <c r="AB91" s="50" t="s">
        <v>55</v>
      </c>
      <c r="AC91" s="23">
        <v>0</v>
      </c>
      <c r="AD91" s="3">
        <v>0</v>
      </c>
      <c r="AE91" s="3">
        <v>0</v>
      </c>
      <c r="AF91" s="10">
        <v>0</v>
      </c>
      <c r="AK91" s="10">
        <v>1</v>
      </c>
      <c r="AL91" s="10">
        <v>1</v>
      </c>
      <c r="AM91" s="10">
        <v>1</v>
      </c>
      <c r="AN91" s="10">
        <v>1.5</v>
      </c>
      <c r="AO91" s="10">
        <v>1.5</v>
      </c>
      <c r="AP91" s="10">
        <v>1.5</v>
      </c>
      <c r="AQ91" s="10">
        <v>1</v>
      </c>
      <c r="AR91" s="10">
        <v>1</v>
      </c>
      <c r="AS91" s="10">
        <v>1</v>
      </c>
      <c r="AT91" s="10">
        <v>1</v>
      </c>
      <c r="AU91" s="10">
        <v>1.5</v>
      </c>
      <c r="AV91" s="10">
        <v>1.5</v>
      </c>
      <c r="AW91" s="10">
        <v>1.5</v>
      </c>
      <c r="AX91" s="10">
        <v>1.5</v>
      </c>
      <c r="AY91" s="10">
        <v>2</v>
      </c>
      <c r="AZ91" s="10">
        <v>1</v>
      </c>
      <c r="BA91" s="10">
        <v>1</v>
      </c>
      <c r="BB91" s="79">
        <v>2</v>
      </c>
      <c r="BC91" s="79">
        <v>1</v>
      </c>
      <c r="BD91" s="79">
        <v>0</v>
      </c>
      <c r="BE91" s="79">
        <v>0</v>
      </c>
      <c r="BF91" s="79">
        <v>0</v>
      </c>
      <c r="BG91" s="79">
        <v>0</v>
      </c>
      <c r="BH91" s="79">
        <v>0</v>
      </c>
      <c r="BI91" s="79">
        <v>0</v>
      </c>
      <c r="BJ91" s="79">
        <v>0</v>
      </c>
      <c r="BK91" s="5">
        <v>0</v>
      </c>
      <c r="BL91" s="12">
        <v>0</v>
      </c>
      <c r="BM91" s="5">
        <v>24.5</v>
      </c>
      <c r="BN91" s="3">
        <v>0.65333330631256104</v>
      </c>
      <c r="BO91" s="3">
        <v>0</v>
      </c>
      <c r="BP91" s="3">
        <v>0</v>
      </c>
      <c r="BQ91" s="3">
        <v>0</v>
      </c>
    </row>
    <row r="92" spans="1:69" x14ac:dyDescent="0.2">
      <c r="A92" s="3">
        <v>379</v>
      </c>
      <c r="B92" s="79">
        <v>379</v>
      </c>
      <c r="C92" s="3">
        <v>3</v>
      </c>
      <c r="E92" s="3">
        <v>150300.5</v>
      </c>
      <c r="F92" s="3">
        <v>124708.514271048</v>
      </c>
      <c r="G92" s="3">
        <v>104773.65</v>
      </c>
      <c r="H92" s="3">
        <v>64779.4</v>
      </c>
      <c r="I92" s="3">
        <v>2018</v>
      </c>
      <c r="J92" s="3">
        <v>2021</v>
      </c>
      <c r="K92" s="3">
        <v>46283.8</v>
      </c>
      <c r="L92" s="3">
        <v>26386.39</v>
      </c>
      <c r="M92" s="3">
        <v>-3673.4000000000401</v>
      </c>
      <c r="N92" s="3">
        <v>-45338.15</v>
      </c>
      <c r="O92" s="3">
        <v>363525065.39999998</v>
      </c>
      <c r="P92" s="3">
        <v>428009464.06866002</v>
      </c>
      <c r="Q92" s="3">
        <v>188705527.7493</v>
      </c>
      <c r="R92" s="3">
        <v>106297558.93889999</v>
      </c>
      <c r="S92" s="3" t="s">
        <v>432</v>
      </c>
      <c r="T92" s="3" t="s">
        <v>56</v>
      </c>
      <c r="U92" s="3">
        <v>10551974.4</v>
      </c>
      <c r="V92" s="3">
        <v>229705.99118739701</v>
      </c>
      <c r="W92" s="23" t="s">
        <v>20</v>
      </c>
      <c r="X92" s="23">
        <v>6.3481662244633003E-2</v>
      </c>
      <c r="Y92" s="50">
        <v>0.08</v>
      </c>
      <c r="Z92" s="50">
        <v>6.37</v>
      </c>
      <c r="AA92" s="50">
        <v>1190753546.0899999</v>
      </c>
      <c r="AB92" s="50" t="s">
        <v>289</v>
      </c>
      <c r="AC92" s="23">
        <v>1.52</v>
      </c>
      <c r="AD92" s="3">
        <v>1.58</v>
      </c>
      <c r="AE92" s="3">
        <v>1.64</v>
      </c>
      <c r="AF92" s="10">
        <v>0</v>
      </c>
      <c r="AK92" s="10">
        <v>1</v>
      </c>
      <c r="AL92" s="10">
        <v>0</v>
      </c>
      <c r="AM92" s="10">
        <v>1</v>
      </c>
      <c r="AN92" s="10">
        <v>1.5</v>
      </c>
      <c r="AO92" s="10">
        <v>1.5</v>
      </c>
      <c r="AP92" s="10">
        <v>1.5</v>
      </c>
      <c r="AQ92" s="10">
        <v>1</v>
      </c>
      <c r="AR92" s="10">
        <v>1</v>
      </c>
      <c r="AS92" s="10">
        <v>1</v>
      </c>
      <c r="AT92" s="10">
        <v>1</v>
      </c>
      <c r="AU92" s="10">
        <v>1.5</v>
      </c>
      <c r="AV92" s="10">
        <v>1.5</v>
      </c>
      <c r="AW92" s="10">
        <v>1.5</v>
      </c>
      <c r="AX92" s="10">
        <v>0</v>
      </c>
      <c r="AY92" s="10">
        <v>0</v>
      </c>
      <c r="AZ92" s="10">
        <v>1</v>
      </c>
      <c r="BA92" s="10">
        <v>1</v>
      </c>
      <c r="BB92" s="79">
        <v>2</v>
      </c>
      <c r="BC92" s="79">
        <v>0</v>
      </c>
      <c r="BD92" s="79">
        <v>0</v>
      </c>
      <c r="BE92" s="79">
        <v>1.5</v>
      </c>
      <c r="BF92" s="79">
        <v>0</v>
      </c>
      <c r="BG92" s="79">
        <v>0</v>
      </c>
      <c r="BH92" s="79">
        <v>0</v>
      </c>
      <c r="BI92" s="79">
        <v>0</v>
      </c>
      <c r="BJ92" s="79">
        <v>0</v>
      </c>
      <c r="BK92" s="5">
        <v>0</v>
      </c>
      <c r="BL92" s="12">
        <v>0</v>
      </c>
      <c r="BM92" s="5">
        <v>20.5</v>
      </c>
      <c r="BN92" s="3">
        <v>0.54666668176651001</v>
      </c>
      <c r="BO92" s="3">
        <v>0</v>
      </c>
      <c r="BP92" s="3">
        <v>0</v>
      </c>
      <c r="BQ92" s="3">
        <v>0</v>
      </c>
    </row>
    <row r="93" spans="1:69" x14ac:dyDescent="0.2">
      <c r="A93" s="3">
        <v>381</v>
      </c>
      <c r="B93" s="79">
        <v>381</v>
      </c>
      <c r="C93" s="3">
        <v>2</v>
      </c>
      <c r="E93" s="3">
        <v>150300.5</v>
      </c>
      <c r="F93" s="3">
        <v>124708.514271048</v>
      </c>
      <c r="G93" s="3">
        <v>104773.65</v>
      </c>
      <c r="H93" s="3">
        <v>64779.4</v>
      </c>
      <c r="I93" s="3">
        <v>2018</v>
      </c>
      <c r="J93" s="3">
        <v>2021</v>
      </c>
      <c r="K93" s="3">
        <v>46283.8</v>
      </c>
      <c r="L93" s="3">
        <v>26386.39</v>
      </c>
      <c r="M93" s="3">
        <v>-3673.4000000000401</v>
      </c>
      <c r="N93" s="3">
        <v>-45338.15</v>
      </c>
      <c r="O93" s="3">
        <v>363525065.39999998</v>
      </c>
      <c r="P93" s="3">
        <v>428009464.06866002</v>
      </c>
      <c r="Q93" s="3">
        <v>188705527.7493</v>
      </c>
      <c r="R93" s="3">
        <v>106297558.93889999</v>
      </c>
      <c r="S93" s="3" t="s">
        <v>433</v>
      </c>
      <c r="T93" s="3" t="s">
        <v>56</v>
      </c>
      <c r="U93" s="3">
        <v>10550876.800000001</v>
      </c>
      <c r="V93" s="3">
        <v>9654699.2988993209</v>
      </c>
      <c r="W93" s="3" t="s">
        <v>21</v>
      </c>
      <c r="X93" s="23">
        <v>0.06</v>
      </c>
      <c r="Y93" s="23">
        <v>7.9811738525716602E-2</v>
      </c>
      <c r="Z93" s="23">
        <v>6.42688534274739</v>
      </c>
      <c r="AA93" s="23">
        <v>2617506.6300175101</v>
      </c>
      <c r="AB93" s="23" t="s">
        <v>294</v>
      </c>
      <c r="AC93" s="50">
        <v>15998981.964660199</v>
      </c>
      <c r="AD93" s="23">
        <v>16711488.2880983</v>
      </c>
      <c r="AE93" s="23">
        <v>17320425.933075201</v>
      </c>
      <c r="AF93" s="3">
        <v>21</v>
      </c>
      <c r="AK93" s="10">
        <v>1</v>
      </c>
      <c r="AL93" s="10">
        <v>0</v>
      </c>
      <c r="AM93" s="10">
        <v>1</v>
      </c>
      <c r="AN93" s="10">
        <v>1.5</v>
      </c>
      <c r="AO93" s="10">
        <v>1.5</v>
      </c>
      <c r="AP93" s="10">
        <v>1.5</v>
      </c>
      <c r="AQ93" s="10">
        <v>1</v>
      </c>
      <c r="AR93" s="10">
        <v>1</v>
      </c>
      <c r="AS93" s="10">
        <v>1</v>
      </c>
      <c r="AT93" s="10">
        <v>1</v>
      </c>
      <c r="AU93" s="10">
        <v>1.5</v>
      </c>
      <c r="AV93" s="10">
        <v>1.5</v>
      </c>
      <c r="AW93" s="10">
        <v>1.5</v>
      </c>
      <c r="AX93" s="10">
        <v>0</v>
      </c>
      <c r="AY93" s="10">
        <v>0</v>
      </c>
      <c r="AZ93" s="10">
        <v>1</v>
      </c>
      <c r="BA93" s="10">
        <v>1</v>
      </c>
      <c r="BB93" s="10">
        <v>0</v>
      </c>
      <c r="BC93" s="10">
        <v>1</v>
      </c>
      <c r="BD93" s="10">
        <v>0</v>
      </c>
      <c r="BE93" s="10">
        <v>1.5</v>
      </c>
      <c r="BF93" s="10">
        <v>1.5</v>
      </c>
      <c r="BG93" s="10">
        <v>0</v>
      </c>
      <c r="BH93" s="10">
        <v>0</v>
      </c>
      <c r="BI93" s="10">
        <v>0</v>
      </c>
      <c r="BJ93" s="10">
        <v>0</v>
      </c>
      <c r="BK93" s="79">
        <v>0</v>
      </c>
      <c r="BL93" s="12">
        <v>0</v>
      </c>
      <c r="BM93" s="3">
        <v>21</v>
      </c>
      <c r="BN93" s="3">
        <v>0.56000000238418579</v>
      </c>
      <c r="BO93" s="3">
        <v>0</v>
      </c>
      <c r="BP93" s="3">
        <v>0</v>
      </c>
      <c r="BQ93" s="3">
        <v>0</v>
      </c>
    </row>
    <row r="94" spans="1:69" x14ac:dyDescent="0.2">
      <c r="A94" s="3">
        <v>382</v>
      </c>
      <c r="B94" s="79">
        <v>382</v>
      </c>
      <c r="C94" s="3">
        <v>4</v>
      </c>
      <c r="E94" s="3">
        <v>150300.5</v>
      </c>
      <c r="F94" s="3">
        <v>125148.319969452</v>
      </c>
      <c r="G94" s="3">
        <v>129121.65</v>
      </c>
      <c r="H94" s="3">
        <v>64779.4</v>
      </c>
      <c r="I94" s="3">
        <v>2018</v>
      </c>
      <c r="J94" s="3">
        <v>2021</v>
      </c>
      <c r="K94" s="3">
        <v>46287.83</v>
      </c>
      <c r="L94" s="3">
        <v>26391.26</v>
      </c>
      <c r="M94" s="3">
        <v>-3667.6100000000301</v>
      </c>
      <c r="N94" s="3">
        <v>-45331.360000000001</v>
      </c>
      <c r="O94" s="3">
        <v>363525065.39999998</v>
      </c>
      <c r="P94" s="3">
        <v>430755342.834647</v>
      </c>
      <c r="Q94" s="23">
        <v>1500435523.2693</v>
      </c>
      <c r="R94" s="23">
        <v>106297522.30679999</v>
      </c>
      <c r="S94" s="50" t="s">
        <v>435</v>
      </c>
      <c r="T94" s="23" t="s">
        <v>56</v>
      </c>
      <c r="U94" s="23">
        <v>10550832.800000001</v>
      </c>
      <c r="V94" s="23">
        <v>9654659.0362010393</v>
      </c>
      <c r="W94" s="3" t="s">
        <v>21</v>
      </c>
      <c r="X94" s="79">
        <v>0.05</v>
      </c>
      <c r="Y94" s="3">
        <v>0</v>
      </c>
      <c r="Z94" s="3">
        <v>0</v>
      </c>
      <c r="AA94" s="3">
        <v>0</v>
      </c>
      <c r="AB94" s="3" t="s">
        <v>289</v>
      </c>
      <c r="AC94" s="3">
        <v>0</v>
      </c>
      <c r="AD94" s="3">
        <v>0</v>
      </c>
      <c r="AE94" s="3">
        <v>0</v>
      </c>
      <c r="AF94" s="3">
        <v>0</v>
      </c>
      <c r="AG94" s="3"/>
      <c r="AK94" s="10">
        <v>1</v>
      </c>
      <c r="AL94" s="10">
        <v>1</v>
      </c>
      <c r="AM94" s="10">
        <v>0</v>
      </c>
      <c r="AN94" s="10">
        <v>1.5</v>
      </c>
      <c r="AO94" s="92">
        <v>1.5</v>
      </c>
      <c r="AP94" s="10">
        <v>1.5</v>
      </c>
      <c r="AQ94" s="92">
        <v>1</v>
      </c>
      <c r="AR94" s="10">
        <v>1</v>
      </c>
      <c r="AS94" s="10">
        <v>1</v>
      </c>
      <c r="AT94" s="10">
        <v>1</v>
      </c>
      <c r="AU94" s="10">
        <v>1.5</v>
      </c>
      <c r="AV94" s="10">
        <v>0</v>
      </c>
      <c r="AW94" s="10">
        <v>0</v>
      </c>
      <c r="AX94" s="5">
        <v>1.5</v>
      </c>
      <c r="AY94" s="5">
        <v>2</v>
      </c>
      <c r="AZ94" s="5">
        <v>1</v>
      </c>
      <c r="BA94" s="5">
        <v>1</v>
      </c>
      <c r="BB94" s="5">
        <v>0</v>
      </c>
      <c r="BC94" s="5">
        <v>1</v>
      </c>
      <c r="BD94" s="5">
        <v>0</v>
      </c>
      <c r="BE94" s="5">
        <v>0</v>
      </c>
      <c r="BF94" s="5">
        <v>0</v>
      </c>
      <c r="BG94" s="5">
        <v>0</v>
      </c>
      <c r="BH94" s="5">
        <v>0</v>
      </c>
      <c r="BI94" s="5">
        <v>0</v>
      </c>
      <c r="BJ94" s="5">
        <v>0</v>
      </c>
      <c r="BK94" s="5">
        <v>0</v>
      </c>
      <c r="BL94" s="5">
        <v>0</v>
      </c>
      <c r="BM94" s="5">
        <v>18.5</v>
      </c>
      <c r="BN94" s="3">
        <v>0.49333333969116211</v>
      </c>
      <c r="BO94" s="3">
        <v>0</v>
      </c>
      <c r="BP94" s="3">
        <v>0</v>
      </c>
      <c r="BQ94" s="3">
        <v>0</v>
      </c>
    </row>
    <row r="95" spans="1:69" x14ac:dyDescent="0.2">
      <c r="A95" s="3">
        <v>383</v>
      </c>
      <c r="B95" s="79">
        <v>383</v>
      </c>
      <c r="C95" s="3">
        <v>2</v>
      </c>
      <c r="E95" s="3">
        <v>150300.5</v>
      </c>
      <c r="F95" s="3">
        <v>125148.133684163</v>
      </c>
      <c r="G95" s="3">
        <v>104774.37</v>
      </c>
      <c r="H95" s="3">
        <v>64779.4</v>
      </c>
      <c r="I95" s="3">
        <v>2018</v>
      </c>
      <c r="J95" s="3">
        <v>2020</v>
      </c>
      <c r="K95" s="3">
        <v>46287.83</v>
      </c>
      <c r="L95" s="3">
        <v>26391.26</v>
      </c>
      <c r="M95" s="3">
        <v>-3667.6100000000301</v>
      </c>
      <c r="N95" s="3">
        <v>-45331.360000000001</v>
      </c>
      <c r="O95" s="3">
        <v>363525065.39999998</v>
      </c>
      <c r="P95" s="3">
        <v>430754299.79112601</v>
      </c>
      <c r="Q95" s="3">
        <v>188705526.64770001</v>
      </c>
      <c r="R95" s="94">
        <v>106297522.30679999</v>
      </c>
      <c r="S95" s="3" t="s">
        <v>437</v>
      </c>
      <c r="T95" s="3" t="s">
        <v>56</v>
      </c>
      <c r="U95" s="3">
        <v>10550292.4</v>
      </c>
      <c r="V95" s="3">
        <v>229669.37571975801</v>
      </c>
      <c r="W95" s="3" t="s">
        <v>21</v>
      </c>
      <c r="X95" s="23">
        <v>4.9276509161013102E-2</v>
      </c>
      <c r="Y95" s="23">
        <v>7.9806187897669495E-2</v>
      </c>
      <c r="Z95" s="23">
        <v>6.4267587554871497</v>
      </c>
      <c r="AA95" s="23">
        <v>374907.47288901702</v>
      </c>
      <c r="AB95" s="23" t="s">
        <v>289</v>
      </c>
      <c r="AC95" s="50">
        <v>400992.14235161297</v>
      </c>
      <c r="AD95" s="23">
        <v>342217.60378220998</v>
      </c>
      <c r="AE95" s="23">
        <v>292611.97571450099</v>
      </c>
      <c r="AF95" s="3">
        <v>31</v>
      </c>
      <c r="AK95" s="10">
        <v>1</v>
      </c>
      <c r="AL95" s="10">
        <v>1</v>
      </c>
      <c r="AM95" s="10">
        <v>1</v>
      </c>
      <c r="AN95" s="10">
        <v>1.5</v>
      </c>
      <c r="AO95" s="10">
        <v>1.5</v>
      </c>
      <c r="AP95" s="10">
        <v>1.5</v>
      </c>
      <c r="AQ95" s="10">
        <v>1</v>
      </c>
      <c r="AR95" s="10">
        <v>1</v>
      </c>
      <c r="AS95" s="10">
        <v>1</v>
      </c>
      <c r="AT95" s="10">
        <v>1</v>
      </c>
      <c r="AU95" s="10">
        <v>1.5</v>
      </c>
      <c r="AV95" s="10">
        <v>1.5</v>
      </c>
      <c r="AW95" s="10">
        <v>1.5</v>
      </c>
      <c r="AX95" s="10">
        <v>1.5</v>
      </c>
      <c r="AY95" s="10">
        <v>2</v>
      </c>
      <c r="AZ95" s="10">
        <v>1</v>
      </c>
      <c r="BA95" s="10">
        <v>1</v>
      </c>
      <c r="BB95" s="10">
        <v>2</v>
      </c>
      <c r="BC95" s="10">
        <v>1</v>
      </c>
      <c r="BD95" s="10">
        <v>0</v>
      </c>
      <c r="BE95" s="10">
        <v>1.5</v>
      </c>
      <c r="BF95" s="10">
        <v>1.5</v>
      </c>
      <c r="BG95" s="10">
        <v>1.5</v>
      </c>
      <c r="BH95" s="10">
        <v>0</v>
      </c>
      <c r="BI95" s="10">
        <v>0</v>
      </c>
      <c r="BJ95" s="10">
        <v>0</v>
      </c>
      <c r="BK95" s="79">
        <v>0</v>
      </c>
      <c r="BL95" s="3">
        <v>1.5</v>
      </c>
      <c r="BM95" s="3">
        <v>30.5</v>
      </c>
      <c r="BN95" s="3">
        <v>0.81333333253860474</v>
      </c>
      <c r="BO95" s="3">
        <v>0</v>
      </c>
      <c r="BP95" s="3">
        <v>0</v>
      </c>
      <c r="BQ95" s="3">
        <v>0</v>
      </c>
    </row>
    <row r="96" spans="1:69" x14ac:dyDescent="0.2">
      <c r="A96" s="5">
        <v>384</v>
      </c>
      <c r="B96" s="11">
        <v>384</v>
      </c>
      <c r="C96" s="5">
        <v>4</v>
      </c>
      <c r="D96" s="5"/>
      <c r="E96" s="21">
        <v>150300.5</v>
      </c>
      <c r="F96" s="21">
        <v>124708.514271048</v>
      </c>
      <c r="G96" s="22">
        <v>49699.56</v>
      </c>
      <c r="H96" s="5">
        <v>0</v>
      </c>
      <c r="I96" s="8">
        <v>2018</v>
      </c>
      <c r="J96" s="5">
        <v>2021</v>
      </c>
      <c r="K96" s="5">
        <v>46283.8</v>
      </c>
      <c r="L96" s="5">
        <v>26386.39</v>
      </c>
      <c r="M96" s="5">
        <v>-3673.4000000000401</v>
      </c>
      <c r="N96" s="5">
        <v>-45338.15</v>
      </c>
      <c r="O96" s="5">
        <v>363525065.39999998</v>
      </c>
      <c r="P96" s="8">
        <v>430754299.79112601</v>
      </c>
      <c r="Q96" s="21">
        <v>188705526.64770001</v>
      </c>
      <c r="R96" s="22">
        <v>106297522.30679999</v>
      </c>
      <c r="S96" s="49" t="s">
        <v>438</v>
      </c>
      <c r="T96" s="87" t="s">
        <v>56</v>
      </c>
      <c r="U96" s="87">
        <v>10550138.4</v>
      </c>
      <c r="V96" s="87">
        <v>19078381.211941801</v>
      </c>
      <c r="W96" s="5" t="s">
        <v>21</v>
      </c>
      <c r="X96" s="5">
        <v>0.8</v>
      </c>
      <c r="Y96" s="5">
        <v>0</v>
      </c>
      <c r="Z96" s="5">
        <v>0</v>
      </c>
      <c r="AA96" s="5">
        <v>0</v>
      </c>
      <c r="AB96" s="5" t="s">
        <v>294</v>
      </c>
      <c r="AC96" s="5">
        <v>0</v>
      </c>
      <c r="AD96" s="5">
        <v>0</v>
      </c>
      <c r="AE96" s="5">
        <v>0</v>
      </c>
      <c r="AF96" s="5">
        <v>0</v>
      </c>
      <c r="AG96" s="5"/>
      <c r="AH96" s="16"/>
      <c r="AI96" s="16"/>
      <c r="AJ96" s="16"/>
      <c r="AK96" s="16">
        <v>1</v>
      </c>
      <c r="AL96" s="16">
        <v>0</v>
      </c>
      <c r="AM96" s="16">
        <v>0</v>
      </c>
      <c r="AN96" s="16">
        <v>0</v>
      </c>
      <c r="AO96" s="90">
        <v>1.5</v>
      </c>
      <c r="AP96" s="16">
        <v>1.5</v>
      </c>
      <c r="AQ96" s="90">
        <v>1</v>
      </c>
      <c r="AR96" s="16">
        <v>1</v>
      </c>
      <c r="AS96" s="16">
        <v>1</v>
      </c>
      <c r="AT96" s="16">
        <v>1</v>
      </c>
      <c r="AU96" s="16">
        <v>1.5</v>
      </c>
      <c r="AV96" s="16">
        <v>1.5</v>
      </c>
      <c r="AW96" s="16">
        <v>1.5</v>
      </c>
      <c r="AX96" s="5">
        <v>1.5</v>
      </c>
      <c r="AY96" s="5">
        <v>0</v>
      </c>
      <c r="AZ96" s="5">
        <v>1</v>
      </c>
      <c r="BA96" s="5">
        <v>1</v>
      </c>
      <c r="BB96" s="5">
        <v>0</v>
      </c>
      <c r="BC96" s="5">
        <v>1</v>
      </c>
      <c r="BD96" s="5">
        <v>0</v>
      </c>
      <c r="BE96" s="5">
        <v>0</v>
      </c>
      <c r="BF96" s="5">
        <v>0</v>
      </c>
      <c r="BG96" s="5">
        <v>0</v>
      </c>
      <c r="BH96" s="5">
        <v>0</v>
      </c>
      <c r="BI96" s="5">
        <v>0</v>
      </c>
      <c r="BJ96" s="5">
        <v>0</v>
      </c>
      <c r="BK96" s="5">
        <v>0</v>
      </c>
      <c r="BL96" s="5">
        <v>0</v>
      </c>
      <c r="BM96" s="5">
        <v>17</v>
      </c>
      <c r="BN96" s="3">
        <v>0.45333334803581238</v>
      </c>
      <c r="BO96" s="3">
        <v>0</v>
      </c>
      <c r="BP96" s="3">
        <v>0</v>
      </c>
      <c r="BQ96" s="3">
        <v>0</v>
      </c>
    </row>
    <row r="97" spans="1:69" x14ac:dyDescent="0.2">
      <c r="A97" s="3">
        <v>386</v>
      </c>
      <c r="B97" s="79">
        <v>386</v>
      </c>
      <c r="C97" s="3">
        <v>3</v>
      </c>
      <c r="E97" s="3">
        <v>150300.5</v>
      </c>
      <c r="F97" s="3">
        <v>124708.514271048</v>
      </c>
      <c r="G97" s="3">
        <v>104773.65</v>
      </c>
      <c r="H97" s="3">
        <v>79681.7</v>
      </c>
      <c r="I97" s="3">
        <v>2018</v>
      </c>
      <c r="J97" s="3">
        <v>2020</v>
      </c>
      <c r="K97" s="3">
        <v>46283.8</v>
      </c>
      <c r="L97" s="3">
        <v>26386.39</v>
      </c>
      <c r="M97" s="3">
        <v>-3673.4000000000401</v>
      </c>
      <c r="N97" s="3">
        <v>-45338.15</v>
      </c>
      <c r="O97" s="3">
        <v>363525065.39999998</v>
      </c>
      <c r="P97" s="3">
        <v>428009464.06866002</v>
      </c>
      <c r="Q97" s="3">
        <v>188705527.7493</v>
      </c>
      <c r="R97" s="94">
        <v>106297558.93889999</v>
      </c>
      <c r="S97" s="3" t="s">
        <v>440</v>
      </c>
      <c r="T97" s="3" t="s">
        <v>56</v>
      </c>
      <c r="U97" s="3">
        <v>10550779.6</v>
      </c>
      <c r="V97" s="3">
        <v>229679.98157934999</v>
      </c>
      <c r="W97" s="3" t="s">
        <v>21</v>
      </c>
      <c r="X97" s="23">
        <v>4.9276458827047898E-2</v>
      </c>
      <c r="Y97" s="23">
        <v>7.9808187498376107E-2</v>
      </c>
      <c r="Z97" s="23">
        <v>6.4266656652239904</v>
      </c>
      <c r="AA97" s="23">
        <v>374949.82633837999</v>
      </c>
      <c r="AB97" s="23" t="s">
        <v>294</v>
      </c>
      <c r="AC97" s="50">
        <v>400956.05517280602</v>
      </c>
      <c r="AD97" s="23">
        <v>342186.806002016</v>
      </c>
      <c r="AE97" s="23">
        <v>292585.64217931801</v>
      </c>
      <c r="AF97" s="3">
        <v>31</v>
      </c>
      <c r="AK97" s="10">
        <v>1</v>
      </c>
      <c r="AL97" s="10">
        <v>0</v>
      </c>
      <c r="AM97" s="10">
        <v>1</v>
      </c>
      <c r="AN97" s="10">
        <v>0</v>
      </c>
      <c r="AO97" s="10">
        <v>1.5</v>
      </c>
      <c r="AP97" s="10">
        <v>1.5</v>
      </c>
      <c r="AQ97" s="10">
        <v>1</v>
      </c>
      <c r="AR97" s="10">
        <v>1</v>
      </c>
      <c r="AS97" s="10">
        <v>1</v>
      </c>
      <c r="AT97" s="10">
        <v>1</v>
      </c>
      <c r="AU97" s="10">
        <v>1.5</v>
      </c>
      <c r="AV97" s="10">
        <v>1.5</v>
      </c>
      <c r="AW97" s="10">
        <v>1.5</v>
      </c>
      <c r="AX97" s="10">
        <v>0</v>
      </c>
      <c r="AY97" s="10">
        <v>1</v>
      </c>
      <c r="AZ97" s="10">
        <v>1</v>
      </c>
      <c r="BA97" s="10">
        <v>1</v>
      </c>
      <c r="BB97" s="10">
        <v>2</v>
      </c>
      <c r="BC97" s="10">
        <v>1</v>
      </c>
      <c r="BD97" s="10">
        <v>0</v>
      </c>
      <c r="BE97" s="10">
        <v>1.5</v>
      </c>
      <c r="BF97" s="10">
        <v>1.5</v>
      </c>
      <c r="BG97" s="10">
        <v>0</v>
      </c>
      <c r="BH97" s="10">
        <v>0</v>
      </c>
      <c r="BI97" s="10">
        <v>1.5</v>
      </c>
      <c r="BJ97" s="10">
        <v>1.5</v>
      </c>
      <c r="BK97" s="79">
        <v>1.5</v>
      </c>
      <c r="BL97" s="3">
        <v>1.5</v>
      </c>
      <c r="BM97" s="3">
        <v>28.5</v>
      </c>
      <c r="BN97" s="3">
        <v>0.75999999046325684</v>
      </c>
      <c r="BO97" s="3">
        <v>0</v>
      </c>
      <c r="BP97" s="3">
        <v>0</v>
      </c>
      <c r="BQ97" s="3">
        <v>0</v>
      </c>
    </row>
    <row r="98" spans="1:69" x14ac:dyDescent="0.2">
      <c r="A98" s="3">
        <v>387</v>
      </c>
      <c r="B98" s="79">
        <v>387</v>
      </c>
      <c r="C98" s="3">
        <v>2</v>
      </c>
      <c r="E98" s="23">
        <v>150300.5</v>
      </c>
      <c r="F98" s="23">
        <v>124708.514271048</v>
      </c>
      <c r="G98" s="23">
        <v>104773.65</v>
      </c>
      <c r="H98" s="3">
        <v>79681.7</v>
      </c>
      <c r="I98" s="3">
        <v>2018</v>
      </c>
      <c r="J98" s="3">
        <v>2020</v>
      </c>
      <c r="K98" s="3">
        <v>46283.8</v>
      </c>
      <c r="L98" s="3">
        <v>26386.39</v>
      </c>
      <c r="M98" s="3">
        <v>-3673.4000000000401</v>
      </c>
      <c r="N98" s="3">
        <v>-45338.15</v>
      </c>
      <c r="O98" s="3">
        <v>363525065.39999998</v>
      </c>
      <c r="P98" s="3">
        <v>428009464.06866002</v>
      </c>
      <c r="Q98" s="23">
        <v>188705527.7493</v>
      </c>
      <c r="R98" s="23">
        <v>106297558.93889999</v>
      </c>
      <c r="S98" s="50" t="s">
        <v>441</v>
      </c>
      <c r="T98" s="23" t="s">
        <v>56</v>
      </c>
      <c r="U98" s="23">
        <v>10551302</v>
      </c>
      <c r="V98" s="23">
        <v>229691.353707943</v>
      </c>
      <c r="W98" s="3" t="s">
        <v>21</v>
      </c>
      <c r="X98" s="79">
        <v>4.9276458827047898E-2</v>
      </c>
      <c r="Y98" s="3">
        <v>7.9806346880542098E-2</v>
      </c>
      <c r="Z98" s="3">
        <v>6.42667371236473</v>
      </c>
      <c r="AA98" s="3">
        <v>374949.59603385598</v>
      </c>
      <c r="AB98" s="3" t="s">
        <v>294</v>
      </c>
      <c r="AC98" s="3">
        <v>400975.907681451</v>
      </c>
      <c r="AD98" s="3">
        <v>342203.74867300602</v>
      </c>
      <c r="AE98" s="3">
        <v>292600.12895141199</v>
      </c>
      <c r="AF98" s="3">
        <v>31</v>
      </c>
      <c r="AG98" s="3"/>
      <c r="AK98" s="10">
        <v>1</v>
      </c>
      <c r="AL98" s="10">
        <v>0</v>
      </c>
      <c r="AM98" s="10">
        <v>1</v>
      </c>
      <c r="AN98" s="10">
        <v>0</v>
      </c>
      <c r="AO98" s="92">
        <v>1.5</v>
      </c>
      <c r="AP98" s="10">
        <v>1.5</v>
      </c>
      <c r="AQ98" s="92">
        <v>1</v>
      </c>
      <c r="AR98" s="10">
        <v>1</v>
      </c>
      <c r="AS98" s="10">
        <v>1</v>
      </c>
      <c r="AT98" s="10">
        <v>1</v>
      </c>
      <c r="AU98" s="10">
        <v>1.5</v>
      </c>
      <c r="AV98" s="10">
        <v>1.5</v>
      </c>
      <c r="AW98" s="10">
        <v>1.5</v>
      </c>
      <c r="AX98" s="5">
        <v>0</v>
      </c>
      <c r="AY98" s="5">
        <v>1</v>
      </c>
      <c r="AZ98" s="5">
        <v>1</v>
      </c>
      <c r="BA98" s="5">
        <v>1</v>
      </c>
      <c r="BB98" s="5">
        <v>2</v>
      </c>
      <c r="BC98" s="5">
        <v>1</v>
      </c>
      <c r="BD98" s="5">
        <v>0</v>
      </c>
      <c r="BE98" s="5">
        <v>1.5</v>
      </c>
      <c r="BF98" s="5">
        <v>1.5</v>
      </c>
      <c r="BG98" s="5">
        <v>1.5</v>
      </c>
      <c r="BH98" s="5">
        <v>0</v>
      </c>
      <c r="BI98" s="5">
        <v>1.5</v>
      </c>
      <c r="BJ98" s="5">
        <v>1.5</v>
      </c>
      <c r="BK98" s="5">
        <v>1.5</v>
      </c>
      <c r="BL98" s="5">
        <v>1.5</v>
      </c>
      <c r="BM98" s="5">
        <v>30</v>
      </c>
      <c r="BN98" s="3">
        <v>0.80000001192092896</v>
      </c>
      <c r="BO98" s="3">
        <v>0</v>
      </c>
      <c r="BP98" s="3">
        <v>0</v>
      </c>
      <c r="BQ98" s="3">
        <v>0</v>
      </c>
    </row>
    <row r="99" spans="1:69" x14ac:dyDescent="0.2">
      <c r="A99" s="3">
        <v>388</v>
      </c>
      <c r="B99" s="79">
        <v>388</v>
      </c>
      <c r="C99" s="3">
        <v>3</v>
      </c>
      <c r="E99" s="3">
        <v>150300.5</v>
      </c>
      <c r="F99" s="3">
        <v>124708.514271048</v>
      </c>
      <c r="G99" s="3">
        <v>49699.92</v>
      </c>
      <c r="H99" s="3">
        <v>64779.4</v>
      </c>
      <c r="I99" s="3" t="s">
        <v>443</v>
      </c>
      <c r="J99" s="3" t="s">
        <v>444</v>
      </c>
      <c r="K99" s="3">
        <v>46283.8</v>
      </c>
      <c r="L99" s="3">
        <v>26386.39</v>
      </c>
      <c r="M99" s="3">
        <v>-3673.4000000000401</v>
      </c>
      <c r="N99" s="3">
        <v>-45338.15</v>
      </c>
      <c r="O99" s="3">
        <v>363525065.39999998</v>
      </c>
      <c r="P99" s="3">
        <v>428009464.06866002</v>
      </c>
      <c r="Q99" s="19">
        <v>188705526.64770001</v>
      </c>
      <c r="R99" s="3">
        <v>106297558.93889999</v>
      </c>
      <c r="S99" s="3">
        <v>0</v>
      </c>
      <c r="T99" s="3" t="s">
        <v>294</v>
      </c>
      <c r="U99" s="3">
        <v>0</v>
      </c>
      <c r="V99" s="3">
        <v>0</v>
      </c>
      <c r="W99" s="3" t="s">
        <v>21</v>
      </c>
      <c r="X99" s="23">
        <v>0</v>
      </c>
      <c r="Y99" s="23">
        <v>0</v>
      </c>
      <c r="Z99" s="23">
        <v>0</v>
      </c>
      <c r="AA99" s="23">
        <v>0</v>
      </c>
      <c r="AB99" s="23" t="s">
        <v>289</v>
      </c>
      <c r="AC99" s="50">
        <v>0</v>
      </c>
      <c r="AD99" s="23">
        <v>0</v>
      </c>
      <c r="AE99" s="23">
        <v>0</v>
      </c>
      <c r="AF99" s="3">
        <v>0</v>
      </c>
      <c r="AK99" s="10">
        <v>1</v>
      </c>
      <c r="AL99" s="10">
        <v>0</v>
      </c>
      <c r="AM99" s="10">
        <v>0</v>
      </c>
      <c r="AN99" s="10">
        <v>1.5</v>
      </c>
      <c r="AO99" s="10">
        <v>0</v>
      </c>
      <c r="AP99" s="10">
        <v>0</v>
      </c>
      <c r="AQ99" s="10">
        <v>1</v>
      </c>
      <c r="AR99" s="10">
        <v>1</v>
      </c>
      <c r="AS99" s="10">
        <v>1</v>
      </c>
      <c r="AT99" s="10">
        <v>1</v>
      </c>
      <c r="AU99" s="10">
        <v>1.5</v>
      </c>
      <c r="AV99" s="10">
        <v>1.5</v>
      </c>
      <c r="AW99" s="10">
        <v>1.5</v>
      </c>
      <c r="AX99" s="10">
        <v>0</v>
      </c>
      <c r="AY99" s="10">
        <v>0</v>
      </c>
      <c r="AZ99" s="10">
        <v>0</v>
      </c>
      <c r="BA99" s="10">
        <v>0</v>
      </c>
      <c r="BB99" s="10">
        <v>0</v>
      </c>
      <c r="BC99" s="10">
        <v>1</v>
      </c>
      <c r="BD99" s="10">
        <v>0</v>
      </c>
      <c r="BE99" s="10">
        <v>0</v>
      </c>
      <c r="BF99" s="10">
        <v>0</v>
      </c>
      <c r="BG99" s="10">
        <v>0</v>
      </c>
      <c r="BH99" s="10">
        <v>0</v>
      </c>
      <c r="BI99" s="10">
        <v>0</v>
      </c>
      <c r="BJ99" s="10">
        <v>0</v>
      </c>
      <c r="BK99" s="79">
        <v>0</v>
      </c>
      <c r="BL99" s="3">
        <v>0</v>
      </c>
      <c r="BM99" s="3">
        <v>12</v>
      </c>
      <c r="BN99" s="3">
        <v>0.31999999284744263</v>
      </c>
      <c r="BO99" s="3">
        <v>0</v>
      </c>
      <c r="BP99" s="3">
        <v>0</v>
      </c>
      <c r="BQ99" s="3">
        <v>0</v>
      </c>
    </row>
    <row r="100" spans="1:69" x14ac:dyDescent="0.2">
      <c r="A100" s="5">
        <v>389</v>
      </c>
      <c r="B100" s="11">
        <v>389</v>
      </c>
      <c r="C100" s="5">
        <v>4</v>
      </c>
      <c r="D100" s="5"/>
      <c r="E100" s="22">
        <v>150300.5</v>
      </c>
      <c r="F100" s="22">
        <v>125148.133684163</v>
      </c>
      <c r="G100" s="22">
        <v>104774.37</v>
      </c>
      <c r="H100" s="5">
        <v>64779.4</v>
      </c>
      <c r="I100" s="5" t="s">
        <v>311</v>
      </c>
      <c r="J100" s="5" t="s">
        <v>395</v>
      </c>
      <c r="K100" s="5">
        <v>46287.83</v>
      </c>
      <c r="L100" s="5">
        <v>26391.26</v>
      </c>
      <c r="M100" s="5">
        <v>-3667.6100000000301</v>
      </c>
      <c r="N100" s="5">
        <v>-45331.360000000001</v>
      </c>
      <c r="O100" s="5">
        <v>363525065.39999998</v>
      </c>
      <c r="P100" s="5">
        <v>430754299.79112601</v>
      </c>
      <c r="Q100" s="22">
        <v>188705526.64770001</v>
      </c>
      <c r="R100" s="22">
        <v>106297522.30679999</v>
      </c>
      <c r="S100" s="15" t="s">
        <v>320</v>
      </c>
      <c r="T100" s="88" t="s">
        <v>294</v>
      </c>
      <c r="U100" s="88">
        <v>10550508</v>
      </c>
      <c r="V100" s="88">
        <v>4922424.94127037</v>
      </c>
      <c r="W100" s="5" t="s">
        <v>21</v>
      </c>
      <c r="X100" s="5">
        <v>0</v>
      </c>
      <c r="Y100" s="5">
        <v>7.9804897474766906E-2</v>
      </c>
      <c r="Z100" s="5">
        <v>6.4266953493172601</v>
      </c>
      <c r="AA100" s="5">
        <v>1412343.8329648799</v>
      </c>
      <c r="AB100" s="5" t="s">
        <v>289</v>
      </c>
      <c r="AC100" s="5">
        <v>8095452.5555376504</v>
      </c>
      <c r="AD100" s="5">
        <v>8437630.5529075097</v>
      </c>
      <c r="AE100" s="5">
        <v>8730208.6632964406</v>
      </c>
      <c r="AF100" s="5">
        <v>31</v>
      </c>
      <c r="AG100" s="5"/>
      <c r="AH100" s="16"/>
      <c r="AI100" s="16"/>
      <c r="AJ100" s="16"/>
      <c r="AK100" s="16">
        <v>1</v>
      </c>
      <c r="AL100" s="16">
        <v>1</v>
      </c>
      <c r="AM100" s="16">
        <v>1</v>
      </c>
      <c r="AN100" s="16">
        <v>1.5</v>
      </c>
      <c r="AO100" s="90">
        <v>0</v>
      </c>
      <c r="AP100" s="16">
        <v>0</v>
      </c>
      <c r="AQ100" s="90">
        <v>1</v>
      </c>
      <c r="AR100" s="16">
        <v>1</v>
      </c>
      <c r="AS100" s="16">
        <v>1</v>
      </c>
      <c r="AT100" s="16">
        <v>1</v>
      </c>
      <c r="AU100" s="16">
        <v>1.5</v>
      </c>
      <c r="AV100" s="16">
        <v>1.5</v>
      </c>
      <c r="AW100" s="16">
        <v>1.5</v>
      </c>
      <c r="AX100" s="5">
        <v>1.5</v>
      </c>
      <c r="AY100" s="5">
        <v>1</v>
      </c>
      <c r="AZ100" s="5">
        <v>0</v>
      </c>
      <c r="BA100" s="5">
        <v>1</v>
      </c>
      <c r="BB100" s="5">
        <v>0</v>
      </c>
      <c r="BC100" s="5">
        <v>1</v>
      </c>
      <c r="BD100" s="5">
        <v>0</v>
      </c>
      <c r="BE100" s="5">
        <v>1.5</v>
      </c>
      <c r="BF100" s="5">
        <v>1.5</v>
      </c>
      <c r="BG100" s="5">
        <v>0</v>
      </c>
      <c r="BH100" s="5">
        <v>0</v>
      </c>
      <c r="BI100" s="5">
        <v>0</v>
      </c>
      <c r="BJ100" s="5">
        <v>0</v>
      </c>
      <c r="BK100" s="5">
        <v>0</v>
      </c>
      <c r="BL100" s="5">
        <v>1.5</v>
      </c>
      <c r="BM100" s="5">
        <v>22</v>
      </c>
      <c r="BN100" s="3">
        <v>0.58666664361953735</v>
      </c>
      <c r="BO100" s="3">
        <v>0</v>
      </c>
      <c r="BP100" s="3">
        <v>0</v>
      </c>
      <c r="BQ100" s="3">
        <v>0</v>
      </c>
    </row>
    <row r="101" spans="1:69" x14ac:dyDescent="0.2">
      <c r="A101" s="5">
        <v>390</v>
      </c>
      <c r="B101" s="11">
        <v>390</v>
      </c>
      <c r="C101" s="5">
        <v>3</v>
      </c>
      <c r="D101" s="5"/>
      <c r="E101" s="22">
        <v>150300.5</v>
      </c>
      <c r="F101" s="22">
        <v>125148.133684163</v>
      </c>
      <c r="G101" s="22">
        <v>104774.37</v>
      </c>
      <c r="H101" s="12">
        <v>64779.4</v>
      </c>
      <c r="I101" s="12">
        <v>2018</v>
      </c>
      <c r="J101" s="12">
        <v>2021</v>
      </c>
      <c r="K101" s="18">
        <v>46287.83</v>
      </c>
      <c r="L101" s="12">
        <v>26391.26</v>
      </c>
      <c r="M101" s="12">
        <v>-3667.6100000000301</v>
      </c>
      <c r="N101" s="12">
        <v>-45331.360000000001</v>
      </c>
      <c r="O101" s="12">
        <v>363525065.39999998</v>
      </c>
      <c r="P101" s="22">
        <v>430754299.79112601</v>
      </c>
      <c r="Q101" s="22">
        <v>188705526.64770001</v>
      </c>
      <c r="R101" s="22">
        <v>106297522.30679999</v>
      </c>
      <c r="S101" s="15" t="s">
        <v>320</v>
      </c>
      <c r="T101" s="88" t="s">
        <v>294</v>
      </c>
      <c r="U101" s="88">
        <v>10550874.800000001</v>
      </c>
      <c r="V101" s="88">
        <v>229682.053988695</v>
      </c>
      <c r="W101" s="11" t="s">
        <v>21</v>
      </c>
      <c r="X101" s="5">
        <v>4.9276458827047898E-2</v>
      </c>
      <c r="Y101" s="5">
        <v>7.9807827793084499E-2</v>
      </c>
      <c r="Z101" s="5">
        <v>6.4266658085330599</v>
      </c>
      <c r="AA101" s="5">
        <v>374949.61492821499</v>
      </c>
      <c r="AB101" s="5" t="s">
        <v>289</v>
      </c>
      <c r="AC101" s="5">
        <v>400959.67301128799</v>
      </c>
      <c r="AD101" s="5">
        <v>342189.89356380497</v>
      </c>
      <c r="AE101" s="5">
        <v>292588.282188321</v>
      </c>
      <c r="AF101" s="5">
        <v>31</v>
      </c>
      <c r="AG101" s="5"/>
      <c r="AH101" s="16"/>
      <c r="AI101" s="16"/>
      <c r="AJ101" s="16"/>
      <c r="AK101" s="16">
        <v>1</v>
      </c>
      <c r="AL101" s="16">
        <v>1</v>
      </c>
      <c r="AM101" s="16">
        <v>1</v>
      </c>
      <c r="AN101" s="16">
        <v>1.5</v>
      </c>
      <c r="AO101" s="90">
        <v>1.5</v>
      </c>
      <c r="AP101" s="16">
        <v>1.5</v>
      </c>
      <c r="AQ101" s="90">
        <v>1</v>
      </c>
      <c r="AR101" s="16">
        <v>1</v>
      </c>
      <c r="AS101" s="16">
        <v>1</v>
      </c>
      <c r="AT101" s="16">
        <v>1</v>
      </c>
      <c r="AU101" s="16">
        <v>1.5</v>
      </c>
      <c r="AV101" s="16">
        <v>1.5</v>
      </c>
      <c r="AW101" s="16">
        <v>1.5</v>
      </c>
      <c r="AX101" s="5">
        <v>1.5</v>
      </c>
      <c r="AY101" s="5">
        <v>1</v>
      </c>
      <c r="AZ101" s="5">
        <v>0</v>
      </c>
      <c r="BA101" s="5">
        <v>1</v>
      </c>
      <c r="BB101" s="5">
        <v>2</v>
      </c>
      <c r="BC101" s="5">
        <v>1</v>
      </c>
      <c r="BD101" s="5">
        <v>0</v>
      </c>
      <c r="BE101" s="5">
        <v>1.5</v>
      </c>
      <c r="BF101" s="5">
        <v>1.5</v>
      </c>
      <c r="BG101" s="5">
        <v>0</v>
      </c>
      <c r="BH101" s="5">
        <v>0</v>
      </c>
      <c r="BI101" s="5">
        <v>1.5</v>
      </c>
      <c r="BJ101" s="5">
        <v>1.5</v>
      </c>
      <c r="BK101" s="5">
        <v>1.5</v>
      </c>
      <c r="BL101" s="5">
        <v>1.5</v>
      </c>
      <c r="BM101" s="5">
        <v>31.5</v>
      </c>
      <c r="BN101" s="3">
        <v>0.8399999737739563</v>
      </c>
      <c r="BO101" s="3">
        <v>0</v>
      </c>
      <c r="BP101" s="3">
        <v>0</v>
      </c>
      <c r="BQ101" s="3">
        <v>0</v>
      </c>
    </row>
    <row r="102" spans="1:69" x14ac:dyDescent="0.2">
      <c r="A102" s="3">
        <v>391</v>
      </c>
      <c r="B102" s="79">
        <v>391</v>
      </c>
      <c r="C102" s="3">
        <v>1</v>
      </c>
      <c r="E102" s="3">
        <v>150300.5</v>
      </c>
      <c r="F102" s="3">
        <v>125148.133684163</v>
      </c>
      <c r="G102" s="3">
        <v>104774.37</v>
      </c>
      <c r="H102" s="3">
        <v>64779.4</v>
      </c>
      <c r="I102" s="3">
        <v>2018</v>
      </c>
      <c r="J102" s="3">
        <v>2021</v>
      </c>
      <c r="K102" s="3">
        <v>46287.83</v>
      </c>
      <c r="L102" s="3">
        <v>26391.26</v>
      </c>
      <c r="M102" s="3">
        <v>-3667.6100000000301</v>
      </c>
      <c r="N102" s="3">
        <v>-45331.360000000001</v>
      </c>
      <c r="O102" s="3">
        <v>363525065.39999998</v>
      </c>
      <c r="P102" s="3">
        <v>430754299.79112601</v>
      </c>
      <c r="Q102" s="3">
        <v>188705526.64770001</v>
      </c>
      <c r="R102" s="23">
        <v>106297522.30679999</v>
      </c>
      <c r="S102" s="23" t="s">
        <v>320</v>
      </c>
      <c r="T102" s="50" t="s">
        <v>294</v>
      </c>
      <c r="U102" s="50">
        <v>10551447.199999999</v>
      </c>
      <c r="V102" s="50">
        <v>229694.514567576</v>
      </c>
      <c r="W102" s="23" t="s">
        <v>21</v>
      </c>
      <c r="X102" s="3">
        <v>4.9276458827047898E-2</v>
      </c>
      <c r="Y102" s="10">
        <v>7.9805892097610201E-2</v>
      </c>
      <c r="Z102" s="10">
        <v>6.4266788915817701</v>
      </c>
      <c r="AA102" s="10">
        <v>374949.93695225299</v>
      </c>
      <c r="AB102" s="10" t="s">
        <v>289</v>
      </c>
      <c r="AC102" s="10">
        <v>400981.42564518697</v>
      </c>
      <c r="AD102" s="10">
        <v>342208.457853381</v>
      </c>
      <c r="AE102" s="10">
        <v>292604.15551976702</v>
      </c>
      <c r="AF102" s="10">
        <v>31</v>
      </c>
      <c r="AK102" s="10">
        <v>1</v>
      </c>
      <c r="AL102" s="10">
        <v>1</v>
      </c>
      <c r="AM102" s="10">
        <v>1</v>
      </c>
      <c r="AN102" s="10">
        <v>1.5</v>
      </c>
      <c r="AO102" s="10">
        <v>1.5</v>
      </c>
      <c r="AP102" s="10">
        <v>1.5</v>
      </c>
      <c r="AQ102" s="10">
        <v>1</v>
      </c>
      <c r="AR102" s="10">
        <v>1</v>
      </c>
      <c r="AS102" s="10">
        <v>1</v>
      </c>
      <c r="AT102" s="10">
        <v>1</v>
      </c>
      <c r="AU102" s="10">
        <v>1.5</v>
      </c>
      <c r="AV102" s="10">
        <v>1.5</v>
      </c>
      <c r="AW102" s="10">
        <v>1.5</v>
      </c>
      <c r="AX102" s="10">
        <v>1.5</v>
      </c>
      <c r="AY102" s="5">
        <v>1</v>
      </c>
      <c r="AZ102" s="5">
        <v>0</v>
      </c>
      <c r="BA102" s="5">
        <v>1</v>
      </c>
      <c r="BB102" s="5">
        <v>2</v>
      </c>
      <c r="BC102" s="5">
        <v>1</v>
      </c>
      <c r="BD102" s="5">
        <v>0</v>
      </c>
      <c r="BE102" s="5">
        <v>1.5</v>
      </c>
      <c r="BF102" s="5">
        <v>1.5</v>
      </c>
      <c r="BG102" s="5">
        <v>1.5</v>
      </c>
      <c r="BH102" s="5">
        <v>0</v>
      </c>
      <c r="BI102" s="5">
        <v>1.5</v>
      </c>
      <c r="BJ102" s="5">
        <v>1.5</v>
      </c>
      <c r="BK102" s="5">
        <v>1.5</v>
      </c>
      <c r="BL102" s="12">
        <v>1.5</v>
      </c>
      <c r="BM102" s="5">
        <v>33</v>
      </c>
      <c r="BN102" s="3">
        <v>0.87999999523162842</v>
      </c>
      <c r="BO102" s="3">
        <v>0</v>
      </c>
      <c r="BP102" s="3">
        <v>0</v>
      </c>
      <c r="BQ102" s="3">
        <v>0</v>
      </c>
    </row>
    <row r="103" spans="1:69" x14ac:dyDescent="0.2">
      <c r="A103" s="3">
        <v>394</v>
      </c>
      <c r="B103" s="79">
        <v>394</v>
      </c>
      <c r="C103" s="3">
        <v>3</v>
      </c>
      <c r="E103" s="23">
        <v>150300.5</v>
      </c>
      <c r="F103" s="23">
        <v>125148.133684163</v>
      </c>
      <c r="G103" s="23">
        <v>104774.37</v>
      </c>
      <c r="H103" s="3">
        <v>64779.4</v>
      </c>
      <c r="I103" s="3">
        <v>2018</v>
      </c>
      <c r="J103" s="3">
        <v>2020</v>
      </c>
      <c r="K103" s="3">
        <v>46287.83</v>
      </c>
      <c r="L103" s="3">
        <v>26391.26</v>
      </c>
      <c r="M103" s="94">
        <v>-3667.6100000000301</v>
      </c>
      <c r="N103" s="3">
        <v>-45331.360000000001</v>
      </c>
      <c r="O103" s="3">
        <v>363525065.39999998</v>
      </c>
      <c r="P103" s="3">
        <v>430754299.79112601</v>
      </c>
      <c r="Q103" s="23">
        <v>188705526.64770001</v>
      </c>
      <c r="R103" s="23">
        <v>106297522.30679999</v>
      </c>
      <c r="S103" s="50">
        <v>0</v>
      </c>
      <c r="T103" s="93" t="s">
        <v>56</v>
      </c>
      <c r="U103" s="23">
        <v>10551436.4</v>
      </c>
      <c r="V103" s="23">
        <v>229694.27946231299</v>
      </c>
      <c r="W103" s="3" t="s">
        <v>21</v>
      </c>
      <c r="X103" s="79">
        <v>0</v>
      </c>
      <c r="Y103" s="3">
        <v>7.5359520022477297E-2</v>
      </c>
      <c r="Z103" s="94">
        <v>6.6120998910094402</v>
      </c>
      <c r="AA103" s="3">
        <v>401135.237325005</v>
      </c>
      <c r="AB103" s="94" t="s">
        <v>294</v>
      </c>
      <c r="AC103" s="3">
        <v>400981.01521813101</v>
      </c>
      <c r="AD103" s="3">
        <v>342208.10758376698</v>
      </c>
      <c r="AE103" s="3">
        <v>292603.856022947</v>
      </c>
      <c r="AF103" s="3">
        <v>31</v>
      </c>
      <c r="AG103" s="3"/>
      <c r="AK103" s="10">
        <v>1</v>
      </c>
      <c r="AL103" s="10">
        <v>1</v>
      </c>
      <c r="AM103" s="10">
        <v>1</v>
      </c>
      <c r="AN103" s="10">
        <v>1.5</v>
      </c>
      <c r="AO103" s="92">
        <v>1.5</v>
      </c>
      <c r="AP103" s="10">
        <v>1.5</v>
      </c>
      <c r="AQ103" s="92">
        <v>1</v>
      </c>
      <c r="AR103" s="10">
        <v>1</v>
      </c>
      <c r="AS103" s="10">
        <v>1</v>
      </c>
      <c r="AT103" s="10">
        <v>1</v>
      </c>
      <c r="AU103" s="10">
        <v>1.5</v>
      </c>
      <c r="AV103" s="10">
        <v>1.5</v>
      </c>
      <c r="AW103" s="10">
        <v>1.5</v>
      </c>
      <c r="AX103" s="5">
        <v>1.5</v>
      </c>
      <c r="AY103" s="5">
        <v>0</v>
      </c>
      <c r="AZ103" s="5">
        <v>1</v>
      </c>
      <c r="BA103" s="5">
        <v>1</v>
      </c>
      <c r="BB103" s="5">
        <v>2</v>
      </c>
      <c r="BC103" s="5">
        <v>1</v>
      </c>
      <c r="BD103" s="5">
        <v>0</v>
      </c>
      <c r="BE103" s="5">
        <v>1.5</v>
      </c>
      <c r="BF103" s="5">
        <v>0</v>
      </c>
      <c r="BG103" s="5">
        <v>0</v>
      </c>
      <c r="BH103" s="5">
        <v>0</v>
      </c>
      <c r="BI103" s="5">
        <v>1.5</v>
      </c>
      <c r="BJ103" s="5">
        <v>1.5</v>
      </c>
      <c r="BK103" s="5">
        <v>1.5</v>
      </c>
      <c r="BL103" s="5">
        <v>1.5</v>
      </c>
      <c r="BM103" s="5">
        <v>30</v>
      </c>
      <c r="BN103" s="3">
        <v>0.80000001192092896</v>
      </c>
      <c r="BO103" s="3">
        <v>0</v>
      </c>
      <c r="BP103" s="3">
        <v>0</v>
      </c>
      <c r="BQ103" s="3">
        <v>0</v>
      </c>
    </row>
    <row r="104" spans="1:69" x14ac:dyDescent="0.2">
      <c r="A104" s="3">
        <v>395</v>
      </c>
      <c r="B104" s="79">
        <v>395</v>
      </c>
      <c r="C104" s="3">
        <v>3</v>
      </c>
      <c r="E104" s="3">
        <v>150300.5</v>
      </c>
      <c r="F104" s="3">
        <v>125148.133684163</v>
      </c>
      <c r="G104" s="3">
        <v>104774.37</v>
      </c>
      <c r="H104" s="3">
        <v>64779.4</v>
      </c>
      <c r="I104" s="3">
        <v>2018</v>
      </c>
      <c r="J104" s="3">
        <v>2020</v>
      </c>
      <c r="K104" s="3">
        <v>46287.83</v>
      </c>
      <c r="L104" s="3">
        <v>26391.2599999999</v>
      </c>
      <c r="M104" s="3">
        <v>-3667.6100000000501</v>
      </c>
      <c r="N104" s="3">
        <v>-45331.359999999899</v>
      </c>
      <c r="O104" s="3">
        <v>363525065.39999998</v>
      </c>
      <c r="P104" s="3">
        <v>430754299.79112601</v>
      </c>
      <c r="Q104" s="3">
        <v>188705526.64770001</v>
      </c>
      <c r="R104" s="94">
        <v>106297522.30679999</v>
      </c>
      <c r="S104" s="3" t="s">
        <v>448</v>
      </c>
      <c r="T104" s="3" t="s">
        <v>56</v>
      </c>
      <c r="U104" s="3">
        <v>10550906</v>
      </c>
      <c r="V104" s="3">
        <v>229682.733181674</v>
      </c>
      <c r="W104" s="3" t="s">
        <v>21</v>
      </c>
      <c r="X104" s="23">
        <v>4.9276458827048002E-2</v>
      </c>
      <c r="Y104" s="23">
        <v>7.5357108435962106E-2</v>
      </c>
      <c r="Z104" s="23">
        <v>6.6119172968705202</v>
      </c>
      <c r="AA104" s="23">
        <v>401098.36975395301</v>
      </c>
      <c r="AB104" s="23" t="s">
        <v>294</v>
      </c>
      <c r="AC104" s="50">
        <v>400960.858689446</v>
      </c>
      <c r="AD104" s="23">
        <v>342190.90545380302</v>
      </c>
      <c r="AE104" s="23">
        <v>292589.14740135497</v>
      </c>
      <c r="AF104" s="3">
        <v>31</v>
      </c>
      <c r="AK104" s="10">
        <v>1</v>
      </c>
      <c r="AL104" s="10">
        <v>1</v>
      </c>
      <c r="AM104" s="10">
        <v>1</v>
      </c>
      <c r="AN104" s="10">
        <v>1.5</v>
      </c>
      <c r="AO104" s="10">
        <v>1.5</v>
      </c>
      <c r="AP104" s="10">
        <v>1.5</v>
      </c>
      <c r="AQ104" s="10">
        <v>1</v>
      </c>
      <c r="AR104" s="10">
        <v>1</v>
      </c>
      <c r="AS104" s="10">
        <v>1</v>
      </c>
      <c r="AT104" s="10">
        <v>1</v>
      </c>
      <c r="AU104" s="10">
        <v>1.5</v>
      </c>
      <c r="AV104" s="10">
        <v>1.5</v>
      </c>
      <c r="AW104" s="10">
        <v>1.5</v>
      </c>
      <c r="AX104" s="10">
        <v>1.5</v>
      </c>
      <c r="AY104" s="10">
        <v>1</v>
      </c>
      <c r="AZ104" s="10">
        <v>1</v>
      </c>
      <c r="BA104" s="10">
        <v>1</v>
      </c>
      <c r="BB104" s="10">
        <v>2</v>
      </c>
      <c r="BC104" s="10">
        <v>1</v>
      </c>
      <c r="BD104" s="10">
        <v>0</v>
      </c>
      <c r="BE104" s="10">
        <v>1.5</v>
      </c>
      <c r="BF104" s="10">
        <v>0</v>
      </c>
      <c r="BG104" s="10">
        <v>0</v>
      </c>
      <c r="BH104" s="10">
        <v>0</v>
      </c>
      <c r="BI104" s="10">
        <v>1.5</v>
      </c>
      <c r="BJ104" s="10">
        <v>1.5</v>
      </c>
      <c r="BK104" s="79">
        <v>1.5</v>
      </c>
      <c r="BL104" s="3">
        <v>1.5</v>
      </c>
      <c r="BM104" s="3">
        <v>31</v>
      </c>
      <c r="BN104" s="3">
        <v>0.82666665315628052</v>
      </c>
      <c r="BO104" s="3">
        <v>0</v>
      </c>
      <c r="BP104" s="3">
        <v>0</v>
      </c>
      <c r="BQ104" s="3">
        <v>0</v>
      </c>
    </row>
    <row r="105" spans="1:69" x14ac:dyDescent="0.2">
      <c r="A105" s="3">
        <v>397</v>
      </c>
      <c r="B105" s="79">
        <v>397</v>
      </c>
      <c r="C105" s="3">
        <v>4</v>
      </c>
      <c r="E105" s="3">
        <v>150300.5</v>
      </c>
      <c r="F105" s="3">
        <v>125148.133684163</v>
      </c>
      <c r="G105" s="3">
        <v>104774.37</v>
      </c>
      <c r="H105" s="3">
        <v>64779.4</v>
      </c>
      <c r="I105" s="3">
        <v>2018</v>
      </c>
      <c r="J105" s="3">
        <v>2020</v>
      </c>
      <c r="K105" s="3">
        <v>46287.83</v>
      </c>
      <c r="L105" s="3">
        <v>26391.2599999999</v>
      </c>
      <c r="M105" s="3">
        <v>-3667.6100000000501</v>
      </c>
      <c r="N105" s="3">
        <v>-45331.359999999899</v>
      </c>
      <c r="O105" s="3">
        <v>363525065.39999998</v>
      </c>
      <c r="P105" s="3">
        <v>430754299.79112601</v>
      </c>
      <c r="Q105" s="3">
        <v>188705526.64770001</v>
      </c>
      <c r="R105" s="3">
        <v>106297522.30679999</v>
      </c>
      <c r="S105" s="3" t="s">
        <v>450</v>
      </c>
      <c r="T105" s="3" t="s">
        <v>56</v>
      </c>
      <c r="U105" s="3">
        <v>10551972.800000001</v>
      </c>
      <c r="V105" s="3">
        <v>229705.95635698899</v>
      </c>
      <c r="W105" s="23" t="s">
        <v>21</v>
      </c>
      <c r="X105" s="23">
        <v>4.9276509161012998E-2</v>
      </c>
      <c r="Y105" s="50">
        <v>7.5776840424597494E-2</v>
      </c>
      <c r="Z105" s="50">
        <v>6.63268539027729</v>
      </c>
      <c r="AA105" s="50">
        <v>404811.43831165897</v>
      </c>
      <c r="AB105" s="50" t="s">
        <v>294</v>
      </c>
      <c r="AC105" s="23">
        <v>401001.39976184699</v>
      </c>
      <c r="AD105" s="3">
        <v>342225.50430796202</v>
      </c>
      <c r="AE105" s="3">
        <v>292618.73103165801</v>
      </c>
      <c r="AF105" s="10">
        <v>31</v>
      </c>
      <c r="AK105" s="10">
        <v>1</v>
      </c>
      <c r="AL105" s="10">
        <v>1</v>
      </c>
      <c r="AM105" s="10">
        <v>1</v>
      </c>
      <c r="AN105" s="10">
        <v>1.5</v>
      </c>
      <c r="AO105" s="10">
        <v>1.5</v>
      </c>
      <c r="AP105" s="10">
        <v>1.5</v>
      </c>
      <c r="AQ105" s="10">
        <v>1</v>
      </c>
      <c r="AR105" s="10">
        <v>1</v>
      </c>
      <c r="AS105" s="10">
        <v>1</v>
      </c>
      <c r="AT105" s="10">
        <v>1</v>
      </c>
      <c r="AU105" s="10">
        <v>1.5</v>
      </c>
      <c r="AV105" s="10">
        <v>1.5</v>
      </c>
      <c r="AW105" s="10">
        <v>1.5</v>
      </c>
      <c r="AX105" s="10">
        <v>1.5</v>
      </c>
      <c r="AY105" s="10">
        <v>1</v>
      </c>
      <c r="AZ105" s="10">
        <v>1</v>
      </c>
      <c r="BA105" s="10">
        <v>1</v>
      </c>
      <c r="BB105" s="79">
        <v>2</v>
      </c>
      <c r="BC105" s="79">
        <v>1</v>
      </c>
      <c r="BD105" s="79">
        <v>0</v>
      </c>
      <c r="BE105" s="79">
        <v>1.5</v>
      </c>
      <c r="BF105" s="79">
        <v>0</v>
      </c>
      <c r="BG105" s="79">
        <v>0</v>
      </c>
      <c r="BH105" s="79">
        <v>0</v>
      </c>
      <c r="BI105" s="79">
        <v>1.5</v>
      </c>
      <c r="BJ105" s="79">
        <v>1.5</v>
      </c>
      <c r="BK105" s="5">
        <v>1.5</v>
      </c>
      <c r="BL105" s="12">
        <v>1.5</v>
      </c>
      <c r="BM105" s="5">
        <v>31</v>
      </c>
      <c r="BN105" s="3">
        <v>0.82666665315628052</v>
      </c>
      <c r="BO105" s="3">
        <v>0</v>
      </c>
      <c r="BP105" s="3">
        <v>0</v>
      </c>
      <c r="BQ105" s="3">
        <v>0</v>
      </c>
    </row>
    <row r="106" spans="1:69" x14ac:dyDescent="0.2">
      <c r="A106" s="3">
        <v>399</v>
      </c>
      <c r="B106" s="79">
        <v>399</v>
      </c>
      <c r="C106" s="3">
        <v>2</v>
      </c>
      <c r="E106" s="3">
        <v>150300.5</v>
      </c>
      <c r="F106" s="3">
        <v>125148.133684163</v>
      </c>
      <c r="G106" s="3">
        <v>104774.37</v>
      </c>
      <c r="H106" s="3">
        <v>64779.4</v>
      </c>
      <c r="I106" s="3">
        <v>2018</v>
      </c>
      <c r="J106" s="3">
        <v>2020</v>
      </c>
      <c r="K106" s="3">
        <v>46287.83</v>
      </c>
      <c r="L106" s="3">
        <v>26391.26</v>
      </c>
      <c r="M106" s="3">
        <v>-3667.6100000000301</v>
      </c>
      <c r="N106" s="3">
        <v>-45331.360000000001</v>
      </c>
      <c r="O106" s="3">
        <v>363525065.39999998</v>
      </c>
      <c r="P106" s="3">
        <v>430754299.79112601</v>
      </c>
      <c r="Q106" s="23">
        <v>188705526.64770001</v>
      </c>
      <c r="R106" s="23">
        <v>106297522.30679999</v>
      </c>
      <c r="S106" s="50" t="s">
        <v>410</v>
      </c>
      <c r="T106" s="23" t="s">
        <v>56</v>
      </c>
      <c r="U106" s="23">
        <v>10551277.199999999</v>
      </c>
      <c r="V106" s="23">
        <v>229690.81383660101</v>
      </c>
      <c r="W106" s="3" t="s">
        <v>21</v>
      </c>
      <c r="X106" s="79">
        <v>5.6707681263740303E-2</v>
      </c>
      <c r="Y106" s="3">
        <v>7.9000000000000001E-2</v>
      </c>
      <c r="Z106" s="3">
        <v>6.4263000000000003</v>
      </c>
      <c r="AA106" s="3">
        <v>374913.8</v>
      </c>
      <c r="AB106" s="3" t="s">
        <v>294</v>
      </c>
      <c r="AC106" s="3">
        <v>8429650.6729102507</v>
      </c>
      <c r="AD106" s="3">
        <v>334774.36523025302</v>
      </c>
      <c r="AE106" s="3">
        <v>281397.48700635502</v>
      </c>
      <c r="AF106" s="3">
        <v>28</v>
      </c>
      <c r="AG106" s="3"/>
      <c r="AK106" s="10">
        <v>1</v>
      </c>
      <c r="AL106" s="10">
        <v>1</v>
      </c>
      <c r="AM106" s="10">
        <v>1</v>
      </c>
      <c r="AN106" s="10">
        <v>1.5</v>
      </c>
      <c r="AO106" s="92">
        <v>1.5</v>
      </c>
      <c r="AP106" s="10">
        <v>1.5</v>
      </c>
      <c r="AQ106" s="92">
        <v>1</v>
      </c>
      <c r="AR106" s="10">
        <v>1</v>
      </c>
      <c r="AS106" s="10">
        <v>1</v>
      </c>
      <c r="AT106" s="10">
        <v>1</v>
      </c>
      <c r="AU106" s="10">
        <v>1.5</v>
      </c>
      <c r="AV106" s="10">
        <v>1.5</v>
      </c>
      <c r="AW106" s="10">
        <v>1.5</v>
      </c>
      <c r="AX106" s="5">
        <v>1.5</v>
      </c>
      <c r="AY106" s="5">
        <v>2</v>
      </c>
      <c r="AZ106" s="5">
        <v>1</v>
      </c>
      <c r="BA106" s="5">
        <v>1</v>
      </c>
      <c r="BB106" s="5">
        <v>2</v>
      </c>
      <c r="BC106" s="5">
        <v>1</v>
      </c>
      <c r="BD106" s="5">
        <v>0</v>
      </c>
      <c r="BE106" s="5">
        <v>1.5</v>
      </c>
      <c r="BF106" s="5">
        <v>1.5</v>
      </c>
      <c r="BG106" s="5">
        <v>0</v>
      </c>
      <c r="BH106" s="5">
        <v>0</v>
      </c>
      <c r="BI106" s="5">
        <v>0</v>
      </c>
      <c r="BJ106" s="5">
        <v>0</v>
      </c>
      <c r="BK106" s="5">
        <v>0</v>
      </c>
      <c r="BL106" s="5">
        <v>0</v>
      </c>
      <c r="BM106" s="5">
        <v>27.5</v>
      </c>
      <c r="BN106" s="3">
        <v>0.73333334922790527</v>
      </c>
      <c r="BO106" s="3">
        <v>0</v>
      </c>
      <c r="BP106" s="3">
        <v>0</v>
      </c>
      <c r="BQ106" s="3">
        <v>0</v>
      </c>
    </row>
    <row r="107" spans="1:69" x14ac:dyDescent="0.2">
      <c r="A107" s="3">
        <v>400</v>
      </c>
      <c r="B107" s="79">
        <v>400</v>
      </c>
      <c r="C107" s="3">
        <v>4</v>
      </c>
      <c r="E107" s="3">
        <v>187466</v>
      </c>
      <c r="F107" s="3">
        <v>98347.101160000006</v>
      </c>
      <c r="G107" s="3">
        <v>13359.57</v>
      </c>
      <c r="H107" s="3">
        <v>64779.4</v>
      </c>
      <c r="I107" s="3">
        <v>2017</v>
      </c>
      <c r="J107" s="3">
        <v>2020</v>
      </c>
      <c r="K107" s="3">
        <v>0</v>
      </c>
      <c r="L107" s="19">
        <v>0</v>
      </c>
      <c r="M107" s="3">
        <v>0</v>
      </c>
      <c r="N107" s="3">
        <v>0</v>
      </c>
      <c r="O107" s="3">
        <v>363525065.39999998</v>
      </c>
      <c r="P107" s="3">
        <v>430754299.80000001</v>
      </c>
      <c r="Q107" s="23">
        <v>188705527.69999999</v>
      </c>
      <c r="R107" s="23">
        <v>106297522.3</v>
      </c>
      <c r="S107" s="50" t="s">
        <v>453</v>
      </c>
      <c r="T107" s="23" t="s">
        <v>56</v>
      </c>
      <c r="U107" s="23">
        <v>10550070.800000001</v>
      </c>
      <c r="V107" s="23">
        <v>184586.6636</v>
      </c>
      <c r="W107" s="3" t="s">
        <v>21</v>
      </c>
      <c r="X107" s="79">
        <v>0.14583333300000001</v>
      </c>
      <c r="Y107" s="3">
        <v>6.426822971</v>
      </c>
      <c r="Z107" s="3">
        <v>7.9813339999999997E-2</v>
      </c>
      <c r="AA107" s="3">
        <v>194522.3659</v>
      </c>
      <c r="AB107" s="3" t="s">
        <v>294</v>
      </c>
      <c r="AC107" s="3">
        <v>8603563.1600000001</v>
      </c>
      <c r="AD107" s="3">
        <v>306873.88439999998</v>
      </c>
      <c r="AE107" s="3">
        <v>258032.155</v>
      </c>
      <c r="AF107" s="3">
        <v>28</v>
      </c>
      <c r="AG107" s="3"/>
      <c r="AK107" s="10">
        <v>0</v>
      </c>
      <c r="AL107" s="10">
        <v>0</v>
      </c>
      <c r="AM107" s="10">
        <v>0</v>
      </c>
      <c r="AN107" s="10">
        <v>1.5</v>
      </c>
      <c r="AO107" s="92">
        <v>0</v>
      </c>
      <c r="AP107" s="10">
        <v>1.5</v>
      </c>
      <c r="AQ107" s="92">
        <v>0</v>
      </c>
      <c r="AR107" s="10">
        <v>0</v>
      </c>
      <c r="AS107" s="10">
        <v>0</v>
      </c>
      <c r="AT107" s="10">
        <v>0</v>
      </c>
      <c r="AU107" s="10">
        <v>1.5</v>
      </c>
      <c r="AV107" s="10">
        <v>1.5</v>
      </c>
      <c r="AW107" s="10">
        <v>1.5</v>
      </c>
      <c r="AX107" s="5">
        <v>1.5</v>
      </c>
      <c r="AY107" s="5">
        <v>1</v>
      </c>
      <c r="AZ107" s="5">
        <v>1</v>
      </c>
      <c r="BA107" s="5">
        <v>0</v>
      </c>
      <c r="BB107" s="5">
        <v>0</v>
      </c>
      <c r="BC107" s="5">
        <v>1</v>
      </c>
      <c r="BD107" s="5">
        <v>0</v>
      </c>
      <c r="BE107" s="5">
        <v>0</v>
      </c>
      <c r="BF107" s="5">
        <v>0</v>
      </c>
      <c r="BG107" s="5">
        <v>0</v>
      </c>
      <c r="BH107" s="5">
        <v>0</v>
      </c>
      <c r="BI107" s="5">
        <v>0</v>
      </c>
      <c r="BJ107" s="5">
        <v>0</v>
      </c>
      <c r="BK107" s="5">
        <v>0</v>
      </c>
      <c r="BL107" s="5">
        <v>0</v>
      </c>
      <c r="BM107" s="5">
        <v>12</v>
      </c>
      <c r="BN107" s="3">
        <v>0.31999999284744263</v>
      </c>
      <c r="BO107" s="3">
        <v>0</v>
      </c>
      <c r="BP107" s="3">
        <v>0</v>
      </c>
      <c r="BQ107" s="3">
        <v>0</v>
      </c>
    </row>
    <row r="108" spans="1:69" x14ac:dyDescent="0.2">
      <c r="A108" s="5">
        <v>401</v>
      </c>
      <c r="B108" s="11">
        <v>401</v>
      </c>
      <c r="C108" s="5">
        <v>4</v>
      </c>
      <c r="D108" s="5"/>
      <c r="E108" s="5">
        <v>150.30099999999999</v>
      </c>
      <c r="F108" s="5">
        <v>124.709</v>
      </c>
      <c r="G108" s="5">
        <v>104.774</v>
      </c>
      <c r="H108" s="5">
        <v>64.778999999999996</v>
      </c>
      <c r="I108" s="5">
        <v>2018</v>
      </c>
      <c r="J108" s="5">
        <v>2020</v>
      </c>
      <c r="K108" s="5" t="s">
        <v>454</v>
      </c>
      <c r="L108" s="5" t="s">
        <v>455</v>
      </c>
      <c r="M108" s="5" t="s">
        <v>456</v>
      </c>
      <c r="N108" s="5" t="s">
        <v>457</v>
      </c>
      <c r="O108" s="5">
        <v>363525065.39999998</v>
      </c>
      <c r="P108" s="5">
        <v>428009464.06866002</v>
      </c>
      <c r="Q108" s="22">
        <v>188705527.7493</v>
      </c>
      <c r="R108" s="22">
        <v>106297558.93889999</v>
      </c>
      <c r="S108" s="15" t="s">
        <v>458</v>
      </c>
      <c r="T108" s="22" t="s">
        <v>56</v>
      </c>
      <c r="U108" s="22">
        <v>10551083.199999999</v>
      </c>
      <c r="V108" s="22">
        <v>0</v>
      </c>
      <c r="W108" s="5" t="s">
        <v>21</v>
      </c>
      <c r="X108" s="79">
        <v>0</v>
      </c>
      <c r="Y108" s="3">
        <v>0</v>
      </c>
      <c r="Z108" s="3">
        <v>7</v>
      </c>
      <c r="AA108" s="3">
        <v>0</v>
      </c>
      <c r="AB108" s="3" t="s">
        <v>294</v>
      </c>
      <c r="AC108" s="3">
        <v>0</v>
      </c>
      <c r="AD108" s="3">
        <v>0</v>
      </c>
      <c r="AE108" s="3">
        <v>0</v>
      </c>
      <c r="AF108" s="3">
        <v>0</v>
      </c>
      <c r="AG108" s="3"/>
      <c r="AK108" s="10">
        <v>0</v>
      </c>
      <c r="AL108" s="10">
        <v>0</v>
      </c>
      <c r="AM108" s="10">
        <v>0</v>
      </c>
      <c r="AN108" s="10">
        <v>0</v>
      </c>
      <c r="AO108" s="92">
        <v>1.5</v>
      </c>
      <c r="AP108" s="10">
        <v>1.5</v>
      </c>
      <c r="AQ108" s="92">
        <v>0</v>
      </c>
      <c r="AR108" s="10">
        <v>0</v>
      </c>
      <c r="AS108" s="10">
        <v>0</v>
      </c>
      <c r="AT108" s="10">
        <v>0</v>
      </c>
      <c r="AU108" s="10">
        <v>1.5</v>
      </c>
      <c r="AV108" s="10">
        <v>1.5</v>
      </c>
      <c r="AW108" s="10">
        <v>1.5</v>
      </c>
      <c r="AX108" s="5">
        <v>0</v>
      </c>
      <c r="AY108" s="5">
        <v>0</v>
      </c>
      <c r="AZ108" s="5">
        <v>1</v>
      </c>
      <c r="BA108" s="5">
        <v>1</v>
      </c>
      <c r="BB108" s="5">
        <v>0</v>
      </c>
      <c r="BC108" s="5">
        <v>1</v>
      </c>
      <c r="BD108" s="5">
        <v>0</v>
      </c>
      <c r="BE108" s="5">
        <v>0</v>
      </c>
      <c r="BF108" s="5">
        <v>0</v>
      </c>
      <c r="BG108" s="5">
        <v>0</v>
      </c>
      <c r="BH108" s="5">
        <v>0</v>
      </c>
      <c r="BI108" s="5">
        <v>0</v>
      </c>
      <c r="BJ108" s="5">
        <v>0</v>
      </c>
      <c r="BK108" s="5">
        <v>0</v>
      </c>
      <c r="BL108" s="5">
        <v>0</v>
      </c>
      <c r="BM108" s="5">
        <v>10.5</v>
      </c>
      <c r="BN108" s="3">
        <v>0.2800000011920929</v>
      </c>
      <c r="BO108" s="3">
        <v>0</v>
      </c>
      <c r="BP108" s="3">
        <v>0</v>
      </c>
      <c r="BQ108" s="3">
        <v>0</v>
      </c>
    </row>
    <row r="109" spans="1:69" x14ac:dyDescent="0.2">
      <c r="A109" s="3">
        <v>403</v>
      </c>
      <c r="B109" s="79">
        <v>403</v>
      </c>
      <c r="C109" s="3">
        <v>2</v>
      </c>
      <c r="E109" s="3">
        <v>150300.5</v>
      </c>
      <c r="F109" s="3">
        <v>125148</v>
      </c>
      <c r="G109" s="3">
        <v>49700</v>
      </c>
      <c r="H109" s="3">
        <v>64779</v>
      </c>
      <c r="I109" s="3">
        <v>2017</v>
      </c>
      <c r="J109" s="3">
        <v>2020</v>
      </c>
      <c r="K109" s="3">
        <v>46287.83</v>
      </c>
      <c r="L109" s="3">
        <v>26391.26</v>
      </c>
      <c r="M109" s="3">
        <v>3667.61</v>
      </c>
      <c r="N109" s="3">
        <v>45331.360000000001</v>
      </c>
      <c r="O109" s="3">
        <v>391104051.60000002</v>
      </c>
      <c r="P109" s="3">
        <v>428009464.06866002</v>
      </c>
      <c r="Q109" s="3">
        <v>188705527.7493</v>
      </c>
      <c r="R109" s="3">
        <v>106297522.30679999</v>
      </c>
      <c r="S109" s="3" t="s">
        <v>459</v>
      </c>
      <c r="T109" s="3" t="s">
        <v>139</v>
      </c>
      <c r="U109" s="3">
        <v>10551722</v>
      </c>
      <c r="V109" s="3">
        <v>107610.8</v>
      </c>
      <c r="W109" s="3" t="s">
        <v>21</v>
      </c>
      <c r="X109" s="23">
        <v>0</v>
      </c>
      <c r="Y109" s="23">
        <v>0</v>
      </c>
      <c r="Z109" s="23">
        <v>0.76922164399341897</v>
      </c>
      <c r="AA109" s="23">
        <v>0</v>
      </c>
      <c r="AB109" s="23" t="s">
        <v>289</v>
      </c>
      <c r="AC109" s="50">
        <v>3420225.4559999998</v>
      </c>
      <c r="AD109" s="23">
        <v>2912913.4550000001</v>
      </c>
      <c r="AE109" s="23">
        <v>2495806.8309999998</v>
      </c>
      <c r="AF109" s="3">
        <v>2027</v>
      </c>
      <c r="AK109" s="10">
        <v>1</v>
      </c>
      <c r="AL109" s="10">
        <v>1</v>
      </c>
      <c r="AM109" s="10">
        <v>0</v>
      </c>
      <c r="AN109" s="10">
        <v>1.5</v>
      </c>
      <c r="AO109" s="10">
        <v>0</v>
      </c>
      <c r="AP109" s="10">
        <v>1.5</v>
      </c>
      <c r="AQ109" s="10">
        <v>1</v>
      </c>
      <c r="AR109" s="10">
        <v>1</v>
      </c>
      <c r="AS109" s="10">
        <v>0</v>
      </c>
      <c r="AT109" s="10">
        <v>0</v>
      </c>
      <c r="AU109" s="10">
        <v>0</v>
      </c>
      <c r="AV109" s="10">
        <v>1.5</v>
      </c>
      <c r="AW109" s="10">
        <v>1.5</v>
      </c>
      <c r="AX109" s="10">
        <v>1.5</v>
      </c>
      <c r="AY109" s="10">
        <v>0</v>
      </c>
      <c r="AZ109" s="10">
        <v>0</v>
      </c>
      <c r="BA109" s="10">
        <v>1</v>
      </c>
      <c r="BB109" s="10">
        <v>0</v>
      </c>
      <c r="BC109" s="10">
        <v>1</v>
      </c>
      <c r="BD109" s="10">
        <v>0</v>
      </c>
      <c r="BE109" s="10">
        <v>0</v>
      </c>
      <c r="BF109" s="10">
        <v>0</v>
      </c>
      <c r="BG109" s="10">
        <v>0</v>
      </c>
      <c r="BH109" s="10">
        <v>0</v>
      </c>
      <c r="BI109" s="10">
        <v>0</v>
      </c>
      <c r="BJ109" s="10">
        <v>0</v>
      </c>
      <c r="BK109" s="10">
        <v>0</v>
      </c>
      <c r="BL109" s="10">
        <v>0</v>
      </c>
      <c r="BM109" s="79">
        <v>13.5</v>
      </c>
      <c r="BN109" s="3">
        <v>0.36000001430511475</v>
      </c>
      <c r="BO109" s="3">
        <v>0</v>
      </c>
      <c r="BP109" s="3">
        <v>0</v>
      </c>
      <c r="BQ109" s="3">
        <v>0</v>
      </c>
    </row>
    <row r="110" spans="1:69" x14ac:dyDescent="0.2">
      <c r="A110" s="3">
        <v>404</v>
      </c>
      <c r="B110" s="79">
        <v>404</v>
      </c>
      <c r="C110" s="3">
        <v>1</v>
      </c>
      <c r="E110" s="3">
        <v>150300.5</v>
      </c>
      <c r="F110" s="3">
        <v>125148.133684163</v>
      </c>
      <c r="G110" s="3">
        <v>104774.37</v>
      </c>
      <c r="H110" s="3">
        <v>64779.4</v>
      </c>
      <c r="I110" s="3">
        <v>2018</v>
      </c>
      <c r="J110" s="3">
        <v>2020</v>
      </c>
      <c r="K110" s="3">
        <v>46287.83</v>
      </c>
      <c r="L110" s="3">
        <v>26391.26</v>
      </c>
      <c r="M110" s="3">
        <v>-3667.6100000000301</v>
      </c>
      <c r="N110" s="3">
        <v>-45331.360000000001</v>
      </c>
      <c r="O110" s="3">
        <v>363525065.39999998</v>
      </c>
      <c r="P110" s="3">
        <v>430754299.79112601</v>
      </c>
      <c r="Q110" s="3">
        <v>188705526.64770001</v>
      </c>
      <c r="R110" s="3">
        <v>106297522.30679999</v>
      </c>
      <c r="S110" s="3" t="s">
        <v>461</v>
      </c>
      <c r="T110" s="3" t="s">
        <v>56</v>
      </c>
      <c r="U110" s="3">
        <v>10551390.800000001</v>
      </c>
      <c r="V110" s="3">
        <v>229693.28679565201</v>
      </c>
      <c r="W110" s="3" t="s">
        <v>21</v>
      </c>
      <c r="X110" s="23">
        <v>4.9277651622224201E-2</v>
      </c>
      <c r="Y110" s="23">
        <v>7.9810845919981499E-2</v>
      </c>
      <c r="Z110" s="23">
        <v>6.4269350889215797</v>
      </c>
      <c r="AA110" s="23">
        <v>374983.28880037699</v>
      </c>
      <c r="AB110" s="23" t="s">
        <v>294</v>
      </c>
      <c r="AC110" s="50">
        <v>400979.28230389999</v>
      </c>
      <c r="AD110" s="23">
        <v>342206.62866761698</v>
      </c>
      <c r="AE110" s="23">
        <v>292602.591480818</v>
      </c>
      <c r="AF110" s="3">
        <v>31</v>
      </c>
      <c r="AK110" s="10">
        <v>1</v>
      </c>
      <c r="AL110" s="10">
        <v>1</v>
      </c>
      <c r="AM110" s="10">
        <v>1</v>
      </c>
      <c r="AN110" s="10">
        <v>1.5</v>
      </c>
      <c r="AO110" s="10">
        <v>1.5</v>
      </c>
      <c r="AP110" s="10">
        <v>1.5</v>
      </c>
      <c r="AQ110" s="10">
        <v>1</v>
      </c>
      <c r="AR110" s="10">
        <v>1</v>
      </c>
      <c r="AS110" s="10">
        <v>1</v>
      </c>
      <c r="AT110" s="10">
        <v>1</v>
      </c>
      <c r="AU110" s="10">
        <v>1.5</v>
      </c>
      <c r="AV110" s="10">
        <v>1.5</v>
      </c>
      <c r="AW110" s="10">
        <v>1.5</v>
      </c>
      <c r="AX110" s="10">
        <v>1.5</v>
      </c>
      <c r="AY110" s="10">
        <v>2</v>
      </c>
      <c r="AZ110" s="10">
        <v>1</v>
      </c>
      <c r="BA110" s="10">
        <v>1</v>
      </c>
      <c r="BB110" s="10">
        <v>2</v>
      </c>
      <c r="BC110" s="10">
        <v>1</v>
      </c>
      <c r="BD110" s="10">
        <v>0</v>
      </c>
      <c r="BE110" s="10">
        <v>1.5</v>
      </c>
      <c r="BF110" s="10">
        <v>1.5</v>
      </c>
      <c r="BG110" s="10">
        <v>0</v>
      </c>
      <c r="BH110" s="10">
        <v>0</v>
      </c>
      <c r="BI110" s="10">
        <v>1.5</v>
      </c>
      <c r="BJ110" s="10">
        <v>1.5</v>
      </c>
      <c r="BK110" s="79">
        <v>1.5</v>
      </c>
      <c r="BL110" s="12">
        <v>1.5</v>
      </c>
      <c r="BM110" s="3">
        <v>33.5</v>
      </c>
      <c r="BN110" s="3">
        <v>0.8933333158493042</v>
      </c>
      <c r="BO110" s="3">
        <v>0</v>
      </c>
      <c r="BP110" s="3">
        <v>0</v>
      </c>
      <c r="BQ110" s="3">
        <v>0</v>
      </c>
    </row>
    <row r="111" spans="1:69" x14ac:dyDescent="0.2">
      <c r="A111" s="3">
        <v>406</v>
      </c>
      <c r="B111" s="79">
        <v>406</v>
      </c>
      <c r="C111" s="3">
        <v>4</v>
      </c>
      <c r="E111" s="3">
        <v>150300.5</v>
      </c>
      <c r="F111" s="3">
        <v>125148.319969452</v>
      </c>
      <c r="G111" s="3">
        <v>104773.65</v>
      </c>
      <c r="H111" s="3">
        <v>64779.4</v>
      </c>
      <c r="I111" s="3">
        <v>2018</v>
      </c>
      <c r="J111" s="3">
        <v>2020</v>
      </c>
      <c r="K111" s="3">
        <v>46287.83</v>
      </c>
      <c r="L111" s="3">
        <v>26391.26</v>
      </c>
      <c r="M111" s="3">
        <v>-3667.6100000000301</v>
      </c>
      <c r="N111" s="3">
        <v>-45331.360000000001</v>
      </c>
      <c r="O111" s="3">
        <v>363525065.399997</v>
      </c>
      <c r="P111" s="3">
        <v>-269997774.22247303</v>
      </c>
      <c r="Q111" s="3">
        <v>188949809.93069801</v>
      </c>
      <c r="R111" s="3">
        <v>106556706.613205</v>
      </c>
      <c r="S111" s="3" t="s">
        <v>462</v>
      </c>
      <c r="T111" s="3" t="s">
        <v>56</v>
      </c>
      <c r="U111" s="3">
        <v>10550782</v>
      </c>
      <c r="V111" s="3">
        <v>208468.76566568401</v>
      </c>
      <c r="W111" s="23" t="s">
        <v>21</v>
      </c>
      <c r="X111" s="23">
        <v>4.9276509161013102E-2</v>
      </c>
      <c r="Y111" s="50">
        <v>6.4371101419998994E-2</v>
      </c>
      <c r="Z111" s="50">
        <v>0.241239277824944</v>
      </c>
      <c r="AA111" s="50">
        <v>391846.34751915699</v>
      </c>
      <c r="AB111" s="50" t="s">
        <v>289</v>
      </c>
      <c r="AC111" s="23">
        <v>400956.14637881803</v>
      </c>
      <c r="AD111" s="3">
        <v>342186.88383970899</v>
      </c>
      <c r="AE111" s="3">
        <v>292585.70873416599</v>
      </c>
      <c r="AF111" s="10">
        <v>31</v>
      </c>
      <c r="AK111" s="10">
        <v>1</v>
      </c>
      <c r="AL111" s="10">
        <v>1</v>
      </c>
      <c r="AM111" s="10">
        <v>1</v>
      </c>
      <c r="AN111" s="10">
        <v>1.5</v>
      </c>
      <c r="AO111" s="10">
        <v>1.5</v>
      </c>
      <c r="AP111" s="10">
        <v>1.5</v>
      </c>
      <c r="AQ111" s="10">
        <v>1</v>
      </c>
      <c r="AR111" s="10">
        <v>1</v>
      </c>
      <c r="AS111" s="10">
        <v>1</v>
      </c>
      <c r="AT111" s="10">
        <v>1</v>
      </c>
      <c r="AU111" s="10">
        <v>1.5</v>
      </c>
      <c r="AV111" s="10">
        <v>0</v>
      </c>
      <c r="AW111" s="10">
        <v>0</v>
      </c>
      <c r="AX111" s="10">
        <v>0</v>
      </c>
      <c r="AY111" s="10">
        <v>2</v>
      </c>
      <c r="AZ111" s="10">
        <v>1</v>
      </c>
      <c r="BA111" s="10">
        <v>1</v>
      </c>
      <c r="BB111" s="79">
        <v>0</v>
      </c>
      <c r="BC111" s="79">
        <v>1</v>
      </c>
      <c r="BD111" s="79">
        <v>0</v>
      </c>
      <c r="BE111" s="79">
        <v>1.5</v>
      </c>
      <c r="BF111" s="79">
        <v>0</v>
      </c>
      <c r="BG111" s="79">
        <v>0</v>
      </c>
      <c r="BH111" s="79">
        <v>0</v>
      </c>
      <c r="BI111" s="79">
        <v>1.5</v>
      </c>
      <c r="BJ111" s="79">
        <v>1.5</v>
      </c>
      <c r="BK111" s="5">
        <v>1.5</v>
      </c>
      <c r="BL111" s="12">
        <v>1.5</v>
      </c>
      <c r="BM111" s="5">
        <v>25.5</v>
      </c>
      <c r="BN111" s="3">
        <v>0.68000000715255737</v>
      </c>
      <c r="BO111" s="3">
        <v>0</v>
      </c>
      <c r="BP111" s="3">
        <v>0</v>
      </c>
      <c r="BQ111" s="3">
        <v>0</v>
      </c>
    </row>
    <row r="112" spans="1:69" x14ac:dyDescent="0.2">
      <c r="A112" s="3">
        <v>407</v>
      </c>
      <c r="B112" s="79">
        <v>407</v>
      </c>
      <c r="C112" s="3">
        <v>4</v>
      </c>
      <c r="E112" s="3">
        <v>150300.5</v>
      </c>
      <c r="F112" s="3">
        <v>125148.133684163</v>
      </c>
      <c r="G112" s="3">
        <v>104774.37</v>
      </c>
      <c r="H112" s="3">
        <v>64779.4</v>
      </c>
      <c r="I112" s="3">
        <v>2018</v>
      </c>
      <c r="J112" s="3">
        <v>2021</v>
      </c>
      <c r="K112" s="3">
        <v>46287.83</v>
      </c>
      <c r="L112" s="3">
        <v>26391.26</v>
      </c>
      <c r="M112" s="3">
        <v>-3667.6100000000301</v>
      </c>
      <c r="N112" s="3">
        <v>-45331.360000000001</v>
      </c>
      <c r="O112" s="3">
        <v>363525065.39999998</v>
      </c>
      <c r="P112" s="3">
        <v>430754299.79112601</v>
      </c>
      <c r="Q112" s="3">
        <v>188705526.64770001</v>
      </c>
      <c r="R112" s="3">
        <v>106297522.3</v>
      </c>
      <c r="S112" s="3" t="s">
        <v>463</v>
      </c>
      <c r="T112" s="3" t="s">
        <v>56</v>
      </c>
      <c r="U112" s="3">
        <v>10550659.199999999</v>
      </c>
      <c r="V112" s="3">
        <v>229674.83538639499</v>
      </c>
      <c r="W112" s="3" t="s">
        <v>21</v>
      </c>
      <c r="X112" s="23">
        <v>0.05</v>
      </c>
      <c r="Y112" s="23">
        <v>7.5356515323890996E-2</v>
      </c>
      <c r="Z112" s="23">
        <v>6.6120136731778398</v>
      </c>
      <c r="AA112" s="23">
        <v>320860.13857205602</v>
      </c>
      <c r="AB112" s="23" t="s">
        <v>289</v>
      </c>
      <c r="AC112" s="50">
        <v>400947.07138060901</v>
      </c>
      <c r="AD112" s="23">
        <v>342179.13898933999</v>
      </c>
      <c r="AE112" s="23">
        <v>292579.08652671101</v>
      </c>
      <c r="AF112" s="3">
        <v>31</v>
      </c>
      <c r="AK112" s="10">
        <v>1</v>
      </c>
      <c r="AL112" s="10">
        <v>1</v>
      </c>
      <c r="AM112" s="10">
        <v>1</v>
      </c>
      <c r="AN112" s="10">
        <v>1.5</v>
      </c>
      <c r="AO112" s="10">
        <v>1.5</v>
      </c>
      <c r="AP112" s="10">
        <v>1.5</v>
      </c>
      <c r="AQ112" s="10">
        <v>1</v>
      </c>
      <c r="AR112" s="10">
        <v>1</v>
      </c>
      <c r="AS112" s="10">
        <v>1</v>
      </c>
      <c r="AT112" s="10">
        <v>1</v>
      </c>
      <c r="AU112" s="10">
        <v>1.5</v>
      </c>
      <c r="AV112" s="10">
        <v>1.5</v>
      </c>
      <c r="AW112" s="10">
        <v>1.5</v>
      </c>
      <c r="AX112" s="10">
        <v>1.5</v>
      </c>
      <c r="AY112" s="10">
        <v>2</v>
      </c>
      <c r="AZ112" s="10">
        <v>1</v>
      </c>
      <c r="BA112" s="10">
        <v>1</v>
      </c>
      <c r="BB112" s="10">
        <v>2</v>
      </c>
      <c r="BC112" s="10">
        <v>1</v>
      </c>
      <c r="BD112" s="10">
        <v>0</v>
      </c>
      <c r="BE112" s="10">
        <v>1.5</v>
      </c>
      <c r="BF112" s="10">
        <v>0</v>
      </c>
      <c r="BG112" s="10">
        <v>0</v>
      </c>
      <c r="BH112" s="10">
        <v>0</v>
      </c>
      <c r="BI112" s="10">
        <v>1.5</v>
      </c>
      <c r="BJ112" s="10">
        <v>1.5</v>
      </c>
      <c r="BK112" s="10">
        <v>1.5</v>
      </c>
      <c r="BL112" s="10">
        <v>1.5</v>
      </c>
      <c r="BM112" s="79">
        <v>32</v>
      </c>
      <c r="BN112" s="3">
        <v>0.85333335399627686</v>
      </c>
      <c r="BO112" s="3">
        <v>0</v>
      </c>
      <c r="BP112" s="3">
        <v>0</v>
      </c>
      <c r="BQ112" s="3">
        <v>0</v>
      </c>
    </row>
    <row r="113" spans="1:69" x14ac:dyDescent="0.2">
      <c r="A113" s="3">
        <v>408</v>
      </c>
      <c r="B113" s="79">
        <v>408</v>
      </c>
      <c r="C113" s="3">
        <v>1</v>
      </c>
      <c r="E113" s="3">
        <v>150300.5</v>
      </c>
      <c r="F113" s="3">
        <v>125148.133684163</v>
      </c>
      <c r="G113" s="3">
        <v>104774.37</v>
      </c>
      <c r="H113" s="3">
        <v>64779.4</v>
      </c>
      <c r="I113" s="3">
        <v>2018</v>
      </c>
      <c r="J113" s="3">
        <v>2020</v>
      </c>
      <c r="K113" s="3">
        <v>46287.83</v>
      </c>
      <c r="L113" s="3">
        <v>26391.26</v>
      </c>
      <c r="M113" s="3">
        <v>-3667.6100000000301</v>
      </c>
      <c r="N113" s="3">
        <v>-45331.360000000001</v>
      </c>
      <c r="O113" s="3">
        <v>363525065.39999998</v>
      </c>
      <c r="P113" s="3">
        <v>430754299.79112601</v>
      </c>
      <c r="Q113" s="19">
        <v>188705526.64770001</v>
      </c>
      <c r="R113" s="3">
        <v>106297522.30679999</v>
      </c>
      <c r="S113" s="3" t="s">
        <v>464</v>
      </c>
      <c r="T113" s="3" t="s">
        <v>55</v>
      </c>
      <c r="U113" s="3">
        <v>10550742.800000001</v>
      </c>
      <c r="V113" s="3">
        <v>229679.18047993799</v>
      </c>
      <c r="W113" s="3" t="s">
        <v>55</v>
      </c>
      <c r="X113" s="23">
        <v>0.04</v>
      </c>
      <c r="Y113" s="23">
        <v>7.5355882786462006E-2</v>
      </c>
      <c r="Z113" s="23">
        <v>6.6118452202716202</v>
      </c>
      <c r="AA113" s="23">
        <v>401082.25301241799</v>
      </c>
      <c r="AB113" s="23" t="s">
        <v>55</v>
      </c>
      <c r="AC113" s="50">
        <v>400954.65668061899</v>
      </c>
      <c r="AD113" s="23">
        <v>342185.61249073799</v>
      </c>
      <c r="AE113" s="23">
        <v>292584.62167163601</v>
      </c>
      <c r="AF113" s="3">
        <v>31</v>
      </c>
      <c r="AK113" s="10">
        <v>1</v>
      </c>
      <c r="AL113" s="10">
        <v>1</v>
      </c>
      <c r="AM113" s="10">
        <v>1</v>
      </c>
      <c r="AN113" s="10">
        <v>1.5</v>
      </c>
      <c r="AO113" s="10">
        <v>1.5</v>
      </c>
      <c r="AP113" s="10">
        <v>1.5</v>
      </c>
      <c r="AQ113" s="10">
        <v>1</v>
      </c>
      <c r="AR113" s="10">
        <v>1</v>
      </c>
      <c r="AS113" s="10">
        <v>1</v>
      </c>
      <c r="AT113" s="10">
        <v>1</v>
      </c>
      <c r="AU113" s="10">
        <v>1.5</v>
      </c>
      <c r="AV113" s="10">
        <v>1.5</v>
      </c>
      <c r="AW113" s="10">
        <v>1.5</v>
      </c>
      <c r="AX113" s="10">
        <v>1.5</v>
      </c>
      <c r="AY113" s="10">
        <v>2</v>
      </c>
      <c r="AZ113" s="10">
        <v>0</v>
      </c>
      <c r="BA113" s="10">
        <v>1</v>
      </c>
      <c r="BB113" s="10">
        <v>2</v>
      </c>
      <c r="BC113" s="10">
        <v>0</v>
      </c>
      <c r="BD113" s="10">
        <v>1.5</v>
      </c>
      <c r="BE113" s="10">
        <v>1.5</v>
      </c>
      <c r="BF113" s="10">
        <v>0</v>
      </c>
      <c r="BG113" s="10">
        <v>0</v>
      </c>
      <c r="BH113" s="10">
        <v>0</v>
      </c>
      <c r="BI113" s="10">
        <v>1.5</v>
      </c>
      <c r="BJ113" s="10">
        <v>1.5</v>
      </c>
      <c r="BK113" s="79">
        <v>1.5</v>
      </c>
      <c r="BL113" s="12">
        <v>1.5</v>
      </c>
      <c r="BM113" s="3">
        <v>31.5</v>
      </c>
      <c r="BN113" s="3">
        <v>0.8399999737739563</v>
      </c>
      <c r="BO113" s="3">
        <v>0</v>
      </c>
      <c r="BP113" s="3">
        <v>0</v>
      </c>
      <c r="BQ113" s="3">
        <v>0</v>
      </c>
    </row>
    <row r="114" spans="1:69" x14ac:dyDescent="0.2">
      <c r="A114" s="3">
        <v>409</v>
      </c>
      <c r="B114" s="79">
        <v>409</v>
      </c>
      <c r="C114" s="3">
        <v>2</v>
      </c>
      <c r="E114" s="23">
        <v>150300.5</v>
      </c>
      <c r="F114" s="23">
        <v>125148.133684163</v>
      </c>
      <c r="G114" s="23">
        <v>104774.37</v>
      </c>
      <c r="H114" s="19">
        <v>64779.4</v>
      </c>
      <c r="I114" s="3">
        <v>2018</v>
      </c>
      <c r="J114" s="19">
        <v>2020</v>
      </c>
      <c r="K114" s="19">
        <v>46287.83</v>
      </c>
      <c r="L114" s="3">
        <v>26391.26</v>
      </c>
      <c r="M114" s="19">
        <v>-3667.6100000000301</v>
      </c>
      <c r="N114" s="3">
        <v>-45331.360000000001</v>
      </c>
      <c r="O114" s="3">
        <v>363525065.39999998</v>
      </c>
      <c r="P114" s="23">
        <v>430754299.79112601</v>
      </c>
      <c r="Q114" s="23">
        <v>188705526.64770001</v>
      </c>
      <c r="R114" s="23">
        <v>106297522.30679999</v>
      </c>
      <c r="S114" s="50" t="s">
        <v>465</v>
      </c>
      <c r="T114" s="23" t="s">
        <v>56</v>
      </c>
      <c r="U114" s="23">
        <v>10550412.800000001</v>
      </c>
      <c r="V114" s="23">
        <v>229671.99670804699</v>
      </c>
      <c r="W114" s="3" t="s">
        <v>21</v>
      </c>
      <c r="X114" s="79">
        <v>4.9277651622224201E-2</v>
      </c>
      <c r="Y114" s="3">
        <v>7.9813066370902297E-2</v>
      </c>
      <c r="Z114" s="3">
        <v>6.4268742161162002</v>
      </c>
      <c r="AA114" s="3">
        <v>374974.008499716</v>
      </c>
      <c r="AB114" s="3" t="s">
        <v>294</v>
      </c>
      <c r="AC114" s="3">
        <v>400942.11585394898</v>
      </c>
      <c r="AD114" s="3">
        <v>342174.90980806598</v>
      </c>
      <c r="AE114" s="3">
        <v>292575.47037992399</v>
      </c>
      <c r="AF114" s="3">
        <v>31</v>
      </c>
      <c r="AG114" s="3"/>
      <c r="AK114" s="10">
        <v>1</v>
      </c>
      <c r="AL114" s="10">
        <v>1</v>
      </c>
      <c r="AM114" s="10">
        <v>1</v>
      </c>
      <c r="AN114" s="10">
        <v>1.5</v>
      </c>
      <c r="AO114" s="92">
        <v>1.5</v>
      </c>
      <c r="AP114" s="10">
        <v>1.5</v>
      </c>
      <c r="AQ114" s="92">
        <v>1</v>
      </c>
      <c r="AR114" s="10">
        <v>1</v>
      </c>
      <c r="AS114" s="10">
        <v>1</v>
      </c>
      <c r="AT114" s="10">
        <v>1</v>
      </c>
      <c r="AU114" s="10">
        <v>1.5</v>
      </c>
      <c r="AV114" s="10">
        <v>1.5</v>
      </c>
      <c r="AW114" s="10">
        <v>1.5</v>
      </c>
      <c r="AX114" s="5">
        <v>1.5</v>
      </c>
      <c r="AY114" s="5">
        <v>2</v>
      </c>
      <c r="AZ114" s="5">
        <v>1</v>
      </c>
      <c r="BA114" s="5">
        <v>1</v>
      </c>
      <c r="BB114" s="5">
        <v>2</v>
      </c>
      <c r="BC114" s="5">
        <v>1</v>
      </c>
      <c r="BD114" s="5">
        <v>0</v>
      </c>
      <c r="BE114" s="5">
        <v>1.5</v>
      </c>
      <c r="BF114" s="5">
        <v>1.5</v>
      </c>
      <c r="BG114" s="5">
        <v>0</v>
      </c>
      <c r="BH114" s="5">
        <v>0</v>
      </c>
      <c r="BI114" s="5">
        <v>1.5</v>
      </c>
      <c r="BJ114" s="5">
        <v>1.5</v>
      </c>
      <c r="BK114" s="5">
        <v>1.5</v>
      </c>
      <c r="BL114" s="5">
        <v>1.5</v>
      </c>
      <c r="BM114" s="5">
        <v>33.5</v>
      </c>
      <c r="BN114" s="3">
        <v>0.8933333158493042</v>
      </c>
      <c r="BO114" s="3">
        <v>0</v>
      </c>
      <c r="BP114" s="3">
        <v>0</v>
      </c>
      <c r="BQ114" s="3">
        <v>0</v>
      </c>
    </row>
    <row r="115" spans="1:69" x14ac:dyDescent="0.2">
      <c r="A115" s="3">
        <v>410</v>
      </c>
      <c r="B115" s="79">
        <v>410</v>
      </c>
      <c r="C115" s="3">
        <v>3</v>
      </c>
      <c r="E115" s="3">
        <v>150300.5</v>
      </c>
      <c r="F115" s="3">
        <v>125148.133684163</v>
      </c>
      <c r="G115" s="3">
        <v>104774.37</v>
      </c>
      <c r="H115" s="3">
        <v>64779.4</v>
      </c>
      <c r="I115" s="3">
        <v>2018</v>
      </c>
      <c r="J115" s="3">
        <v>2020</v>
      </c>
      <c r="K115" s="3">
        <v>46287.83</v>
      </c>
      <c r="L115" s="3">
        <v>26391.26</v>
      </c>
      <c r="M115" s="3">
        <v>-3667.6100000000301</v>
      </c>
      <c r="N115" s="3">
        <v>-45331.360000000001</v>
      </c>
      <c r="O115" s="3">
        <v>363525065.39999998</v>
      </c>
      <c r="P115" s="3">
        <v>430754299.79112601</v>
      </c>
      <c r="Q115" s="3">
        <v>188705526.64770001</v>
      </c>
      <c r="R115" s="3">
        <v>106297522.30679999</v>
      </c>
      <c r="S115" s="3" t="s">
        <v>467</v>
      </c>
      <c r="T115" s="3" t="s">
        <v>294</v>
      </c>
      <c r="U115" s="3">
        <v>10551547.6</v>
      </c>
      <c r="V115" s="3">
        <v>229696.700175751</v>
      </c>
      <c r="W115" s="23" t="s">
        <v>21</v>
      </c>
      <c r="X115" s="23">
        <v>4.9276509161013102E-2</v>
      </c>
      <c r="Y115" s="50">
        <v>7.9804651510557101E-2</v>
      </c>
      <c r="Z115" s="50">
        <v>6.4268977668571798</v>
      </c>
      <c r="AA115" s="50">
        <v>374929.13631418598</v>
      </c>
      <c r="AB115" s="50" t="s">
        <v>289</v>
      </c>
      <c r="AC115" s="23">
        <v>400992.14235161297</v>
      </c>
      <c r="AD115" s="3">
        <v>342217.60378220998</v>
      </c>
      <c r="AE115" s="3">
        <v>292611.97571450099</v>
      </c>
      <c r="AF115" s="10">
        <v>31</v>
      </c>
      <c r="AK115" s="10">
        <v>1</v>
      </c>
      <c r="AL115" s="10">
        <v>1</v>
      </c>
      <c r="AM115" s="10">
        <v>1</v>
      </c>
      <c r="AN115" s="10">
        <v>1.5</v>
      </c>
      <c r="AO115" s="10">
        <v>1.5</v>
      </c>
      <c r="AP115" s="10">
        <v>1.5</v>
      </c>
      <c r="AQ115" s="10">
        <v>1</v>
      </c>
      <c r="AR115" s="10">
        <v>1</v>
      </c>
      <c r="AS115" s="10">
        <v>1</v>
      </c>
      <c r="AT115" s="10">
        <v>1</v>
      </c>
      <c r="AU115" s="10">
        <v>1.5</v>
      </c>
      <c r="AV115" s="10">
        <v>1.5</v>
      </c>
      <c r="AW115" s="10">
        <v>1.5</v>
      </c>
      <c r="AX115" s="10">
        <v>1.5</v>
      </c>
      <c r="AY115" s="10">
        <v>1</v>
      </c>
      <c r="AZ115" s="10">
        <v>0</v>
      </c>
      <c r="BA115" s="10">
        <v>1</v>
      </c>
      <c r="BB115" s="79">
        <v>2</v>
      </c>
      <c r="BC115" s="79">
        <v>1</v>
      </c>
      <c r="BD115" s="79">
        <v>0</v>
      </c>
      <c r="BE115" s="79">
        <v>1.5</v>
      </c>
      <c r="BF115" s="79">
        <v>1.5</v>
      </c>
      <c r="BG115" s="79">
        <v>0</v>
      </c>
      <c r="BH115" s="79">
        <v>0</v>
      </c>
      <c r="BI115" s="79">
        <v>1.5</v>
      </c>
      <c r="BJ115" s="79">
        <v>1.5</v>
      </c>
      <c r="BK115" s="5">
        <v>1.5</v>
      </c>
      <c r="BL115" s="12">
        <v>1.5</v>
      </c>
      <c r="BM115" s="5">
        <v>31.5</v>
      </c>
      <c r="BN115" s="3">
        <v>0.8399999737739563</v>
      </c>
      <c r="BO115" s="3">
        <v>0</v>
      </c>
      <c r="BP115" s="3">
        <v>0</v>
      </c>
      <c r="BQ115" s="3">
        <v>0</v>
      </c>
    </row>
    <row r="116" spans="1:69" x14ac:dyDescent="0.2">
      <c r="A116" s="3">
        <v>411</v>
      </c>
      <c r="B116" s="79">
        <v>411</v>
      </c>
      <c r="C116" s="3">
        <v>2</v>
      </c>
      <c r="E116" s="3">
        <v>150300.5</v>
      </c>
      <c r="F116" s="3">
        <v>125148.133684163</v>
      </c>
      <c r="G116" s="3">
        <v>104774.37</v>
      </c>
      <c r="H116" s="3">
        <v>64779.4</v>
      </c>
      <c r="I116" s="3">
        <v>2018</v>
      </c>
      <c r="J116" s="3">
        <v>2020</v>
      </c>
      <c r="K116" s="3">
        <v>46287.83</v>
      </c>
      <c r="L116" s="3">
        <v>26391.26</v>
      </c>
      <c r="M116" s="3">
        <v>-3667.6100000000301</v>
      </c>
      <c r="N116" s="3">
        <v>-45331.360000000001</v>
      </c>
      <c r="O116" s="3">
        <v>363525065.39999998</v>
      </c>
      <c r="P116" s="3">
        <v>430754299.79112601</v>
      </c>
      <c r="Q116" s="3">
        <v>188705526.64770001</v>
      </c>
      <c r="R116" s="3">
        <v>106297522.30679999</v>
      </c>
      <c r="S116" s="3" t="s">
        <v>468</v>
      </c>
      <c r="T116" s="3" t="s">
        <v>56</v>
      </c>
      <c r="U116" s="3">
        <v>10551973.6</v>
      </c>
      <c r="V116" s="3">
        <v>229705.973772192</v>
      </c>
      <c r="W116" s="3" t="s">
        <v>21</v>
      </c>
      <c r="X116" s="23">
        <v>4.9277651622224201E-2</v>
      </c>
      <c r="Y116" s="23">
        <v>7.9808646025745597E-2</v>
      </c>
      <c r="Z116" s="23">
        <v>6.4269372088337899</v>
      </c>
      <c r="AA116" s="23">
        <v>374981.94613130501</v>
      </c>
      <c r="AB116" s="23" t="s">
        <v>294</v>
      </c>
      <c r="AC116" s="50">
        <v>401001.43016385101</v>
      </c>
      <c r="AD116" s="23">
        <v>342225.530253859</v>
      </c>
      <c r="AE116" s="23">
        <v>292618.75321660697</v>
      </c>
      <c r="AF116" s="3">
        <v>31</v>
      </c>
      <c r="AK116" s="10">
        <v>1</v>
      </c>
      <c r="AL116" s="10">
        <v>1</v>
      </c>
      <c r="AM116" s="10">
        <v>1</v>
      </c>
      <c r="AN116" s="10">
        <v>1.5</v>
      </c>
      <c r="AO116" s="10">
        <v>1.5</v>
      </c>
      <c r="AP116" s="10">
        <v>1.5</v>
      </c>
      <c r="AQ116" s="10">
        <v>1</v>
      </c>
      <c r="AR116" s="10">
        <v>1</v>
      </c>
      <c r="AS116" s="10">
        <v>1</v>
      </c>
      <c r="AT116" s="10">
        <v>1</v>
      </c>
      <c r="AU116" s="10">
        <v>1.5</v>
      </c>
      <c r="AV116" s="10">
        <v>1.5</v>
      </c>
      <c r="AW116" s="10">
        <v>1.5</v>
      </c>
      <c r="AX116" s="10">
        <v>1.5</v>
      </c>
      <c r="AY116" s="10">
        <v>2</v>
      </c>
      <c r="AZ116" s="10">
        <v>1</v>
      </c>
      <c r="BA116" s="10">
        <v>1</v>
      </c>
      <c r="BB116" s="10">
        <v>2</v>
      </c>
      <c r="BC116" s="10">
        <v>1</v>
      </c>
      <c r="BD116" s="10">
        <v>0</v>
      </c>
      <c r="BE116" s="10">
        <v>1.5</v>
      </c>
      <c r="BF116" s="10">
        <v>1.5</v>
      </c>
      <c r="BG116" s="10">
        <v>1.5</v>
      </c>
      <c r="BH116" s="10">
        <v>0</v>
      </c>
      <c r="BI116" s="10">
        <v>1.5</v>
      </c>
      <c r="BJ116" s="10">
        <v>1.5</v>
      </c>
      <c r="BK116" s="10">
        <v>1.5</v>
      </c>
      <c r="BL116" s="10">
        <v>1.5</v>
      </c>
      <c r="BM116" s="79">
        <v>35</v>
      </c>
      <c r="BN116" s="3">
        <v>0.93333333730697632</v>
      </c>
      <c r="BO116" s="3">
        <v>0</v>
      </c>
      <c r="BP116" s="3">
        <v>0</v>
      </c>
      <c r="BQ116" s="3">
        <v>0</v>
      </c>
    </row>
    <row r="117" spans="1:69" x14ac:dyDescent="0.2">
      <c r="A117" s="3">
        <v>413</v>
      </c>
      <c r="B117" s="79">
        <v>413</v>
      </c>
      <c r="C117" s="3">
        <v>1</v>
      </c>
      <c r="E117" s="3">
        <v>150300.5</v>
      </c>
      <c r="F117" s="3">
        <v>125148.133684163</v>
      </c>
      <c r="G117" s="3">
        <v>-5083193.28</v>
      </c>
      <c r="H117" s="3">
        <v>87114.8</v>
      </c>
      <c r="I117" s="3">
        <v>2018</v>
      </c>
      <c r="J117" s="3">
        <v>2020</v>
      </c>
      <c r="K117" s="3">
        <v>46287.83</v>
      </c>
      <c r="L117" s="3">
        <v>26391.26</v>
      </c>
      <c r="M117" s="3">
        <v>-3667.6100000000301</v>
      </c>
      <c r="N117" s="3">
        <v>-45331.360000000001</v>
      </c>
      <c r="O117" s="3">
        <v>363525065.39999998</v>
      </c>
      <c r="P117" s="3">
        <v>430754299.79112601</v>
      </c>
      <c r="Q117" s="3">
        <v>3097864160576.1299</v>
      </c>
      <c r="R117" s="3">
        <v>106297522.30679999</v>
      </c>
      <c r="S117" s="3">
        <v>0</v>
      </c>
      <c r="T117" s="3" t="s">
        <v>139</v>
      </c>
      <c r="U117" s="3">
        <v>10550421.6</v>
      </c>
      <c r="V117" s="3">
        <v>0.93255757327009503</v>
      </c>
      <c r="W117" s="23" t="s">
        <v>20</v>
      </c>
      <c r="X117" s="23">
        <v>0.06</v>
      </c>
      <c r="Y117" s="50">
        <v>7.5356587689926993E-2</v>
      </c>
      <c r="Z117" s="50">
        <v>6.61184904249893</v>
      </c>
      <c r="AA117" s="50">
        <v>320862.66303078202</v>
      </c>
      <c r="AB117" s="50" t="s">
        <v>289</v>
      </c>
      <c r="AC117" s="23">
        <v>1.5163651578852899</v>
      </c>
      <c r="AD117" s="3">
        <v>1.5838956898917</v>
      </c>
      <c r="AE117" s="3">
        <v>1.64161010135908</v>
      </c>
      <c r="AF117" s="10">
        <v>31</v>
      </c>
      <c r="AK117" s="10">
        <v>1</v>
      </c>
      <c r="AL117" s="10">
        <v>1</v>
      </c>
      <c r="AM117" s="10">
        <v>0</v>
      </c>
      <c r="AN117" s="10">
        <v>0</v>
      </c>
      <c r="AO117" s="10">
        <v>1.5</v>
      </c>
      <c r="AP117" s="10">
        <v>1.5</v>
      </c>
      <c r="AQ117" s="10">
        <v>1</v>
      </c>
      <c r="AR117" s="10">
        <v>1</v>
      </c>
      <c r="AS117" s="10">
        <v>1</v>
      </c>
      <c r="AT117" s="10">
        <v>1</v>
      </c>
      <c r="AU117" s="10">
        <v>1.5</v>
      </c>
      <c r="AV117" s="10">
        <v>1.5</v>
      </c>
      <c r="AW117" s="10">
        <v>0</v>
      </c>
      <c r="AX117" s="10">
        <v>1.5</v>
      </c>
      <c r="AY117" s="10">
        <v>0</v>
      </c>
      <c r="AZ117" s="10">
        <v>0</v>
      </c>
      <c r="BA117" s="10">
        <v>1</v>
      </c>
      <c r="BB117" s="79">
        <v>0</v>
      </c>
      <c r="BC117" s="79">
        <v>0</v>
      </c>
      <c r="BD117" s="79">
        <v>0</v>
      </c>
      <c r="BE117" s="79">
        <v>1.5</v>
      </c>
      <c r="BF117" s="79">
        <v>0</v>
      </c>
      <c r="BG117" s="79">
        <v>0</v>
      </c>
      <c r="BH117" s="79">
        <v>0</v>
      </c>
      <c r="BI117" s="79">
        <v>0</v>
      </c>
      <c r="BJ117" s="79">
        <v>0</v>
      </c>
      <c r="BK117" s="5">
        <v>0</v>
      </c>
      <c r="BL117" s="12">
        <v>1.5</v>
      </c>
      <c r="BM117" s="5">
        <v>17.5</v>
      </c>
      <c r="BN117" s="5">
        <v>0.46666666865348816</v>
      </c>
      <c r="BO117" s="3">
        <v>0</v>
      </c>
      <c r="BP117" s="3">
        <v>0</v>
      </c>
      <c r="BQ117" s="3">
        <v>0</v>
      </c>
    </row>
    <row r="118" spans="1:69" x14ac:dyDescent="0.2">
      <c r="A118" s="3">
        <v>414</v>
      </c>
      <c r="B118" s="79">
        <v>414</v>
      </c>
      <c r="C118" s="3">
        <v>4</v>
      </c>
      <c r="E118" s="3">
        <v>150300.5</v>
      </c>
      <c r="F118" s="3">
        <v>125148.319969452</v>
      </c>
      <c r="G118" s="3">
        <v>104773</v>
      </c>
      <c r="H118" s="3">
        <v>64779.4</v>
      </c>
      <c r="I118" s="3">
        <v>2018</v>
      </c>
      <c r="J118" s="3">
        <v>2020</v>
      </c>
      <c r="K118" s="3">
        <v>46283.8</v>
      </c>
      <c r="L118" s="3">
        <v>26386.39</v>
      </c>
      <c r="M118" s="3">
        <v>-3673.4000000000201</v>
      </c>
      <c r="N118" s="3">
        <v>-45338.15</v>
      </c>
      <c r="O118" s="3">
        <v>363525065.39999998</v>
      </c>
      <c r="P118" s="3">
        <v>430755342.834647</v>
      </c>
      <c r="Q118" s="23">
        <v>188705527.7493</v>
      </c>
      <c r="R118" s="23">
        <v>106297558.93889999</v>
      </c>
      <c r="S118" s="50" t="s">
        <v>470</v>
      </c>
      <c r="T118" s="23" t="s">
        <v>56</v>
      </c>
      <c r="U118" s="23">
        <v>10551115.199999999</v>
      </c>
      <c r="V118" s="23">
        <v>9812537.1359999999</v>
      </c>
      <c r="W118" s="3" t="s">
        <v>21</v>
      </c>
      <c r="X118" s="79">
        <v>0.05</v>
      </c>
      <c r="Y118" s="3">
        <v>0.08</v>
      </c>
      <c r="Z118" s="3">
        <v>6.43</v>
      </c>
      <c r="AA118" s="3">
        <v>374946.8</v>
      </c>
      <c r="AB118" s="3" t="s">
        <v>289</v>
      </c>
      <c r="AC118" s="3">
        <v>400968.80881350598</v>
      </c>
      <c r="AD118" s="3">
        <v>342197.690305967</v>
      </c>
      <c r="AE118" s="3">
        <v>292594.94876567798</v>
      </c>
      <c r="AF118" s="3">
        <v>31</v>
      </c>
      <c r="AG118" s="3"/>
      <c r="AK118" s="10">
        <v>1</v>
      </c>
      <c r="AL118" s="10">
        <v>1</v>
      </c>
      <c r="AM118" s="10">
        <v>1</v>
      </c>
      <c r="AN118" s="10">
        <v>1.5</v>
      </c>
      <c r="AO118" s="92">
        <v>1.5</v>
      </c>
      <c r="AP118" s="10">
        <v>1.5</v>
      </c>
      <c r="AQ118" s="92">
        <v>1</v>
      </c>
      <c r="AR118" s="10">
        <v>1</v>
      </c>
      <c r="AS118" s="10">
        <v>1</v>
      </c>
      <c r="AT118" s="10">
        <v>1</v>
      </c>
      <c r="AU118" s="10">
        <v>1.5</v>
      </c>
      <c r="AV118" s="10">
        <v>0</v>
      </c>
      <c r="AW118" s="10">
        <v>1.5</v>
      </c>
      <c r="AX118" s="5">
        <v>0</v>
      </c>
      <c r="AY118" s="5">
        <v>0</v>
      </c>
      <c r="AZ118" s="5">
        <v>1</v>
      </c>
      <c r="BA118" s="5">
        <v>1</v>
      </c>
      <c r="BB118" s="5">
        <v>0</v>
      </c>
      <c r="BC118" s="5">
        <v>1</v>
      </c>
      <c r="BD118" s="5">
        <v>0</v>
      </c>
      <c r="BE118" s="5">
        <v>1.5</v>
      </c>
      <c r="BF118" s="5">
        <v>1.5</v>
      </c>
      <c r="BG118" s="5">
        <v>1.5</v>
      </c>
      <c r="BH118" s="5">
        <v>0</v>
      </c>
      <c r="BI118" s="5">
        <v>1.5</v>
      </c>
      <c r="BJ118" s="5">
        <v>1.5</v>
      </c>
      <c r="BK118" s="5">
        <v>1.5</v>
      </c>
      <c r="BL118" s="5">
        <v>1.5</v>
      </c>
      <c r="BM118" s="5">
        <v>28</v>
      </c>
      <c r="BN118" s="3">
        <v>0.74666666984558105</v>
      </c>
      <c r="BO118" s="3">
        <v>0</v>
      </c>
      <c r="BP118" s="3">
        <v>0</v>
      </c>
      <c r="BQ118" s="3">
        <v>0</v>
      </c>
    </row>
    <row r="119" spans="1:69" x14ac:dyDescent="0.2">
      <c r="A119" s="3">
        <v>415</v>
      </c>
      <c r="B119" s="79">
        <v>415</v>
      </c>
      <c r="C119" s="3">
        <v>3</v>
      </c>
      <c r="E119" s="3">
        <v>150300.5</v>
      </c>
      <c r="F119" s="3">
        <v>125148.133684163</v>
      </c>
      <c r="G119" s="3">
        <v>104774.37</v>
      </c>
      <c r="H119" s="3">
        <v>64779.4</v>
      </c>
      <c r="I119" s="3">
        <v>2018</v>
      </c>
      <c r="J119" s="3">
        <v>2021</v>
      </c>
      <c r="K119" s="3">
        <v>46287.83</v>
      </c>
      <c r="L119" s="3">
        <v>26391.26</v>
      </c>
      <c r="M119" s="3">
        <v>-3667.6100000000301</v>
      </c>
      <c r="N119" s="3">
        <v>-45331.360000000001</v>
      </c>
      <c r="O119" s="3">
        <v>363525065.39999998</v>
      </c>
      <c r="P119" s="3">
        <v>430754299.79112601</v>
      </c>
      <c r="Q119" s="3">
        <v>188705526.64770001</v>
      </c>
      <c r="R119" s="3">
        <v>106297522.30679999</v>
      </c>
      <c r="S119" s="3" t="s">
        <v>320</v>
      </c>
      <c r="T119" s="3" t="s">
        <v>294</v>
      </c>
      <c r="U119" s="3">
        <v>10551492</v>
      </c>
      <c r="V119" s="3">
        <v>229695.48981903301</v>
      </c>
      <c r="W119" s="23" t="s">
        <v>21</v>
      </c>
      <c r="X119" s="23">
        <v>4.9276458827047898E-2</v>
      </c>
      <c r="Y119" s="50">
        <v>7.98057568316385E-2</v>
      </c>
      <c r="Z119" s="50">
        <v>6.4266807306010101</v>
      </c>
      <c r="AA119" s="50">
        <v>374950.07928752498</v>
      </c>
      <c r="AB119" s="50" t="s">
        <v>289</v>
      </c>
      <c r="AC119" s="23">
        <v>400983.12815741298</v>
      </c>
      <c r="AD119" s="3">
        <v>342209.91082363599</v>
      </c>
      <c r="AE119" s="3">
        <v>292605.397876943</v>
      </c>
      <c r="AF119" s="10">
        <v>31</v>
      </c>
      <c r="AK119" s="10">
        <v>1</v>
      </c>
      <c r="AL119" s="10">
        <v>1</v>
      </c>
      <c r="AM119" s="10">
        <v>1</v>
      </c>
      <c r="AN119" s="10">
        <v>1.5</v>
      </c>
      <c r="AO119" s="10">
        <v>1.5</v>
      </c>
      <c r="AP119" s="10">
        <v>1.5</v>
      </c>
      <c r="AQ119" s="10">
        <v>1</v>
      </c>
      <c r="AR119" s="10">
        <v>1</v>
      </c>
      <c r="AS119" s="10">
        <v>1</v>
      </c>
      <c r="AT119" s="10">
        <v>1</v>
      </c>
      <c r="AU119" s="10">
        <v>1.5</v>
      </c>
      <c r="AV119" s="10">
        <v>1.5</v>
      </c>
      <c r="AW119" s="10">
        <v>1.5</v>
      </c>
      <c r="AX119" s="10">
        <v>1.5</v>
      </c>
      <c r="AY119" s="10">
        <v>1</v>
      </c>
      <c r="AZ119" s="10">
        <v>0</v>
      </c>
      <c r="BA119" s="10">
        <v>1</v>
      </c>
      <c r="BB119" s="79">
        <v>2</v>
      </c>
      <c r="BC119" s="79">
        <v>1</v>
      </c>
      <c r="BD119" s="79">
        <v>0</v>
      </c>
      <c r="BE119" s="79">
        <v>1.5</v>
      </c>
      <c r="BF119" s="79">
        <v>1.5</v>
      </c>
      <c r="BG119" s="79">
        <v>1.5</v>
      </c>
      <c r="BH119" s="79">
        <v>0</v>
      </c>
      <c r="BI119" s="79">
        <v>1.5</v>
      </c>
      <c r="BJ119" s="79">
        <v>1.5</v>
      </c>
      <c r="BK119" s="5">
        <v>1.5</v>
      </c>
      <c r="BL119" s="12">
        <v>1.5</v>
      </c>
      <c r="BM119" s="5">
        <v>33</v>
      </c>
      <c r="BN119" s="3">
        <v>0.87999999523162842</v>
      </c>
      <c r="BO119" s="3">
        <v>0</v>
      </c>
      <c r="BP119" s="3">
        <v>0</v>
      </c>
      <c r="BQ119" s="3">
        <v>0</v>
      </c>
    </row>
    <row r="120" spans="1:69" x14ac:dyDescent="0.2">
      <c r="A120" s="5">
        <v>416</v>
      </c>
      <c r="B120" s="11">
        <v>416</v>
      </c>
      <c r="C120" s="5">
        <v>1</v>
      </c>
      <c r="D120" s="5"/>
      <c r="E120" s="22">
        <v>150300.5</v>
      </c>
      <c r="F120" s="22">
        <v>125148.133684163</v>
      </c>
      <c r="G120" s="22">
        <v>104774.37</v>
      </c>
      <c r="H120" s="5">
        <v>64779.4</v>
      </c>
      <c r="I120" s="5">
        <v>2018</v>
      </c>
      <c r="J120" s="5">
        <v>2021</v>
      </c>
      <c r="K120" s="18">
        <v>46287.83</v>
      </c>
      <c r="L120" s="5">
        <v>26391.26</v>
      </c>
      <c r="M120" s="5">
        <v>-3667.6100000000301</v>
      </c>
      <c r="N120" s="5">
        <v>-45331.360000000001</v>
      </c>
      <c r="O120" s="5">
        <v>363525065.39999998</v>
      </c>
      <c r="P120" s="5">
        <v>430754299.79112601</v>
      </c>
      <c r="Q120" s="22">
        <v>188705526.64770001</v>
      </c>
      <c r="R120" s="22">
        <v>106297522.30679999</v>
      </c>
      <c r="S120" s="15" t="s">
        <v>320</v>
      </c>
      <c r="T120" s="88" t="s">
        <v>294</v>
      </c>
      <c r="U120" s="88">
        <v>10551662</v>
      </c>
      <c r="V120" s="88">
        <v>229699.19055000701</v>
      </c>
      <c r="W120" s="5" t="s">
        <v>21</v>
      </c>
      <c r="X120" s="5">
        <v>4.9276458827047898E-2</v>
      </c>
      <c r="Y120" s="5">
        <v>7.9805261271179095E-2</v>
      </c>
      <c r="Z120" s="5">
        <v>6.4266885587568998</v>
      </c>
      <c r="AA120" s="5">
        <v>374950.74947423598</v>
      </c>
      <c r="AB120" s="5" t="s">
        <v>289</v>
      </c>
      <c r="AC120" s="5">
        <v>400989.58858327399</v>
      </c>
      <c r="AD120" s="5">
        <v>342215.42432682798</v>
      </c>
      <c r="AE120" s="5">
        <v>292610.11217873503</v>
      </c>
      <c r="AF120" s="5">
        <v>31</v>
      </c>
      <c r="AG120" s="5"/>
      <c r="AH120" s="16"/>
      <c r="AI120" s="16"/>
      <c r="AJ120" s="16"/>
      <c r="AK120" s="16">
        <v>1</v>
      </c>
      <c r="AL120" s="16">
        <v>1</v>
      </c>
      <c r="AM120" s="16">
        <v>1</v>
      </c>
      <c r="AN120" s="16">
        <v>1.5</v>
      </c>
      <c r="AO120" s="90">
        <v>1.5</v>
      </c>
      <c r="AP120" s="16">
        <v>1.5</v>
      </c>
      <c r="AQ120" s="90">
        <v>1</v>
      </c>
      <c r="AR120" s="16">
        <v>1</v>
      </c>
      <c r="AS120" s="16">
        <v>1</v>
      </c>
      <c r="AT120" s="16">
        <v>1</v>
      </c>
      <c r="AU120" s="16">
        <v>1.5</v>
      </c>
      <c r="AV120" s="16">
        <v>1.5</v>
      </c>
      <c r="AW120" s="16">
        <v>1.5</v>
      </c>
      <c r="AX120" s="5">
        <v>1.5</v>
      </c>
      <c r="AY120" s="5">
        <v>1</v>
      </c>
      <c r="AZ120" s="5">
        <v>0</v>
      </c>
      <c r="BA120" s="5">
        <v>0</v>
      </c>
      <c r="BB120" s="5">
        <v>0</v>
      </c>
      <c r="BC120" s="5">
        <v>1</v>
      </c>
      <c r="BD120" s="5">
        <v>0</v>
      </c>
      <c r="BE120" s="5">
        <v>1.5</v>
      </c>
      <c r="BF120" s="5">
        <v>1.5</v>
      </c>
      <c r="BG120" s="5">
        <v>0</v>
      </c>
      <c r="BH120" s="5">
        <v>0</v>
      </c>
      <c r="BI120" s="5">
        <v>0</v>
      </c>
      <c r="BJ120" s="5">
        <v>0</v>
      </c>
      <c r="BK120" s="5">
        <v>0</v>
      </c>
      <c r="BL120" s="5">
        <v>1.5</v>
      </c>
      <c r="BM120" s="5">
        <v>24</v>
      </c>
      <c r="BN120" s="3">
        <v>0.63999998569488525</v>
      </c>
      <c r="BO120" s="3">
        <v>0</v>
      </c>
      <c r="BP120" s="3">
        <v>0</v>
      </c>
      <c r="BQ120" s="3">
        <v>0</v>
      </c>
    </row>
    <row r="121" spans="1:69" x14ac:dyDescent="0.2">
      <c r="A121" s="3">
        <v>417</v>
      </c>
      <c r="B121" s="79">
        <v>417</v>
      </c>
      <c r="C121" s="3">
        <v>4</v>
      </c>
      <c r="E121" s="3">
        <v>150300.5</v>
      </c>
      <c r="F121" s="3">
        <v>125148.133684163</v>
      </c>
      <c r="G121" s="3">
        <v>104774.37</v>
      </c>
      <c r="H121" s="3">
        <v>64779.4</v>
      </c>
      <c r="I121" s="3">
        <v>2018</v>
      </c>
      <c r="J121" s="3">
        <v>2020</v>
      </c>
      <c r="K121" s="3">
        <v>46287.83</v>
      </c>
      <c r="L121" s="3">
        <v>26391.26</v>
      </c>
      <c r="M121" s="3">
        <v>-3667.6100000000301</v>
      </c>
      <c r="N121" s="3">
        <v>-45331.360000000001</v>
      </c>
      <c r="O121" s="3">
        <v>363525065.39999998</v>
      </c>
      <c r="P121" s="3">
        <v>430754299.79112601</v>
      </c>
      <c r="Q121" s="3">
        <v>188705526.64770001</v>
      </c>
      <c r="R121" s="3">
        <v>106297522.30679999</v>
      </c>
      <c r="S121" s="3" t="s">
        <v>471</v>
      </c>
      <c r="T121" s="3" t="s">
        <v>56</v>
      </c>
      <c r="U121" s="3">
        <v>10550082.800000001</v>
      </c>
      <c r="V121" s="3">
        <v>229664.81293615501</v>
      </c>
      <c r="W121" s="3" t="s">
        <v>21</v>
      </c>
      <c r="X121" s="23">
        <v>4.9277651622224201E-2</v>
      </c>
      <c r="Y121" s="23">
        <v>7.9813810949407593E-2</v>
      </c>
      <c r="Z121" s="23">
        <v>6.42685344318717</v>
      </c>
      <c r="AA121" s="23">
        <v>374970.842448832</v>
      </c>
      <c r="AB121" s="23" t="s">
        <v>294</v>
      </c>
      <c r="AC121" s="50">
        <v>400929.57502727699</v>
      </c>
      <c r="AD121" s="23">
        <v>342164.207125396</v>
      </c>
      <c r="AE121" s="23">
        <v>292566.31908821099</v>
      </c>
      <c r="AF121" s="3">
        <v>31</v>
      </c>
      <c r="AK121" s="10">
        <v>1</v>
      </c>
      <c r="AL121" s="10">
        <v>1</v>
      </c>
      <c r="AM121" s="10">
        <v>1</v>
      </c>
      <c r="AN121" s="10">
        <v>1.5</v>
      </c>
      <c r="AO121" s="10">
        <v>1.5</v>
      </c>
      <c r="AP121" s="10">
        <v>1.5</v>
      </c>
      <c r="AQ121" s="10">
        <v>1</v>
      </c>
      <c r="AR121" s="10">
        <v>1</v>
      </c>
      <c r="AS121" s="10">
        <v>1</v>
      </c>
      <c r="AT121" s="10">
        <v>1</v>
      </c>
      <c r="AU121" s="10">
        <v>1.5</v>
      </c>
      <c r="AV121" s="10">
        <v>1.5</v>
      </c>
      <c r="AW121" s="10">
        <v>1.5</v>
      </c>
      <c r="AX121" s="10">
        <v>1.5</v>
      </c>
      <c r="AY121" s="10">
        <v>2</v>
      </c>
      <c r="AZ121" s="10">
        <v>1</v>
      </c>
      <c r="BA121" s="10">
        <v>1</v>
      </c>
      <c r="BB121" s="10">
        <v>2</v>
      </c>
      <c r="BC121" s="10">
        <v>1</v>
      </c>
      <c r="BD121" s="10">
        <v>0</v>
      </c>
      <c r="BE121" s="10">
        <v>1.5</v>
      </c>
      <c r="BF121" s="10">
        <v>1.5</v>
      </c>
      <c r="BG121" s="10">
        <v>0</v>
      </c>
      <c r="BH121" s="10">
        <v>0</v>
      </c>
      <c r="BI121" s="10">
        <v>1.5</v>
      </c>
      <c r="BJ121" s="10">
        <v>1.5</v>
      </c>
      <c r="BK121" s="79">
        <v>1.5</v>
      </c>
      <c r="BL121" s="3">
        <v>1.5</v>
      </c>
      <c r="BM121" s="3">
        <v>33.5</v>
      </c>
      <c r="BN121" s="3">
        <v>0.8933333158493042</v>
      </c>
      <c r="BO121" s="3">
        <v>0</v>
      </c>
      <c r="BP121" s="3">
        <v>0</v>
      </c>
      <c r="BQ121" s="3">
        <v>0</v>
      </c>
    </row>
    <row r="122" spans="1:69" x14ac:dyDescent="0.2">
      <c r="A122" s="5">
        <v>418</v>
      </c>
      <c r="B122" s="11">
        <v>418</v>
      </c>
      <c r="C122" s="5">
        <v>3</v>
      </c>
      <c r="D122" s="5"/>
      <c r="E122" s="22">
        <v>148662</v>
      </c>
      <c r="F122" s="22">
        <v>124708.514271048</v>
      </c>
      <c r="G122" s="22">
        <v>104773.65</v>
      </c>
      <c r="H122" s="12">
        <v>64779.4</v>
      </c>
      <c r="I122" s="12">
        <v>2015</v>
      </c>
      <c r="J122" s="12">
        <v>2016</v>
      </c>
      <c r="K122" s="18">
        <v>287473.37</v>
      </c>
      <c r="L122" s="12">
        <v>347489.29</v>
      </c>
      <c r="M122" s="12">
        <v>413277.21</v>
      </c>
      <c r="N122" s="12">
        <v>484843.13</v>
      </c>
      <c r="O122" s="12">
        <v>391066939.60000002</v>
      </c>
      <c r="P122" s="12">
        <v>428009464.06866002</v>
      </c>
      <c r="Q122" s="22">
        <v>188705527.7493</v>
      </c>
      <c r="R122" s="22">
        <v>106297558.93889999</v>
      </c>
      <c r="S122" s="15" t="s">
        <v>473</v>
      </c>
      <c r="T122" s="88" t="s">
        <v>56</v>
      </c>
      <c r="U122" s="88">
        <v>10550996.800000001</v>
      </c>
      <c r="V122" s="88">
        <v>229684.70980739401</v>
      </c>
      <c r="W122" s="11" t="s">
        <v>20</v>
      </c>
      <c r="X122" s="5">
        <v>0.05</v>
      </c>
      <c r="Y122" s="5">
        <v>0.04</v>
      </c>
      <c r="Z122" s="5">
        <v>6.05</v>
      </c>
      <c r="AA122" s="5">
        <v>98530.130033925205</v>
      </c>
      <c r="AB122" s="5" t="s">
        <v>289</v>
      </c>
      <c r="AC122" s="5">
        <v>400964.30931690597</v>
      </c>
      <c r="AD122" s="5">
        <v>342193.85031315603</v>
      </c>
      <c r="AE122" s="5">
        <v>292591.66539313598</v>
      </c>
      <c r="AF122" s="5">
        <v>31</v>
      </c>
      <c r="AG122" s="5"/>
      <c r="AH122" s="16"/>
      <c r="AI122" s="16"/>
      <c r="AJ122" s="16"/>
      <c r="AK122" s="16">
        <v>0</v>
      </c>
      <c r="AL122" s="16">
        <v>0</v>
      </c>
      <c r="AM122" s="16">
        <v>1</v>
      </c>
      <c r="AN122" s="16">
        <v>1.5</v>
      </c>
      <c r="AO122" s="90">
        <v>0</v>
      </c>
      <c r="AP122" s="16">
        <v>0</v>
      </c>
      <c r="AQ122" s="90">
        <v>0</v>
      </c>
      <c r="AR122" s="16">
        <v>0</v>
      </c>
      <c r="AS122" s="16">
        <v>0</v>
      </c>
      <c r="AT122" s="16">
        <v>0</v>
      </c>
      <c r="AU122" s="16">
        <v>0</v>
      </c>
      <c r="AV122" s="16">
        <v>1.5</v>
      </c>
      <c r="AW122" s="16">
        <v>1.5</v>
      </c>
      <c r="AX122" s="5">
        <v>0</v>
      </c>
      <c r="AY122" s="5">
        <v>2</v>
      </c>
      <c r="AZ122" s="5">
        <v>1</v>
      </c>
      <c r="BA122" s="5">
        <v>1</v>
      </c>
      <c r="BB122" s="5">
        <v>2</v>
      </c>
      <c r="BC122" s="5">
        <v>0</v>
      </c>
      <c r="BD122" s="5">
        <v>0</v>
      </c>
      <c r="BE122" s="5">
        <v>0</v>
      </c>
      <c r="BF122" s="5">
        <v>0</v>
      </c>
      <c r="BG122" s="5">
        <v>0</v>
      </c>
      <c r="BH122" s="5">
        <v>0</v>
      </c>
      <c r="BI122" s="5">
        <v>1.5</v>
      </c>
      <c r="BJ122" s="5">
        <v>1.5</v>
      </c>
      <c r="BK122" s="5">
        <v>1.5</v>
      </c>
      <c r="BL122" s="5">
        <v>1.5</v>
      </c>
      <c r="BM122" s="5">
        <v>17.5</v>
      </c>
      <c r="BN122" s="3">
        <v>0.46666666865348816</v>
      </c>
      <c r="BO122" s="3">
        <v>0</v>
      </c>
      <c r="BP122" s="3">
        <v>0</v>
      </c>
      <c r="BQ122" s="3">
        <v>0</v>
      </c>
    </row>
    <row r="123" spans="1:69" x14ac:dyDescent="0.2">
      <c r="A123" s="3">
        <v>419</v>
      </c>
      <c r="B123" s="79">
        <v>419</v>
      </c>
      <c r="C123" s="3">
        <v>2</v>
      </c>
      <c r="E123" s="23">
        <v>150300.5</v>
      </c>
      <c r="F123" s="23">
        <v>125148.133684163</v>
      </c>
      <c r="G123" s="23">
        <v>104774.37</v>
      </c>
      <c r="H123" s="3">
        <v>64779.4</v>
      </c>
      <c r="I123" s="3">
        <v>2018</v>
      </c>
      <c r="J123" s="3">
        <v>2020</v>
      </c>
      <c r="K123" s="3">
        <v>46287.83</v>
      </c>
      <c r="L123" s="3">
        <v>26391.26</v>
      </c>
      <c r="M123" s="3">
        <v>-3667.6100000000301</v>
      </c>
      <c r="N123" s="3">
        <v>-45331.360000000001</v>
      </c>
      <c r="O123" s="3">
        <v>363525065.39999998</v>
      </c>
      <c r="P123" s="23">
        <v>430754299.79112601</v>
      </c>
      <c r="Q123" s="23">
        <v>188705526.64770001</v>
      </c>
      <c r="R123" s="23">
        <v>106297522.30679999</v>
      </c>
      <c r="S123" s="50" t="s">
        <v>475</v>
      </c>
      <c r="T123" s="23" t="s">
        <v>56</v>
      </c>
      <c r="U123" s="23">
        <v>10551685.199999999</v>
      </c>
      <c r="V123" s="23">
        <v>229699.69559093899</v>
      </c>
      <c r="W123" s="3" t="s">
        <v>21</v>
      </c>
      <c r="X123" s="79">
        <v>4.9276458827048002E-2</v>
      </c>
      <c r="Y123" s="3">
        <v>7.5355809493691403E-2</v>
      </c>
      <c r="Z123" s="3">
        <v>6.6119842623661302</v>
      </c>
      <c r="AA123" s="3">
        <v>401107.635677082</v>
      </c>
      <c r="AB123" s="3" t="s">
        <v>294</v>
      </c>
      <c r="AC123" s="3">
        <v>400990.47024139098</v>
      </c>
      <c r="AD123" s="3">
        <v>342216.17675785301</v>
      </c>
      <c r="AE123" s="3">
        <v>292610.75554227299</v>
      </c>
      <c r="AF123" s="3">
        <v>31</v>
      </c>
      <c r="AG123" s="3"/>
      <c r="AK123" s="10">
        <v>1</v>
      </c>
      <c r="AL123" s="10">
        <v>1</v>
      </c>
      <c r="AM123" s="10">
        <v>1</v>
      </c>
      <c r="AN123" s="10">
        <v>1.5</v>
      </c>
      <c r="AO123" s="92">
        <v>1.5</v>
      </c>
      <c r="AP123" s="10">
        <v>1.5</v>
      </c>
      <c r="AQ123" s="92">
        <v>1</v>
      </c>
      <c r="AR123" s="10">
        <v>1</v>
      </c>
      <c r="AS123" s="10">
        <v>1</v>
      </c>
      <c r="AT123" s="10">
        <v>1</v>
      </c>
      <c r="AU123" s="10">
        <v>1.5</v>
      </c>
      <c r="AV123" s="10">
        <v>1.5</v>
      </c>
      <c r="AW123" s="10">
        <v>1.5</v>
      </c>
      <c r="AX123" s="5">
        <v>1.5</v>
      </c>
      <c r="AY123" s="5">
        <v>0</v>
      </c>
      <c r="AZ123" s="5">
        <v>1</v>
      </c>
      <c r="BA123" s="5">
        <v>1</v>
      </c>
      <c r="BB123" s="5">
        <v>2</v>
      </c>
      <c r="BC123" s="5">
        <v>1</v>
      </c>
      <c r="BD123" s="5">
        <v>0</v>
      </c>
      <c r="BE123" s="5">
        <v>1.5</v>
      </c>
      <c r="BF123" s="5">
        <v>0</v>
      </c>
      <c r="BG123" s="5">
        <v>0</v>
      </c>
      <c r="BH123" s="5">
        <v>0</v>
      </c>
      <c r="BI123" s="5">
        <v>1.5</v>
      </c>
      <c r="BJ123" s="5">
        <v>1.5</v>
      </c>
      <c r="BK123" s="5">
        <v>1.5</v>
      </c>
      <c r="BL123" s="5">
        <v>1.5</v>
      </c>
      <c r="BM123" s="5">
        <v>30</v>
      </c>
      <c r="BN123" s="3">
        <v>0.80000001192092896</v>
      </c>
      <c r="BO123" s="3">
        <v>0</v>
      </c>
      <c r="BP123" s="104">
        <v>0</v>
      </c>
      <c r="BQ123" s="3">
        <v>0</v>
      </c>
    </row>
    <row r="124" spans="1:69" x14ac:dyDescent="0.2">
      <c r="A124" s="3">
        <v>421</v>
      </c>
      <c r="B124" s="79">
        <v>421</v>
      </c>
      <c r="C124" s="3">
        <v>3</v>
      </c>
      <c r="E124" s="3">
        <v>150300.5</v>
      </c>
      <c r="F124" s="3">
        <v>125148</v>
      </c>
      <c r="G124" s="3">
        <v>49700</v>
      </c>
      <c r="H124" s="3">
        <v>64779</v>
      </c>
      <c r="I124" s="3">
        <v>2017</v>
      </c>
      <c r="J124" s="3">
        <v>2020</v>
      </c>
      <c r="K124" s="3">
        <v>46287.83</v>
      </c>
      <c r="L124" s="3">
        <v>26391.26</v>
      </c>
      <c r="M124" s="3">
        <v>3667.61</v>
      </c>
      <c r="N124" s="3">
        <v>45331.360000000001</v>
      </c>
      <c r="O124" s="3">
        <v>391104052</v>
      </c>
      <c r="P124" s="3">
        <v>428009464</v>
      </c>
      <c r="Q124" s="3">
        <v>188705528</v>
      </c>
      <c r="R124" s="94">
        <v>106297522</v>
      </c>
      <c r="S124" s="3">
        <v>0</v>
      </c>
      <c r="T124" s="3" t="s">
        <v>139</v>
      </c>
      <c r="U124" s="3">
        <v>10551722.4</v>
      </c>
      <c r="V124" s="3">
        <v>107611</v>
      </c>
      <c r="W124" s="3" t="s">
        <v>21</v>
      </c>
      <c r="X124" s="23">
        <v>11.76</v>
      </c>
      <c r="Y124" s="23">
        <v>0</v>
      </c>
      <c r="Z124" s="23">
        <v>0.76922216440000002</v>
      </c>
      <c r="AA124" s="23">
        <v>0</v>
      </c>
      <c r="AB124" s="23" t="s">
        <v>289</v>
      </c>
      <c r="AC124" s="50">
        <v>3420225.4559999998</v>
      </c>
      <c r="AD124" s="23">
        <v>2912913.4550000001</v>
      </c>
      <c r="AE124" s="23">
        <v>2495806.8309999998</v>
      </c>
      <c r="AF124" s="3">
        <v>2027</v>
      </c>
      <c r="AK124" s="10">
        <v>1</v>
      </c>
      <c r="AL124" s="10">
        <v>1</v>
      </c>
      <c r="AM124" s="10">
        <v>0</v>
      </c>
      <c r="AN124" s="10">
        <v>1.5</v>
      </c>
      <c r="AO124" s="10">
        <v>0</v>
      </c>
      <c r="AP124" s="10">
        <v>1.5</v>
      </c>
      <c r="AQ124" s="10">
        <v>1</v>
      </c>
      <c r="AR124" s="10">
        <v>1</v>
      </c>
      <c r="AS124" s="10">
        <v>0</v>
      </c>
      <c r="AT124" s="10">
        <v>0</v>
      </c>
      <c r="AU124" s="10">
        <v>0</v>
      </c>
      <c r="AV124" s="10">
        <v>1.5</v>
      </c>
      <c r="AW124" s="10">
        <v>1.5</v>
      </c>
      <c r="AX124" s="10">
        <v>1.5</v>
      </c>
      <c r="AY124" s="10">
        <v>0</v>
      </c>
      <c r="AZ124" s="10">
        <v>0</v>
      </c>
      <c r="BA124" s="10">
        <v>1</v>
      </c>
      <c r="BB124" s="10">
        <v>0</v>
      </c>
      <c r="BC124" s="10">
        <v>1</v>
      </c>
      <c r="BD124" s="10">
        <v>0</v>
      </c>
      <c r="BE124" s="10">
        <v>0</v>
      </c>
      <c r="BF124" s="10">
        <v>0</v>
      </c>
      <c r="BG124" s="10">
        <v>0</v>
      </c>
      <c r="BH124" s="10">
        <v>0</v>
      </c>
      <c r="BI124" s="10">
        <v>0</v>
      </c>
      <c r="BJ124" s="10">
        <v>0</v>
      </c>
      <c r="BK124" s="79">
        <v>0</v>
      </c>
      <c r="BL124" s="3">
        <v>0</v>
      </c>
      <c r="BM124" s="3">
        <v>13.5</v>
      </c>
      <c r="BN124" s="3">
        <v>0.36000001430511475</v>
      </c>
      <c r="BO124" s="3">
        <v>0</v>
      </c>
      <c r="BP124" s="104">
        <v>0</v>
      </c>
      <c r="BQ124" s="3">
        <v>0</v>
      </c>
    </row>
    <row r="125" spans="1:69" x14ac:dyDescent="0.2">
      <c r="A125" s="3">
        <v>422</v>
      </c>
      <c r="B125" s="79">
        <v>275</v>
      </c>
      <c r="C125" s="3">
        <v>4</v>
      </c>
      <c r="E125" s="3">
        <v>150300.5</v>
      </c>
      <c r="F125" s="3">
        <v>125148.133684163</v>
      </c>
      <c r="G125" s="3">
        <v>104774.37</v>
      </c>
      <c r="H125" s="3">
        <v>64779.4</v>
      </c>
      <c r="I125" s="3">
        <v>2018</v>
      </c>
      <c r="J125" s="3">
        <v>2020</v>
      </c>
      <c r="K125" s="3">
        <v>46287.83</v>
      </c>
      <c r="L125" s="3">
        <v>26391.26</v>
      </c>
      <c r="M125" s="3">
        <v>-3667.6100000000301</v>
      </c>
      <c r="N125" s="3">
        <v>-45331.360000000001</v>
      </c>
      <c r="O125" s="3">
        <v>363525065.39999998</v>
      </c>
      <c r="P125" s="3">
        <v>430754299.79112601</v>
      </c>
      <c r="Q125" s="23">
        <v>188705526.64770001</v>
      </c>
      <c r="R125" s="23">
        <v>106297522.30679999</v>
      </c>
      <c r="S125" s="50">
        <v>0</v>
      </c>
      <c r="T125" s="23" t="s">
        <v>56</v>
      </c>
      <c r="U125" s="23">
        <v>10550235.6</v>
      </c>
      <c r="V125" s="23">
        <v>4922297.8508445797</v>
      </c>
      <c r="W125" s="3" t="s">
        <v>55</v>
      </c>
      <c r="X125" s="79">
        <v>0</v>
      </c>
      <c r="Y125" s="3">
        <v>0.08</v>
      </c>
      <c r="Z125" s="3">
        <v>6.43</v>
      </c>
      <c r="AA125" s="3">
        <v>1406002</v>
      </c>
      <c r="AB125" s="3" t="s">
        <v>55</v>
      </c>
      <c r="AC125" s="3">
        <v>8095243.5417843703</v>
      </c>
      <c r="AD125" s="3">
        <v>8437412.7045761701</v>
      </c>
      <c r="AE125" s="3">
        <v>8729983.2609897498</v>
      </c>
      <c r="AF125" s="3">
        <v>32</v>
      </c>
      <c r="AG125" s="3"/>
      <c r="AK125" s="10">
        <v>1</v>
      </c>
      <c r="AL125" s="10">
        <v>1</v>
      </c>
      <c r="AM125" s="10">
        <v>1</v>
      </c>
      <c r="AN125" s="10">
        <v>1.5</v>
      </c>
      <c r="AO125" s="92">
        <v>1.5</v>
      </c>
      <c r="AP125" s="10">
        <v>1.5</v>
      </c>
      <c r="AQ125" s="92">
        <v>1</v>
      </c>
      <c r="AR125" s="10">
        <v>1</v>
      </c>
      <c r="AS125" s="10">
        <v>1</v>
      </c>
      <c r="AT125" s="10">
        <v>1</v>
      </c>
      <c r="AU125" s="10">
        <v>1.5</v>
      </c>
      <c r="AV125" s="10">
        <v>1.5</v>
      </c>
      <c r="AW125" s="10">
        <v>1.5</v>
      </c>
      <c r="AX125" s="5">
        <v>1.5</v>
      </c>
      <c r="AY125" s="5">
        <v>0</v>
      </c>
      <c r="AZ125" s="5">
        <v>1</v>
      </c>
      <c r="BA125" s="5">
        <v>1</v>
      </c>
      <c r="BB125" s="5">
        <v>0</v>
      </c>
      <c r="BC125" s="5">
        <v>0</v>
      </c>
      <c r="BD125" s="5">
        <v>0</v>
      </c>
      <c r="BE125" s="5">
        <v>1.5</v>
      </c>
      <c r="BF125" s="5">
        <v>1.5</v>
      </c>
      <c r="BG125" s="5">
        <v>0</v>
      </c>
      <c r="BH125" s="5">
        <v>0</v>
      </c>
      <c r="BI125" s="5">
        <v>0</v>
      </c>
      <c r="BJ125" s="5">
        <v>0</v>
      </c>
      <c r="BK125" s="5">
        <v>0</v>
      </c>
      <c r="BL125" s="5">
        <v>0</v>
      </c>
      <c r="BM125" s="5">
        <v>22.5</v>
      </c>
      <c r="BN125" s="3">
        <v>0.60000002384185791</v>
      </c>
      <c r="BO125" s="3">
        <v>0</v>
      </c>
      <c r="BP125" s="104">
        <v>0</v>
      </c>
      <c r="BQ125" s="3">
        <v>0</v>
      </c>
    </row>
    <row r="126" spans="1:69" x14ac:dyDescent="0.2">
      <c r="A126" s="3">
        <v>423</v>
      </c>
      <c r="B126" s="79">
        <v>423</v>
      </c>
      <c r="C126" s="3">
        <v>4</v>
      </c>
      <c r="E126" s="3">
        <v>150300.5</v>
      </c>
      <c r="F126" s="3">
        <v>125148.133684163</v>
      </c>
      <c r="G126" s="3">
        <v>104774.37</v>
      </c>
      <c r="H126" s="3">
        <v>64779.4</v>
      </c>
      <c r="I126" s="3">
        <v>2018</v>
      </c>
      <c r="J126" s="3">
        <v>2020</v>
      </c>
      <c r="K126" s="3">
        <v>46287.83</v>
      </c>
      <c r="L126" s="3">
        <v>26391.26</v>
      </c>
      <c r="M126" s="3">
        <v>-3667.6100000000301</v>
      </c>
      <c r="N126" s="3">
        <v>-45331.360000000001</v>
      </c>
      <c r="O126" s="3">
        <v>363525065.39999998</v>
      </c>
      <c r="P126" s="3">
        <v>430754299.79112601</v>
      </c>
      <c r="Q126" s="3">
        <v>188705526.64770001</v>
      </c>
      <c r="R126" s="3">
        <v>106297522.30679999</v>
      </c>
      <c r="S126" s="3" t="s">
        <v>480</v>
      </c>
      <c r="T126" s="3" t="s">
        <v>294</v>
      </c>
      <c r="U126" s="3">
        <v>10550542.4</v>
      </c>
      <c r="V126" s="3">
        <v>229674.81797118901</v>
      </c>
      <c r="W126" s="23" t="s">
        <v>21</v>
      </c>
      <c r="X126" s="23">
        <v>4.9276509161013102E-2</v>
      </c>
      <c r="Y126" s="50">
        <v>7.9805879702551194E-2</v>
      </c>
      <c r="Z126" s="50">
        <v>6.4267863467388899</v>
      </c>
      <c r="AA126" s="50">
        <v>374911.77147148398</v>
      </c>
      <c r="AB126" s="50" t="s">
        <v>289</v>
      </c>
      <c r="AC126" s="23">
        <v>400992.14235161297</v>
      </c>
      <c r="AD126" s="3">
        <v>342217.60378220998</v>
      </c>
      <c r="AE126" s="3">
        <v>292611.97571450099</v>
      </c>
      <c r="AF126" s="10">
        <v>31</v>
      </c>
      <c r="AK126" s="10">
        <v>1</v>
      </c>
      <c r="AL126" s="10">
        <v>1</v>
      </c>
      <c r="AM126" s="10">
        <v>1</v>
      </c>
      <c r="AN126" s="10">
        <v>1.5</v>
      </c>
      <c r="AO126" s="10">
        <v>1.5</v>
      </c>
      <c r="AP126" s="10">
        <v>1.5</v>
      </c>
      <c r="AQ126" s="10">
        <v>1</v>
      </c>
      <c r="AR126" s="10">
        <v>1</v>
      </c>
      <c r="AS126" s="10">
        <v>1</v>
      </c>
      <c r="AT126" s="10">
        <v>1</v>
      </c>
      <c r="AU126" s="10">
        <v>1.5</v>
      </c>
      <c r="AV126" s="10">
        <v>1.5</v>
      </c>
      <c r="AW126" s="10">
        <v>1.5</v>
      </c>
      <c r="AX126" s="10">
        <v>1.5</v>
      </c>
      <c r="AY126" s="10">
        <v>2</v>
      </c>
      <c r="AZ126" s="10">
        <v>0</v>
      </c>
      <c r="BA126" s="10">
        <v>1</v>
      </c>
      <c r="BB126" s="79">
        <v>2</v>
      </c>
      <c r="BC126" s="79">
        <v>1</v>
      </c>
      <c r="BD126" s="79">
        <v>0</v>
      </c>
      <c r="BE126" s="79">
        <v>1.5</v>
      </c>
      <c r="BF126" s="79">
        <v>1.5</v>
      </c>
      <c r="BG126" s="79">
        <v>1.5</v>
      </c>
      <c r="BH126" s="79">
        <v>0</v>
      </c>
      <c r="BI126" s="79">
        <v>0</v>
      </c>
      <c r="BJ126" s="79">
        <v>0</v>
      </c>
      <c r="BK126" s="5">
        <v>0</v>
      </c>
      <c r="BL126" s="12">
        <v>1.5</v>
      </c>
      <c r="BM126" s="5">
        <v>29.5</v>
      </c>
      <c r="BN126" s="3">
        <v>0.78666669130325317</v>
      </c>
      <c r="BO126" s="3">
        <v>0</v>
      </c>
      <c r="BP126" s="104">
        <v>0</v>
      </c>
      <c r="BQ126" s="3">
        <v>0</v>
      </c>
    </row>
    <row r="127" spans="1:69" x14ac:dyDescent="0.2">
      <c r="A127" s="3">
        <v>424</v>
      </c>
      <c r="B127" s="79">
        <v>424</v>
      </c>
      <c r="C127" s="3">
        <v>3</v>
      </c>
      <c r="E127" s="3">
        <v>150300.5</v>
      </c>
      <c r="F127" s="3">
        <v>125148</v>
      </c>
      <c r="G127" s="3">
        <v>49700</v>
      </c>
      <c r="H127" s="3">
        <v>64779</v>
      </c>
      <c r="I127" s="3">
        <v>2017</v>
      </c>
      <c r="J127" s="3">
        <v>2020</v>
      </c>
      <c r="K127" s="3">
        <v>46287.83</v>
      </c>
      <c r="L127" s="3">
        <v>26391.26</v>
      </c>
      <c r="M127" s="3">
        <v>3667.61</v>
      </c>
      <c r="N127" s="3">
        <v>45331.360000000001</v>
      </c>
      <c r="O127" s="3">
        <v>391104051.60000002</v>
      </c>
      <c r="P127" s="3">
        <v>428009464</v>
      </c>
      <c r="Q127" s="3">
        <v>188705528</v>
      </c>
      <c r="R127" s="3">
        <v>106297522</v>
      </c>
      <c r="S127" s="3" t="s">
        <v>481</v>
      </c>
      <c r="T127" s="3" t="s">
        <v>139</v>
      </c>
      <c r="U127" s="3">
        <v>10550476.4</v>
      </c>
      <c r="V127" s="3">
        <v>107610.8</v>
      </c>
      <c r="W127" s="3" t="s">
        <v>21</v>
      </c>
      <c r="X127" s="23">
        <v>11.76</v>
      </c>
      <c r="Y127" s="23">
        <v>0</v>
      </c>
      <c r="Z127" s="23">
        <v>0.76</v>
      </c>
      <c r="AA127" s="23">
        <v>0</v>
      </c>
      <c r="AB127" s="23" t="s">
        <v>289</v>
      </c>
      <c r="AC127" s="50">
        <v>3420225.4559999998</v>
      </c>
      <c r="AD127" s="23">
        <v>2912913.4550000001</v>
      </c>
      <c r="AE127" s="23">
        <v>2495806.8309999998</v>
      </c>
      <c r="AF127" s="3">
        <v>2027</v>
      </c>
      <c r="AK127" s="10">
        <v>1</v>
      </c>
      <c r="AL127" s="10">
        <v>1</v>
      </c>
      <c r="AM127" s="10">
        <v>0</v>
      </c>
      <c r="AN127" s="10">
        <v>1.5</v>
      </c>
      <c r="AO127" s="10">
        <v>0</v>
      </c>
      <c r="AP127" s="10">
        <v>1.5</v>
      </c>
      <c r="AQ127" s="10">
        <v>1</v>
      </c>
      <c r="AR127" s="10">
        <v>1</v>
      </c>
      <c r="AS127" s="10">
        <v>0</v>
      </c>
      <c r="AT127" s="10">
        <v>0</v>
      </c>
      <c r="AU127" s="10">
        <v>0</v>
      </c>
      <c r="AV127" s="10">
        <v>1.5</v>
      </c>
      <c r="AW127" s="10">
        <v>1.5</v>
      </c>
      <c r="AX127" s="10">
        <v>1.5</v>
      </c>
      <c r="AY127" s="10">
        <v>1</v>
      </c>
      <c r="AZ127" s="10">
        <v>0</v>
      </c>
      <c r="BA127" s="10">
        <v>1</v>
      </c>
      <c r="BB127" s="10">
        <v>0</v>
      </c>
      <c r="BC127" s="10">
        <v>1</v>
      </c>
      <c r="BD127" s="10">
        <v>0</v>
      </c>
      <c r="BE127" s="10">
        <v>0</v>
      </c>
      <c r="BF127" s="10">
        <v>0</v>
      </c>
      <c r="BG127" s="10">
        <v>0</v>
      </c>
      <c r="BH127" s="10">
        <v>0</v>
      </c>
      <c r="BI127" s="10">
        <v>0</v>
      </c>
      <c r="BJ127" s="10">
        <v>0</v>
      </c>
      <c r="BK127" s="79">
        <v>0</v>
      </c>
      <c r="BL127" s="3">
        <v>0</v>
      </c>
      <c r="BM127" s="3">
        <v>14.5</v>
      </c>
      <c r="BN127" s="3">
        <v>0.38666665554046631</v>
      </c>
      <c r="BO127" s="3">
        <v>0</v>
      </c>
      <c r="BP127" s="104">
        <v>0</v>
      </c>
      <c r="BQ127" s="3">
        <v>0</v>
      </c>
    </row>
    <row r="128" spans="1:69" x14ac:dyDescent="0.2">
      <c r="A128" s="3">
        <v>425</v>
      </c>
      <c r="B128" s="79">
        <v>314</v>
      </c>
      <c r="C128" s="3">
        <v>2</v>
      </c>
      <c r="E128" s="3">
        <v>150300.5</v>
      </c>
      <c r="F128" s="3">
        <v>125148.133684163</v>
      </c>
      <c r="G128" s="3">
        <v>49699.92</v>
      </c>
      <c r="H128" s="3">
        <v>64779.4</v>
      </c>
      <c r="I128" s="3">
        <v>2018</v>
      </c>
      <c r="J128" s="3">
        <v>2021</v>
      </c>
      <c r="K128" s="3">
        <v>46287.83</v>
      </c>
      <c r="L128" s="3">
        <v>26391.26</v>
      </c>
      <c r="M128" s="3">
        <v>-3667.6100000000301</v>
      </c>
      <c r="N128" s="3">
        <v>-45331.360000000001</v>
      </c>
      <c r="O128" s="3">
        <v>363525065.39999998</v>
      </c>
      <c r="P128" s="3">
        <v>430754299.79112601</v>
      </c>
      <c r="Q128" s="3">
        <v>188705526.64770001</v>
      </c>
      <c r="R128" s="3">
        <v>106297522.30679999</v>
      </c>
      <c r="S128" s="3" t="s">
        <v>482</v>
      </c>
      <c r="T128" s="3" t="s">
        <v>139</v>
      </c>
      <c r="U128" s="3">
        <v>10550527.6</v>
      </c>
      <c r="V128" s="3">
        <v>229674.495789904</v>
      </c>
      <c r="W128" s="23" t="s">
        <v>21</v>
      </c>
      <c r="X128" s="23">
        <v>0</v>
      </c>
      <c r="Y128" s="50">
        <v>7.9812432661181806E-2</v>
      </c>
      <c r="Z128" s="50">
        <v>6.4268583294139399</v>
      </c>
      <c r="AA128" s="50">
        <v>374972.67791435501</v>
      </c>
      <c r="AB128" s="50" t="s">
        <v>294</v>
      </c>
      <c r="AC128" s="23">
        <v>400946.47854153003</v>
      </c>
      <c r="AD128" s="3">
        <v>342178.63304434199</v>
      </c>
      <c r="AE128" s="3">
        <v>292578.65392019198</v>
      </c>
      <c r="AF128" s="10">
        <v>21</v>
      </c>
      <c r="AK128" s="10">
        <v>1</v>
      </c>
      <c r="AL128" s="10">
        <v>1</v>
      </c>
      <c r="AM128" s="10">
        <v>0</v>
      </c>
      <c r="AN128" s="10">
        <v>1.5</v>
      </c>
      <c r="AO128" s="10">
        <v>1.5</v>
      </c>
      <c r="AP128" s="10">
        <v>1.5</v>
      </c>
      <c r="AQ128" s="10">
        <v>1</v>
      </c>
      <c r="AR128" s="10">
        <v>1</v>
      </c>
      <c r="AS128" s="10">
        <v>1</v>
      </c>
      <c r="AT128" s="10">
        <v>1</v>
      </c>
      <c r="AU128" s="10">
        <v>1.5</v>
      </c>
      <c r="AV128" s="10">
        <v>1.5</v>
      </c>
      <c r="AW128" s="10">
        <v>1.5</v>
      </c>
      <c r="AX128" s="10">
        <v>1.5</v>
      </c>
      <c r="AY128" s="10">
        <v>2</v>
      </c>
      <c r="AZ128" s="10">
        <v>0</v>
      </c>
      <c r="BA128" s="10">
        <v>1</v>
      </c>
      <c r="BB128" s="79">
        <v>2</v>
      </c>
      <c r="BC128" s="79">
        <v>1</v>
      </c>
      <c r="BD128" s="79">
        <v>0</v>
      </c>
      <c r="BE128" s="79">
        <v>1.5</v>
      </c>
      <c r="BF128" s="79">
        <v>1.5</v>
      </c>
      <c r="BG128" s="79">
        <v>0</v>
      </c>
      <c r="BH128" s="79">
        <v>0</v>
      </c>
      <c r="BI128" s="79">
        <v>1.5</v>
      </c>
      <c r="BJ128" s="79">
        <v>1.5</v>
      </c>
      <c r="BK128" s="5">
        <v>1.5</v>
      </c>
      <c r="BL128" s="12">
        <v>0</v>
      </c>
      <c r="BM128" s="5">
        <v>30</v>
      </c>
      <c r="BN128" s="3">
        <v>0.80000001192092896</v>
      </c>
      <c r="BO128" s="3">
        <v>0</v>
      </c>
      <c r="BP128" s="104">
        <v>0</v>
      </c>
      <c r="BQ128" s="3">
        <v>0</v>
      </c>
    </row>
    <row r="129" spans="1:69" x14ac:dyDescent="0.2">
      <c r="A129" s="3">
        <v>426</v>
      </c>
      <c r="B129" s="79">
        <v>426</v>
      </c>
      <c r="C129" s="3">
        <v>2</v>
      </c>
      <c r="E129" s="3">
        <v>150300.5</v>
      </c>
      <c r="F129" s="3">
        <v>124708.514271048</v>
      </c>
      <c r="G129" s="3">
        <v>5374.53</v>
      </c>
      <c r="H129" s="3">
        <v>64779.4</v>
      </c>
      <c r="I129" s="3">
        <v>2018</v>
      </c>
      <c r="J129" s="3">
        <v>2020</v>
      </c>
      <c r="K129" s="3">
        <v>46283.8</v>
      </c>
      <c r="L129" s="3">
        <v>26386.39</v>
      </c>
      <c r="M129" s="3">
        <v>-3673.4000000000401</v>
      </c>
      <c r="N129" s="3">
        <v>-45338.15</v>
      </c>
      <c r="O129" s="3">
        <v>363525065.39999998</v>
      </c>
      <c r="P129" s="3">
        <v>428009464.06866002</v>
      </c>
      <c r="Q129" s="3">
        <v>188705527.7493</v>
      </c>
      <c r="R129" s="3">
        <v>106297558.93889999</v>
      </c>
      <c r="S129" s="3" t="s">
        <v>484</v>
      </c>
      <c r="T129" s="3" t="s">
        <v>56</v>
      </c>
      <c r="U129" s="3">
        <v>10550231.199999999</v>
      </c>
      <c r="V129" s="3">
        <v>0</v>
      </c>
      <c r="W129" s="3" t="s">
        <v>21</v>
      </c>
      <c r="X129" s="23">
        <v>0</v>
      </c>
      <c r="Y129" s="23">
        <v>0</v>
      </c>
      <c r="Z129" s="23">
        <v>7</v>
      </c>
      <c r="AA129" s="23">
        <v>0</v>
      </c>
      <c r="AB129" s="23" t="s">
        <v>294</v>
      </c>
      <c r="AC129" s="50">
        <v>0</v>
      </c>
      <c r="AD129" s="23">
        <v>0</v>
      </c>
      <c r="AE129" s="23">
        <v>0</v>
      </c>
      <c r="AF129" s="3">
        <v>0</v>
      </c>
      <c r="AK129" s="10">
        <v>1</v>
      </c>
      <c r="AL129" s="10">
        <v>0</v>
      </c>
      <c r="AM129" s="10">
        <v>0</v>
      </c>
      <c r="AN129" s="10">
        <v>1.5</v>
      </c>
      <c r="AO129" s="10">
        <v>1.5</v>
      </c>
      <c r="AP129" s="10">
        <v>1.5</v>
      </c>
      <c r="AQ129" s="10">
        <v>1</v>
      </c>
      <c r="AR129" s="10">
        <v>1</v>
      </c>
      <c r="AS129" s="10">
        <v>1</v>
      </c>
      <c r="AT129" s="10">
        <v>1</v>
      </c>
      <c r="AU129" s="10">
        <v>1.5</v>
      </c>
      <c r="AV129" s="10">
        <v>1.5</v>
      </c>
      <c r="AW129" s="10">
        <v>1.5</v>
      </c>
      <c r="AX129" s="10">
        <v>0</v>
      </c>
      <c r="AY129" s="10">
        <v>0</v>
      </c>
      <c r="AZ129" s="10">
        <v>1</v>
      </c>
      <c r="BA129" s="10">
        <v>1</v>
      </c>
      <c r="BB129" s="10">
        <v>0</v>
      </c>
      <c r="BC129" s="10">
        <v>1</v>
      </c>
      <c r="BD129" s="10">
        <v>0</v>
      </c>
      <c r="BE129" s="10">
        <v>0</v>
      </c>
      <c r="BF129" s="10">
        <v>0</v>
      </c>
      <c r="BG129" s="10">
        <v>0</v>
      </c>
      <c r="BH129" s="10">
        <v>0</v>
      </c>
      <c r="BI129" s="10">
        <v>0</v>
      </c>
      <c r="BJ129" s="10">
        <v>0</v>
      </c>
      <c r="BK129" s="79">
        <v>0</v>
      </c>
      <c r="BL129" s="3">
        <v>0</v>
      </c>
      <c r="BM129" s="3">
        <v>17</v>
      </c>
      <c r="BN129" s="3">
        <v>0.45333334803581238</v>
      </c>
      <c r="BO129" s="3">
        <v>0</v>
      </c>
      <c r="BP129" s="104">
        <v>0</v>
      </c>
      <c r="BQ129" s="3">
        <v>0</v>
      </c>
    </row>
    <row r="130" spans="1:69" x14ac:dyDescent="0.2">
      <c r="A130" s="3">
        <v>427</v>
      </c>
      <c r="B130" s="79">
        <v>346</v>
      </c>
      <c r="C130" s="3">
        <v>4</v>
      </c>
      <c r="E130" s="3">
        <v>150300.5</v>
      </c>
      <c r="F130" s="3">
        <v>125148.133684163</v>
      </c>
      <c r="G130" s="3">
        <v>104774.37</v>
      </c>
      <c r="H130" s="3">
        <v>64779.4</v>
      </c>
      <c r="I130" s="3" t="s">
        <v>100</v>
      </c>
      <c r="J130" s="3" t="s">
        <v>105</v>
      </c>
      <c r="K130" s="3">
        <v>46283.8</v>
      </c>
      <c r="L130" s="3">
        <v>26386.39</v>
      </c>
      <c r="M130" s="3">
        <v>-3673.4000000000201</v>
      </c>
      <c r="N130" s="3">
        <v>-45338.15</v>
      </c>
      <c r="O130" s="3">
        <v>363525065.39999998</v>
      </c>
      <c r="P130" s="3">
        <v>430754299.79112601</v>
      </c>
      <c r="Q130" s="19">
        <v>188705526.64770001</v>
      </c>
      <c r="R130" s="3">
        <v>106297558.93889999</v>
      </c>
      <c r="S130" s="3" t="s">
        <v>391</v>
      </c>
      <c r="T130" s="3" t="s">
        <v>56</v>
      </c>
      <c r="U130" s="3">
        <v>10551978</v>
      </c>
      <c r="V130" s="3">
        <v>229706.069555817</v>
      </c>
      <c r="W130" s="3" t="s">
        <v>22</v>
      </c>
      <c r="X130" s="23">
        <v>9426000.8948740009</v>
      </c>
      <c r="Y130" s="23">
        <v>7.5776720471431497E-2</v>
      </c>
      <c r="Z130" s="23">
        <v>6.6326801792104799</v>
      </c>
      <c r="AA130" s="23">
        <v>404810.53608448</v>
      </c>
      <c r="AB130" s="23" t="s">
        <v>56</v>
      </c>
      <c r="AC130" s="50">
        <v>1.5163651578852899</v>
      </c>
      <c r="AD130" s="23">
        <v>1.5838956898917</v>
      </c>
      <c r="AE130" s="23">
        <v>1.64161010135908</v>
      </c>
      <c r="AF130" s="3">
        <v>2024</v>
      </c>
      <c r="AK130" s="10">
        <v>1</v>
      </c>
      <c r="AL130" s="10">
        <v>1</v>
      </c>
      <c r="AM130" s="10">
        <v>1</v>
      </c>
      <c r="AN130" s="10">
        <v>1.5</v>
      </c>
      <c r="AO130" s="10">
        <v>0</v>
      </c>
      <c r="AP130" s="10">
        <v>0</v>
      </c>
      <c r="AQ130" s="10">
        <v>1</v>
      </c>
      <c r="AR130" s="10">
        <v>1</v>
      </c>
      <c r="AS130" s="10">
        <v>1</v>
      </c>
      <c r="AT130" s="10">
        <v>1</v>
      </c>
      <c r="AU130" s="10">
        <v>1.5</v>
      </c>
      <c r="AV130" s="10">
        <v>1.5</v>
      </c>
      <c r="AW130" s="10">
        <v>1.5</v>
      </c>
      <c r="AX130" s="10">
        <v>0</v>
      </c>
      <c r="AY130" s="10">
        <v>2</v>
      </c>
      <c r="AZ130" s="10">
        <v>1</v>
      </c>
      <c r="BA130" s="10">
        <v>1</v>
      </c>
      <c r="BB130" s="10">
        <v>2</v>
      </c>
      <c r="BC130" s="10">
        <v>0</v>
      </c>
      <c r="BD130" s="10">
        <v>0</v>
      </c>
      <c r="BE130" s="10">
        <v>1.5</v>
      </c>
      <c r="BF130" s="10">
        <v>0</v>
      </c>
      <c r="BG130" s="10">
        <v>0</v>
      </c>
      <c r="BH130" s="10">
        <v>0</v>
      </c>
      <c r="BI130" s="10">
        <v>0</v>
      </c>
      <c r="BJ130" s="10">
        <v>0</v>
      </c>
      <c r="BK130" s="79">
        <v>0</v>
      </c>
      <c r="BL130" s="3">
        <v>0</v>
      </c>
      <c r="BM130" s="3">
        <v>20.5</v>
      </c>
      <c r="BN130" s="3">
        <v>0.54666668176651001</v>
      </c>
      <c r="BO130" s="3">
        <v>0</v>
      </c>
      <c r="BP130" s="104">
        <v>0</v>
      </c>
      <c r="BQ130" s="3">
        <v>0</v>
      </c>
    </row>
    <row r="131" spans="1:69" x14ac:dyDescent="0.2">
      <c r="A131" s="3">
        <v>428</v>
      </c>
      <c r="B131" s="79">
        <v>428</v>
      </c>
      <c r="C131" s="3">
        <v>3</v>
      </c>
      <c r="E131" s="3">
        <v>150300.5</v>
      </c>
      <c r="F131" s="3">
        <v>113135</v>
      </c>
      <c r="G131" s="3">
        <v>104774.37</v>
      </c>
      <c r="H131" s="3">
        <v>64779.4</v>
      </c>
      <c r="I131" s="3">
        <v>2018</v>
      </c>
      <c r="J131" s="3">
        <v>2020</v>
      </c>
      <c r="K131" s="3">
        <v>50849.43</v>
      </c>
      <c r="L131" s="3">
        <v>31409.02</v>
      </c>
      <c r="M131" s="3">
        <v>1806.3099999999699</v>
      </c>
      <c r="N131" s="3">
        <v>-39401.279999999999</v>
      </c>
      <c r="O131" s="3">
        <v>363525065.39999998</v>
      </c>
      <c r="P131" s="3">
        <v>428009464.06866002</v>
      </c>
      <c r="Q131" s="3">
        <v>188705526.64770001</v>
      </c>
      <c r="R131" s="3">
        <v>165584783.47799999</v>
      </c>
      <c r="S131" s="3" t="s">
        <v>486</v>
      </c>
      <c r="T131" s="3" t="s">
        <v>294</v>
      </c>
      <c r="U131" s="3">
        <v>10551470.800000001</v>
      </c>
      <c r="V131" s="3">
        <v>229695.028316112</v>
      </c>
      <c r="W131" s="3" t="s">
        <v>21</v>
      </c>
      <c r="X131" s="23">
        <v>7.0000000000000001E-3</v>
      </c>
      <c r="Y131" s="23">
        <v>7.9810557125623294E-2</v>
      </c>
      <c r="Z131" s="23">
        <v>6.4269312644905101</v>
      </c>
      <c r="AA131" s="23">
        <v>374983.46165004198</v>
      </c>
      <c r="AB131" s="23" t="s">
        <v>289</v>
      </c>
      <c r="AC131" s="50">
        <v>400982.32250430598</v>
      </c>
      <c r="AD131" s="23">
        <v>342209.22325735399</v>
      </c>
      <c r="AE131" s="23">
        <v>270737.93551729398</v>
      </c>
      <c r="AF131" s="3">
        <v>31</v>
      </c>
      <c r="AK131" s="10">
        <v>1</v>
      </c>
      <c r="AL131" s="10">
        <v>0</v>
      </c>
      <c r="AM131" s="10">
        <v>1</v>
      </c>
      <c r="AN131" s="10">
        <v>1.5</v>
      </c>
      <c r="AO131" s="10">
        <v>1.5</v>
      </c>
      <c r="AP131" s="10">
        <v>1.5</v>
      </c>
      <c r="AQ131" s="10">
        <v>0</v>
      </c>
      <c r="AR131" s="10">
        <v>0</v>
      </c>
      <c r="AS131" s="10">
        <v>0</v>
      </c>
      <c r="AT131" s="10">
        <v>0</v>
      </c>
      <c r="AU131" s="10">
        <v>1.5</v>
      </c>
      <c r="AV131" s="10">
        <v>1.5</v>
      </c>
      <c r="AW131" s="10">
        <v>1.5</v>
      </c>
      <c r="AX131" s="10">
        <v>0</v>
      </c>
      <c r="AY131" s="10">
        <v>2</v>
      </c>
      <c r="AZ131" s="10">
        <v>0</v>
      </c>
      <c r="BA131" s="10">
        <v>1</v>
      </c>
      <c r="BB131" s="10">
        <v>2</v>
      </c>
      <c r="BC131" s="10">
        <v>1</v>
      </c>
      <c r="BD131" s="10">
        <v>0</v>
      </c>
      <c r="BE131" s="10">
        <v>1.5</v>
      </c>
      <c r="BF131" s="10">
        <v>1.5</v>
      </c>
      <c r="BG131" s="10">
        <v>0</v>
      </c>
      <c r="BH131" s="10">
        <v>0</v>
      </c>
      <c r="BI131" s="10">
        <v>1.5</v>
      </c>
      <c r="BJ131" s="10">
        <v>1.5</v>
      </c>
      <c r="BK131" s="79">
        <v>0</v>
      </c>
      <c r="BL131" s="3">
        <v>1.5</v>
      </c>
      <c r="BM131" s="3">
        <v>24.5</v>
      </c>
      <c r="BN131" s="3">
        <v>0.65333330631256104</v>
      </c>
      <c r="BO131" s="3">
        <v>0</v>
      </c>
      <c r="BP131" s="104">
        <v>0</v>
      </c>
      <c r="BQ131" s="3">
        <v>0</v>
      </c>
    </row>
    <row r="132" spans="1:69" x14ac:dyDescent="0.2">
      <c r="A132" s="3">
        <v>431</v>
      </c>
      <c r="B132" s="79">
        <v>431</v>
      </c>
      <c r="C132" s="3">
        <v>2</v>
      </c>
      <c r="E132" s="3">
        <v>165166.70000000001</v>
      </c>
      <c r="F132" s="3">
        <v>124710.38944144201</v>
      </c>
      <c r="G132" s="3">
        <v>104774.40129870101</v>
      </c>
      <c r="H132" s="3">
        <v>64779.4</v>
      </c>
      <c r="I132" s="3">
        <v>2018</v>
      </c>
      <c r="J132" s="3">
        <v>2021</v>
      </c>
      <c r="K132" s="3">
        <v>46289.079365079502</v>
      </c>
      <c r="L132" s="3">
        <v>26392.960317460402</v>
      </c>
      <c r="M132" s="3">
        <v>-3665.3621933620798</v>
      </c>
      <c r="N132" s="3">
        <v>-45328.4588744586</v>
      </c>
      <c r="O132" s="3">
        <v>363525065.39999998</v>
      </c>
      <c r="P132" s="3">
        <v>428020962.20407498</v>
      </c>
      <c r="Q132" s="3">
        <v>188705526.64675301</v>
      </c>
      <c r="R132" s="3">
        <v>106297520.948773</v>
      </c>
      <c r="S132" s="3">
        <v>0</v>
      </c>
      <c r="T132" s="3" t="s">
        <v>139</v>
      </c>
      <c r="U132" s="3">
        <v>10551136.4</v>
      </c>
      <c r="V132" s="3">
        <v>1741.52045848327</v>
      </c>
      <c r="W132" s="3" t="s">
        <v>21</v>
      </c>
      <c r="X132" s="23">
        <v>0.05</v>
      </c>
      <c r="Y132" s="23">
        <v>0.17</v>
      </c>
      <c r="Z132" s="23">
        <v>4.8899999999999997</v>
      </c>
      <c r="AA132" s="23">
        <v>2961.24</v>
      </c>
      <c r="AB132" s="23" t="s">
        <v>56</v>
      </c>
      <c r="AC132" s="50">
        <v>3040.2</v>
      </c>
      <c r="AD132" s="23">
        <v>2594.59</v>
      </c>
      <c r="AE132" s="23">
        <v>2218.48</v>
      </c>
      <c r="AF132" s="3">
        <v>31</v>
      </c>
      <c r="AK132" s="10">
        <v>0</v>
      </c>
      <c r="AL132" s="10">
        <v>0</v>
      </c>
      <c r="AM132" s="10">
        <v>1</v>
      </c>
      <c r="AN132" s="10">
        <v>1.5</v>
      </c>
      <c r="AO132" s="10">
        <v>1.5</v>
      </c>
      <c r="AP132" s="10">
        <v>1.5</v>
      </c>
      <c r="AQ132" s="10">
        <v>1</v>
      </c>
      <c r="AR132" s="10">
        <v>1</v>
      </c>
      <c r="AS132" s="10">
        <v>1</v>
      </c>
      <c r="AT132" s="10">
        <v>1</v>
      </c>
      <c r="AU132" s="10">
        <v>1.5</v>
      </c>
      <c r="AV132" s="10">
        <v>0</v>
      </c>
      <c r="AW132" s="10">
        <v>1.5</v>
      </c>
      <c r="AX132" s="10">
        <v>1.5</v>
      </c>
      <c r="AY132" s="10">
        <v>0</v>
      </c>
      <c r="AZ132" s="10">
        <v>0</v>
      </c>
      <c r="BA132" s="10">
        <v>1</v>
      </c>
      <c r="BB132" s="10">
        <v>0</v>
      </c>
      <c r="BC132" s="10">
        <v>1</v>
      </c>
      <c r="BD132" s="10">
        <v>0</v>
      </c>
      <c r="BE132" s="10">
        <v>0</v>
      </c>
      <c r="BF132" s="10">
        <v>0</v>
      </c>
      <c r="BG132" s="10">
        <v>0</v>
      </c>
      <c r="BH132" s="10">
        <v>0</v>
      </c>
      <c r="BI132" s="10">
        <v>0</v>
      </c>
      <c r="BJ132" s="10">
        <v>0</v>
      </c>
      <c r="BK132" s="79">
        <v>0</v>
      </c>
      <c r="BL132" s="3">
        <v>1.5</v>
      </c>
      <c r="BM132" s="3">
        <v>17.5</v>
      </c>
      <c r="BN132" s="3">
        <v>0.46666666865348816</v>
      </c>
      <c r="BO132" s="3">
        <v>0</v>
      </c>
      <c r="BP132" s="104">
        <v>0</v>
      </c>
      <c r="BQ132" s="3">
        <v>0</v>
      </c>
    </row>
    <row r="133" spans="1:69" x14ac:dyDescent="0.2">
      <c r="A133" s="5">
        <v>432</v>
      </c>
      <c r="B133" s="11">
        <v>432</v>
      </c>
      <c r="C133" s="5">
        <v>2</v>
      </c>
      <c r="D133" s="5"/>
      <c r="E133" s="22">
        <v>150300.5</v>
      </c>
      <c r="F133" s="22">
        <v>125148.133684163</v>
      </c>
      <c r="G133" s="22">
        <v>104774.37</v>
      </c>
      <c r="H133" s="5">
        <v>64779.4</v>
      </c>
      <c r="I133" s="5">
        <v>2018</v>
      </c>
      <c r="J133" s="18">
        <v>2021</v>
      </c>
      <c r="K133" s="5">
        <v>46287.83</v>
      </c>
      <c r="L133" s="5">
        <v>26391.26</v>
      </c>
      <c r="M133" s="5">
        <v>0</v>
      </c>
      <c r="N133" s="5">
        <v>-45331.360000000001</v>
      </c>
      <c r="O133" s="5">
        <v>363525065.39999998</v>
      </c>
      <c r="P133" s="5">
        <v>430754299.79112601</v>
      </c>
      <c r="Q133" s="22">
        <v>188705526.64770001</v>
      </c>
      <c r="R133" s="22">
        <v>106297522.30679999</v>
      </c>
      <c r="S133" s="15" t="s">
        <v>320</v>
      </c>
      <c r="T133" s="22" t="s">
        <v>294</v>
      </c>
      <c r="U133" s="22">
        <v>10551447.199999999</v>
      </c>
      <c r="V133" s="22">
        <v>229694.514567576</v>
      </c>
      <c r="W133" s="5" t="s">
        <v>21</v>
      </c>
      <c r="X133" s="5">
        <v>4.9276458827047898E-2</v>
      </c>
      <c r="Y133" s="5">
        <v>7.9805892097610201E-2</v>
      </c>
      <c r="Z133" s="5">
        <v>6.4266788915817701</v>
      </c>
      <c r="AA133" s="5">
        <v>374949.93695225299</v>
      </c>
      <c r="AB133" s="5" t="s">
        <v>289</v>
      </c>
      <c r="AC133" s="5">
        <v>400981.42564518697</v>
      </c>
      <c r="AD133" s="5">
        <v>342208.457853381</v>
      </c>
      <c r="AE133" s="5">
        <v>292604.15551976702</v>
      </c>
      <c r="AF133" s="5">
        <v>31</v>
      </c>
      <c r="AG133" s="5"/>
      <c r="AH133" s="16"/>
      <c r="AI133" s="16"/>
      <c r="AJ133" s="16"/>
      <c r="AK133" s="16">
        <v>1</v>
      </c>
      <c r="AL133" s="16">
        <v>1</v>
      </c>
      <c r="AM133" s="16">
        <v>1</v>
      </c>
      <c r="AN133" s="16">
        <v>1.5</v>
      </c>
      <c r="AO133" s="90">
        <v>1.5</v>
      </c>
      <c r="AP133" s="16">
        <v>1.5</v>
      </c>
      <c r="AQ133" s="90">
        <v>1</v>
      </c>
      <c r="AR133" s="16">
        <v>1</v>
      </c>
      <c r="AS133" s="16">
        <v>0</v>
      </c>
      <c r="AT133" s="16">
        <v>1</v>
      </c>
      <c r="AU133" s="16">
        <v>1.5</v>
      </c>
      <c r="AV133" s="16">
        <v>1.5</v>
      </c>
      <c r="AW133" s="16">
        <v>1.5</v>
      </c>
      <c r="AX133" s="5">
        <v>1.5</v>
      </c>
      <c r="AY133" s="5">
        <v>1</v>
      </c>
      <c r="AZ133" s="5">
        <v>0</v>
      </c>
      <c r="BA133" s="5">
        <v>0</v>
      </c>
      <c r="BB133" s="5">
        <v>2</v>
      </c>
      <c r="BC133" s="5">
        <v>1</v>
      </c>
      <c r="BD133" s="5">
        <v>0</v>
      </c>
      <c r="BE133" s="5">
        <v>1.5</v>
      </c>
      <c r="BF133" s="5">
        <v>1.5</v>
      </c>
      <c r="BG133" s="5">
        <v>1.5</v>
      </c>
      <c r="BH133" s="5">
        <v>0</v>
      </c>
      <c r="BI133" s="5">
        <v>1.5</v>
      </c>
      <c r="BJ133" s="5">
        <v>1.5</v>
      </c>
      <c r="BK133" s="5">
        <v>1.5</v>
      </c>
      <c r="BL133" s="5">
        <v>1.5</v>
      </c>
      <c r="BM133" s="5">
        <v>31</v>
      </c>
      <c r="BN133" s="3">
        <v>0.82666665315628052</v>
      </c>
      <c r="BO133" s="3">
        <v>0</v>
      </c>
      <c r="BP133" s="104">
        <v>0</v>
      </c>
      <c r="BQ133" s="3">
        <v>0</v>
      </c>
    </row>
    <row r="134" spans="1:69" x14ac:dyDescent="0.2">
      <c r="A134" s="5">
        <v>433</v>
      </c>
      <c r="B134" s="11">
        <v>433</v>
      </c>
      <c r="C134" s="5">
        <v>2</v>
      </c>
      <c r="D134" s="5"/>
      <c r="E134" s="8">
        <v>150300.5</v>
      </c>
      <c r="F134" s="8">
        <v>125148.133684163</v>
      </c>
      <c r="G134" s="8">
        <v>104774.37</v>
      </c>
      <c r="H134" s="5">
        <v>64779.4</v>
      </c>
      <c r="I134" s="8">
        <v>2018</v>
      </c>
      <c r="J134" s="5">
        <v>2020</v>
      </c>
      <c r="K134" s="78">
        <v>46287.83</v>
      </c>
      <c r="L134" s="5">
        <v>26391.26</v>
      </c>
      <c r="M134" s="5">
        <v>-3667.6100000000301</v>
      </c>
      <c r="N134" s="5">
        <v>-45331.360000000001</v>
      </c>
      <c r="O134" s="5">
        <v>363525065.39999998</v>
      </c>
      <c r="P134" s="8">
        <v>430754299.79112601</v>
      </c>
      <c r="Q134" s="21">
        <v>188705526.64770001</v>
      </c>
      <c r="R134" s="22">
        <v>106297522.30679999</v>
      </c>
      <c r="S134" s="49">
        <v>0</v>
      </c>
      <c r="T134" s="21" t="s">
        <v>56</v>
      </c>
      <c r="U134" s="21">
        <v>10551793.199999999</v>
      </c>
      <c r="V134" s="21">
        <v>229702.046643557</v>
      </c>
      <c r="W134" s="5" t="s">
        <v>21</v>
      </c>
      <c r="X134" s="79">
        <v>0</v>
      </c>
      <c r="Y134" s="3">
        <v>7.9809913085951797E-2</v>
      </c>
      <c r="Z134" s="3">
        <v>6.4269558108029798</v>
      </c>
      <c r="AA134" s="3">
        <v>374972.2732</v>
      </c>
      <c r="AB134" s="3" t="s">
        <v>289</v>
      </c>
      <c r="AC134" s="3">
        <v>400992.14240000001</v>
      </c>
      <c r="AD134" s="3">
        <v>342217.60379999998</v>
      </c>
      <c r="AE134" s="3">
        <v>292611.97570000001</v>
      </c>
      <c r="AF134" s="3">
        <v>31</v>
      </c>
      <c r="AG134" s="3"/>
      <c r="AK134" s="10">
        <v>1</v>
      </c>
      <c r="AL134" s="10">
        <v>1</v>
      </c>
      <c r="AM134" s="10">
        <v>1</v>
      </c>
      <c r="AN134" s="10">
        <v>1.5</v>
      </c>
      <c r="AO134" s="92">
        <v>1.5</v>
      </c>
      <c r="AP134" s="10">
        <v>1.5</v>
      </c>
      <c r="AQ134" s="92">
        <v>1</v>
      </c>
      <c r="AR134" s="10">
        <v>1</v>
      </c>
      <c r="AS134" s="10">
        <v>1</v>
      </c>
      <c r="AT134" s="10">
        <v>1</v>
      </c>
      <c r="AU134" s="10">
        <v>1.5</v>
      </c>
      <c r="AV134" s="10">
        <v>1.5</v>
      </c>
      <c r="AW134" s="10">
        <v>1.5</v>
      </c>
      <c r="AX134" s="5">
        <v>1.5</v>
      </c>
      <c r="AY134" s="5">
        <v>0</v>
      </c>
      <c r="AZ134" s="5">
        <v>1</v>
      </c>
      <c r="BA134" s="5">
        <v>1</v>
      </c>
      <c r="BB134" s="5">
        <v>2</v>
      </c>
      <c r="BC134" s="5">
        <v>1</v>
      </c>
      <c r="BD134" s="5">
        <v>0</v>
      </c>
      <c r="BE134" s="5">
        <v>1.5</v>
      </c>
      <c r="BF134" s="5">
        <v>1.5</v>
      </c>
      <c r="BG134" s="5">
        <v>1.5</v>
      </c>
      <c r="BH134" s="5">
        <v>0</v>
      </c>
      <c r="BI134" s="5">
        <v>1.5</v>
      </c>
      <c r="BJ134" s="5">
        <v>1.5</v>
      </c>
      <c r="BK134" s="5">
        <v>1.5</v>
      </c>
      <c r="BL134" s="5">
        <v>1.5</v>
      </c>
      <c r="BM134" s="5">
        <v>33</v>
      </c>
      <c r="BN134" s="3">
        <v>0.87999999523162842</v>
      </c>
      <c r="BO134" s="3">
        <v>0</v>
      </c>
      <c r="BP134" s="104">
        <v>0</v>
      </c>
      <c r="BQ134" s="3">
        <v>0</v>
      </c>
    </row>
    <row r="135" spans="1:69" x14ac:dyDescent="0.2">
      <c r="A135" s="3">
        <v>434</v>
      </c>
      <c r="B135" s="79">
        <v>434</v>
      </c>
      <c r="C135" s="3">
        <v>3</v>
      </c>
      <c r="E135" s="3">
        <v>150300.5</v>
      </c>
      <c r="F135" s="3">
        <v>124708.514271048</v>
      </c>
      <c r="G135" s="3">
        <v>49699.56</v>
      </c>
      <c r="H135" s="3">
        <v>0</v>
      </c>
      <c r="I135" s="3">
        <v>2018</v>
      </c>
      <c r="J135" s="3">
        <v>2021</v>
      </c>
      <c r="K135" s="3">
        <v>46283.8</v>
      </c>
      <c r="L135" s="3">
        <v>26386.39</v>
      </c>
      <c r="M135" s="3">
        <v>-3673.4000000000401</v>
      </c>
      <c r="N135" s="3">
        <v>-45338.15</v>
      </c>
      <c r="O135" s="3">
        <v>363525065.39999998</v>
      </c>
      <c r="P135" s="3">
        <v>428009464.06866002</v>
      </c>
      <c r="Q135" s="3">
        <v>188705527.7493</v>
      </c>
      <c r="R135" s="3">
        <v>106297558.93889999</v>
      </c>
      <c r="S135" s="3">
        <v>0</v>
      </c>
      <c r="T135" s="3" t="s">
        <v>56</v>
      </c>
      <c r="U135" s="3">
        <v>10551094.800000001</v>
      </c>
      <c r="V135" s="3">
        <v>229686.843169956</v>
      </c>
      <c r="W135" s="3" t="s">
        <v>22</v>
      </c>
      <c r="X135" s="23">
        <v>0</v>
      </c>
      <c r="Y135" s="23">
        <v>0</v>
      </c>
      <c r="Z135" s="23">
        <v>0</v>
      </c>
      <c r="AA135" s="23">
        <v>0</v>
      </c>
      <c r="AB135" s="23" t="s">
        <v>294</v>
      </c>
      <c r="AC135" s="50">
        <v>400968.03356240102</v>
      </c>
      <c r="AD135" s="23">
        <v>342197.02868558501</v>
      </c>
      <c r="AE135" s="23">
        <v>292594.38304946403</v>
      </c>
      <c r="AF135" s="3">
        <v>31</v>
      </c>
      <c r="AK135" s="10">
        <v>1</v>
      </c>
      <c r="AL135" s="10">
        <v>0</v>
      </c>
      <c r="AM135" s="10">
        <v>0</v>
      </c>
      <c r="AN135" s="10">
        <v>0</v>
      </c>
      <c r="AO135" s="10">
        <v>1.5</v>
      </c>
      <c r="AP135" s="10">
        <v>1.5</v>
      </c>
      <c r="AQ135" s="10">
        <v>1</v>
      </c>
      <c r="AR135" s="10">
        <v>1</v>
      </c>
      <c r="AS135" s="10">
        <v>1</v>
      </c>
      <c r="AT135" s="10">
        <v>1</v>
      </c>
      <c r="AU135" s="10">
        <v>1.5</v>
      </c>
      <c r="AV135" s="10">
        <v>1.5</v>
      </c>
      <c r="AW135" s="10">
        <v>1.5</v>
      </c>
      <c r="AX135" s="10">
        <v>0</v>
      </c>
      <c r="AY135" s="10">
        <v>0</v>
      </c>
      <c r="AZ135" s="10">
        <v>1</v>
      </c>
      <c r="BA135" s="10">
        <v>1</v>
      </c>
      <c r="BB135" s="10">
        <v>2</v>
      </c>
      <c r="BC135" s="10">
        <v>0</v>
      </c>
      <c r="BD135" s="10">
        <v>0</v>
      </c>
      <c r="BE135" s="10">
        <v>0</v>
      </c>
      <c r="BF135" s="10">
        <v>0</v>
      </c>
      <c r="BG135" s="10">
        <v>0</v>
      </c>
      <c r="BH135" s="10">
        <v>0</v>
      </c>
      <c r="BI135" s="10">
        <v>1.5</v>
      </c>
      <c r="BJ135" s="10">
        <v>1.5</v>
      </c>
      <c r="BK135" s="79">
        <v>1.5</v>
      </c>
      <c r="BL135" s="3">
        <v>1.5</v>
      </c>
      <c r="BM135" s="3">
        <v>22.5</v>
      </c>
      <c r="BN135" s="3">
        <v>0.60000002384185791</v>
      </c>
      <c r="BO135" s="3">
        <v>0</v>
      </c>
      <c r="BP135" s="104">
        <v>0</v>
      </c>
      <c r="BQ135" s="3">
        <v>0</v>
      </c>
    </row>
    <row r="136" spans="1:69" x14ac:dyDescent="0.2">
      <c r="A136" s="3">
        <v>435</v>
      </c>
      <c r="B136" s="79">
        <v>435</v>
      </c>
      <c r="C136" s="3">
        <v>2</v>
      </c>
      <c r="E136" s="3">
        <v>150300.5</v>
      </c>
      <c r="F136" s="3">
        <v>124708.514271048</v>
      </c>
      <c r="G136" s="3">
        <v>104773.65</v>
      </c>
      <c r="H136" s="3">
        <v>79681.7</v>
      </c>
      <c r="I136" s="3">
        <v>2018</v>
      </c>
      <c r="J136" s="3">
        <v>2020</v>
      </c>
      <c r="K136" s="19">
        <v>46283.8</v>
      </c>
      <c r="L136" s="3">
        <v>26386.39</v>
      </c>
      <c r="M136" s="3">
        <v>-3673.4000000000401</v>
      </c>
      <c r="N136" s="3">
        <v>-45338.15</v>
      </c>
      <c r="O136" s="3">
        <v>363525065.39999998</v>
      </c>
      <c r="P136" s="3">
        <v>428009464.06866002</v>
      </c>
      <c r="Q136" s="23">
        <v>188705527.7493</v>
      </c>
      <c r="R136" s="23">
        <v>106297558.93889999</v>
      </c>
      <c r="S136" s="50" t="s">
        <v>489</v>
      </c>
      <c r="T136" s="23" t="s">
        <v>56</v>
      </c>
      <c r="U136" s="23">
        <v>10551610.4</v>
      </c>
      <c r="V136" s="23">
        <v>229698.06726931201</v>
      </c>
      <c r="W136" s="3" t="s">
        <v>21</v>
      </c>
      <c r="X136" s="79">
        <v>0.05</v>
      </c>
      <c r="Y136" s="3">
        <v>0.08</v>
      </c>
      <c r="Z136" s="3">
        <v>6.43</v>
      </c>
      <c r="AA136" s="3">
        <v>374949.59603385598</v>
      </c>
      <c r="AB136" s="3" t="s">
        <v>294</v>
      </c>
      <c r="AC136" s="3">
        <v>400987.627654012</v>
      </c>
      <c r="AD136" s="3">
        <v>342203.74867300602</v>
      </c>
      <c r="AE136" s="3">
        <v>292608.68124948599</v>
      </c>
      <c r="AF136" s="3">
        <v>31</v>
      </c>
      <c r="AG136" s="3"/>
      <c r="AK136" s="10">
        <v>1</v>
      </c>
      <c r="AL136" s="10">
        <v>0</v>
      </c>
      <c r="AM136" s="10">
        <v>1</v>
      </c>
      <c r="AN136" s="10">
        <v>0</v>
      </c>
      <c r="AO136" s="92">
        <v>1.5</v>
      </c>
      <c r="AP136" s="10">
        <v>1.5</v>
      </c>
      <c r="AQ136" s="92">
        <v>1</v>
      </c>
      <c r="AR136" s="10">
        <v>1</v>
      </c>
      <c r="AS136" s="10">
        <v>1</v>
      </c>
      <c r="AT136" s="10">
        <v>1</v>
      </c>
      <c r="AU136" s="10">
        <v>1.5</v>
      </c>
      <c r="AV136" s="10">
        <v>1.5</v>
      </c>
      <c r="AW136" s="10">
        <v>1.5</v>
      </c>
      <c r="AX136" s="5">
        <v>0</v>
      </c>
      <c r="AY136" s="5">
        <v>1</v>
      </c>
      <c r="AZ136" s="5">
        <v>1</v>
      </c>
      <c r="BA136" s="5">
        <v>1</v>
      </c>
      <c r="BB136" s="5">
        <v>2</v>
      </c>
      <c r="BC136" s="5">
        <v>1</v>
      </c>
      <c r="BD136" s="5">
        <v>0</v>
      </c>
      <c r="BE136" s="5">
        <v>1.5</v>
      </c>
      <c r="BF136" s="5">
        <v>1.5</v>
      </c>
      <c r="BG136" s="5">
        <v>1.5</v>
      </c>
      <c r="BH136" s="5">
        <v>0</v>
      </c>
      <c r="BI136" s="5">
        <v>1.5</v>
      </c>
      <c r="BJ136" s="5">
        <v>1.5</v>
      </c>
      <c r="BK136" s="5">
        <v>1.5</v>
      </c>
      <c r="BL136" s="5">
        <v>1.5</v>
      </c>
      <c r="BM136" s="5">
        <v>30</v>
      </c>
      <c r="BN136" s="3">
        <v>0.80000001192092896</v>
      </c>
      <c r="BO136" s="3">
        <v>0</v>
      </c>
      <c r="BP136" s="104">
        <v>0</v>
      </c>
      <c r="BQ136" s="3">
        <v>0</v>
      </c>
    </row>
    <row r="137" spans="1:69" x14ac:dyDescent="0.2">
      <c r="A137" s="3">
        <v>436</v>
      </c>
      <c r="B137" s="79">
        <v>436</v>
      </c>
      <c r="C137" s="3">
        <v>3</v>
      </c>
      <c r="E137" s="3">
        <v>150300.5</v>
      </c>
      <c r="F137" s="3">
        <v>125148.133684163</v>
      </c>
      <c r="G137" s="3">
        <v>104774.37</v>
      </c>
      <c r="H137" s="3">
        <v>64779.4</v>
      </c>
      <c r="I137" s="3">
        <v>2018</v>
      </c>
      <c r="J137" s="3">
        <v>2020</v>
      </c>
      <c r="K137" s="3">
        <v>46287.83</v>
      </c>
      <c r="L137" s="3">
        <v>26391.26</v>
      </c>
      <c r="M137" s="3">
        <v>-3667.6100000000301</v>
      </c>
      <c r="N137" s="3">
        <v>-45331.360000000001</v>
      </c>
      <c r="O137" s="3">
        <v>363525065.39999998</v>
      </c>
      <c r="P137" s="19">
        <v>430754299.79112601</v>
      </c>
      <c r="Q137" s="3">
        <v>188705526.64770001</v>
      </c>
      <c r="R137" s="3">
        <v>106297522.30679999</v>
      </c>
      <c r="S137" s="3" t="s">
        <v>465</v>
      </c>
      <c r="T137" s="3" t="s">
        <v>56</v>
      </c>
      <c r="U137" s="3">
        <v>10550412.800000001</v>
      </c>
      <c r="V137" s="3">
        <v>229671.99670804699</v>
      </c>
      <c r="W137" s="3" t="s">
        <v>21</v>
      </c>
      <c r="X137" s="23">
        <v>4.9277651622224201E-2</v>
      </c>
      <c r="Y137" s="23">
        <v>7.9813066370902297E-2</v>
      </c>
      <c r="Z137" s="23">
        <v>6.4268742161162002</v>
      </c>
      <c r="AA137" s="23">
        <v>374974.008499716</v>
      </c>
      <c r="AB137" s="23" t="s">
        <v>294</v>
      </c>
      <c r="AC137" s="50">
        <v>400942.11585394898</v>
      </c>
      <c r="AD137" s="23">
        <v>342174.90980806598</v>
      </c>
      <c r="AE137" s="23">
        <v>292575.47037992399</v>
      </c>
      <c r="AF137" s="3">
        <v>31</v>
      </c>
      <c r="AK137" s="10">
        <v>1</v>
      </c>
      <c r="AL137" s="10">
        <v>1</v>
      </c>
      <c r="AM137" s="10">
        <v>1</v>
      </c>
      <c r="AN137" s="10">
        <v>1.5</v>
      </c>
      <c r="AO137" s="10">
        <v>1.5</v>
      </c>
      <c r="AP137" s="10">
        <v>1.5</v>
      </c>
      <c r="AQ137" s="10">
        <v>1</v>
      </c>
      <c r="AR137" s="10">
        <v>1</v>
      </c>
      <c r="AS137" s="10">
        <v>1</v>
      </c>
      <c r="AT137" s="10">
        <v>1</v>
      </c>
      <c r="AU137" s="10">
        <v>1.5</v>
      </c>
      <c r="AV137" s="10">
        <v>1.5</v>
      </c>
      <c r="AW137" s="10">
        <v>1.5</v>
      </c>
      <c r="AX137" s="10">
        <v>1.5</v>
      </c>
      <c r="AY137" s="10">
        <v>2</v>
      </c>
      <c r="AZ137" s="10">
        <v>1</v>
      </c>
      <c r="BA137" s="10">
        <v>0</v>
      </c>
      <c r="BB137" s="10">
        <v>2</v>
      </c>
      <c r="BC137" s="10">
        <v>1</v>
      </c>
      <c r="BD137" s="10">
        <v>0</v>
      </c>
      <c r="BE137" s="10">
        <v>1.5</v>
      </c>
      <c r="BF137" s="10">
        <v>1.5</v>
      </c>
      <c r="BG137" s="10">
        <v>0</v>
      </c>
      <c r="BH137" s="10">
        <v>0</v>
      </c>
      <c r="BI137" s="10">
        <v>0</v>
      </c>
      <c r="BJ137" s="10">
        <v>0</v>
      </c>
      <c r="BK137" s="79">
        <v>1.5</v>
      </c>
      <c r="BL137" s="12">
        <v>1.5</v>
      </c>
      <c r="BM137" s="3">
        <v>29.5</v>
      </c>
      <c r="BN137" s="3">
        <v>0.78666669130325317</v>
      </c>
      <c r="BO137" s="3">
        <v>0</v>
      </c>
      <c r="BP137" s="104">
        <v>0</v>
      </c>
      <c r="BQ137" s="3">
        <v>0</v>
      </c>
    </row>
    <row r="138" spans="1:69" x14ac:dyDescent="0.2">
      <c r="A138" s="3">
        <v>544</v>
      </c>
      <c r="B138" s="79">
        <v>544</v>
      </c>
      <c r="C138" s="3">
        <v>3</v>
      </c>
      <c r="E138" s="3">
        <v>150300.5</v>
      </c>
      <c r="F138" s="3">
        <v>125148.133684163</v>
      </c>
      <c r="G138" s="3">
        <v>104774.37</v>
      </c>
      <c r="H138" s="3">
        <v>64779.4</v>
      </c>
      <c r="I138" s="3">
        <v>2018</v>
      </c>
      <c r="J138" s="3">
        <v>2020</v>
      </c>
      <c r="K138" s="3">
        <v>46287.83</v>
      </c>
      <c r="L138" s="3">
        <v>26391.26</v>
      </c>
      <c r="M138" s="3">
        <v>-3667.6100000000301</v>
      </c>
      <c r="N138" s="3">
        <v>-45331.360000000001</v>
      </c>
      <c r="O138" s="3">
        <v>363525065.39999998</v>
      </c>
      <c r="P138" s="3">
        <v>430754299.79112601</v>
      </c>
      <c r="Q138" s="3">
        <v>188705526.64770001</v>
      </c>
      <c r="R138" s="3">
        <v>106297522.30679999</v>
      </c>
      <c r="S138" s="3" t="s">
        <v>490</v>
      </c>
      <c r="T138" s="3" t="s">
        <v>56</v>
      </c>
      <c r="U138" s="3">
        <v>10551968</v>
      </c>
      <c r="V138" s="3">
        <v>229705.85186576101</v>
      </c>
      <c r="W138" s="23" t="s">
        <v>21</v>
      </c>
      <c r="X138" s="23">
        <v>4.9277651622224201E-2</v>
      </c>
      <c r="Y138" s="50">
        <v>7.98095255912597E-2</v>
      </c>
      <c r="Z138" s="50">
        <v>6.42697052056399</v>
      </c>
      <c r="AA138" s="50">
        <v>374988.69257464999</v>
      </c>
      <c r="AB138" s="50" t="s">
        <v>289</v>
      </c>
      <c r="AC138" s="23">
        <v>401001.21734982397</v>
      </c>
      <c r="AD138" s="3">
        <v>342225.34863257699</v>
      </c>
      <c r="AE138" s="3">
        <v>292618.59792196</v>
      </c>
      <c r="AF138" s="10">
        <v>31</v>
      </c>
      <c r="AK138" s="10">
        <v>1</v>
      </c>
      <c r="AL138" s="10">
        <v>1</v>
      </c>
      <c r="AM138" s="10">
        <v>1</v>
      </c>
      <c r="AN138" s="10">
        <v>1.5</v>
      </c>
      <c r="AO138" s="10">
        <v>1.5</v>
      </c>
      <c r="AP138" s="10">
        <v>1.5</v>
      </c>
      <c r="AQ138" s="10">
        <v>1</v>
      </c>
      <c r="AR138" s="10">
        <v>1</v>
      </c>
      <c r="AS138" s="10">
        <v>1</v>
      </c>
      <c r="AT138" s="10">
        <v>1</v>
      </c>
      <c r="AU138" s="10">
        <v>1.5</v>
      </c>
      <c r="AV138" s="10">
        <v>1.5</v>
      </c>
      <c r="AW138" s="10">
        <v>1.5</v>
      </c>
      <c r="AX138" s="10">
        <v>1.5</v>
      </c>
      <c r="AY138" s="10">
        <v>2</v>
      </c>
      <c r="AZ138" s="10">
        <v>1</v>
      </c>
      <c r="BA138" s="10">
        <v>1</v>
      </c>
      <c r="BB138" s="79">
        <v>2</v>
      </c>
      <c r="BC138" s="79">
        <v>1</v>
      </c>
      <c r="BD138" s="79">
        <v>0</v>
      </c>
      <c r="BE138" s="79">
        <v>1.5</v>
      </c>
      <c r="BF138" s="79">
        <v>1.5</v>
      </c>
      <c r="BG138" s="79">
        <v>0</v>
      </c>
      <c r="BH138" s="79">
        <v>0</v>
      </c>
      <c r="BI138" s="79">
        <v>1.5</v>
      </c>
      <c r="BJ138" s="79">
        <v>1.5</v>
      </c>
      <c r="BK138" s="5">
        <v>1.5</v>
      </c>
      <c r="BL138" s="12">
        <v>1.5</v>
      </c>
      <c r="BM138" s="5">
        <v>33.5</v>
      </c>
      <c r="BN138" s="3">
        <v>0.8933333158493042</v>
      </c>
      <c r="BO138" s="3">
        <v>0</v>
      </c>
      <c r="BP138" s="104">
        <v>0</v>
      </c>
      <c r="BQ138" s="3">
        <v>0</v>
      </c>
    </row>
    <row r="139" spans="1:69" x14ac:dyDescent="0.2">
      <c r="A139" s="3">
        <v>546</v>
      </c>
      <c r="B139" s="79">
        <v>546</v>
      </c>
      <c r="C139" s="3">
        <v>1</v>
      </c>
      <c r="E139" s="3">
        <v>150300.5</v>
      </c>
      <c r="F139" s="3">
        <v>125148.133684163</v>
      </c>
      <c r="G139" s="3">
        <v>104774.37</v>
      </c>
      <c r="H139" s="3">
        <v>64779.4</v>
      </c>
      <c r="I139" s="3">
        <v>2018</v>
      </c>
      <c r="J139" s="3">
        <v>2020</v>
      </c>
      <c r="K139" s="3">
        <v>46287.83</v>
      </c>
      <c r="L139" s="3">
        <v>26391.26</v>
      </c>
      <c r="M139" s="3">
        <v>-3667.6100000000301</v>
      </c>
      <c r="N139" s="3">
        <v>-45331.360000000001</v>
      </c>
      <c r="O139" s="3">
        <v>363525065.39999998</v>
      </c>
      <c r="P139" s="3">
        <v>430754299.79112601</v>
      </c>
      <c r="Q139" s="23">
        <v>188705526.64770001</v>
      </c>
      <c r="R139" s="23">
        <v>106297522.30679999</v>
      </c>
      <c r="S139" s="50" t="s">
        <v>491</v>
      </c>
      <c r="T139" s="23" t="s">
        <v>56</v>
      </c>
      <c r="U139" s="23">
        <v>10550342.800000001</v>
      </c>
      <c r="V139" s="23">
        <v>229670.47287764601</v>
      </c>
      <c r="W139" s="3" t="s">
        <v>21</v>
      </c>
      <c r="X139" s="79">
        <v>0.28927765163741098</v>
      </c>
      <c r="Y139" s="3">
        <v>7.9812820320253094E-2</v>
      </c>
      <c r="Z139" s="3">
        <v>6.4268436552116297</v>
      </c>
      <c r="AA139" s="3">
        <v>374970.74214615399</v>
      </c>
      <c r="AB139" s="3" t="s">
        <v>289</v>
      </c>
      <c r="AC139" s="3">
        <v>400939.45567859302</v>
      </c>
      <c r="AD139" s="3">
        <v>342172.639542046</v>
      </c>
      <c r="AE139" s="3">
        <v>292573.52919683198</v>
      </c>
      <c r="AF139" s="3">
        <v>31</v>
      </c>
      <c r="AG139" s="3"/>
      <c r="AK139" s="10">
        <v>1</v>
      </c>
      <c r="AL139" s="10">
        <v>1</v>
      </c>
      <c r="AM139" s="10">
        <v>1</v>
      </c>
      <c r="AN139" s="10">
        <v>1.5</v>
      </c>
      <c r="AO139" s="92">
        <v>1.5</v>
      </c>
      <c r="AP139" s="10">
        <v>1.5</v>
      </c>
      <c r="AQ139" s="92">
        <v>1</v>
      </c>
      <c r="AR139" s="10">
        <v>1</v>
      </c>
      <c r="AS139" s="10">
        <v>1</v>
      </c>
      <c r="AT139" s="10">
        <v>1</v>
      </c>
      <c r="AU139" s="10">
        <v>1.5</v>
      </c>
      <c r="AV139" s="10">
        <v>1.5</v>
      </c>
      <c r="AW139" s="10">
        <v>1.5</v>
      </c>
      <c r="AX139" s="5">
        <v>1.5</v>
      </c>
      <c r="AY139" s="5">
        <v>1</v>
      </c>
      <c r="AZ139" s="5">
        <v>1</v>
      </c>
      <c r="BA139" s="5">
        <v>1</v>
      </c>
      <c r="BB139" s="5">
        <v>2</v>
      </c>
      <c r="BC139" s="5">
        <v>1</v>
      </c>
      <c r="BD139" s="5">
        <v>0</v>
      </c>
      <c r="BE139" s="5">
        <v>1.5</v>
      </c>
      <c r="BF139" s="5">
        <v>1.5</v>
      </c>
      <c r="BG139" s="5">
        <v>0</v>
      </c>
      <c r="BH139" s="5">
        <v>0</v>
      </c>
      <c r="BI139" s="5">
        <v>1.5</v>
      </c>
      <c r="BJ139" s="5">
        <v>1.5</v>
      </c>
      <c r="BK139" s="5">
        <v>1.5</v>
      </c>
      <c r="BL139" s="5">
        <v>1.5</v>
      </c>
      <c r="BM139" s="5">
        <v>32.5</v>
      </c>
      <c r="BN139" s="3">
        <v>0.86666667461395264</v>
      </c>
      <c r="BO139" s="3">
        <v>0</v>
      </c>
      <c r="BP139" s="104">
        <v>0</v>
      </c>
      <c r="BQ139" s="3">
        <v>0</v>
      </c>
    </row>
    <row r="140" spans="1:69" x14ac:dyDescent="0.2">
      <c r="A140" s="3">
        <v>547</v>
      </c>
      <c r="B140" s="79">
        <v>547</v>
      </c>
      <c r="C140" s="3">
        <v>4</v>
      </c>
      <c r="E140" s="3">
        <v>150300.5</v>
      </c>
      <c r="F140" s="3">
        <v>125148.133684163</v>
      </c>
      <c r="G140" s="3">
        <v>104774.37</v>
      </c>
      <c r="H140" s="3">
        <v>64779.4</v>
      </c>
      <c r="I140" s="3">
        <v>2018</v>
      </c>
      <c r="J140" s="3">
        <v>2021</v>
      </c>
      <c r="K140" s="3">
        <v>46287.83</v>
      </c>
      <c r="L140" s="3">
        <v>26391.26</v>
      </c>
      <c r="M140" s="3">
        <v>-3667.6100000000301</v>
      </c>
      <c r="N140" s="3">
        <v>-45331.360000000001</v>
      </c>
      <c r="O140" s="3">
        <v>363525065.39999998</v>
      </c>
      <c r="P140" s="3">
        <v>430754299.79112601</v>
      </c>
      <c r="Q140" s="19">
        <v>188705526.64770001</v>
      </c>
      <c r="R140" s="3">
        <v>106297522.30679999</v>
      </c>
      <c r="S140" s="3" t="s">
        <v>320</v>
      </c>
      <c r="T140" s="3" t="s">
        <v>294</v>
      </c>
      <c r="U140" s="3">
        <v>10551608</v>
      </c>
      <c r="V140" s="3">
        <v>229698.01502369699</v>
      </c>
      <c r="W140" s="23" t="s">
        <v>21</v>
      </c>
      <c r="X140" s="23">
        <v>4.9276458827047898E-2</v>
      </c>
      <c r="Y140" s="50">
        <v>7.9805415941821903E-2</v>
      </c>
      <c r="Z140" s="50">
        <v>6.4266859394312696</v>
      </c>
      <c r="AA140" s="50">
        <v>374950.51653520402</v>
      </c>
      <c r="AB140" s="50" t="s">
        <v>289</v>
      </c>
      <c r="AC140" s="23">
        <v>400987.53644800099</v>
      </c>
      <c r="AD140" s="3">
        <v>342213.67297875503</v>
      </c>
      <c r="AE140" s="3">
        <v>292608.61469463602</v>
      </c>
      <c r="AF140" s="10">
        <v>31</v>
      </c>
      <c r="AK140" s="10">
        <v>1</v>
      </c>
      <c r="AL140" s="10">
        <v>1</v>
      </c>
      <c r="AM140" s="10">
        <v>1</v>
      </c>
      <c r="AN140" s="10">
        <v>1.5</v>
      </c>
      <c r="AO140" s="10">
        <v>1.5</v>
      </c>
      <c r="AP140" s="10">
        <v>1.5</v>
      </c>
      <c r="AQ140" s="10">
        <v>1</v>
      </c>
      <c r="AR140" s="10">
        <v>1</v>
      </c>
      <c r="AS140" s="10">
        <v>1</v>
      </c>
      <c r="AT140" s="10">
        <v>1</v>
      </c>
      <c r="AU140" s="10">
        <v>1.5</v>
      </c>
      <c r="AV140" s="10">
        <v>1.5</v>
      </c>
      <c r="AW140" s="10">
        <v>1.5</v>
      </c>
      <c r="AX140" s="10">
        <v>1.5</v>
      </c>
      <c r="AY140" s="10">
        <v>1</v>
      </c>
      <c r="AZ140" s="10">
        <v>0</v>
      </c>
      <c r="BA140" s="10">
        <v>1</v>
      </c>
      <c r="BB140" s="79">
        <v>2</v>
      </c>
      <c r="BC140" s="79">
        <v>1</v>
      </c>
      <c r="BD140" s="79">
        <v>0</v>
      </c>
      <c r="BE140" s="79">
        <v>1.5</v>
      </c>
      <c r="BF140" s="79">
        <v>1.5</v>
      </c>
      <c r="BG140" s="79">
        <v>1.5</v>
      </c>
      <c r="BH140" s="79">
        <v>0</v>
      </c>
      <c r="BI140" s="79">
        <v>1.5</v>
      </c>
      <c r="BJ140" s="79">
        <v>1.5</v>
      </c>
      <c r="BK140" s="5">
        <v>1.5</v>
      </c>
      <c r="BL140" s="12">
        <v>1.5</v>
      </c>
      <c r="BM140" s="5">
        <v>33</v>
      </c>
      <c r="BN140" s="3">
        <v>0.87999999523162842</v>
      </c>
      <c r="BO140" s="3">
        <v>0</v>
      </c>
      <c r="BP140" s="104">
        <v>0</v>
      </c>
      <c r="BQ140" s="3">
        <v>0</v>
      </c>
    </row>
    <row r="141" spans="1:69" x14ac:dyDescent="0.2">
      <c r="A141" s="3">
        <v>548</v>
      </c>
      <c r="B141" s="79">
        <v>548</v>
      </c>
      <c r="C141" s="3">
        <v>3</v>
      </c>
      <c r="E141" s="3">
        <v>150300.5</v>
      </c>
      <c r="F141" s="3">
        <v>125148</v>
      </c>
      <c r="G141" s="3">
        <v>104774.37</v>
      </c>
      <c r="H141" s="3">
        <v>64779.4</v>
      </c>
      <c r="I141" s="3">
        <v>2018</v>
      </c>
      <c r="J141" s="3">
        <v>2020</v>
      </c>
      <c r="K141" s="3">
        <v>46287.83</v>
      </c>
      <c r="L141" s="3">
        <v>26391.26</v>
      </c>
      <c r="M141" s="3">
        <v>-3667.6100000000401</v>
      </c>
      <c r="N141" s="3">
        <v>-45331.359999999899</v>
      </c>
      <c r="O141" s="3">
        <v>363525065.39999998</v>
      </c>
      <c r="P141" s="3">
        <v>430754299.79000002</v>
      </c>
      <c r="Q141" s="3">
        <v>188705526.64770001</v>
      </c>
      <c r="R141" s="3">
        <v>106297522.30679999</v>
      </c>
      <c r="S141" s="3" t="s">
        <v>493</v>
      </c>
      <c r="T141" s="3" t="s">
        <v>56</v>
      </c>
      <c r="U141" s="3">
        <v>10550301.6</v>
      </c>
      <c r="V141" s="3">
        <v>229669.57599461099</v>
      </c>
      <c r="W141" s="3" t="s">
        <v>21</v>
      </c>
      <c r="X141" s="23">
        <v>0.05</v>
      </c>
      <c r="Y141" s="23">
        <v>7.5361545786410897E-2</v>
      </c>
      <c r="Z141" s="23">
        <v>6.61200947611177</v>
      </c>
      <c r="AA141" s="23">
        <v>401122.87478769501</v>
      </c>
      <c r="AB141" s="23" t="s">
        <v>294</v>
      </c>
      <c r="AC141" s="50">
        <v>400937.88997538597</v>
      </c>
      <c r="AD141" s="23">
        <v>342171.30332833098</v>
      </c>
      <c r="AE141" s="23">
        <v>292572.386671927</v>
      </c>
      <c r="AF141" s="3">
        <v>31</v>
      </c>
      <c r="AK141" s="10">
        <v>1</v>
      </c>
      <c r="AL141" s="10">
        <v>1</v>
      </c>
      <c r="AM141" s="10">
        <v>1</v>
      </c>
      <c r="AN141" s="10">
        <v>1.5</v>
      </c>
      <c r="AO141" s="10">
        <v>1.5</v>
      </c>
      <c r="AP141" s="10">
        <v>1.5</v>
      </c>
      <c r="AQ141" s="10">
        <v>1</v>
      </c>
      <c r="AR141" s="10">
        <v>1</v>
      </c>
      <c r="AS141" s="10">
        <v>1</v>
      </c>
      <c r="AT141" s="10">
        <v>1</v>
      </c>
      <c r="AU141" s="10">
        <v>1.5</v>
      </c>
      <c r="AV141" s="10">
        <v>1.5</v>
      </c>
      <c r="AW141" s="10">
        <v>1.5</v>
      </c>
      <c r="AX141" s="10">
        <v>1.5</v>
      </c>
      <c r="AY141" s="10">
        <v>1</v>
      </c>
      <c r="AZ141" s="10">
        <v>1</v>
      </c>
      <c r="BA141" s="10">
        <v>1</v>
      </c>
      <c r="BB141" s="10">
        <v>2</v>
      </c>
      <c r="BC141" s="10">
        <v>1</v>
      </c>
      <c r="BD141" s="10">
        <v>0</v>
      </c>
      <c r="BE141" s="10">
        <v>1.5</v>
      </c>
      <c r="BF141" s="10">
        <v>0</v>
      </c>
      <c r="BG141" s="10">
        <v>0</v>
      </c>
      <c r="BH141" s="10">
        <v>0</v>
      </c>
      <c r="BI141" s="10">
        <v>1.5</v>
      </c>
      <c r="BJ141" s="10">
        <v>1.5</v>
      </c>
      <c r="BK141" s="79">
        <v>1.5</v>
      </c>
      <c r="BL141" s="12">
        <v>1.5</v>
      </c>
      <c r="BM141" s="3">
        <v>31</v>
      </c>
      <c r="BN141" s="3">
        <v>0.82666665315628052</v>
      </c>
      <c r="BO141" s="3">
        <v>0</v>
      </c>
      <c r="BP141" s="104">
        <v>0</v>
      </c>
      <c r="BQ141" s="3">
        <v>0</v>
      </c>
    </row>
    <row r="142" spans="1:69" x14ac:dyDescent="0.2">
      <c r="A142" s="3">
        <v>549</v>
      </c>
      <c r="B142" s="79">
        <v>549</v>
      </c>
      <c r="C142" s="3">
        <v>2</v>
      </c>
      <c r="E142" s="3">
        <v>150300.5</v>
      </c>
      <c r="F142" s="3">
        <v>125148.133684163</v>
      </c>
      <c r="G142" s="3">
        <v>104774.37</v>
      </c>
      <c r="H142" s="3">
        <v>68491.600000000006</v>
      </c>
      <c r="I142" s="3">
        <v>2018</v>
      </c>
      <c r="J142" s="3">
        <v>2020</v>
      </c>
      <c r="K142" s="3">
        <v>46287.83</v>
      </c>
      <c r="L142" s="3">
        <v>26391.26</v>
      </c>
      <c r="M142" s="3">
        <v>-3667.6100000000401</v>
      </c>
      <c r="N142" s="3">
        <v>-45331.359999999899</v>
      </c>
      <c r="O142" s="3">
        <v>363525065.39999998</v>
      </c>
      <c r="P142" s="3">
        <v>430754299.79112601</v>
      </c>
      <c r="Q142" s="3">
        <v>188705526.64770001</v>
      </c>
      <c r="R142" s="3">
        <v>106297522.30679999</v>
      </c>
      <c r="S142" s="3" t="s">
        <v>495</v>
      </c>
      <c r="T142" s="3" t="s">
        <v>56</v>
      </c>
      <c r="U142" s="3">
        <v>10551584.4</v>
      </c>
      <c r="V142" s="3">
        <v>229697.50127516099</v>
      </c>
      <c r="W142" s="23" t="s">
        <v>21</v>
      </c>
      <c r="X142" s="23">
        <v>0.05</v>
      </c>
      <c r="Y142" s="50">
        <v>7.5359255847909104E-2</v>
      </c>
      <c r="Z142" s="50">
        <v>6.6121116822631798</v>
      </c>
      <c r="AA142" s="50">
        <v>401136.84952754201</v>
      </c>
      <c r="AB142" s="50" t="s">
        <v>294</v>
      </c>
      <c r="AC142" s="23">
        <v>400986.63958888099</v>
      </c>
      <c r="AD142" s="3">
        <v>342212.90757478197</v>
      </c>
      <c r="AE142" s="3">
        <v>292607.96023862303</v>
      </c>
      <c r="AF142" s="10">
        <v>31</v>
      </c>
      <c r="AK142" s="10">
        <v>1</v>
      </c>
      <c r="AL142" s="10">
        <v>1</v>
      </c>
      <c r="AM142" s="10">
        <v>1</v>
      </c>
      <c r="AN142" s="10">
        <v>0</v>
      </c>
      <c r="AO142" s="10">
        <v>1.5</v>
      </c>
      <c r="AP142" s="10">
        <v>1.5</v>
      </c>
      <c r="AQ142" s="10">
        <v>1</v>
      </c>
      <c r="AR142" s="10">
        <v>1</v>
      </c>
      <c r="AS142" s="10">
        <v>1</v>
      </c>
      <c r="AT142" s="10">
        <v>1</v>
      </c>
      <c r="AU142" s="10">
        <v>1.5</v>
      </c>
      <c r="AV142" s="10">
        <v>1.5</v>
      </c>
      <c r="AW142" s="10">
        <v>1.5</v>
      </c>
      <c r="AX142" s="10">
        <v>1.5</v>
      </c>
      <c r="AY142" s="10">
        <v>1</v>
      </c>
      <c r="AZ142" s="10">
        <v>1</v>
      </c>
      <c r="BA142" s="10">
        <v>1</v>
      </c>
      <c r="BB142" s="79">
        <v>2</v>
      </c>
      <c r="BC142" s="79">
        <v>1</v>
      </c>
      <c r="BD142" s="79">
        <v>0</v>
      </c>
      <c r="BE142" s="79">
        <v>1.5</v>
      </c>
      <c r="BF142" s="79">
        <v>0</v>
      </c>
      <c r="BG142" s="79">
        <v>0</v>
      </c>
      <c r="BH142" s="79">
        <v>0</v>
      </c>
      <c r="BI142" s="79">
        <v>1.5</v>
      </c>
      <c r="BJ142" s="79">
        <v>1.5</v>
      </c>
      <c r="BK142" s="5">
        <v>1.5</v>
      </c>
      <c r="BL142" s="12">
        <v>1.5</v>
      </c>
      <c r="BM142" s="5">
        <v>29.5</v>
      </c>
      <c r="BN142" s="3">
        <v>0.78666669130325317</v>
      </c>
      <c r="BO142" s="3">
        <v>0</v>
      </c>
      <c r="BP142" s="104">
        <v>0</v>
      </c>
      <c r="BQ142" s="3">
        <v>0</v>
      </c>
    </row>
    <row r="143" spans="1:69" x14ac:dyDescent="0.2">
      <c r="W143" s="23"/>
      <c r="Y143" s="50"/>
      <c r="Z143" s="50"/>
      <c r="AA143" s="50"/>
      <c r="AB143" s="50"/>
      <c r="AC143" s="23"/>
      <c r="AD143" s="3"/>
      <c r="AE143" s="3"/>
      <c r="AF143" s="10"/>
      <c r="BB143" s="79"/>
      <c r="BC143" s="79"/>
      <c r="BD143" s="79"/>
      <c r="BE143" s="79"/>
      <c r="BF143" s="79"/>
      <c r="BG143" s="79"/>
      <c r="BH143" s="79"/>
      <c r="BI143" s="79"/>
      <c r="BJ143" s="79"/>
      <c r="BK143" s="5"/>
      <c r="BL143" s="12"/>
      <c r="BM143" s="5"/>
      <c r="BP143" s="104"/>
    </row>
    <row r="144" spans="1:69" x14ac:dyDescent="0.2">
      <c r="E144" s="23"/>
      <c r="F144" s="23"/>
      <c r="G144" s="23"/>
      <c r="Q144" s="23"/>
      <c r="R144" s="23"/>
      <c r="S144" s="50"/>
      <c r="T144" s="23"/>
      <c r="U144" s="23"/>
      <c r="V144" s="23"/>
      <c r="X144" s="79"/>
      <c r="Y144" s="3"/>
      <c r="Z144" s="3"/>
      <c r="AA144" s="3"/>
      <c r="AB144" s="3"/>
      <c r="AC144" s="3"/>
      <c r="AD144" s="3"/>
      <c r="AE144" s="3"/>
      <c r="AG144" s="3"/>
      <c r="AO144" s="92"/>
      <c r="AQ144" s="92"/>
      <c r="AX144" s="5"/>
      <c r="AY144" s="5"/>
      <c r="AZ144" s="5"/>
      <c r="BA144" s="5"/>
      <c r="BB144" s="5"/>
      <c r="BC144" s="5"/>
      <c r="BD144" s="5"/>
      <c r="BE144" s="5"/>
      <c r="BF144" s="5"/>
      <c r="BG144" s="5"/>
      <c r="BH144" s="5"/>
      <c r="BI144" s="5"/>
      <c r="BJ144" s="5"/>
      <c r="BK144" s="5"/>
      <c r="BL144" s="5"/>
      <c r="BM144" s="5"/>
      <c r="BP144" s="104"/>
    </row>
    <row r="145" spans="1:68" x14ac:dyDescent="0.2">
      <c r="BK145" s="79"/>
      <c r="BL145" s="3"/>
      <c r="BM145" s="3"/>
      <c r="BP145" s="104"/>
    </row>
    <row r="146" spans="1:68" x14ac:dyDescent="0.2">
      <c r="A146" s="5"/>
      <c r="B146" s="5"/>
      <c r="C146" s="5"/>
      <c r="D146" s="5"/>
      <c r="E146" s="14"/>
      <c r="F146" s="14"/>
      <c r="G146" s="11"/>
      <c r="H146" s="12"/>
      <c r="I146" s="12"/>
      <c r="J146" s="12"/>
      <c r="K146" s="11"/>
      <c r="L146" s="12"/>
      <c r="M146" s="12"/>
      <c r="N146" s="12"/>
      <c r="O146" s="12"/>
      <c r="P146" s="12"/>
      <c r="Q146" s="22"/>
      <c r="R146" s="22"/>
      <c r="S146" s="15"/>
      <c r="T146" s="88"/>
      <c r="U146" s="88"/>
      <c r="V146" s="88"/>
      <c r="W146" s="11"/>
      <c r="X146" s="5"/>
      <c r="Y146" s="5"/>
      <c r="Z146" s="5"/>
      <c r="AA146" s="5"/>
      <c r="AB146" s="5"/>
      <c r="AC146" s="5"/>
      <c r="AD146" s="5"/>
      <c r="AE146" s="5"/>
      <c r="AF146" s="5"/>
      <c r="AG146" s="5"/>
      <c r="AH146" s="16"/>
      <c r="AI146" s="16"/>
      <c r="AJ146" s="16"/>
      <c r="AK146" s="16"/>
      <c r="AL146" s="16"/>
      <c r="AM146" s="16"/>
      <c r="AN146" s="16"/>
      <c r="AO146" s="90"/>
      <c r="AP146" s="16"/>
      <c r="AQ146" s="90"/>
      <c r="AR146" s="16"/>
      <c r="AS146" s="16"/>
      <c r="AT146" s="16"/>
      <c r="AU146" s="16"/>
      <c r="AV146" s="16"/>
      <c r="AW146" s="16"/>
      <c r="AX146" s="5"/>
      <c r="AY146" s="5"/>
      <c r="AZ146" s="5"/>
      <c r="BA146" s="5"/>
      <c r="BB146" s="5"/>
      <c r="BC146" s="5"/>
      <c r="BD146" s="5"/>
      <c r="BE146" s="5"/>
      <c r="BF146" s="5"/>
      <c r="BG146" s="5"/>
      <c r="BH146" s="5"/>
      <c r="BI146" s="5"/>
      <c r="BJ146" s="5"/>
      <c r="BK146" s="5"/>
      <c r="BL146" s="5"/>
      <c r="BM146" s="5"/>
      <c r="BP146" s="104"/>
    </row>
    <row r="147" spans="1:68" x14ac:dyDescent="0.2">
      <c r="BK147" s="79"/>
      <c r="BL147" s="3"/>
      <c r="BM147" s="3"/>
      <c r="BP147" s="104"/>
    </row>
    <row r="148" spans="1:68" x14ac:dyDescent="0.2">
      <c r="BK148" s="79"/>
      <c r="BL148" s="3"/>
      <c r="BM148" s="3"/>
      <c r="BP148" s="104"/>
    </row>
    <row r="149" spans="1:68" x14ac:dyDescent="0.2">
      <c r="Q149" s="23"/>
      <c r="R149" s="23"/>
      <c r="S149" s="50"/>
      <c r="T149" s="23"/>
      <c r="U149" s="23"/>
      <c r="V149" s="23"/>
      <c r="X149" s="79"/>
      <c r="Y149" s="3"/>
      <c r="Z149" s="3"/>
      <c r="AA149" s="3"/>
      <c r="AB149" s="3"/>
      <c r="AC149" s="3"/>
      <c r="AD149" s="3"/>
      <c r="AE149" s="3"/>
      <c r="AG149" s="3"/>
      <c r="AO149" s="92"/>
      <c r="AQ149" s="92"/>
      <c r="AX149" s="5"/>
      <c r="AY149" s="5"/>
      <c r="AZ149" s="5"/>
      <c r="BA149" s="5"/>
      <c r="BB149" s="5"/>
      <c r="BC149" s="5"/>
      <c r="BD149" s="5"/>
      <c r="BE149" s="5"/>
      <c r="BF149" s="5"/>
      <c r="BG149" s="5"/>
      <c r="BH149" s="5"/>
      <c r="BI149" s="5"/>
      <c r="BJ149" s="5"/>
      <c r="BK149" s="5"/>
      <c r="BL149" s="5"/>
      <c r="BM149" s="5"/>
      <c r="BP149" s="104"/>
    </row>
    <row r="150" spans="1:68" x14ac:dyDescent="0.2">
      <c r="BK150" s="79"/>
      <c r="BL150" s="3"/>
      <c r="BM150" s="3"/>
      <c r="BP150" s="104"/>
    </row>
    <row r="151" spans="1:68" x14ac:dyDescent="0.2">
      <c r="Q151" s="23"/>
      <c r="R151" s="23"/>
      <c r="S151" s="50"/>
      <c r="T151" s="23"/>
      <c r="U151" s="23"/>
      <c r="V151" s="23"/>
      <c r="X151" s="79"/>
      <c r="Y151" s="3"/>
      <c r="Z151" s="3"/>
      <c r="AA151" s="3"/>
      <c r="AB151" s="3"/>
      <c r="AC151" s="3"/>
      <c r="AD151" s="3"/>
      <c r="AE151" s="3"/>
      <c r="AG151" s="3"/>
      <c r="AO151" s="92"/>
      <c r="AQ151" s="92"/>
      <c r="AX151" s="5"/>
      <c r="AY151" s="5"/>
      <c r="AZ151" s="5"/>
      <c r="BA151" s="5"/>
      <c r="BB151" s="5"/>
      <c r="BC151" s="5"/>
      <c r="BD151" s="5"/>
      <c r="BE151" s="5"/>
      <c r="BF151" s="5"/>
      <c r="BG151" s="5"/>
      <c r="BH151" s="5"/>
      <c r="BI151" s="5"/>
      <c r="BJ151" s="5"/>
      <c r="BK151" s="5"/>
      <c r="BL151" s="5"/>
      <c r="BM151" s="5"/>
      <c r="BP151" s="104"/>
    </row>
    <row r="152" spans="1:68" x14ac:dyDescent="0.2">
      <c r="W152" s="23"/>
      <c r="Y152" s="50"/>
      <c r="Z152" s="50"/>
      <c r="AA152" s="50"/>
      <c r="AB152" s="50"/>
      <c r="AC152" s="23"/>
      <c r="AD152" s="3"/>
      <c r="AE152" s="3"/>
      <c r="AF152" s="10"/>
      <c r="BB152" s="79"/>
      <c r="BC152" s="79"/>
      <c r="BD152" s="79"/>
      <c r="BE152" s="79"/>
      <c r="BF152" s="79"/>
      <c r="BG152" s="79"/>
      <c r="BH152" s="79"/>
      <c r="BI152" s="79"/>
      <c r="BJ152" s="79"/>
      <c r="BK152" s="5"/>
      <c r="BL152" s="12"/>
      <c r="BM152" s="5"/>
      <c r="BP152" s="104"/>
    </row>
    <row r="153" spans="1:68" x14ac:dyDescent="0.2">
      <c r="BK153" s="79"/>
      <c r="BL153" s="3"/>
      <c r="BM153" s="3"/>
      <c r="BP153" s="104"/>
    </row>
    <row r="154" spans="1:68" x14ac:dyDescent="0.2">
      <c r="E154" s="23"/>
      <c r="F154" s="23"/>
      <c r="G154" s="23"/>
      <c r="K154" s="19"/>
      <c r="P154" s="23"/>
      <c r="Q154" s="23"/>
      <c r="R154" s="23"/>
      <c r="S154" s="50"/>
      <c r="T154" s="23"/>
      <c r="U154" s="23"/>
      <c r="V154" s="23"/>
      <c r="X154" s="79"/>
      <c r="Y154" s="3"/>
      <c r="Z154" s="3"/>
      <c r="AA154" s="3"/>
      <c r="AB154" s="3"/>
      <c r="AC154" s="3"/>
      <c r="AD154" s="3"/>
      <c r="AE154" s="3"/>
      <c r="AG154" s="3"/>
      <c r="AO154" s="92"/>
      <c r="AQ154" s="92"/>
      <c r="AX154" s="5"/>
      <c r="AY154" s="5"/>
      <c r="AZ154" s="5"/>
      <c r="BA154" s="5"/>
      <c r="BB154" s="5"/>
      <c r="BC154" s="5"/>
      <c r="BD154" s="5"/>
      <c r="BE154" s="5"/>
      <c r="BF154" s="5"/>
      <c r="BG154" s="5"/>
      <c r="BH154" s="5"/>
      <c r="BI154" s="5"/>
      <c r="BJ154" s="5"/>
      <c r="BK154" s="5"/>
      <c r="BL154" s="5"/>
      <c r="BM154" s="5"/>
      <c r="BP154" s="104"/>
    </row>
    <row r="155" spans="1:68" x14ac:dyDescent="0.2">
      <c r="A155" s="5"/>
      <c r="B155" s="5"/>
      <c r="C155" s="5"/>
      <c r="D155" s="5"/>
      <c r="E155" s="22"/>
      <c r="F155" s="22"/>
      <c r="G155" s="22"/>
      <c r="H155" s="5"/>
      <c r="I155" s="5"/>
      <c r="J155" s="5"/>
      <c r="K155" s="5"/>
      <c r="L155" s="5"/>
      <c r="M155" s="18"/>
      <c r="N155" s="5"/>
      <c r="O155" s="5"/>
      <c r="P155" s="5"/>
      <c r="Q155" s="22"/>
      <c r="R155" s="22"/>
      <c r="S155" s="15"/>
      <c r="T155" s="22"/>
      <c r="U155" s="22"/>
      <c r="V155" s="22"/>
      <c r="W155" s="5"/>
      <c r="X155" s="79"/>
      <c r="Y155" s="3"/>
      <c r="Z155" s="3"/>
      <c r="AA155" s="3"/>
      <c r="AB155" s="3"/>
      <c r="AC155" s="3"/>
      <c r="AD155" s="3"/>
      <c r="AE155" s="3"/>
      <c r="AG155" s="3"/>
      <c r="AO155" s="92"/>
      <c r="AQ155" s="92"/>
      <c r="AX155" s="5"/>
      <c r="AY155" s="5"/>
      <c r="AZ155" s="5"/>
      <c r="BA155" s="5"/>
      <c r="BB155" s="5"/>
      <c r="BC155" s="5"/>
      <c r="BD155" s="5"/>
      <c r="BE155" s="5"/>
      <c r="BF155" s="5"/>
      <c r="BG155" s="5"/>
      <c r="BH155" s="5"/>
      <c r="BI155" s="5"/>
      <c r="BJ155" s="5"/>
      <c r="BK155" s="5"/>
      <c r="BL155" s="5"/>
      <c r="BM155" s="5"/>
      <c r="BP155" s="104"/>
    </row>
    <row r="156" spans="1:68" x14ac:dyDescent="0.2">
      <c r="A156" s="5"/>
      <c r="B156" s="5"/>
      <c r="C156" s="5"/>
      <c r="D156" s="5"/>
      <c r="E156" s="22"/>
      <c r="F156" s="22"/>
      <c r="G156" s="22"/>
      <c r="H156" s="5"/>
      <c r="I156" s="5"/>
      <c r="J156" s="5"/>
      <c r="K156" s="5"/>
      <c r="L156" s="5"/>
      <c r="M156" s="5"/>
      <c r="N156" s="5"/>
      <c r="O156" s="5"/>
      <c r="P156" s="5"/>
      <c r="Q156" s="22"/>
      <c r="R156" s="111"/>
      <c r="S156" s="15"/>
      <c r="T156" s="22"/>
      <c r="U156" s="22"/>
      <c r="V156" s="22"/>
      <c r="W156" s="5"/>
      <c r="X156" s="79"/>
      <c r="Y156" s="3"/>
      <c r="Z156" s="3"/>
      <c r="AA156" s="3"/>
      <c r="AB156" s="3"/>
      <c r="AC156" s="3"/>
      <c r="AD156" s="3"/>
      <c r="AE156" s="3"/>
      <c r="AG156" s="3"/>
      <c r="AO156" s="92"/>
      <c r="AQ156" s="92"/>
      <c r="AX156" s="5"/>
      <c r="AY156" s="5"/>
      <c r="AZ156" s="5"/>
      <c r="BA156" s="5"/>
      <c r="BB156" s="5"/>
      <c r="BC156" s="5"/>
      <c r="BD156" s="5"/>
      <c r="BE156" s="5"/>
      <c r="BF156" s="5"/>
      <c r="BG156" s="5"/>
      <c r="BH156" s="5"/>
      <c r="BI156" s="5"/>
      <c r="BJ156" s="5"/>
      <c r="BK156" s="5"/>
      <c r="BL156" s="5"/>
      <c r="BM156" s="5"/>
      <c r="BP156" s="104"/>
    </row>
    <row r="157" spans="1:68" x14ac:dyDescent="0.2">
      <c r="W157" s="23"/>
      <c r="Y157" s="50"/>
      <c r="Z157" s="50"/>
      <c r="AA157" s="50"/>
      <c r="AB157" s="50"/>
      <c r="AC157" s="23"/>
      <c r="AD157" s="3"/>
      <c r="AE157" s="3"/>
      <c r="AF157" s="10"/>
      <c r="BB157" s="79"/>
      <c r="BC157" s="79"/>
      <c r="BD157" s="79"/>
      <c r="BE157" s="79"/>
      <c r="BF157" s="79"/>
      <c r="BG157" s="79"/>
      <c r="BH157" s="79"/>
      <c r="BI157" s="79"/>
      <c r="BJ157" s="79"/>
      <c r="BK157" s="5"/>
      <c r="BL157" s="12"/>
      <c r="BM157" s="5"/>
      <c r="BP157" s="104"/>
    </row>
    <row r="158" spans="1:68" x14ac:dyDescent="0.2">
      <c r="E158" s="23"/>
      <c r="F158" s="23"/>
      <c r="G158" s="23"/>
      <c r="K158" s="19"/>
      <c r="P158" s="23"/>
      <c r="Q158" s="23"/>
      <c r="R158" s="23"/>
      <c r="S158" s="50"/>
      <c r="T158" s="23"/>
      <c r="U158" s="23"/>
      <c r="V158" s="23"/>
      <c r="X158" s="79"/>
      <c r="Y158" s="3"/>
      <c r="Z158" s="3"/>
      <c r="AA158" s="3"/>
      <c r="AB158" s="3"/>
      <c r="AC158" s="3"/>
      <c r="AD158" s="3"/>
      <c r="AE158" s="3"/>
      <c r="AG158" s="3"/>
      <c r="AO158" s="92"/>
      <c r="AQ158" s="92"/>
      <c r="AX158" s="5"/>
      <c r="AY158" s="5"/>
      <c r="AZ158" s="5"/>
      <c r="BA158" s="5"/>
      <c r="BB158" s="5"/>
      <c r="BC158" s="5"/>
      <c r="BD158" s="5"/>
      <c r="BE158" s="5"/>
      <c r="BF158" s="5"/>
      <c r="BG158" s="5"/>
      <c r="BH158" s="5"/>
      <c r="BI158" s="5"/>
      <c r="BJ158" s="5"/>
      <c r="BK158" s="5"/>
      <c r="BL158" s="5"/>
      <c r="BM158" s="5"/>
      <c r="BP158" s="104"/>
    </row>
    <row r="159" spans="1:68" x14ac:dyDescent="0.2">
      <c r="E159" s="23"/>
      <c r="F159" s="23"/>
      <c r="G159" s="23"/>
      <c r="H159" s="19"/>
      <c r="I159" s="19"/>
      <c r="J159" s="19"/>
      <c r="Q159" s="23"/>
      <c r="R159" s="23"/>
      <c r="S159" s="50"/>
      <c r="T159" s="23"/>
      <c r="U159" s="23"/>
      <c r="V159" s="23"/>
      <c r="X159" s="79"/>
      <c r="Y159" s="3"/>
      <c r="Z159" s="3"/>
      <c r="AA159" s="3"/>
      <c r="AB159" s="3"/>
      <c r="AC159" s="3"/>
      <c r="AD159" s="3"/>
      <c r="AE159" s="3"/>
      <c r="AG159" s="3"/>
      <c r="AO159" s="92"/>
      <c r="AQ159" s="92"/>
      <c r="AX159" s="5"/>
      <c r="AY159" s="5"/>
      <c r="AZ159" s="5"/>
      <c r="BA159" s="5"/>
      <c r="BB159" s="5"/>
      <c r="BC159" s="5"/>
      <c r="BD159" s="5"/>
      <c r="BE159" s="5"/>
      <c r="BF159" s="5"/>
      <c r="BG159" s="5"/>
      <c r="BH159" s="5"/>
      <c r="BI159" s="5"/>
      <c r="BJ159" s="5"/>
      <c r="BK159" s="5"/>
      <c r="BL159" s="5"/>
      <c r="BM159" s="5"/>
      <c r="BP159" s="104"/>
    </row>
    <row r="160" spans="1:68" x14ac:dyDescent="0.2">
      <c r="N160" s="19"/>
      <c r="Q160" s="19"/>
      <c r="W160" s="23"/>
      <c r="Y160" s="50"/>
      <c r="Z160" s="50"/>
      <c r="AA160" s="50"/>
      <c r="AB160" s="50"/>
      <c r="AC160" s="23"/>
      <c r="AD160" s="3"/>
      <c r="AE160" s="3"/>
      <c r="AF160" s="10"/>
      <c r="BB160" s="79"/>
      <c r="BC160" s="79"/>
      <c r="BD160" s="79"/>
      <c r="BE160" s="79"/>
      <c r="BF160" s="79"/>
      <c r="BG160" s="79"/>
      <c r="BH160" s="79"/>
      <c r="BI160" s="79"/>
      <c r="BJ160" s="79"/>
      <c r="BK160" s="5"/>
      <c r="BL160" s="12"/>
      <c r="BM160" s="5"/>
      <c r="BP160" s="104"/>
    </row>
    <row r="161" spans="5:68" x14ac:dyDescent="0.2">
      <c r="E161" s="23"/>
      <c r="F161" s="23"/>
      <c r="G161" s="23"/>
      <c r="Q161" s="23"/>
      <c r="R161" s="93"/>
      <c r="S161" s="50"/>
      <c r="T161" s="93"/>
      <c r="U161" s="93"/>
      <c r="V161" s="93"/>
      <c r="X161" s="79"/>
      <c r="Y161" s="3"/>
      <c r="Z161" s="3"/>
      <c r="AA161" s="3"/>
      <c r="AB161" s="3"/>
      <c r="AC161" s="3"/>
      <c r="AD161" s="3"/>
      <c r="AE161" s="3"/>
      <c r="AG161" s="3"/>
      <c r="AO161" s="92"/>
      <c r="AQ161" s="92"/>
      <c r="AX161" s="5"/>
      <c r="AY161" s="5"/>
      <c r="AZ161" s="5"/>
      <c r="BA161" s="5"/>
      <c r="BB161" s="5"/>
      <c r="BC161" s="5"/>
      <c r="BD161" s="5"/>
      <c r="BE161" s="5"/>
      <c r="BF161" s="5"/>
      <c r="BG161" s="5"/>
      <c r="BH161" s="5"/>
      <c r="BI161" s="5"/>
      <c r="BJ161" s="5"/>
      <c r="BK161" s="5"/>
      <c r="BL161" s="5"/>
      <c r="BM161" s="5"/>
      <c r="BP161" s="104"/>
    </row>
    <row r="162" spans="5:68" x14ac:dyDescent="0.2">
      <c r="E162" s="23"/>
      <c r="F162" s="23"/>
      <c r="G162" s="23"/>
      <c r="P162" s="23"/>
      <c r="Q162" s="23"/>
      <c r="R162" s="23"/>
      <c r="S162" s="50"/>
      <c r="T162" s="23"/>
      <c r="U162" s="23"/>
      <c r="V162" s="23"/>
      <c r="X162" s="79"/>
      <c r="Y162" s="3"/>
      <c r="Z162" s="3"/>
      <c r="AA162" s="3"/>
      <c r="AB162" s="3"/>
      <c r="AC162" s="3"/>
      <c r="AD162" s="3"/>
      <c r="AE162" s="3"/>
      <c r="AG162" s="3"/>
      <c r="AO162" s="92"/>
      <c r="AQ162" s="92"/>
      <c r="AX162" s="5"/>
      <c r="AY162" s="5"/>
      <c r="AZ162" s="5"/>
      <c r="BA162" s="5"/>
      <c r="BB162" s="5"/>
      <c r="BC162" s="5"/>
      <c r="BD162" s="5"/>
      <c r="BE162" s="5"/>
      <c r="BF162" s="5"/>
      <c r="BG162" s="5"/>
      <c r="BH162" s="5"/>
      <c r="BI162" s="5"/>
      <c r="BJ162" s="5"/>
      <c r="BK162" s="5"/>
      <c r="BL162" s="5"/>
      <c r="BM162" s="5"/>
      <c r="BP162" s="104"/>
    </row>
    <row r="163" spans="5:68" x14ac:dyDescent="0.2">
      <c r="K163" s="19"/>
      <c r="Q163" s="23"/>
      <c r="R163" s="23"/>
      <c r="S163" s="50"/>
      <c r="T163" s="23"/>
      <c r="U163" s="23"/>
      <c r="V163" s="23"/>
      <c r="X163" s="79"/>
      <c r="Y163" s="3"/>
      <c r="Z163" s="3"/>
      <c r="AA163" s="3"/>
      <c r="AB163" s="3"/>
      <c r="AC163" s="3"/>
      <c r="AD163" s="3"/>
      <c r="AE163" s="3"/>
      <c r="AG163" s="3"/>
      <c r="AO163" s="92"/>
      <c r="AQ163" s="92"/>
      <c r="AX163" s="5"/>
      <c r="AY163" s="5"/>
      <c r="AZ163" s="5"/>
      <c r="BA163" s="5"/>
      <c r="BB163" s="5"/>
      <c r="BC163" s="5"/>
      <c r="BD163" s="5"/>
      <c r="BE163" s="5"/>
      <c r="BF163" s="5"/>
      <c r="BG163" s="5"/>
      <c r="BH163" s="5"/>
      <c r="BI163" s="5"/>
      <c r="BJ163" s="5"/>
      <c r="BK163" s="5"/>
      <c r="BL163" s="5"/>
      <c r="BM163" s="5"/>
      <c r="BP163" s="104"/>
    </row>
    <row r="164" spans="5:68" x14ac:dyDescent="0.2">
      <c r="BP164" s="104"/>
    </row>
    <row r="165" spans="5:68" x14ac:dyDescent="0.2">
      <c r="E165" s="23"/>
      <c r="F165" s="23"/>
      <c r="G165" s="23"/>
      <c r="Q165" s="23"/>
      <c r="R165" s="23"/>
      <c r="S165" s="50"/>
      <c r="T165" s="23"/>
      <c r="U165" s="23"/>
      <c r="V165" s="23"/>
      <c r="X165" s="79"/>
      <c r="Y165" s="3"/>
      <c r="Z165" s="3"/>
      <c r="AA165" s="3"/>
      <c r="AB165" s="3"/>
      <c r="AC165" s="3"/>
      <c r="AD165" s="3"/>
      <c r="AE165" s="3"/>
      <c r="AG165" s="3"/>
      <c r="AO165" s="92"/>
      <c r="AQ165" s="92"/>
      <c r="AX165" s="5"/>
      <c r="AY165" s="5"/>
      <c r="AZ165" s="5"/>
      <c r="BA165" s="5"/>
      <c r="BB165" s="5"/>
      <c r="BC165" s="5"/>
      <c r="BD165" s="5"/>
      <c r="BE165" s="5"/>
      <c r="BF165" s="5"/>
      <c r="BG165" s="5"/>
      <c r="BH165" s="5"/>
      <c r="BI165" s="5"/>
      <c r="BJ165" s="5"/>
      <c r="BK165" s="5"/>
      <c r="BL165" s="5"/>
      <c r="BM165" s="5"/>
      <c r="BP165" s="104"/>
    </row>
    <row r="166" spans="5:68" x14ac:dyDescent="0.2">
      <c r="J166" s="19"/>
      <c r="Q166" s="23"/>
      <c r="R166" s="23"/>
      <c r="S166" s="50"/>
      <c r="T166" s="23"/>
      <c r="U166" s="23"/>
      <c r="V166" s="23"/>
      <c r="X166" s="79"/>
      <c r="Y166" s="3"/>
      <c r="Z166" s="3"/>
      <c r="AA166" s="3"/>
      <c r="AB166" s="3"/>
      <c r="AC166" s="3"/>
      <c r="AD166" s="3"/>
      <c r="AE166" s="3"/>
      <c r="AG166" s="3"/>
      <c r="AO166" s="92"/>
      <c r="AQ166" s="92"/>
      <c r="AX166" s="5"/>
      <c r="AY166" s="5"/>
      <c r="AZ166" s="5"/>
      <c r="BA166" s="5"/>
      <c r="BB166" s="5"/>
      <c r="BC166" s="5"/>
      <c r="BD166" s="5"/>
      <c r="BE166" s="5"/>
      <c r="BF166" s="5"/>
      <c r="BG166" s="5"/>
      <c r="BH166" s="5"/>
      <c r="BI166" s="5"/>
      <c r="BJ166" s="5"/>
      <c r="BK166" s="5"/>
      <c r="BL166" s="5"/>
      <c r="BM166" s="5"/>
      <c r="BP166" s="104"/>
    </row>
    <row r="167" spans="5:68" x14ac:dyDescent="0.2">
      <c r="Q167" s="23"/>
      <c r="R167" s="23"/>
      <c r="S167" s="50"/>
      <c r="T167" s="23"/>
      <c r="U167" s="23"/>
      <c r="V167" s="23"/>
      <c r="X167" s="79"/>
      <c r="Y167" s="3"/>
      <c r="Z167" s="3"/>
      <c r="AA167" s="3"/>
      <c r="AB167" s="3"/>
      <c r="AC167" s="3"/>
      <c r="AD167" s="3"/>
      <c r="AE167" s="3"/>
      <c r="AG167" s="3"/>
      <c r="AO167" s="92"/>
      <c r="AQ167" s="92"/>
      <c r="AX167" s="5"/>
      <c r="AY167" s="5"/>
      <c r="AZ167" s="5"/>
      <c r="BA167" s="5"/>
      <c r="BB167" s="5"/>
      <c r="BC167" s="5"/>
      <c r="BD167" s="5"/>
      <c r="BE167" s="5"/>
      <c r="BF167" s="5"/>
      <c r="BG167" s="5"/>
      <c r="BH167" s="5"/>
      <c r="BI167" s="5"/>
      <c r="BJ167" s="5"/>
      <c r="BK167" s="5"/>
      <c r="BL167" s="5"/>
      <c r="BM167" s="5"/>
      <c r="BP167" s="104"/>
    </row>
    <row r="168" spans="5:68" x14ac:dyDescent="0.2">
      <c r="Q168" s="23"/>
      <c r="R168" s="23"/>
      <c r="S168" s="50"/>
      <c r="T168" s="23"/>
      <c r="U168" s="23"/>
      <c r="V168" s="23"/>
      <c r="X168" s="79"/>
      <c r="Y168" s="3"/>
      <c r="Z168" s="3"/>
      <c r="AA168" s="3"/>
      <c r="AB168" s="3"/>
      <c r="AC168" s="3"/>
      <c r="AD168" s="3"/>
      <c r="AE168" s="3"/>
      <c r="AG168" s="3"/>
      <c r="AO168" s="92"/>
      <c r="AQ168" s="92"/>
      <c r="AX168" s="5"/>
      <c r="AY168" s="5"/>
      <c r="AZ168" s="5"/>
      <c r="BA168" s="5"/>
      <c r="BB168" s="5"/>
      <c r="BC168" s="5"/>
      <c r="BD168" s="5"/>
      <c r="BE168" s="5"/>
      <c r="BF168" s="5"/>
      <c r="BG168" s="5"/>
      <c r="BH168" s="5"/>
      <c r="BI168" s="5"/>
      <c r="BJ168" s="5"/>
      <c r="BK168" s="5"/>
      <c r="BL168" s="5"/>
      <c r="BM168" s="5"/>
      <c r="BP168" s="104"/>
    </row>
    <row r="169" spans="5:68" x14ac:dyDescent="0.2">
      <c r="I169" s="19"/>
      <c r="J169" s="121"/>
      <c r="K169" s="19"/>
      <c r="L169" s="19"/>
      <c r="Q169" s="23"/>
      <c r="R169" s="93"/>
      <c r="S169" s="50"/>
      <c r="T169" s="23"/>
      <c r="U169" s="23"/>
      <c r="V169" s="23"/>
      <c r="X169" s="79"/>
      <c r="Y169" s="3"/>
      <c r="Z169" s="3"/>
      <c r="AA169" s="3"/>
      <c r="AB169" s="3"/>
      <c r="AC169" s="3"/>
      <c r="AD169" s="3"/>
      <c r="AE169" s="3"/>
      <c r="AG169" s="3"/>
      <c r="AO169" s="92"/>
      <c r="AQ169" s="92"/>
      <c r="AX169" s="5"/>
      <c r="AY169" s="5"/>
      <c r="AZ169" s="5"/>
      <c r="BA169" s="5"/>
      <c r="BB169" s="5"/>
      <c r="BC169" s="5"/>
      <c r="BD169" s="5"/>
      <c r="BE169" s="5"/>
      <c r="BF169" s="5"/>
      <c r="BG169" s="5"/>
      <c r="BH169" s="5"/>
      <c r="BI169" s="5"/>
      <c r="BJ169" s="5"/>
      <c r="BK169" s="5"/>
      <c r="BL169" s="5"/>
      <c r="BM169" s="5"/>
      <c r="BP169" s="104"/>
    </row>
    <row r="170" spans="5:68" x14ac:dyDescent="0.2">
      <c r="W170" s="23"/>
      <c r="Y170" s="50"/>
      <c r="Z170" s="50"/>
      <c r="AA170" s="50"/>
      <c r="AB170" s="50"/>
      <c r="AC170" s="23"/>
      <c r="AD170" s="3"/>
      <c r="AE170" s="3"/>
      <c r="AF170" s="10"/>
      <c r="BB170" s="79"/>
      <c r="BC170" s="79"/>
      <c r="BD170" s="79"/>
      <c r="BE170" s="79"/>
      <c r="BF170" s="79"/>
      <c r="BG170" s="79"/>
      <c r="BH170" s="79"/>
      <c r="BI170" s="79"/>
      <c r="BJ170" s="79"/>
      <c r="BK170" s="5"/>
      <c r="BL170" s="12"/>
      <c r="BM170" s="5"/>
      <c r="BP170" s="104"/>
    </row>
    <row r="171" spans="5:68" x14ac:dyDescent="0.2">
      <c r="O171" s="19"/>
      <c r="W171" s="23"/>
      <c r="Y171" s="50"/>
      <c r="Z171" s="50"/>
      <c r="AA171" s="50"/>
      <c r="AB171" s="50"/>
      <c r="AC171" s="23"/>
      <c r="AD171" s="3"/>
      <c r="AE171" s="3"/>
      <c r="AF171" s="10"/>
      <c r="BB171" s="79"/>
      <c r="BC171" s="79"/>
      <c r="BD171" s="79"/>
      <c r="BE171" s="79"/>
      <c r="BF171" s="79"/>
      <c r="BG171" s="79"/>
      <c r="BH171" s="79"/>
      <c r="BI171" s="79"/>
      <c r="BJ171" s="79"/>
      <c r="BK171" s="5"/>
      <c r="BL171" s="12"/>
      <c r="BM171" s="5"/>
      <c r="BP171" s="104"/>
    </row>
    <row r="172" spans="5:68" x14ac:dyDescent="0.2">
      <c r="E172" s="23"/>
      <c r="F172" s="23"/>
      <c r="G172" s="23"/>
      <c r="Q172" s="23"/>
      <c r="R172" s="23"/>
      <c r="S172" s="50"/>
      <c r="T172" s="23"/>
      <c r="U172" s="23"/>
      <c r="V172" s="23"/>
      <c r="X172" s="79"/>
      <c r="Y172" s="3"/>
      <c r="Z172" s="3"/>
      <c r="AA172" s="3"/>
      <c r="AB172" s="3"/>
      <c r="AC172" s="3"/>
      <c r="AD172" s="3"/>
      <c r="AE172" s="3"/>
      <c r="AG172" s="3"/>
      <c r="AO172" s="92"/>
      <c r="AQ172" s="92"/>
      <c r="AX172" s="5"/>
      <c r="AY172" s="5"/>
      <c r="AZ172" s="5"/>
      <c r="BA172" s="5"/>
      <c r="BB172" s="5"/>
      <c r="BC172" s="5"/>
      <c r="BD172" s="5"/>
      <c r="BE172" s="5"/>
      <c r="BF172" s="5"/>
      <c r="BG172" s="5"/>
      <c r="BH172" s="5"/>
      <c r="BI172" s="5"/>
      <c r="BJ172" s="5"/>
      <c r="BK172" s="5"/>
      <c r="BL172" s="5"/>
      <c r="BM172" s="5"/>
      <c r="BP172" s="105"/>
    </row>
    <row r="173" spans="5:68" x14ac:dyDescent="0.2">
      <c r="L173" s="19"/>
      <c r="Q173" s="23"/>
      <c r="R173" s="23"/>
      <c r="S173" s="50"/>
      <c r="T173" s="23"/>
      <c r="U173" s="23"/>
      <c r="V173" s="23"/>
      <c r="X173" s="79"/>
      <c r="Y173" s="3"/>
      <c r="Z173" s="3"/>
      <c r="AA173" s="3"/>
      <c r="AB173" s="3"/>
      <c r="AC173" s="3"/>
      <c r="AD173" s="3"/>
      <c r="AE173" s="3"/>
      <c r="AG173" s="3"/>
      <c r="AO173" s="92"/>
      <c r="AQ173" s="92"/>
      <c r="AX173" s="5"/>
      <c r="AY173" s="5"/>
      <c r="AZ173" s="5"/>
      <c r="BA173" s="5"/>
      <c r="BB173" s="5"/>
      <c r="BC173" s="5"/>
      <c r="BD173" s="5"/>
      <c r="BE173" s="5"/>
      <c r="BF173" s="5"/>
      <c r="BG173" s="5"/>
      <c r="BH173" s="5"/>
      <c r="BI173" s="5"/>
      <c r="BJ173" s="5"/>
      <c r="BK173" s="5"/>
      <c r="BL173" s="5"/>
      <c r="BM173" s="5"/>
      <c r="BP173" s="105"/>
    </row>
    <row r="174" spans="5:68" x14ac:dyDescent="0.2">
      <c r="J174" s="19"/>
      <c r="Q174" s="23"/>
      <c r="R174" s="23"/>
      <c r="S174" s="50"/>
      <c r="T174" s="23"/>
      <c r="U174" s="23"/>
      <c r="V174" s="23"/>
      <c r="X174" s="79"/>
      <c r="Y174" s="3"/>
      <c r="Z174" s="3"/>
      <c r="AA174" s="3"/>
      <c r="AB174" s="3"/>
      <c r="AC174" s="3"/>
      <c r="AD174" s="3"/>
      <c r="AE174" s="3"/>
      <c r="AG174" s="3"/>
      <c r="AO174" s="92"/>
      <c r="AQ174" s="92"/>
      <c r="AX174" s="5"/>
      <c r="AY174" s="5"/>
      <c r="AZ174" s="5"/>
      <c r="BA174" s="5"/>
      <c r="BB174" s="5"/>
      <c r="BC174" s="5"/>
      <c r="BD174" s="5"/>
      <c r="BE174" s="5"/>
      <c r="BF174" s="5"/>
      <c r="BG174" s="5"/>
      <c r="BH174" s="5"/>
      <c r="BI174" s="5"/>
      <c r="BJ174" s="5"/>
      <c r="BK174" s="5"/>
      <c r="BL174" s="5"/>
      <c r="BM174" s="5"/>
      <c r="BP174" s="105"/>
    </row>
    <row r="175" spans="5:68" x14ac:dyDescent="0.2">
      <c r="W175" s="23"/>
      <c r="Y175" s="50"/>
      <c r="Z175" s="50"/>
      <c r="AA175" s="50"/>
      <c r="AB175" s="50"/>
      <c r="AC175" s="23"/>
      <c r="AD175" s="3"/>
      <c r="AE175" s="3"/>
      <c r="AF175" s="10"/>
      <c r="BB175" s="79"/>
      <c r="BC175" s="79"/>
      <c r="BD175" s="79"/>
      <c r="BE175" s="79"/>
      <c r="BF175" s="79"/>
      <c r="BG175" s="79"/>
      <c r="BH175" s="79"/>
      <c r="BI175" s="79"/>
      <c r="BJ175" s="79"/>
      <c r="BK175" s="5"/>
      <c r="BL175" s="12"/>
      <c r="BM175" s="5"/>
      <c r="BP175" s="105"/>
    </row>
    <row r="176" spans="5:68" x14ac:dyDescent="0.2">
      <c r="BK176" s="79"/>
      <c r="BL176" s="3"/>
      <c r="BM176" s="3"/>
      <c r="BP176" s="105"/>
    </row>
    <row r="177" spans="1:68" x14ac:dyDescent="0.2">
      <c r="R177" s="23"/>
      <c r="S177" s="23"/>
      <c r="T177" s="50"/>
      <c r="U177" s="50"/>
      <c r="V177" s="50"/>
      <c r="W177" s="23"/>
      <c r="X177" s="3"/>
      <c r="Y177" s="10"/>
      <c r="Z177" s="10"/>
      <c r="AA177" s="10"/>
      <c r="AB177" s="10"/>
      <c r="AC177" s="10"/>
      <c r="AD177" s="10"/>
      <c r="AE177" s="10"/>
      <c r="AF177" s="10"/>
      <c r="AY177" s="5"/>
      <c r="AZ177" s="5"/>
      <c r="BA177" s="5"/>
      <c r="BB177" s="5"/>
      <c r="BC177" s="5"/>
      <c r="BD177" s="5"/>
      <c r="BE177" s="5"/>
      <c r="BF177" s="5"/>
      <c r="BG177" s="5"/>
      <c r="BH177" s="5"/>
      <c r="BI177" s="5"/>
      <c r="BJ177" s="5"/>
      <c r="BK177" s="5"/>
      <c r="BL177" s="12"/>
      <c r="BM177" s="5"/>
      <c r="BP177" s="105"/>
    </row>
    <row r="178" spans="1:68" x14ac:dyDescent="0.2">
      <c r="Q178" s="94"/>
      <c r="BK178" s="79"/>
      <c r="BL178" s="12"/>
      <c r="BM178" s="3"/>
      <c r="BP178" s="105"/>
    </row>
    <row r="179" spans="1:68" x14ac:dyDescent="0.2">
      <c r="E179" s="23"/>
      <c r="F179" s="23"/>
      <c r="G179" s="23"/>
      <c r="Q179" s="23"/>
      <c r="R179" s="93"/>
      <c r="S179" s="50"/>
      <c r="T179" s="23"/>
      <c r="U179" s="23"/>
      <c r="V179" s="23"/>
      <c r="X179" s="79"/>
      <c r="Y179" s="3"/>
      <c r="Z179" s="3"/>
      <c r="AA179" s="3"/>
      <c r="AB179" s="3"/>
      <c r="AC179" s="3"/>
      <c r="AD179" s="3"/>
      <c r="AE179" s="3"/>
      <c r="AG179" s="3"/>
      <c r="AO179" s="92"/>
      <c r="AQ179" s="92"/>
      <c r="AX179" s="5"/>
      <c r="AY179" s="5"/>
      <c r="AZ179" s="5"/>
      <c r="BA179" s="5"/>
      <c r="BB179" s="5"/>
      <c r="BC179" s="5"/>
      <c r="BD179" s="5"/>
      <c r="BE179" s="5"/>
      <c r="BF179" s="5"/>
      <c r="BG179" s="5"/>
      <c r="BH179" s="5"/>
      <c r="BI179" s="5"/>
      <c r="BJ179" s="5"/>
      <c r="BK179" s="5"/>
      <c r="BL179" s="5"/>
      <c r="BM179" s="5"/>
      <c r="BP179" s="105"/>
    </row>
    <row r="180" spans="1:68" x14ac:dyDescent="0.2">
      <c r="W180" s="23"/>
      <c r="Y180" s="50"/>
      <c r="Z180" s="50"/>
      <c r="AA180" s="50"/>
      <c r="AB180" s="50"/>
      <c r="AC180" s="23"/>
      <c r="AD180" s="3"/>
      <c r="AE180" s="3"/>
      <c r="AF180" s="10"/>
      <c r="BB180" s="79"/>
      <c r="BC180" s="79"/>
      <c r="BD180" s="79"/>
      <c r="BE180" s="79"/>
      <c r="BF180" s="79"/>
      <c r="BG180" s="79"/>
      <c r="BH180" s="79"/>
      <c r="BI180" s="79"/>
      <c r="BJ180" s="79"/>
      <c r="BK180" s="5"/>
      <c r="BL180" s="12"/>
      <c r="BM180" s="5"/>
      <c r="BP180" s="105"/>
    </row>
    <row r="181" spans="1:68" x14ac:dyDescent="0.2">
      <c r="Q181" s="23"/>
      <c r="R181" s="23"/>
      <c r="S181" s="50"/>
      <c r="T181" s="23"/>
      <c r="U181" s="23"/>
      <c r="V181" s="23"/>
      <c r="X181" s="79"/>
      <c r="Y181" s="3"/>
      <c r="Z181" s="3"/>
      <c r="AA181" s="3"/>
      <c r="AB181" s="3"/>
      <c r="AC181" s="3"/>
      <c r="AD181" s="3"/>
      <c r="AE181" s="3"/>
      <c r="AG181" s="3"/>
      <c r="AO181" s="92"/>
      <c r="AQ181" s="92"/>
      <c r="AX181" s="5"/>
      <c r="AY181" s="5"/>
      <c r="AZ181" s="5"/>
      <c r="BA181" s="5"/>
      <c r="BB181" s="5"/>
      <c r="BC181" s="5"/>
      <c r="BD181" s="5"/>
      <c r="BE181" s="5"/>
      <c r="BF181" s="5"/>
      <c r="BG181" s="5"/>
      <c r="BH181" s="5"/>
      <c r="BI181" s="5"/>
      <c r="BJ181" s="5"/>
      <c r="BK181" s="5"/>
      <c r="BL181" s="5"/>
      <c r="BM181" s="5"/>
      <c r="BP181" s="105"/>
    </row>
    <row r="182" spans="1:68" x14ac:dyDescent="0.2">
      <c r="L182" s="19"/>
      <c r="Q182" s="23"/>
      <c r="R182" s="23"/>
      <c r="S182" s="50"/>
      <c r="T182" s="23"/>
      <c r="U182" s="23"/>
      <c r="V182" s="23"/>
      <c r="X182" s="79"/>
      <c r="Y182" s="3"/>
      <c r="Z182" s="3"/>
      <c r="AA182" s="3"/>
      <c r="AB182" s="3"/>
      <c r="AC182" s="3"/>
      <c r="AD182" s="3"/>
      <c r="AE182" s="3"/>
      <c r="AG182" s="3"/>
      <c r="AO182" s="92"/>
      <c r="AQ182" s="92"/>
      <c r="AX182" s="5"/>
      <c r="AY182" s="5"/>
      <c r="AZ182" s="5"/>
      <c r="BA182" s="5"/>
      <c r="BB182" s="5"/>
      <c r="BC182" s="5"/>
      <c r="BD182" s="5"/>
      <c r="BE182" s="5"/>
      <c r="BF182" s="5"/>
      <c r="BG182" s="5"/>
      <c r="BH182" s="5"/>
      <c r="BI182" s="5"/>
      <c r="BJ182" s="5"/>
      <c r="BK182" s="5"/>
      <c r="BL182" s="5"/>
      <c r="BM182" s="5"/>
      <c r="BP182" s="105"/>
    </row>
    <row r="183" spans="1:68" x14ac:dyDescent="0.2">
      <c r="K183" s="19"/>
      <c r="Q183" s="23"/>
      <c r="R183" s="23"/>
      <c r="S183" s="50"/>
      <c r="T183" s="23"/>
      <c r="U183" s="23"/>
      <c r="V183" s="23"/>
      <c r="X183" s="79"/>
      <c r="Y183" s="3"/>
      <c r="Z183" s="3"/>
      <c r="AA183" s="3"/>
      <c r="AB183" s="3"/>
      <c r="AC183" s="3"/>
      <c r="AD183" s="3"/>
      <c r="AE183" s="3"/>
      <c r="AG183" s="3"/>
      <c r="AO183" s="92"/>
      <c r="AQ183" s="92"/>
      <c r="AX183" s="5"/>
      <c r="AY183" s="5"/>
      <c r="AZ183" s="5"/>
      <c r="BA183" s="5"/>
      <c r="BB183" s="5"/>
      <c r="BC183" s="5"/>
      <c r="BD183" s="5"/>
      <c r="BE183" s="5"/>
      <c r="BF183" s="5"/>
      <c r="BG183" s="5"/>
      <c r="BH183" s="5"/>
      <c r="BI183" s="5"/>
      <c r="BJ183" s="5"/>
      <c r="BK183" s="5"/>
      <c r="BL183" s="5"/>
      <c r="BM183" s="5"/>
      <c r="BP183" s="105"/>
    </row>
    <row r="184" spans="1:68" x14ac:dyDescent="0.2">
      <c r="Q184" s="23"/>
      <c r="R184" s="23"/>
      <c r="S184" s="50"/>
      <c r="T184" s="23"/>
      <c r="U184" s="23"/>
      <c r="V184" s="23"/>
      <c r="X184" s="79"/>
      <c r="Y184" s="3"/>
      <c r="Z184" s="3"/>
      <c r="AA184" s="3"/>
      <c r="AB184" s="3"/>
      <c r="AC184" s="3"/>
      <c r="AD184" s="3"/>
      <c r="AE184" s="3"/>
      <c r="AG184" s="3"/>
      <c r="AO184" s="92"/>
      <c r="AQ184" s="92"/>
      <c r="AX184" s="5"/>
      <c r="AY184" s="5"/>
      <c r="AZ184" s="5"/>
      <c r="BA184" s="5"/>
      <c r="BB184" s="5"/>
      <c r="BC184" s="5"/>
      <c r="BD184" s="5"/>
      <c r="BE184" s="5"/>
      <c r="BF184" s="5"/>
      <c r="BG184" s="5"/>
      <c r="BH184" s="5"/>
      <c r="BI184" s="5"/>
      <c r="BJ184" s="5"/>
      <c r="BK184" s="5"/>
      <c r="BL184" s="5"/>
      <c r="BM184" s="5"/>
    </row>
    <row r="185" spans="1:68" x14ac:dyDescent="0.2">
      <c r="Q185" s="23"/>
      <c r="R185" s="23"/>
      <c r="S185" s="50"/>
      <c r="T185" s="23"/>
      <c r="U185" s="23"/>
      <c r="V185" s="23"/>
      <c r="X185" s="79"/>
      <c r="Y185" s="3"/>
      <c r="Z185" s="3"/>
      <c r="AA185" s="3"/>
      <c r="AB185" s="3"/>
      <c r="AC185" s="3"/>
      <c r="AD185" s="3"/>
      <c r="AE185" s="3"/>
      <c r="AG185" s="3"/>
      <c r="AO185" s="92"/>
      <c r="AQ185" s="92"/>
      <c r="AX185" s="5"/>
      <c r="AY185" s="5"/>
      <c r="AZ185" s="5"/>
      <c r="BA185" s="5"/>
      <c r="BB185" s="5"/>
      <c r="BC185" s="5"/>
      <c r="BD185" s="5"/>
      <c r="BE185" s="5"/>
      <c r="BF185" s="5"/>
      <c r="BG185" s="5"/>
      <c r="BH185" s="5"/>
      <c r="BI185" s="5"/>
      <c r="BJ185" s="5"/>
      <c r="BK185" s="5"/>
      <c r="BL185" s="5"/>
      <c r="BM185" s="5"/>
    </row>
    <row r="186" spans="1:68" x14ac:dyDescent="0.2">
      <c r="A186" s="5"/>
      <c r="B186" s="5"/>
      <c r="C186" s="5"/>
      <c r="D186" s="5"/>
      <c r="E186" s="22"/>
      <c r="F186" s="22"/>
      <c r="G186" s="22"/>
      <c r="H186" s="5"/>
      <c r="I186" s="18"/>
      <c r="J186" s="18"/>
      <c r="K186" s="5"/>
      <c r="L186" s="5"/>
      <c r="M186" s="5"/>
      <c r="N186" s="5"/>
      <c r="O186" s="5"/>
      <c r="P186" s="5"/>
      <c r="Q186" s="22"/>
      <c r="R186" s="22"/>
      <c r="S186" s="15"/>
      <c r="T186" s="22"/>
      <c r="U186" s="22"/>
      <c r="V186" s="22"/>
      <c r="W186" s="5"/>
      <c r="X186" s="79"/>
      <c r="Y186" s="3"/>
      <c r="Z186" s="3"/>
      <c r="AA186" s="3"/>
      <c r="AB186" s="3"/>
      <c r="AC186" s="3"/>
      <c r="AD186" s="3"/>
      <c r="AE186" s="3"/>
      <c r="AG186" s="3"/>
      <c r="AH186" s="17"/>
      <c r="AI186" s="17"/>
      <c r="AJ186" s="17"/>
      <c r="AK186" s="17"/>
      <c r="AL186" s="17"/>
      <c r="AM186" s="17"/>
      <c r="AN186" s="17"/>
      <c r="AO186" s="91"/>
      <c r="AP186" s="17"/>
      <c r="AQ186" s="91"/>
      <c r="AR186" s="17"/>
      <c r="AS186" s="17"/>
      <c r="AT186" s="17"/>
      <c r="AU186" s="17"/>
      <c r="AV186" s="17"/>
      <c r="AW186" s="17"/>
      <c r="AX186" s="5"/>
      <c r="AY186" s="5"/>
      <c r="AZ186" s="5"/>
      <c r="BA186" s="5"/>
      <c r="BB186" s="5"/>
      <c r="BC186" s="5"/>
      <c r="BD186" s="5"/>
      <c r="BE186" s="5"/>
      <c r="BF186" s="5"/>
      <c r="BG186" s="5"/>
      <c r="BH186" s="5"/>
      <c r="BI186" s="5"/>
      <c r="BJ186" s="5"/>
      <c r="BK186" s="5"/>
      <c r="BL186" s="5"/>
      <c r="BM186" s="5"/>
    </row>
    <row r="187" spans="1:68" x14ac:dyDescent="0.2">
      <c r="O187" s="19"/>
      <c r="W187" s="23"/>
      <c r="Y187" s="50"/>
      <c r="Z187" s="50"/>
      <c r="AA187" s="50"/>
      <c r="AB187" s="50"/>
      <c r="AC187" s="23"/>
      <c r="AD187" s="3"/>
      <c r="AE187" s="3"/>
      <c r="AF187" s="10"/>
      <c r="BB187" s="79"/>
      <c r="BC187" s="79"/>
      <c r="BD187" s="79"/>
      <c r="BE187" s="79"/>
      <c r="BF187" s="79"/>
      <c r="BG187" s="79"/>
      <c r="BH187" s="79"/>
      <c r="BI187" s="79"/>
      <c r="BJ187" s="79"/>
      <c r="BK187" s="5"/>
      <c r="BL187" s="12"/>
      <c r="BM187" s="5"/>
    </row>
    <row r="188" spans="1:68" x14ac:dyDescent="0.2">
      <c r="Q188" s="23"/>
      <c r="R188" s="93"/>
      <c r="S188" s="50"/>
      <c r="T188" s="23"/>
      <c r="U188" s="23"/>
      <c r="V188" s="23"/>
      <c r="X188" s="79"/>
      <c r="Y188" s="3"/>
      <c r="Z188" s="3"/>
      <c r="AA188" s="3"/>
      <c r="AB188" s="3"/>
      <c r="AC188" s="3"/>
      <c r="AD188" s="3"/>
      <c r="AE188" s="3"/>
      <c r="AG188" s="3"/>
      <c r="AO188" s="92"/>
      <c r="AQ188" s="92"/>
      <c r="AX188" s="5"/>
      <c r="AY188" s="5"/>
      <c r="AZ188" s="5"/>
      <c r="BA188" s="5"/>
      <c r="BB188" s="5"/>
      <c r="BC188" s="5"/>
      <c r="BD188" s="5"/>
      <c r="BE188" s="5"/>
      <c r="BF188" s="5"/>
      <c r="BG188" s="5"/>
      <c r="BH188" s="5"/>
      <c r="BI188" s="5"/>
      <c r="BJ188" s="5"/>
      <c r="BK188" s="5"/>
      <c r="BL188" s="5"/>
      <c r="BM188" s="5"/>
    </row>
    <row r="189" spans="1:68" x14ac:dyDescent="0.2">
      <c r="W189" s="23"/>
      <c r="Y189" s="50"/>
      <c r="Z189" s="50"/>
      <c r="AA189" s="50"/>
      <c r="AB189" s="50"/>
      <c r="AC189" s="23"/>
      <c r="AD189" s="3"/>
      <c r="AE189" s="3"/>
      <c r="AF189" s="10"/>
      <c r="BB189" s="79"/>
      <c r="BC189" s="79"/>
      <c r="BD189" s="79"/>
      <c r="BE189" s="79"/>
      <c r="BF189" s="79"/>
      <c r="BG189" s="79"/>
      <c r="BH189" s="79"/>
      <c r="BI189" s="79"/>
      <c r="BJ189" s="79"/>
      <c r="BK189" s="5"/>
      <c r="BL189" s="12"/>
      <c r="BM189" s="5"/>
    </row>
    <row r="190" spans="1:68" x14ac:dyDescent="0.2">
      <c r="W190" s="23"/>
      <c r="Y190" s="50"/>
      <c r="Z190" s="50"/>
      <c r="AA190" s="50"/>
      <c r="AB190" s="50"/>
      <c r="AC190" s="23"/>
      <c r="AD190" s="3"/>
      <c r="AE190" s="3"/>
      <c r="AF190" s="10"/>
      <c r="BB190" s="79"/>
      <c r="BC190" s="79"/>
      <c r="BD190" s="79"/>
      <c r="BE190" s="79"/>
      <c r="BF190" s="79"/>
      <c r="BG190" s="79"/>
      <c r="BH190" s="79"/>
      <c r="BI190" s="79"/>
      <c r="BJ190" s="79"/>
      <c r="BK190" s="5"/>
      <c r="BL190" s="12"/>
      <c r="BM190" s="5"/>
    </row>
    <row r="191" spans="1:68" x14ac:dyDescent="0.2">
      <c r="Q191" s="23"/>
      <c r="R191" s="23"/>
      <c r="S191" s="50"/>
      <c r="T191" s="23"/>
      <c r="U191" s="23"/>
      <c r="V191" s="23"/>
      <c r="X191" s="79"/>
      <c r="Y191" s="3"/>
      <c r="Z191" s="3"/>
      <c r="AA191" s="3"/>
      <c r="AB191" s="3"/>
      <c r="AC191" s="3"/>
      <c r="AD191" s="3"/>
      <c r="AE191" s="3"/>
      <c r="AG191" s="3"/>
      <c r="AO191" s="92"/>
      <c r="AQ191" s="92"/>
      <c r="AX191" s="5"/>
      <c r="AY191" s="5"/>
      <c r="AZ191" s="5"/>
      <c r="BA191" s="5"/>
      <c r="BB191" s="5"/>
      <c r="BC191" s="5"/>
      <c r="BD191" s="5"/>
      <c r="BE191" s="5"/>
      <c r="BF191" s="5"/>
      <c r="BG191" s="5"/>
      <c r="BH191" s="5"/>
      <c r="BI191" s="5"/>
      <c r="BJ191" s="5"/>
      <c r="BK191" s="5"/>
      <c r="BL191" s="5"/>
      <c r="BM191" s="5"/>
    </row>
    <row r="192" spans="1:68" x14ac:dyDescent="0.2">
      <c r="M192" s="94"/>
      <c r="T192" s="94"/>
      <c r="W192" s="23"/>
      <c r="Y192" s="50"/>
      <c r="Z192" s="110"/>
      <c r="AA192" s="50"/>
      <c r="AB192" s="110"/>
      <c r="AC192" s="23"/>
      <c r="AD192" s="3"/>
      <c r="AE192" s="3"/>
      <c r="AF192" s="10"/>
      <c r="BB192" s="79"/>
      <c r="BC192" s="79"/>
      <c r="BD192" s="79"/>
      <c r="BE192" s="79"/>
      <c r="BF192" s="79"/>
      <c r="BG192" s="79"/>
      <c r="BH192" s="79"/>
      <c r="BI192" s="79"/>
      <c r="BJ192" s="79"/>
      <c r="BK192" s="5"/>
      <c r="BL192" s="12"/>
      <c r="BM192" s="5"/>
    </row>
    <row r="193" spans="1:66" x14ac:dyDescent="0.2">
      <c r="Q193" s="23"/>
      <c r="R193" s="23"/>
      <c r="S193" s="50"/>
      <c r="T193" s="23"/>
      <c r="U193" s="23"/>
      <c r="V193" s="23"/>
      <c r="X193" s="79"/>
      <c r="Y193" s="3"/>
      <c r="Z193" s="3"/>
      <c r="AA193" s="3"/>
      <c r="AB193" s="3"/>
      <c r="AC193" s="3"/>
      <c r="AD193" s="3"/>
      <c r="AE193" s="3"/>
      <c r="AG193" s="3"/>
      <c r="AO193" s="92"/>
      <c r="AQ193" s="92"/>
      <c r="AX193" s="5"/>
      <c r="AY193" s="5"/>
      <c r="AZ193" s="5"/>
      <c r="BA193" s="5"/>
      <c r="BB193" s="5"/>
      <c r="BC193" s="5"/>
      <c r="BD193" s="5"/>
      <c r="BE193" s="5"/>
      <c r="BF193" s="5"/>
      <c r="BG193" s="5"/>
      <c r="BH193" s="5"/>
      <c r="BI193" s="5"/>
      <c r="BJ193" s="5"/>
      <c r="BK193" s="5"/>
      <c r="BL193" s="5"/>
      <c r="BM193" s="5"/>
    </row>
    <row r="194" spans="1:66" x14ac:dyDescent="0.2">
      <c r="Q194" s="23"/>
      <c r="R194" s="23"/>
      <c r="S194" s="50"/>
      <c r="T194" s="23"/>
      <c r="U194" s="23"/>
      <c r="V194" s="23"/>
      <c r="X194" s="79"/>
      <c r="Y194" s="3"/>
      <c r="Z194" s="3"/>
      <c r="AA194" s="3"/>
      <c r="AB194" s="3"/>
      <c r="AC194" s="3"/>
      <c r="AD194" s="3"/>
      <c r="AE194" s="3"/>
      <c r="AG194" s="3"/>
      <c r="AO194" s="92"/>
      <c r="AQ194" s="92"/>
      <c r="AX194" s="5"/>
      <c r="AY194" s="5"/>
      <c r="AZ194" s="5"/>
      <c r="BA194" s="5"/>
      <c r="BB194" s="5"/>
      <c r="BC194" s="5"/>
      <c r="BD194" s="5"/>
      <c r="BE194" s="5"/>
      <c r="BF194" s="5"/>
      <c r="BG194" s="5"/>
      <c r="BH194" s="5"/>
      <c r="BI194" s="5"/>
      <c r="BJ194" s="5"/>
      <c r="BK194" s="5"/>
      <c r="BL194" s="5"/>
      <c r="BM194" s="5"/>
    </row>
    <row r="195" spans="1:66" x14ac:dyDescent="0.2">
      <c r="BK195" s="79"/>
      <c r="BL195" s="12"/>
      <c r="BM195" s="3"/>
    </row>
    <row r="196" spans="1:66" x14ac:dyDescent="0.2">
      <c r="W196" s="23"/>
      <c r="Y196" s="50"/>
      <c r="Z196" s="50"/>
      <c r="AA196" s="50"/>
      <c r="AB196" s="50"/>
      <c r="AC196" s="23"/>
      <c r="AD196" s="3"/>
      <c r="AE196" s="3"/>
      <c r="AF196" s="10"/>
      <c r="BB196" s="79"/>
      <c r="BC196" s="79"/>
      <c r="BD196" s="79"/>
      <c r="BE196" s="79"/>
      <c r="BF196" s="79"/>
      <c r="BG196" s="79"/>
      <c r="BH196" s="79"/>
      <c r="BI196" s="79"/>
      <c r="BJ196" s="79"/>
      <c r="BK196" s="5"/>
      <c r="BL196" s="12"/>
      <c r="BM196" s="5"/>
      <c r="BN196" s="5"/>
    </row>
    <row r="197" spans="1:66" x14ac:dyDescent="0.2">
      <c r="W197" s="23"/>
      <c r="Y197" s="50"/>
      <c r="Z197" s="50"/>
      <c r="AA197" s="50"/>
      <c r="AB197" s="50"/>
      <c r="AC197" s="23"/>
      <c r="AD197" s="3"/>
      <c r="AE197" s="3"/>
      <c r="AF197" s="10"/>
      <c r="BB197" s="79"/>
      <c r="BC197" s="79"/>
      <c r="BD197" s="79"/>
      <c r="BE197" s="79"/>
      <c r="BF197" s="79"/>
      <c r="BG197" s="79"/>
      <c r="BH197" s="79"/>
      <c r="BI197" s="79"/>
      <c r="BJ197" s="79"/>
      <c r="BK197" s="5"/>
      <c r="BL197" s="12"/>
      <c r="BM197" s="5"/>
    </row>
    <row r="198" spans="1:66" x14ac:dyDescent="0.2">
      <c r="O198" s="19"/>
      <c r="Q198" s="23"/>
      <c r="R198" s="23"/>
      <c r="S198" s="50"/>
      <c r="T198" s="23"/>
      <c r="U198" s="23"/>
      <c r="V198" s="23"/>
      <c r="X198" s="79"/>
      <c r="Y198" s="3"/>
      <c r="Z198" s="3"/>
      <c r="AA198" s="3"/>
      <c r="AB198" s="3"/>
      <c r="AC198" s="3"/>
      <c r="AD198" s="3"/>
      <c r="AE198" s="3"/>
      <c r="AG198" s="3"/>
      <c r="AO198" s="92"/>
      <c r="AQ198" s="92"/>
      <c r="AX198" s="5"/>
      <c r="AY198" s="5"/>
      <c r="AZ198" s="5"/>
      <c r="BA198" s="5"/>
      <c r="BB198" s="5"/>
      <c r="BC198" s="5"/>
      <c r="BD198" s="5"/>
      <c r="BE198" s="5"/>
      <c r="BF198" s="5"/>
      <c r="BG198" s="5"/>
      <c r="BH198" s="5"/>
      <c r="BI198" s="5"/>
      <c r="BJ198" s="5"/>
      <c r="BK198" s="5"/>
      <c r="BL198" s="5"/>
      <c r="BM198" s="5"/>
    </row>
    <row r="199" spans="1:66" x14ac:dyDescent="0.2">
      <c r="BK199" s="79"/>
      <c r="BL199" s="12"/>
      <c r="BM199" s="3"/>
    </row>
    <row r="200" spans="1:66" x14ac:dyDescent="0.2">
      <c r="BK200" s="79"/>
      <c r="BL200" s="3"/>
      <c r="BM200" s="3"/>
    </row>
    <row r="201" spans="1:66" x14ac:dyDescent="0.2">
      <c r="BK201" s="79"/>
      <c r="BL201" s="3"/>
      <c r="BM201" s="3"/>
    </row>
    <row r="202" spans="1:66" x14ac:dyDescent="0.2">
      <c r="Q202" s="23"/>
      <c r="R202" s="23"/>
      <c r="S202" s="50"/>
      <c r="T202" s="23"/>
      <c r="U202" s="23"/>
      <c r="V202" s="23"/>
      <c r="X202" s="79"/>
      <c r="Y202" s="3"/>
      <c r="Z202" s="3"/>
      <c r="AA202" s="3"/>
      <c r="AB202" s="3"/>
      <c r="AC202" s="3"/>
      <c r="AD202" s="3"/>
      <c r="AE202" s="3"/>
      <c r="AG202" s="3"/>
      <c r="AO202" s="92"/>
      <c r="AQ202" s="92"/>
      <c r="AX202" s="5"/>
      <c r="AY202" s="5"/>
      <c r="AZ202" s="5"/>
      <c r="BA202" s="5"/>
      <c r="BB202" s="5"/>
      <c r="BC202" s="5"/>
      <c r="BD202" s="5"/>
      <c r="BE202" s="5"/>
      <c r="BF202" s="5"/>
      <c r="BG202" s="5"/>
      <c r="BH202" s="5"/>
      <c r="BI202" s="5"/>
      <c r="BJ202" s="5"/>
      <c r="BK202" s="5"/>
      <c r="BL202" s="3"/>
      <c r="BM202" s="5"/>
    </row>
    <row r="203" spans="1:66" x14ac:dyDescent="0.2">
      <c r="BK203" s="79"/>
      <c r="BL203" s="12"/>
      <c r="BM203" s="3"/>
    </row>
    <row r="204" spans="1:66" x14ac:dyDescent="0.2">
      <c r="I204" s="19"/>
      <c r="J204" s="19"/>
      <c r="Q204" s="23"/>
      <c r="R204" s="23"/>
      <c r="S204" s="50"/>
      <c r="T204" s="23"/>
      <c r="U204" s="23"/>
      <c r="V204" s="23"/>
      <c r="X204" s="79"/>
      <c r="Y204" s="3"/>
      <c r="Z204" s="3"/>
      <c r="AA204" s="3"/>
      <c r="AB204" s="3"/>
      <c r="AC204" s="3"/>
      <c r="AD204" s="3"/>
      <c r="AE204" s="3"/>
      <c r="AG204" s="3"/>
      <c r="AO204" s="92"/>
      <c r="AQ204" s="92"/>
      <c r="AX204" s="5"/>
      <c r="AY204" s="5"/>
      <c r="AZ204" s="5"/>
      <c r="BA204" s="5"/>
      <c r="BB204" s="5"/>
      <c r="BC204" s="5"/>
      <c r="BD204" s="5"/>
      <c r="BE204" s="5"/>
      <c r="BF204" s="5"/>
      <c r="BG204" s="5"/>
      <c r="BH204" s="5"/>
      <c r="BI204" s="5"/>
      <c r="BJ204" s="5"/>
      <c r="BK204" s="5"/>
      <c r="BL204" s="5"/>
      <c r="BM204" s="5"/>
    </row>
    <row r="205" spans="1:66" x14ac:dyDescent="0.2">
      <c r="BK205" s="79"/>
      <c r="BL205" s="12"/>
      <c r="BM205" s="3"/>
    </row>
    <row r="206" spans="1:66" x14ac:dyDescent="0.2">
      <c r="A206" s="5"/>
      <c r="B206" s="5"/>
      <c r="C206" s="5"/>
      <c r="D206" s="5"/>
      <c r="E206" s="21"/>
      <c r="F206" s="21"/>
      <c r="G206" s="21"/>
      <c r="H206" s="5"/>
      <c r="I206" s="78"/>
      <c r="J206" s="5"/>
      <c r="K206" s="8"/>
      <c r="L206" s="5"/>
      <c r="M206" s="5"/>
      <c r="N206" s="5"/>
      <c r="O206" s="5"/>
      <c r="P206" s="78"/>
      <c r="Q206" s="21"/>
      <c r="R206" s="22"/>
      <c r="S206" s="49"/>
      <c r="T206" s="21"/>
      <c r="U206" s="21"/>
      <c r="V206" s="21"/>
      <c r="W206" s="5"/>
      <c r="X206" s="79"/>
      <c r="Y206" s="3"/>
      <c r="Z206" s="3"/>
      <c r="AA206" s="3"/>
      <c r="AB206" s="3"/>
      <c r="AC206" s="3"/>
      <c r="AD206" s="3"/>
      <c r="AE206" s="3"/>
      <c r="AG206" s="3"/>
      <c r="AO206" s="92"/>
      <c r="AQ206" s="92"/>
      <c r="AX206" s="5"/>
      <c r="AY206" s="5"/>
      <c r="AZ206" s="5"/>
      <c r="BA206" s="5"/>
      <c r="BB206" s="5"/>
      <c r="BC206" s="5"/>
      <c r="BD206" s="5"/>
      <c r="BE206" s="5"/>
      <c r="BF206" s="5"/>
      <c r="BG206" s="5"/>
      <c r="BH206" s="5"/>
      <c r="BI206" s="5"/>
      <c r="BJ206" s="5"/>
      <c r="BK206" s="5"/>
      <c r="BL206" s="5"/>
      <c r="BM206" s="5"/>
    </row>
    <row r="208" spans="1:66" x14ac:dyDescent="0.2">
      <c r="E208" s="23"/>
      <c r="F208" s="23"/>
      <c r="G208" s="23"/>
      <c r="Q208" s="23"/>
      <c r="R208" s="23"/>
      <c r="S208" s="50"/>
      <c r="T208" s="23"/>
      <c r="U208" s="23"/>
      <c r="V208" s="23"/>
      <c r="X208" s="79"/>
      <c r="Y208" s="3"/>
      <c r="Z208" s="3"/>
      <c r="AA208" s="3"/>
      <c r="AB208" s="3"/>
      <c r="AC208" s="3"/>
      <c r="AD208" s="3"/>
      <c r="AE208" s="3"/>
      <c r="AG208" s="3"/>
      <c r="AO208" s="92"/>
      <c r="AQ208" s="92"/>
      <c r="AX208" s="5"/>
      <c r="AY208" s="5"/>
      <c r="AZ208" s="5"/>
      <c r="BA208" s="5"/>
      <c r="BB208" s="5"/>
      <c r="BC208" s="5"/>
      <c r="BD208" s="5"/>
      <c r="BE208" s="5"/>
      <c r="BF208" s="5"/>
      <c r="BG208" s="5"/>
      <c r="BH208" s="5"/>
      <c r="BI208" s="5"/>
      <c r="BJ208" s="5"/>
      <c r="BK208" s="5"/>
      <c r="BL208" s="5"/>
      <c r="BM208" s="5"/>
    </row>
    <row r="209" spans="1:65" x14ac:dyDescent="0.2">
      <c r="A209" s="5"/>
      <c r="B209" s="5"/>
      <c r="C209" s="5"/>
      <c r="D209" s="5"/>
      <c r="E209" s="21"/>
      <c r="F209" s="21"/>
      <c r="G209" s="21"/>
      <c r="H209" s="5"/>
      <c r="I209" s="8"/>
      <c r="J209" s="5"/>
      <c r="K209" s="8"/>
      <c r="L209" s="5"/>
      <c r="M209" s="5"/>
      <c r="N209" s="5"/>
      <c r="O209" s="5"/>
      <c r="P209" s="78"/>
      <c r="Q209" s="21"/>
      <c r="R209" s="22"/>
      <c r="S209" s="49"/>
      <c r="T209" s="21"/>
      <c r="U209" s="21"/>
      <c r="V209" s="21"/>
      <c r="W209" s="5"/>
      <c r="X209" s="79"/>
      <c r="Y209" s="3"/>
      <c r="Z209" s="3"/>
      <c r="AA209" s="3"/>
      <c r="AB209" s="3"/>
      <c r="AC209" s="3"/>
      <c r="AD209" s="3"/>
      <c r="AE209" s="3"/>
      <c r="AG209" s="3"/>
      <c r="AO209" s="92"/>
      <c r="AQ209" s="92"/>
      <c r="AX209" s="5"/>
      <c r="AY209" s="5"/>
      <c r="AZ209" s="5"/>
      <c r="BA209" s="5"/>
      <c r="BB209" s="5"/>
      <c r="BC209" s="5"/>
      <c r="BD209" s="5"/>
      <c r="BE209" s="5"/>
      <c r="BF209" s="5"/>
      <c r="BG209" s="5"/>
      <c r="BH209" s="5"/>
      <c r="BI209" s="5"/>
      <c r="BJ209" s="5"/>
      <c r="BK209" s="5"/>
      <c r="BL209" s="5"/>
      <c r="BM209" s="5"/>
    </row>
    <row r="210" spans="1:65" x14ac:dyDescent="0.2">
      <c r="E210" s="23"/>
      <c r="F210" s="23"/>
      <c r="G210" s="23"/>
      <c r="N210" s="19"/>
      <c r="O210" s="19"/>
      <c r="P210" s="23"/>
      <c r="Q210" s="23"/>
      <c r="R210" s="23"/>
      <c r="S210" s="50"/>
      <c r="T210" s="23"/>
      <c r="U210" s="23"/>
      <c r="V210" s="23"/>
      <c r="X210" s="79"/>
      <c r="Y210" s="3"/>
      <c r="Z210" s="3"/>
      <c r="AA210" s="3"/>
      <c r="AB210" s="3"/>
      <c r="AC210" s="3"/>
      <c r="AD210" s="3"/>
      <c r="AE210" s="3"/>
      <c r="AG210" s="3"/>
      <c r="AO210" s="92"/>
      <c r="AQ210" s="92"/>
      <c r="AX210" s="5"/>
      <c r="AY210" s="5"/>
      <c r="AZ210" s="5"/>
      <c r="BA210" s="5"/>
      <c r="BB210" s="5"/>
      <c r="BC210" s="5"/>
      <c r="BD210" s="5"/>
      <c r="BE210" s="5"/>
      <c r="BF210" s="5"/>
      <c r="BG210" s="5"/>
      <c r="BH210" s="5"/>
      <c r="BI210" s="5"/>
      <c r="BJ210" s="5"/>
      <c r="BK210" s="5"/>
      <c r="BL210" s="5"/>
      <c r="BM210" s="5"/>
    </row>
    <row r="211" spans="1:65" x14ac:dyDescent="0.2">
      <c r="A211" s="5"/>
      <c r="B211" s="5"/>
      <c r="C211" s="5"/>
      <c r="D211" s="5"/>
      <c r="E211" s="22"/>
      <c r="F211" s="22"/>
      <c r="G211" s="22"/>
      <c r="H211" s="5"/>
      <c r="I211" s="5"/>
      <c r="J211" s="5"/>
      <c r="K211" s="5"/>
      <c r="L211" s="5"/>
      <c r="M211" s="5"/>
      <c r="N211" s="5"/>
      <c r="O211" s="5"/>
      <c r="P211" s="22"/>
      <c r="Q211" s="22"/>
      <c r="R211" s="22"/>
      <c r="S211" s="15"/>
      <c r="T211" s="22"/>
      <c r="U211" s="22"/>
      <c r="V211" s="22"/>
      <c r="W211" s="5"/>
      <c r="X211" s="79"/>
      <c r="Y211" s="3"/>
      <c r="Z211" s="3"/>
      <c r="AA211" s="3"/>
      <c r="AB211" s="3"/>
      <c r="AC211" s="3"/>
      <c r="AD211" s="3"/>
      <c r="AE211" s="3"/>
      <c r="AG211" s="3"/>
      <c r="AH211" s="17"/>
      <c r="AI211" s="17"/>
      <c r="AJ211" s="17"/>
      <c r="AK211" s="17"/>
      <c r="AL211" s="17"/>
      <c r="AM211" s="17"/>
      <c r="AN211" s="17"/>
      <c r="AO211" s="91"/>
      <c r="AP211" s="17"/>
      <c r="AQ211" s="91"/>
      <c r="AR211" s="17"/>
      <c r="AS211" s="17"/>
      <c r="AT211" s="17"/>
      <c r="AU211" s="17"/>
      <c r="AV211" s="17"/>
      <c r="AW211" s="17"/>
      <c r="AX211" s="5"/>
      <c r="AY211" s="5"/>
      <c r="AZ211" s="5"/>
      <c r="BA211" s="5"/>
      <c r="BB211" s="5"/>
      <c r="BC211" s="5"/>
      <c r="BD211" s="5"/>
      <c r="BE211" s="5"/>
      <c r="BF211" s="5"/>
      <c r="BG211" s="5"/>
      <c r="BH211" s="5"/>
      <c r="BI211" s="5"/>
      <c r="BJ211" s="5"/>
      <c r="BK211" s="5"/>
      <c r="BL211" s="5"/>
      <c r="BM211" s="5"/>
    </row>
    <row r="212" spans="1:65" x14ac:dyDescent="0.2">
      <c r="Q212" s="19"/>
      <c r="W212" s="23"/>
      <c r="Y212" s="50"/>
      <c r="Z212" s="50"/>
      <c r="AA212" s="50"/>
      <c r="AB212" s="50"/>
      <c r="AC212" s="23"/>
      <c r="AD212" s="3"/>
      <c r="AE212" s="3"/>
      <c r="AF212" s="10"/>
      <c r="BB212" s="79"/>
      <c r="BC212" s="79"/>
      <c r="BD212" s="79"/>
      <c r="BE212" s="79"/>
      <c r="BF212" s="79"/>
      <c r="BG212" s="79"/>
      <c r="BH212" s="79"/>
      <c r="BI212" s="79"/>
      <c r="BJ212" s="79"/>
      <c r="BK212" s="5"/>
      <c r="BL212" s="12"/>
      <c r="BM212" s="5"/>
    </row>
    <row r="213" spans="1:65" x14ac:dyDescent="0.2">
      <c r="BK213" s="79"/>
      <c r="BL213" s="3"/>
      <c r="BM213" s="3"/>
    </row>
    <row r="214" spans="1:65" x14ac:dyDescent="0.2">
      <c r="Q214" s="23"/>
      <c r="R214" s="23"/>
      <c r="S214" s="50"/>
      <c r="T214" s="23"/>
      <c r="U214" s="23"/>
      <c r="V214" s="23"/>
      <c r="X214" s="79"/>
      <c r="Y214" s="3"/>
      <c r="Z214" s="3"/>
      <c r="AA214" s="3"/>
      <c r="AB214" s="3"/>
      <c r="AC214" s="3"/>
      <c r="AD214" s="3"/>
      <c r="AE214" s="3"/>
      <c r="AG214" s="3"/>
      <c r="AO214" s="92"/>
      <c r="AQ214" s="92"/>
      <c r="AX214" s="5"/>
      <c r="AY214" s="5"/>
      <c r="AZ214" s="5"/>
      <c r="BA214" s="5"/>
      <c r="BB214" s="5"/>
      <c r="BC214" s="5"/>
      <c r="BD214" s="5"/>
      <c r="BE214" s="5"/>
      <c r="BF214" s="5"/>
      <c r="BG214" s="5"/>
      <c r="BH214" s="5"/>
      <c r="BI214" s="5"/>
      <c r="BJ214" s="5"/>
      <c r="BK214" s="5"/>
      <c r="BL214" s="5"/>
      <c r="BM214" s="5"/>
    </row>
    <row r="215" spans="1:65" x14ac:dyDescent="0.2">
      <c r="H215" s="19"/>
      <c r="Q215" s="23"/>
      <c r="R215" s="23"/>
      <c r="S215" s="50"/>
      <c r="T215" s="23"/>
      <c r="U215" s="23"/>
      <c r="V215" s="23"/>
      <c r="X215" s="79"/>
      <c r="Y215" s="3"/>
      <c r="Z215" s="3"/>
      <c r="AA215" s="3"/>
      <c r="AB215" s="3"/>
      <c r="AC215" s="3"/>
      <c r="AD215" s="3"/>
      <c r="AE215" s="3"/>
      <c r="AG215" s="3"/>
      <c r="AO215" s="92"/>
      <c r="AQ215" s="92"/>
      <c r="AX215" s="5"/>
      <c r="AY215" s="5"/>
      <c r="AZ215" s="5"/>
      <c r="BA215" s="5"/>
      <c r="BB215" s="5"/>
      <c r="BC215" s="5"/>
      <c r="BD215" s="5"/>
      <c r="BE215" s="5"/>
      <c r="BF215" s="5"/>
      <c r="BG215" s="5"/>
      <c r="BH215" s="5"/>
      <c r="BI215" s="5"/>
      <c r="BJ215" s="5"/>
      <c r="BK215" s="5"/>
      <c r="BL215" s="5"/>
      <c r="BM215" s="5"/>
    </row>
    <row r="216" spans="1:65" x14ac:dyDescent="0.2">
      <c r="E216" s="23"/>
      <c r="F216" s="23"/>
      <c r="G216" s="23"/>
      <c r="Q216" s="23"/>
      <c r="R216" s="23"/>
      <c r="S216" s="50"/>
      <c r="T216" s="23"/>
      <c r="U216" s="23"/>
      <c r="V216" s="23"/>
      <c r="X216" s="79"/>
      <c r="Y216" s="3"/>
      <c r="Z216" s="3"/>
      <c r="AA216" s="3"/>
      <c r="AB216" s="3"/>
      <c r="AC216" s="3"/>
      <c r="AD216" s="3"/>
      <c r="AE216" s="3"/>
      <c r="AG216" s="3"/>
      <c r="AO216" s="92"/>
      <c r="AQ216" s="92"/>
      <c r="AX216" s="5"/>
      <c r="AY216" s="5"/>
      <c r="AZ216" s="5"/>
      <c r="BA216" s="5"/>
      <c r="BB216" s="5"/>
      <c r="BC216" s="5"/>
      <c r="BD216" s="5"/>
      <c r="BE216" s="5"/>
      <c r="BF216" s="5"/>
      <c r="BG216" s="5"/>
      <c r="BH216" s="5"/>
      <c r="BI216" s="5"/>
      <c r="BJ216" s="5"/>
      <c r="BK216" s="5"/>
      <c r="BL216" s="5"/>
      <c r="BM216" s="5"/>
    </row>
    <row r="218" spans="1:65" x14ac:dyDescent="0.2">
      <c r="Q218" s="23"/>
      <c r="R218" s="23"/>
      <c r="S218" s="50"/>
      <c r="T218" s="23"/>
      <c r="U218" s="23"/>
      <c r="V218" s="23"/>
      <c r="X218" s="79"/>
      <c r="Y218" s="3"/>
      <c r="Z218" s="3"/>
      <c r="AA218" s="3"/>
      <c r="AB218" s="3"/>
      <c r="AC218" s="3"/>
      <c r="AD218" s="3"/>
      <c r="AE218" s="3"/>
      <c r="AG218" s="3"/>
      <c r="AO218" s="92"/>
      <c r="AQ218" s="92"/>
      <c r="AX218" s="5"/>
      <c r="AY218" s="5"/>
      <c r="AZ218" s="5"/>
      <c r="BA218" s="5"/>
      <c r="BB218" s="5"/>
      <c r="BC218" s="5"/>
      <c r="BD218" s="5"/>
      <c r="BE218" s="5"/>
      <c r="BF218" s="5"/>
      <c r="BG218" s="5"/>
      <c r="BH218" s="5"/>
      <c r="BI218" s="5"/>
      <c r="BJ218" s="5"/>
      <c r="BK218" s="5"/>
      <c r="BL218" s="5"/>
      <c r="BM218" s="5"/>
    </row>
    <row r="219" spans="1:65" x14ac:dyDescent="0.2">
      <c r="W219" s="23"/>
      <c r="Y219" s="50"/>
      <c r="Z219" s="50"/>
      <c r="AA219" s="50"/>
      <c r="AB219" s="50"/>
      <c r="AC219" s="23"/>
      <c r="AD219" s="3"/>
      <c r="AE219" s="3"/>
      <c r="AF219" s="10"/>
      <c r="BB219" s="79"/>
      <c r="BC219" s="79"/>
      <c r="BD219" s="79"/>
      <c r="BE219" s="79"/>
      <c r="BF219" s="79"/>
      <c r="BG219" s="79"/>
      <c r="BH219" s="79"/>
      <c r="BI219" s="79"/>
      <c r="BJ219" s="79"/>
      <c r="BK219" s="5"/>
      <c r="BL219" s="12"/>
      <c r="BM219" s="5"/>
    </row>
    <row r="220" spans="1:65" x14ac:dyDescent="0.2">
      <c r="E220" s="23"/>
      <c r="F220" s="23"/>
      <c r="G220" s="23"/>
      <c r="Q220" s="23"/>
      <c r="R220" s="23"/>
      <c r="S220" s="50"/>
      <c r="T220" s="23"/>
      <c r="U220" s="23"/>
      <c r="V220" s="23"/>
      <c r="X220" s="79"/>
      <c r="Y220" s="3"/>
      <c r="Z220" s="3"/>
      <c r="AA220" s="3"/>
      <c r="AB220" s="3"/>
      <c r="AC220" s="3"/>
      <c r="AD220" s="3"/>
      <c r="AE220" s="3"/>
      <c r="AG220" s="3"/>
      <c r="AO220" s="92"/>
      <c r="AQ220" s="92"/>
      <c r="AX220" s="5"/>
      <c r="AY220" s="5"/>
      <c r="AZ220" s="5"/>
      <c r="BA220" s="5"/>
      <c r="BB220" s="5"/>
      <c r="BC220" s="5"/>
      <c r="BD220" s="5"/>
      <c r="BE220" s="5"/>
      <c r="BF220" s="5"/>
      <c r="BG220" s="5"/>
      <c r="BH220" s="5"/>
      <c r="BI220" s="5"/>
      <c r="BJ220" s="5"/>
      <c r="BK220" s="5"/>
      <c r="BL220" s="5"/>
      <c r="BM220" s="5"/>
    </row>
    <row r="221" spans="1:65" x14ac:dyDescent="0.2">
      <c r="E221" s="23"/>
      <c r="F221" s="23"/>
      <c r="G221" s="23"/>
      <c r="K221" s="19"/>
      <c r="P221" s="23"/>
      <c r="Q221" s="23"/>
      <c r="R221" s="23"/>
      <c r="S221" s="50"/>
      <c r="T221" s="23"/>
      <c r="U221" s="23"/>
      <c r="V221" s="23"/>
      <c r="X221" s="79"/>
      <c r="Y221" s="3"/>
      <c r="Z221" s="3"/>
      <c r="AA221" s="3"/>
      <c r="AB221" s="3"/>
      <c r="AC221" s="3"/>
      <c r="AD221" s="3"/>
      <c r="AE221" s="3"/>
      <c r="AG221" s="3"/>
      <c r="AO221" s="92"/>
      <c r="AQ221" s="92"/>
      <c r="AX221" s="5"/>
      <c r="AY221" s="5"/>
      <c r="AZ221" s="5"/>
      <c r="BA221" s="5"/>
      <c r="BB221" s="5"/>
      <c r="BC221" s="5"/>
      <c r="BD221" s="5"/>
      <c r="BE221" s="5"/>
      <c r="BF221" s="5"/>
      <c r="BG221" s="5"/>
      <c r="BH221" s="5"/>
      <c r="BI221" s="5"/>
      <c r="BJ221" s="5"/>
      <c r="BK221" s="5"/>
      <c r="BL221" s="5"/>
      <c r="BM221" s="5"/>
    </row>
    <row r="222" spans="1:65" x14ac:dyDescent="0.2">
      <c r="W222" s="23"/>
      <c r="Y222" s="50"/>
      <c r="Z222" s="50"/>
      <c r="AA222" s="50"/>
      <c r="AB222" s="50"/>
      <c r="AC222" s="23"/>
      <c r="AD222" s="3"/>
      <c r="AE222" s="3"/>
      <c r="AF222" s="10"/>
      <c r="BB222" s="79"/>
      <c r="BC222" s="79"/>
      <c r="BD222" s="79"/>
      <c r="BE222" s="79"/>
      <c r="BF222" s="79"/>
      <c r="BG222" s="79"/>
      <c r="BH222" s="79"/>
      <c r="BI222" s="79"/>
      <c r="BJ222" s="79"/>
      <c r="BK222" s="5"/>
      <c r="BL222" s="12"/>
      <c r="BM222" s="5"/>
    </row>
    <row r="224" spans="1:65" x14ac:dyDescent="0.2">
      <c r="Q224" s="23"/>
      <c r="R224" s="23"/>
      <c r="S224" s="50"/>
      <c r="T224" s="23"/>
      <c r="U224" s="23"/>
      <c r="V224" s="23"/>
      <c r="X224" s="79"/>
      <c r="Y224" s="3"/>
      <c r="Z224" s="3"/>
      <c r="AA224" s="3"/>
      <c r="AB224" s="3"/>
      <c r="AC224" s="3"/>
      <c r="AD224" s="3"/>
      <c r="AE224" s="3"/>
      <c r="AG224" s="3"/>
      <c r="AO224" s="92"/>
      <c r="AQ224" s="92"/>
      <c r="AX224" s="5"/>
      <c r="AY224" s="5"/>
      <c r="AZ224" s="5"/>
      <c r="BA224" s="5"/>
      <c r="BB224" s="5"/>
      <c r="BC224" s="5"/>
      <c r="BD224" s="5"/>
      <c r="BE224" s="5"/>
      <c r="BF224" s="5"/>
      <c r="BG224" s="5"/>
      <c r="BH224" s="5"/>
      <c r="BI224" s="5"/>
      <c r="BJ224" s="5"/>
      <c r="BK224" s="5"/>
      <c r="BL224" s="5"/>
      <c r="BM224" s="5"/>
    </row>
    <row r="225" spans="1:66" x14ac:dyDescent="0.2">
      <c r="E225" s="23"/>
      <c r="F225" s="23"/>
      <c r="G225" s="23"/>
      <c r="Q225" s="23"/>
      <c r="R225" s="23"/>
      <c r="S225" s="50"/>
      <c r="T225" s="23"/>
      <c r="U225" s="23"/>
      <c r="V225" s="23"/>
      <c r="X225" s="79"/>
      <c r="Y225" s="3"/>
      <c r="Z225" s="3"/>
      <c r="AA225" s="3"/>
      <c r="AB225" s="3"/>
      <c r="AC225" s="3"/>
      <c r="AD225" s="3"/>
      <c r="AE225" s="3"/>
      <c r="AG225" s="3"/>
      <c r="AO225" s="92"/>
      <c r="AQ225" s="92"/>
      <c r="AX225" s="5"/>
      <c r="AY225" s="5"/>
      <c r="AZ225" s="5"/>
      <c r="BA225" s="5"/>
      <c r="BB225" s="5"/>
      <c r="BC225" s="5"/>
      <c r="BD225" s="5"/>
      <c r="BE225" s="5"/>
      <c r="BF225" s="5"/>
      <c r="BG225" s="5"/>
      <c r="BH225" s="5"/>
      <c r="BI225" s="5"/>
      <c r="BJ225" s="5"/>
      <c r="BK225" s="5"/>
      <c r="BL225" s="5"/>
      <c r="BM225" s="5"/>
    </row>
    <row r="226" spans="1:66" x14ac:dyDescent="0.2">
      <c r="BK226" s="79"/>
      <c r="BL226" s="12"/>
      <c r="BM226" s="3"/>
    </row>
    <row r="227" spans="1:66" x14ac:dyDescent="0.2">
      <c r="E227" s="23"/>
      <c r="F227" s="23"/>
      <c r="G227" s="23"/>
      <c r="K227" s="19"/>
      <c r="Q227" s="23"/>
      <c r="R227" s="23"/>
      <c r="S227" s="50"/>
      <c r="T227" s="23"/>
      <c r="U227" s="23"/>
      <c r="V227" s="23"/>
      <c r="X227" s="79"/>
      <c r="Y227" s="3"/>
      <c r="Z227" s="3"/>
      <c r="AA227" s="3"/>
      <c r="AB227" s="3"/>
      <c r="AC227" s="3"/>
      <c r="AD227" s="3"/>
      <c r="AE227" s="3"/>
      <c r="AG227" s="3"/>
      <c r="AO227" s="92"/>
      <c r="AQ227" s="92"/>
      <c r="AX227" s="5"/>
      <c r="AY227" s="5"/>
      <c r="AZ227" s="5"/>
      <c r="BA227" s="5"/>
      <c r="BB227" s="5"/>
      <c r="BC227" s="5"/>
      <c r="BD227" s="5"/>
      <c r="BE227" s="5"/>
      <c r="BF227" s="5"/>
      <c r="BG227" s="5"/>
      <c r="BH227" s="5"/>
      <c r="BI227" s="5"/>
      <c r="BJ227" s="5"/>
      <c r="BK227" s="5"/>
      <c r="BL227" s="5"/>
      <c r="BM227" s="5"/>
    </row>
    <row r="228" spans="1:66" x14ac:dyDescent="0.2">
      <c r="W228" s="23"/>
      <c r="Y228" s="50"/>
      <c r="Z228" s="50"/>
      <c r="AA228" s="50"/>
      <c r="AB228" s="50"/>
      <c r="AC228" s="23"/>
      <c r="AD228" s="3"/>
      <c r="AE228" s="3"/>
      <c r="AF228" s="10"/>
      <c r="BB228" s="79"/>
      <c r="BC228" s="79"/>
      <c r="BD228" s="79"/>
      <c r="BE228" s="79"/>
      <c r="BF228" s="79"/>
      <c r="BG228" s="79"/>
      <c r="BH228" s="79"/>
      <c r="BI228" s="79"/>
      <c r="BJ228" s="79"/>
      <c r="BK228" s="5"/>
      <c r="BL228" s="12"/>
      <c r="BM228" s="5"/>
    </row>
    <row r="229" spans="1:66" x14ac:dyDescent="0.2">
      <c r="W229" s="23"/>
      <c r="Y229" s="50"/>
      <c r="Z229" s="50"/>
      <c r="AA229" s="50"/>
      <c r="AB229" s="50"/>
      <c r="AC229" s="23"/>
      <c r="AD229" s="3"/>
      <c r="AE229" s="3"/>
      <c r="AF229" s="10"/>
      <c r="BB229" s="79"/>
      <c r="BC229" s="79"/>
      <c r="BD229" s="79"/>
      <c r="BE229" s="79"/>
      <c r="BF229" s="79"/>
      <c r="BG229" s="79"/>
      <c r="BH229" s="79"/>
      <c r="BI229" s="79"/>
      <c r="BJ229" s="79"/>
      <c r="BK229" s="5"/>
      <c r="BL229" s="12"/>
      <c r="BM229" s="5"/>
      <c r="BN229" s="5"/>
    </row>
    <row r="230" spans="1:66" x14ac:dyDescent="0.2">
      <c r="A230" s="5"/>
      <c r="B230" s="5"/>
      <c r="C230" s="5"/>
      <c r="D230" s="5"/>
      <c r="E230" s="22"/>
      <c r="F230" s="22"/>
      <c r="G230" s="22"/>
      <c r="H230" s="5"/>
      <c r="I230" s="5"/>
      <c r="J230" s="5"/>
      <c r="K230" s="5"/>
      <c r="L230" s="5"/>
      <c r="M230" s="5"/>
      <c r="N230" s="5"/>
      <c r="O230" s="5"/>
      <c r="P230" s="5"/>
      <c r="Q230" s="22"/>
      <c r="R230" s="22"/>
      <c r="S230" s="15"/>
      <c r="T230" s="22"/>
      <c r="U230" s="22"/>
      <c r="V230" s="22"/>
      <c r="W230" s="5"/>
      <c r="X230" s="79"/>
      <c r="Y230" s="3"/>
      <c r="Z230" s="3"/>
      <c r="AA230" s="3"/>
      <c r="AB230" s="3"/>
      <c r="AC230" s="3"/>
      <c r="AD230" s="3"/>
      <c r="AE230" s="3"/>
      <c r="AG230" s="3"/>
      <c r="AH230" s="17"/>
      <c r="AI230" s="17"/>
      <c r="AJ230" s="17"/>
      <c r="AK230" s="17"/>
      <c r="AL230" s="17"/>
      <c r="AM230" s="17"/>
      <c r="AN230" s="17"/>
      <c r="AO230" s="91"/>
      <c r="AP230" s="17"/>
      <c r="AQ230" s="91"/>
      <c r="AR230" s="17"/>
      <c r="AS230" s="17"/>
      <c r="AT230" s="17"/>
      <c r="AU230" s="17"/>
      <c r="AV230" s="17"/>
      <c r="AW230" s="17"/>
      <c r="AX230" s="5"/>
      <c r="AY230" s="5"/>
      <c r="AZ230" s="5"/>
      <c r="BA230" s="5"/>
      <c r="BB230" s="5"/>
      <c r="BC230" s="5"/>
      <c r="BD230" s="5"/>
      <c r="BE230" s="5"/>
      <c r="BF230" s="5"/>
      <c r="BG230" s="5"/>
      <c r="BH230" s="5"/>
      <c r="BI230" s="5"/>
      <c r="BJ230" s="5"/>
      <c r="BK230" s="5"/>
      <c r="BL230" s="5"/>
      <c r="BM230" s="5"/>
    </row>
    <row r="231" spans="1:66" x14ac:dyDescent="0.2">
      <c r="P231" s="19"/>
      <c r="W231" s="23"/>
      <c r="Y231" s="50"/>
      <c r="Z231" s="50"/>
      <c r="AA231" s="50"/>
      <c r="AB231" s="50"/>
      <c r="AC231" s="23"/>
      <c r="AD231" s="3"/>
      <c r="AE231" s="3"/>
      <c r="AF231" s="10"/>
      <c r="BB231" s="79"/>
      <c r="BC231" s="79"/>
      <c r="BD231" s="79"/>
      <c r="BE231" s="79"/>
      <c r="BF231" s="79"/>
      <c r="BG231" s="79"/>
      <c r="BH231" s="79"/>
      <c r="BI231" s="79"/>
      <c r="BJ231" s="79"/>
      <c r="BK231" s="5"/>
      <c r="BL231" s="12"/>
      <c r="BM231" s="5"/>
    </row>
    <row r="232" spans="1:66" x14ac:dyDescent="0.2">
      <c r="A232" s="5"/>
      <c r="B232" s="5"/>
      <c r="C232" s="5"/>
      <c r="D232" s="5"/>
      <c r="E232" s="22"/>
      <c r="F232" s="22"/>
      <c r="G232" s="22"/>
      <c r="H232" s="12"/>
      <c r="I232" s="12"/>
      <c r="J232" s="12"/>
      <c r="K232" s="11"/>
      <c r="L232" s="12"/>
      <c r="M232" s="12"/>
      <c r="N232" s="12"/>
      <c r="O232" s="12"/>
      <c r="P232" s="12"/>
      <c r="Q232" s="22"/>
      <c r="R232" s="22"/>
      <c r="S232" s="15"/>
      <c r="T232" s="88"/>
      <c r="U232" s="88"/>
      <c r="V232" s="88"/>
      <c r="W232" s="11"/>
      <c r="X232" s="5"/>
      <c r="Y232" s="5"/>
      <c r="Z232" s="5"/>
      <c r="AA232" s="5"/>
      <c r="AB232" s="5"/>
      <c r="AC232" s="5"/>
      <c r="AD232" s="5"/>
      <c r="AE232" s="5"/>
      <c r="AF232" s="5"/>
      <c r="AG232" s="5"/>
      <c r="AH232" s="16"/>
      <c r="AI232" s="16"/>
      <c r="AJ232" s="16"/>
      <c r="AK232" s="16"/>
      <c r="AL232" s="16"/>
      <c r="AM232" s="16"/>
      <c r="AN232" s="16"/>
      <c r="AO232" s="90"/>
      <c r="AP232" s="16"/>
      <c r="AQ232" s="90"/>
      <c r="AR232" s="16"/>
      <c r="AS232" s="16"/>
      <c r="AT232" s="16"/>
      <c r="AU232" s="16"/>
      <c r="AV232" s="16"/>
      <c r="AW232" s="16"/>
      <c r="AX232" s="5"/>
      <c r="AY232" s="5"/>
      <c r="AZ232" s="5"/>
      <c r="BA232" s="5"/>
      <c r="BB232" s="5"/>
      <c r="BC232" s="5"/>
      <c r="BD232" s="5"/>
      <c r="BE232" s="5"/>
      <c r="BF232" s="5"/>
      <c r="BG232" s="5"/>
      <c r="BH232" s="5"/>
      <c r="BI232" s="5"/>
      <c r="BJ232" s="5"/>
      <c r="BK232" s="5"/>
      <c r="BL232" s="5"/>
      <c r="BM232" s="5"/>
    </row>
    <row r="233" spans="1:66" x14ac:dyDescent="0.2">
      <c r="W233" s="23"/>
      <c r="Y233" s="50"/>
      <c r="Z233" s="50"/>
      <c r="AA233" s="50"/>
      <c r="AB233" s="50"/>
      <c r="AC233" s="23"/>
      <c r="AD233" s="3"/>
      <c r="AE233" s="3"/>
      <c r="AF233" s="10"/>
      <c r="BB233" s="79"/>
      <c r="BC233" s="79"/>
      <c r="BD233" s="79"/>
      <c r="BE233" s="79"/>
      <c r="BF233" s="79"/>
      <c r="BG233" s="79"/>
      <c r="BH233" s="79"/>
      <c r="BI233" s="79"/>
      <c r="BJ233" s="79"/>
      <c r="BK233" s="5"/>
      <c r="BL233" s="12"/>
      <c r="BM233" s="5"/>
    </row>
    <row r="234" spans="1:66" x14ac:dyDescent="0.2">
      <c r="Q234" s="23"/>
      <c r="R234" s="23"/>
      <c r="S234" s="50"/>
      <c r="T234" s="23"/>
      <c r="U234" s="23"/>
      <c r="V234" s="23"/>
      <c r="X234" s="79"/>
      <c r="Y234" s="3"/>
      <c r="Z234" s="3"/>
      <c r="AA234" s="3"/>
      <c r="AB234" s="3"/>
      <c r="AC234" s="3"/>
      <c r="AD234" s="3"/>
      <c r="AE234" s="3"/>
      <c r="AG234" s="3"/>
      <c r="AO234" s="92"/>
      <c r="AQ234" s="92"/>
      <c r="AX234" s="5"/>
      <c r="AY234" s="5"/>
      <c r="AZ234" s="5"/>
      <c r="BA234" s="5"/>
      <c r="BB234" s="5"/>
      <c r="BC234" s="5"/>
      <c r="BD234" s="5"/>
      <c r="BE234" s="5"/>
      <c r="BF234" s="5"/>
      <c r="BG234" s="5"/>
      <c r="BH234" s="5"/>
      <c r="BI234" s="5"/>
      <c r="BJ234" s="5"/>
      <c r="BK234" s="5"/>
      <c r="BL234" s="5"/>
      <c r="BM234" s="5"/>
    </row>
    <row r="235" spans="1:66" x14ac:dyDescent="0.2">
      <c r="R235" s="94"/>
      <c r="T235" s="94"/>
      <c r="U235" s="94"/>
      <c r="V235" s="94"/>
      <c r="W235" s="23"/>
      <c r="Y235" s="50"/>
      <c r="Z235" s="50"/>
      <c r="AA235" s="50"/>
      <c r="AB235" s="50"/>
      <c r="AC235" s="23"/>
      <c r="AD235" s="3"/>
      <c r="AE235" s="3"/>
      <c r="AF235" s="10"/>
      <c r="BB235" s="79"/>
      <c r="BC235" s="79"/>
      <c r="BD235" s="79"/>
      <c r="BE235" s="79"/>
      <c r="BF235" s="79"/>
      <c r="BG235" s="79"/>
      <c r="BH235" s="79"/>
      <c r="BI235" s="79"/>
      <c r="BJ235" s="79"/>
      <c r="BK235" s="5"/>
      <c r="BL235" s="12"/>
      <c r="BM235" s="5"/>
    </row>
  </sheetData>
  <autoFilter ref="A1:BO235">
    <sortState ref="A2:BS226">
      <sortCondition descending="1" ref="BM1:BM226"/>
    </sortState>
  </autoFilter>
  <phoneticPr fontId="9" type="noConversion"/>
  <conditionalFormatting sqref="E1:K1">
    <cfRule type="cellIs" dxfId="15" priority="8" stopIfTrue="1" operator="equal">
      <formula>222222</formula>
    </cfRule>
  </conditionalFormatting>
  <conditionalFormatting sqref="E2:W12">
    <cfRule type="cellIs" dxfId="14" priority="1" stopIfTrue="1" operator="equal">
      <formula>"!Error!"</formula>
    </cfRule>
  </conditionalFormatting>
  <pageMargins left="0.75" right="0.75" top="1" bottom="1" header="0.5" footer="0.5"/>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27"/>
  <sheetViews>
    <sheetView tabSelected="1" topLeftCell="A10" zoomScale="90" zoomScaleNormal="90" zoomScalePageLayoutView="90" workbookViewId="0">
      <selection activeCell="C7" sqref="C7"/>
    </sheetView>
  </sheetViews>
  <sheetFormatPr defaultColWidth="8.85546875" defaultRowHeight="12.75" x14ac:dyDescent="0.2"/>
  <cols>
    <col min="1" max="1" width="4.42578125" style="100" bestFit="1" customWidth="1"/>
    <col min="2" max="2" width="228" style="100" customWidth="1"/>
    <col min="3" max="3" width="40.85546875" style="100" customWidth="1"/>
    <col min="4" max="4" width="40.140625" style="100" customWidth="1"/>
    <col min="5" max="5" width="34" style="100" customWidth="1"/>
    <col min="6" max="16384" width="8.85546875" style="100"/>
  </cols>
  <sheetData>
    <row r="1" spans="1:5" x14ac:dyDescent="0.2">
      <c r="A1" s="98"/>
      <c r="B1" s="99"/>
      <c r="C1" s="99" t="s">
        <v>44</v>
      </c>
      <c r="D1" s="99"/>
      <c r="E1" s="99" t="s">
        <v>44</v>
      </c>
    </row>
    <row r="2" spans="1:5" ht="36" customHeight="1" x14ac:dyDescent="0.2">
      <c r="A2" s="98"/>
      <c r="B2" s="99" t="s">
        <v>74</v>
      </c>
      <c r="C2" s="99" t="s">
        <v>46</v>
      </c>
      <c r="D2" s="99"/>
      <c r="E2" s="99" t="s">
        <v>45</v>
      </c>
    </row>
    <row r="3" spans="1:5" x14ac:dyDescent="0.2">
      <c r="A3" s="79">
        <v>143</v>
      </c>
      <c r="B3" s="3" t="s">
        <v>288</v>
      </c>
      <c r="C3" s="89">
        <v>0</v>
      </c>
      <c r="D3" s="102"/>
      <c r="E3" s="89"/>
    </row>
    <row r="4" spans="1:5" x14ac:dyDescent="0.2">
      <c r="A4" s="79">
        <v>276</v>
      </c>
      <c r="B4" s="50">
        <v>0</v>
      </c>
      <c r="C4" s="89">
        <v>0</v>
      </c>
      <c r="D4" s="102"/>
      <c r="E4" s="89"/>
    </row>
    <row r="5" spans="1:5" x14ac:dyDescent="0.2">
      <c r="A5" s="11">
        <v>278</v>
      </c>
      <c r="B5" s="49">
        <v>0</v>
      </c>
      <c r="C5" s="89">
        <v>0</v>
      </c>
      <c r="D5" s="102"/>
      <c r="E5" s="89"/>
    </row>
    <row r="6" spans="1:5" x14ac:dyDescent="0.2">
      <c r="A6" s="79">
        <v>279</v>
      </c>
      <c r="B6" s="50" t="s">
        <v>296</v>
      </c>
      <c r="C6" s="89">
        <v>1</v>
      </c>
      <c r="D6" s="102"/>
      <c r="E6" s="89"/>
    </row>
    <row r="7" spans="1:5" x14ac:dyDescent="0.2">
      <c r="A7" s="79">
        <v>281</v>
      </c>
      <c r="B7" s="3" t="s">
        <v>298</v>
      </c>
      <c r="C7" s="89">
        <v>1</v>
      </c>
      <c r="D7" s="102"/>
      <c r="E7" s="89"/>
    </row>
    <row r="8" spans="1:5" x14ac:dyDescent="0.2">
      <c r="A8" s="79">
        <v>282</v>
      </c>
      <c r="B8" s="50">
        <v>0</v>
      </c>
      <c r="C8" s="89">
        <v>0</v>
      </c>
      <c r="D8" s="101"/>
      <c r="E8" s="89"/>
    </row>
    <row r="9" spans="1:5" x14ac:dyDescent="0.2">
      <c r="A9" s="11">
        <v>283</v>
      </c>
      <c r="B9" s="49" t="s">
        <v>301</v>
      </c>
      <c r="C9" s="89">
        <v>1</v>
      </c>
      <c r="D9" s="101"/>
      <c r="E9" s="89"/>
    </row>
    <row r="10" spans="1:5" ht="25.5" x14ac:dyDescent="0.2">
      <c r="A10" s="11">
        <v>284</v>
      </c>
      <c r="B10" s="224" t="s">
        <v>303</v>
      </c>
      <c r="C10" s="89">
        <v>0</v>
      </c>
      <c r="D10" s="101"/>
      <c r="E10" s="89"/>
    </row>
    <row r="11" spans="1:5" x14ac:dyDescent="0.2">
      <c r="A11" s="79">
        <v>285</v>
      </c>
      <c r="B11" s="3" t="s">
        <v>308</v>
      </c>
      <c r="C11" s="89">
        <v>2</v>
      </c>
      <c r="D11" s="101"/>
      <c r="E11" s="89"/>
    </row>
    <row r="12" spans="1:5" x14ac:dyDescent="0.2">
      <c r="A12" s="79">
        <v>286</v>
      </c>
      <c r="B12" s="3">
        <v>0</v>
      </c>
      <c r="C12" s="89">
        <v>0</v>
      </c>
      <c r="D12" s="101"/>
      <c r="E12" s="89"/>
    </row>
    <row r="13" spans="1:5" x14ac:dyDescent="0.2">
      <c r="A13" s="79">
        <v>287</v>
      </c>
      <c r="B13" s="3">
        <v>0</v>
      </c>
      <c r="C13" s="89">
        <v>0</v>
      </c>
      <c r="D13" s="101"/>
      <c r="E13" s="89"/>
    </row>
    <row r="14" spans="1:5" x14ac:dyDescent="0.2">
      <c r="A14" s="79">
        <v>288</v>
      </c>
      <c r="B14" s="50" t="s">
        <v>313</v>
      </c>
      <c r="C14" s="89">
        <v>0</v>
      </c>
      <c r="D14" s="101"/>
      <c r="E14" s="89"/>
    </row>
    <row r="15" spans="1:5" x14ac:dyDescent="0.2">
      <c r="A15" s="79">
        <v>289</v>
      </c>
      <c r="B15" s="50" t="s">
        <v>315</v>
      </c>
      <c r="C15" s="89">
        <v>2</v>
      </c>
      <c r="D15" s="101"/>
      <c r="E15" s="89"/>
    </row>
    <row r="16" spans="1:5" x14ac:dyDescent="0.2">
      <c r="A16" s="79">
        <v>290</v>
      </c>
      <c r="B16" s="3" t="s">
        <v>317</v>
      </c>
      <c r="C16" s="89">
        <v>2</v>
      </c>
      <c r="D16" s="101"/>
      <c r="E16" s="89"/>
    </row>
    <row r="17" spans="1:5" x14ac:dyDescent="0.2">
      <c r="A17" s="79">
        <v>291</v>
      </c>
      <c r="B17" s="3" t="s">
        <v>318</v>
      </c>
      <c r="C17" s="89">
        <v>1</v>
      </c>
      <c r="D17" s="101"/>
      <c r="E17" s="89"/>
    </row>
    <row r="18" spans="1:5" x14ac:dyDescent="0.2">
      <c r="A18" s="79">
        <v>293</v>
      </c>
      <c r="B18" s="3" t="s">
        <v>320</v>
      </c>
      <c r="C18" s="89">
        <v>1</v>
      </c>
      <c r="D18" s="101"/>
      <c r="E18" s="89"/>
    </row>
    <row r="19" spans="1:5" x14ac:dyDescent="0.2">
      <c r="A19" s="79">
        <v>294</v>
      </c>
      <c r="B19" s="3" t="s">
        <v>320</v>
      </c>
      <c r="C19" s="89">
        <v>1</v>
      </c>
      <c r="D19" s="101"/>
      <c r="E19" s="89"/>
    </row>
    <row r="20" spans="1:5" x14ac:dyDescent="0.2">
      <c r="A20" s="79">
        <v>295</v>
      </c>
      <c r="B20" s="50" t="s">
        <v>322</v>
      </c>
      <c r="C20" s="89">
        <v>0</v>
      </c>
      <c r="D20" s="101"/>
      <c r="E20" s="89"/>
    </row>
    <row r="21" spans="1:5" x14ac:dyDescent="0.2">
      <c r="A21" s="79">
        <v>297</v>
      </c>
      <c r="B21" s="3" t="s">
        <v>324</v>
      </c>
      <c r="C21" s="89">
        <v>0</v>
      </c>
      <c r="D21" s="101"/>
      <c r="E21" s="89"/>
    </row>
    <row r="22" spans="1:5" x14ac:dyDescent="0.2">
      <c r="A22" s="79">
        <v>298</v>
      </c>
      <c r="B22" s="3" t="s">
        <v>325</v>
      </c>
      <c r="C22" s="89">
        <v>0</v>
      </c>
      <c r="D22" s="101"/>
      <c r="E22" s="89"/>
    </row>
    <row r="23" spans="1:5" x14ac:dyDescent="0.2">
      <c r="A23" s="79">
        <v>299</v>
      </c>
      <c r="B23" s="50" t="s">
        <v>327</v>
      </c>
      <c r="C23" s="89">
        <v>2</v>
      </c>
      <c r="D23" s="101"/>
      <c r="E23" s="89"/>
    </row>
    <row r="24" spans="1:5" x14ac:dyDescent="0.2">
      <c r="A24" s="11">
        <v>300</v>
      </c>
      <c r="B24" s="15" t="s">
        <v>330</v>
      </c>
      <c r="C24" s="89">
        <v>0</v>
      </c>
      <c r="D24" s="101"/>
      <c r="E24" s="89"/>
    </row>
    <row r="25" spans="1:5" x14ac:dyDescent="0.2">
      <c r="A25" s="79">
        <v>301</v>
      </c>
      <c r="B25" s="5" t="s">
        <v>332</v>
      </c>
      <c r="C25" s="89">
        <v>2</v>
      </c>
      <c r="D25" s="101"/>
      <c r="E25" s="89"/>
    </row>
    <row r="26" spans="1:5" x14ac:dyDescent="0.2">
      <c r="A26" s="11">
        <v>302</v>
      </c>
      <c r="B26" s="15" t="s">
        <v>320</v>
      </c>
      <c r="C26" s="89">
        <v>1</v>
      </c>
      <c r="D26" s="101"/>
      <c r="E26" s="89"/>
    </row>
    <row r="27" spans="1:5" x14ac:dyDescent="0.2">
      <c r="A27" s="79">
        <v>303</v>
      </c>
      <c r="B27" s="5" t="s">
        <v>335</v>
      </c>
      <c r="C27" s="89">
        <v>2</v>
      </c>
      <c r="D27" s="101"/>
      <c r="E27" s="89"/>
    </row>
    <row r="28" spans="1:5" x14ac:dyDescent="0.2">
      <c r="A28" s="79">
        <v>304</v>
      </c>
      <c r="B28" s="50">
        <v>0</v>
      </c>
      <c r="C28" s="89">
        <v>0</v>
      </c>
      <c r="D28" s="101"/>
      <c r="E28" s="89"/>
    </row>
    <row r="29" spans="1:5" x14ac:dyDescent="0.2">
      <c r="A29" s="79">
        <v>284</v>
      </c>
      <c r="B29" s="50" t="s">
        <v>338</v>
      </c>
      <c r="C29" s="89">
        <v>0</v>
      </c>
      <c r="D29" s="101"/>
      <c r="E29" s="89"/>
    </row>
    <row r="30" spans="1:5" x14ac:dyDescent="0.2">
      <c r="A30" s="79">
        <v>306</v>
      </c>
      <c r="B30" s="50">
        <v>0</v>
      </c>
      <c r="C30" s="89">
        <v>0</v>
      </c>
      <c r="D30" s="101"/>
      <c r="E30" s="89"/>
    </row>
    <row r="31" spans="1:5" x14ac:dyDescent="0.2">
      <c r="A31" s="79">
        <v>307</v>
      </c>
      <c r="B31" s="50">
        <v>0</v>
      </c>
      <c r="C31" s="89">
        <v>0</v>
      </c>
      <c r="D31" s="103"/>
      <c r="E31" s="89"/>
    </row>
    <row r="32" spans="1:5" x14ac:dyDescent="0.2">
      <c r="A32" s="11">
        <v>308</v>
      </c>
      <c r="B32" s="49" t="s">
        <v>341</v>
      </c>
      <c r="C32" s="89">
        <v>0</v>
      </c>
      <c r="D32" s="103"/>
      <c r="E32" s="89"/>
    </row>
    <row r="33" spans="1:5" x14ac:dyDescent="0.2">
      <c r="A33" s="79">
        <v>310</v>
      </c>
      <c r="B33" s="3" t="s">
        <v>342</v>
      </c>
      <c r="C33" s="89">
        <v>2</v>
      </c>
      <c r="D33" s="103"/>
      <c r="E33" s="89"/>
    </row>
    <row r="34" spans="1:5" x14ac:dyDescent="0.2">
      <c r="A34" s="79">
        <v>311</v>
      </c>
      <c r="B34" s="3">
        <v>0</v>
      </c>
      <c r="C34" s="89">
        <v>0</v>
      </c>
      <c r="D34" s="103"/>
      <c r="E34" s="89"/>
    </row>
    <row r="35" spans="1:5" x14ac:dyDescent="0.2">
      <c r="A35" s="79">
        <v>312</v>
      </c>
      <c r="B35" s="3" t="s">
        <v>344</v>
      </c>
      <c r="C35" s="89">
        <v>1</v>
      </c>
      <c r="D35" s="103"/>
      <c r="E35" s="89"/>
    </row>
    <row r="36" spans="1:5" x14ac:dyDescent="0.2">
      <c r="A36" s="79">
        <v>313</v>
      </c>
      <c r="B36" s="3">
        <v>0</v>
      </c>
      <c r="C36" s="89">
        <v>0</v>
      </c>
      <c r="D36" s="103"/>
      <c r="E36" s="89"/>
    </row>
    <row r="37" spans="1:5" x14ac:dyDescent="0.2">
      <c r="A37" s="79">
        <v>314</v>
      </c>
      <c r="B37" s="50" t="s">
        <v>346</v>
      </c>
      <c r="C37" s="89">
        <v>2</v>
      </c>
      <c r="D37" s="103"/>
      <c r="E37" s="89"/>
    </row>
    <row r="38" spans="1:5" x14ac:dyDescent="0.2">
      <c r="A38" s="79">
        <v>316</v>
      </c>
      <c r="B38" s="3" t="s">
        <v>348</v>
      </c>
      <c r="C38" s="89">
        <v>1</v>
      </c>
      <c r="D38" s="103"/>
      <c r="E38" s="89"/>
    </row>
    <row r="39" spans="1:5" x14ac:dyDescent="0.2">
      <c r="A39" s="79">
        <v>317</v>
      </c>
      <c r="B39" s="50" t="s">
        <v>349</v>
      </c>
      <c r="C39" s="89">
        <v>2</v>
      </c>
      <c r="D39" s="103"/>
      <c r="E39" s="89"/>
    </row>
    <row r="40" spans="1:5" x14ac:dyDescent="0.2">
      <c r="A40" s="79">
        <v>318</v>
      </c>
      <c r="B40" s="50" t="s">
        <v>351</v>
      </c>
      <c r="C40" s="89">
        <v>1</v>
      </c>
      <c r="D40" s="103"/>
      <c r="E40" s="89"/>
    </row>
    <row r="41" spans="1:5" x14ac:dyDescent="0.2">
      <c r="A41" s="79">
        <v>319</v>
      </c>
      <c r="B41" s="50" t="s">
        <v>353</v>
      </c>
      <c r="C41" s="89">
        <v>2</v>
      </c>
      <c r="D41" s="103"/>
      <c r="E41" s="89"/>
    </row>
    <row r="42" spans="1:5" x14ac:dyDescent="0.2">
      <c r="A42" s="79">
        <v>320</v>
      </c>
      <c r="B42" s="3" t="s">
        <v>356</v>
      </c>
      <c r="C42" s="89">
        <v>1</v>
      </c>
      <c r="D42" s="103"/>
      <c r="E42" s="89"/>
    </row>
    <row r="43" spans="1:5" x14ac:dyDescent="0.2">
      <c r="A43" s="79">
        <v>321</v>
      </c>
      <c r="B43" s="50" t="s">
        <v>358</v>
      </c>
      <c r="C43" s="89">
        <v>2</v>
      </c>
      <c r="D43" s="103"/>
      <c r="E43" s="89"/>
    </row>
    <row r="44" spans="1:5" x14ac:dyDescent="0.2">
      <c r="A44" s="79">
        <v>322</v>
      </c>
      <c r="B44" s="15" t="s">
        <v>335</v>
      </c>
      <c r="C44" s="89">
        <v>2</v>
      </c>
      <c r="D44" s="103"/>
      <c r="E44" s="89"/>
    </row>
    <row r="45" spans="1:5" x14ac:dyDescent="0.2">
      <c r="A45" s="79">
        <v>323</v>
      </c>
      <c r="B45" s="3" t="s">
        <v>361</v>
      </c>
      <c r="C45" s="89">
        <v>2</v>
      </c>
      <c r="D45" s="103"/>
      <c r="E45" s="89"/>
    </row>
    <row r="46" spans="1:5" x14ac:dyDescent="0.2">
      <c r="A46" s="79">
        <v>324</v>
      </c>
      <c r="B46" s="3" t="s">
        <v>363</v>
      </c>
      <c r="C46" s="89">
        <v>1</v>
      </c>
      <c r="D46" s="103"/>
      <c r="E46" s="89"/>
    </row>
    <row r="47" spans="1:5" x14ac:dyDescent="0.2">
      <c r="A47" s="79">
        <v>325</v>
      </c>
      <c r="B47" s="3" t="s">
        <v>365</v>
      </c>
      <c r="C47" s="89">
        <v>1</v>
      </c>
      <c r="D47" s="103"/>
      <c r="E47" s="89"/>
    </row>
    <row r="48" spans="1:5" x14ac:dyDescent="0.2">
      <c r="A48" s="79">
        <v>326</v>
      </c>
      <c r="B48" s="5" t="s">
        <v>335</v>
      </c>
      <c r="C48" s="89">
        <v>2</v>
      </c>
      <c r="D48" s="103"/>
      <c r="E48" s="89"/>
    </row>
    <row r="49" spans="1:5" x14ac:dyDescent="0.2">
      <c r="A49" s="79">
        <v>327</v>
      </c>
      <c r="B49" s="3" t="s">
        <v>366</v>
      </c>
      <c r="C49" s="89">
        <v>0</v>
      </c>
      <c r="D49" s="103"/>
      <c r="E49" s="89"/>
    </row>
    <row r="50" spans="1:5" x14ac:dyDescent="0.2">
      <c r="A50" s="79">
        <v>328</v>
      </c>
      <c r="B50" s="3" t="s">
        <v>368</v>
      </c>
      <c r="C50" s="89">
        <v>2</v>
      </c>
      <c r="D50" s="103"/>
      <c r="E50" s="89"/>
    </row>
    <row r="51" spans="1:5" x14ac:dyDescent="0.2">
      <c r="A51" s="11">
        <v>329</v>
      </c>
      <c r="B51" s="15" t="s">
        <v>369</v>
      </c>
      <c r="C51" s="89">
        <v>0</v>
      </c>
      <c r="D51" s="103"/>
      <c r="E51" s="89"/>
    </row>
    <row r="52" spans="1:5" x14ac:dyDescent="0.2">
      <c r="A52" s="79">
        <v>330</v>
      </c>
      <c r="B52" s="3" t="s">
        <v>371</v>
      </c>
      <c r="C52" s="89">
        <v>1</v>
      </c>
      <c r="D52" s="103"/>
      <c r="E52" s="89"/>
    </row>
    <row r="53" spans="1:5" x14ac:dyDescent="0.2">
      <c r="A53" s="79">
        <v>331</v>
      </c>
      <c r="B53" s="50" t="s">
        <v>373</v>
      </c>
      <c r="C53" s="89">
        <v>1</v>
      </c>
      <c r="D53" s="103"/>
      <c r="E53" s="89"/>
    </row>
    <row r="54" spans="1:5" x14ac:dyDescent="0.2">
      <c r="A54" s="79">
        <v>332</v>
      </c>
      <c r="B54" s="50" t="s">
        <v>375</v>
      </c>
      <c r="C54" s="89">
        <v>1</v>
      </c>
      <c r="D54" s="103"/>
      <c r="E54" s="89"/>
    </row>
    <row r="55" spans="1:5" x14ac:dyDescent="0.2">
      <c r="A55" s="79">
        <v>333</v>
      </c>
      <c r="B55" s="3" t="s">
        <v>376</v>
      </c>
      <c r="C55" s="89">
        <v>0</v>
      </c>
      <c r="D55" s="103"/>
      <c r="E55" s="89"/>
    </row>
    <row r="56" spans="1:5" x14ac:dyDescent="0.2">
      <c r="A56" s="234">
        <v>334</v>
      </c>
      <c r="B56" s="49">
        <v>0</v>
      </c>
      <c r="C56" s="89">
        <v>0</v>
      </c>
      <c r="D56" s="103"/>
      <c r="E56" s="89"/>
    </row>
    <row r="57" spans="1:5" x14ac:dyDescent="0.2">
      <c r="A57" s="79">
        <v>335</v>
      </c>
      <c r="B57" s="3" t="s">
        <v>377</v>
      </c>
      <c r="C57" s="89">
        <v>0</v>
      </c>
      <c r="D57" s="103"/>
      <c r="E57" s="89"/>
    </row>
    <row r="58" spans="1:5" x14ac:dyDescent="0.2">
      <c r="A58" s="79">
        <v>337</v>
      </c>
      <c r="B58" s="3">
        <v>0</v>
      </c>
      <c r="C58" s="89">
        <v>0</v>
      </c>
      <c r="D58" s="103"/>
      <c r="E58" s="89"/>
    </row>
    <row r="59" spans="1:5" x14ac:dyDescent="0.2">
      <c r="A59" s="79">
        <v>339</v>
      </c>
      <c r="B59" s="3" t="s">
        <v>380</v>
      </c>
      <c r="C59" s="89">
        <v>2</v>
      </c>
      <c r="D59" s="103"/>
      <c r="E59" s="89"/>
    </row>
    <row r="60" spans="1:5" x14ac:dyDescent="0.2">
      <c r="A60" s="11">
        <v>340</v>
      </c>
      <c r="B60" s="15" t="s">
        <v>382</v>
      </c>
      <c r="C60" s="89">
        <v>2</v>
      </c>
      <c r="D60" s="103"/>
      <c r="E60" s="89"/>
    </row>
    <row r="61" spans="1:5" x14ac:dyDescent="0.2">
      <c r="A61" s="79">
        <v>341</v>
      </c>
      <c r="B61" s="15" t="s">
        <v>384</v>
      </c>
      <c r="C61" s="89">
        <v>2</v>
      </c>
      <c r="D61" s="103"/>
      <c r="E61" s="89"/>
    </row>
    <row r="62" spans="1:5" x14ac:dyDescent="0.2">
      <c r="A62" s="79">
        <v>342</v>
      </c>
      <c r="B62" s="50" t="s">
        <v>386</v>
      </c>
      <c r="C62" s="89">
        <v>2</v>
      </c>
      <c r="D62" s="103"/>
      <c r="E62" s="89"/>
    </row>
    <row r="63" spans="1:5" x14ac:dyDescent="0.2">
      <c r="A63" s="79">
        <v>343</v>
      </c>
      <c r="B63" s="50" t="s">
        <v>387</v>
      </c>
      <c r="C63" s="89">
        <v>1</v>
      </c>
      <c r="D63" s="103"/>
      <c r="E63" s="89"/>
    </row>
    <row r="64" spans="1:5" x14ac:dyDescent="0.2">
      <c r="A64" s="79">
        <v>344</v>
      </c>
      <c r="B64" s="50">
        <v>0</v>
      </c>
      <c r="C64" s="89">
        <v>0</v>
      </c>
      <c r="D64" s="103"/>
      <c r="E64" s="89"/>
    </row>
    <row r="65" spans="1:5" x14ac:dyDescent="0.2">
      <c r="A65" s="79">
        <v>345</v>
      </c>
      <c r="B65" s="50" t="s">
        <v>390</v>
      </c>
      <c r="C65" s="89">
        <v>2</v>
      </c>
      <c r="D65" s="103"/>
      <c r="E65" s="89"/>
    </row>
    <row r="66" spans="1:5" x14ac:dyDescent="0.2">
      <c r="A66" s="79">
        <v>346</v>
      </c>
      <c r="B66" s="50" t="s">
        <v>391</v>
      </c>
      <c r="C66" s="89">
        <v>2</v>
      </c>
      <c r="D66" s="103"/>
      <c r="E66" s="89"/>
    </row>
    <row r="67" spans="1:5" x14ac:dyDescent="0.2">
      <c r="A67" s="79">
        <v>347</v>
      </c>
      <c r="B67" s="50" t="s">
        <v>392</v>
      </c>
      <c r="C67" s="89"/>
      <c r="D67" s="103"/>
      <c r="E67" s="89"/>
    </row>
    <row r="68" spans="1:5" x14ac:dyDescent="0.2">
      <c r="A68" s="79">
        <v>348</v>
      </c>
      <c r="B68" s="3" t="s">
        <v>396</v>
      </c>
      <c r="C68" s="89">
        <v>0</v>
      </c>
      <c r="D68" s="103"/>
      <c r="E68" s="89"/>
    </row>
    <row r="69" spans="1:5" x14ac:dyDescent="0.2">
      <c r="A69" s="79">
        <v>351</v>
      </c>
      <c r="B69" s="3" t="s">
        <v>397</v>
      </c>
      <c r="C69" s="89">
        <v>1</v>
      </c>
      <c r="D69" s="103"/>
      <c r="E69" s="89"/>
    </row>
    <row r="70" spans="1:5" x14ac:dyDescent="0.2">
      <c r="A70" s="11">
        <v>352</v>
      </c>
      <c r="B70" s="15" t="s">
        <v>399</v>
      </c>
      <c r="C70" s="89">
        <v>1</v>
      </c>
      <c r="D70" s="103"/>
      <c r="E70" s="89"/>
    </row>
    <row r="71" spans="1:5" x14ac:dyDescent="0.2">
      <c r="A71" s="79">
        <v>353</v>
      </c>
      <c r="B71" s="50" t="s">
        <v>401</v>
      </c>
      <c r="C71" s="89">
        <v>1</v>
      </c>
      <c r="D71" s="103"/>
      <c r="E71" s="89"/>
    </row>
    <row r="72" spans="1:5" x14ac:dyDescent="0.2">
      <c r="A72" s="79">
        <v>354</v>
      </c>
      <c r="B72" s="50" t="s">
        <v>402</v>
      </c>
      <c r="C72" s="89">
        <v>2</v>
      </c>
      <c r="D72" s="103"/>
      <c r="E72" s="89"/>
    </row>
    <row r="73" spans="1:5" x14ac:dyDescent="0.2">
      <c r="A73" s="79">
        <v>355</v>
      </c>
      <c r="B73" s="50" t="s">
        <v>403</v>
      </c>
      <c r="C73" s="89">
        <v>0</v>
      </c>
      <c r="D73" s="103"/>
      <c r="E73" s="89"/>
    </row>
    <row r="74" spans="1:5" x14ac:dyDescent="0.2">
      <c r="A74" s="79">
        <v>356</v>
      </c>
      <c r="B74" s="3" t="s">
        <v>406</v>
      </c>
      <c r="C74" s="89">
        <v>2</v>
      </c>
      <c r="D74" s="103"/>
      <c r="E74" s="89"/>
    </row>
    <row r="75" spans="1:5" x14ac:dyDescent="0.2">
      <c r="A75" s="79">
        <v>357</v>
      </c>
      <c r="B75" s="50" t="s">
        <v>407</v>
      </c>
      <c r="C75" s="89">
        <v>0</v>
      </c>
      <c r="D75" s="103"/>
      <c r="E75" s="89"/>
    </row>
    <row r="76" spans="1:5" x14ac:dyDescent="0.2">
      <c r="A76" s="79">
        <v>358</v>
      </c>
      <c r="B76" s="50">
        <v>0</v>
      </c>
      <c r="C76" s="89">
        <v>0</v>
      </c>
      <c r="D76" s="103"/>
      <c r="E76" s="89"/>
    </row>
    <row r="77" spans="1:5" x14ac:dyDescent="0.2">
      <c r="A77" s="79">
        <v>359</v>
      </c>
      <c r="B77" s="5" t="s">
        <v>410</v>
      </c>
      <c r="C77" s="89">
        <v>0</v>
      </c>
      <c r="D77" s="103"/>
      <c r="E77" s="89"/>
    </row>
    <row r="78" spans="1:5" x14ac:dyDescent="0.2">
      <c r="A78" s="79">
        <v>360</v>
      </c>
      <c r="B78" s="5" t="s">
        <v>410</v>
      </c>
      <c r="C78" s="89">
        <v>0</v>
      </c>
      <c r="D78" s="103"/>
      <c r="E78" s="89"/>
    </row>
    <row r="79" spans="1:5" x14ac:dyDescent="0.2">
      <c r="A79" s="79">
        <v>361</v>
      </c>
      <c r="B79" s="50" t="s">
        <v>413</v>
      </c>
      <c r="C79" s="89">
        <v>2</v>
      </c>
      <c r="D79" s="103"/>
      <c r="E79" s="89"/>
    </row>
    <row r="80" spans="1:5" x14ac:dyDescent="0.2">
      <c r="A80" s="11">
        <v>362</v>
      </c>
      <c r="B80" s="49" t="s">
        <v>320</v>
      </c>
      <c r="C80" s="89">
        <v>1</v>
      </c>
      <c r="D80" s="103"/>
      <c r="E80" s="89"/>
    </row>
    <row r="81" spans="1:5" x14ac:dyDescent="0.2">
      <c r="A81" s="11">
        <v>364</v>
      </c>
      <c r="B81" s="49" t="s">
        <v>416</v>
      </c>
      <c r="C81" s="89">
        <v>1</v>
      </c>
      <c r="D81" s="103"/>
      <c r="E81" s="89"/>
    </row>
    <row r="82" spans="1:5" x14ac:dyDescent="0.2">
      <c r="A82" s="79">
        <v>366</v>
      </c>
      <c r="B82" s="3" t="s">
        <v>417</v>
      </c>
      <c r="C82" s="89">
        <v>0</v>
      </c>
      <c r="D82" s="103"/>
      <c r="E82" s="89"/>
    </row>
    <row r="83" spans="1:5" x14ac:dyDescent="0.2">
      <c r="A83" s="11">
        <v>367</v>
      </c>
      <c r="B83" s="15" t="s">
        <v>418</v>
      </c>
      <c r="C83" s="89">
        <v>0</v>
      </c>
      <c r="D83" s="103"/>
      <c r="E83" s="89"/>
    </row>
    <row r="84" spans="1:5" x14ac:dyDescent="0.2">
      <c r="A84" s="11">
        <v>368</v>
      </c>
      <c r="B84" s="15" t="s">
        <v>320</v>
      </c>
      <c r="C84" s="89">
        <v>1</v>
      </c>
      <c r="D84" s="103"/>
      <c r="E84" s="89"/>
    </row>
    <row r="85" spans="1:5" x14ac:dyDescent="0.2">
      <c r="A85" s="79">
        <v>369</v>
      </c>
      <c r="B85" s="50">
        <v>0</v>
      </c>
      <c r="C85" s="89">
        <v>0</v>
      </c>
      <c r="D85" s="103"/>
      <c r="E85" s="89"/>
    </row>
    <row r="86" spans="1:5" x14ac:dyDescent="0.2">
      <c r="A86" s="79">
        <v>370</v>
      </c>
      <c r="B86" s="3" t="s">
        <v>422</v>
      </c>
      <c r="C86" s="89">
        <v>2</v>
      </c>
      <c r="D86" s="103"/>
      <c r="E86" s="89"/>
    </row>
    <row r="87" spans="1:5" x14ac:dyDescent="0.2">
      <c r="A87" s="79">
        <v>372</v>
      </c>
      <c r="B87" s="50" t="s">
        <v>423</v>
      </c>
      <c r="C87" s="89">
        <v>0</v>
      </c>
      <c r="D87" s="103"/>
      <c r="E87" s="89"/>
    </row>
    <row r="88" spans="1:5" x14ac:dyDescent="0.2">
      <c r="A88" s="79">
        <v>374</v>
      </c>
      <c r="B88" s="50">
        <v>0</v>
      </c>
      <c r="C88" s="89">
        <v>0</v>
      </c>
      <c r="D88" s="103"/>
      <c r="E88" s="89"/>
    </row>
    <row r="89" spans="1:5" x14ac:dyDescent="0.2">
      <c r="A89" s="79">
        <v>375</v>
      </c>
      <c r="B89" s="50" t="s">
        <v>424</v>
      </c>
      <c r="C89" s="89">
        <v>2</v>
      </c>
      <c r="D89" s="103"/>
      <c r="E89" s="89"/>
    </row>
    <row r="90" spans="1:5" x14ac:dyDescent="0.2">
      <c r="A90" s="79">
        <v>376</v>
      </c>
      <c r="B90" s="3" t="s">
        <v>426</v>
      </c>
      <c r="C90" s="89">
        <v>2</v>
      </c>
      <c r="D90" s="103"/>
      <c r="E90" s="89"/>
    </row>
    <row r="91" spans="1:5" x14ac:dyDescent="0.2">
      <c r="A91" s="79">
        <v>377</v>
      </c>
      <c r="B91" s="3" t="s">
        <v>428</v>
      </c>
      <c r="C91" s="89">
        <v>2</v>
      </c>
      <c r="D91" s="103"/>
      <c r="E91" s="89"/>
    </row>
    <row r="92" spans="1:5" x14ac:dyDescent="0.2">
      <c r="A92" s="79">
        <v>378</v>
      </c>
      <c r="B92" s="3" t="s">
        <v>430</v>
      </c>
      <c r="C92" s="89">
        <v>2</v>
      </c>
      <c r="D92" s="103"/>
      <c r="E92" s="89"/>
    </row>
    <row r="93" spans="1:5" x14ac:dyDescent="0.2">
      <c r="A93" s="79">
        <v>379</v>
      </c>
      <c r="B93" s="3" t="s">
        <v>432</v>
      </c>
      <c r="C93" s="89">
        <v>0</v>
      </c>
      <c r="D93" s="103"/>
      <c r="E93" s="89"/>
    </row>
    <row r="94" spans="1:5" x14ac:dyDescent="0.2">
      <c r="A94" s="79">
        <v>381</v>
      </c>
      <c r="B94" s="3" t="s">
        <v>433</v>
      </c>
      <c r="C94" s="89">
        <v>0</v>
      </c>
      <c r="D94" s="103"/>
      <c r="E94" s="89"/>
    </row>
    <row r="95" spans="1:5" x14ac:dyDescent="0.2">
      <c r="A95" s="79">
        <v>382</v>
      </c>
      <c r="B95" s="50" t="s">
        <v>435</v>
      </c>
      <c r="C95" s="89">
        <v>2</v>
      </c>
      <c r="D95" s="103"/>
      <c r="E95" s="89"/>
    </row>
    <row r="96" spans="1:5" x14ac:dyDescent="0.2">
      <c r="A96" s="79">
        <v>383</v>
      </c>
      <c r="B96" s="3" t="s">
        <v>437</v>
      </c>
      <c r="C96" s="89">
        <v>2</v>
      </c>
      <c r="D96" s="103"/>
      <c r="E96" s="89"/>
    </row>
    <row r="97" spans="1:6" x14ac:dyDescent="0.2">
      <c r="A97" s="11">
        <v>384</v>
      </c>
      <c r="B97" s="49" t="s">
        <v>438</v>
      </c>
      <c r="C97" s="89">
        <v>0</v>
      </c>
      <c r="D97" s="103"/>
      <c r="E97" s="89"/>
    </row>
    <row r="98" spans="1:6" x14ac:dyDescent="0.2">
      <c r="A98" s="79">
        <v>386</v>
      </c>
      <c r="B98" s="3" t="s">
        <v>440</v>
      </c>
      <c r="C98" s="89">
        <v>1</v>
      </c>
      <c r="D98" s="103"/>
      <c r="E98" s="89"/>
    </row>
    <row r="99" spans="1:6" x14ac:dyDescent="0.2">
      <c r="A99" s="79">
        <v>387</v>
      </c>
      <c r="B99" s="50" t="s">
        <v>441</v>
      </c>
      <c r="C99" s="89">
        <v>1</v>
      </c>
      <c r="D99" s="103"/>
      <c r="E99" s="89"/>
    </row>
    <row r="100" spans="1:6" x14ac:dyDescent="0.2">
      <c r="A100" s="79">
        <v>388</v>
      </c>
      <c r="B100" s="3">
        <v>0</v>
      </c>
      <c r="C100" s="89">
        <v>0</v>
      </c>
      <c r="D100" s="103"/>
      <c r="E100" s="89"/>
    </row>
    <row r="101" spans="1:6" x14ac:dyDescent="0.2">
      <c r="A101" s="11">
        <v>389</v>
      </c>
      <c r="B101" s="15" t="s">
        <v>320</v>
      </c>
      <c r="C101" s="89">
        <v>1</v>
      </c>
      <c r="D101" s="103"/>
      <c r="E101" s="89"/>
    </row>
    <row r="102" spans="1:6" x14ac:dyDescent="0.2">
      <c r="A102" s="11">
        <v>390</v>
      </c>
      <c r="B102" s="15" t="s">
        <v>320</v>
      </c>
      <c r="C102" s="89">
        <v>1</v>
      </c>
      <c r="D102" s="103"/>
      <c r="E102" s="89"/>
    </row>
    <row r="103" spans="1:6" x14ac:dyDescent="0.2">
      <c r="A103" s="79">
        <v>391</v>
      </c>
      <c r="B103" s="23" t="s">
        <v>320</v>
      </c>
      <c r="C103" s="89">
        <v>1</v>
      </c>
      <c r="D103" s="103"/>
      <c r="E103" s="89"/>
    </row>
    <row r="104" spans="1:6" x14ac:dyDescent="0.2">
      <c r="A104" s="79">
        <v>394</v>
      </c>
      <c r="B104" s="50">
        <v>0</v>
      </c>
      <c r="C104" s="89">
        <v>0</v>
      </c>
      <c r="D104" s="103"/>
      <c r="E104" s="89"/>
    </row>
    <row r="105" spans="1:6" x14ac:dyDescent="0.2">
      <c r="A105" s="79">
        <v>395</v>
      </c>
      <c r="B105" s="3" t="s">
        <v>448</v>
      </c>
      <c r="C105" s="89">
        <v>1</v>
      </c>
      <c r="D105" s="103"/>
      <c r="E105" s="89"/>
    </row>
    <row r="106" spans="1:6" x14ac:dyDescent="0.2">
      <c r="A106" s="79">
        <v>397</v>
      </c>
      <c r="B106" s="3" t="s">
        <v>450</v>
      </c>
      <c r="C106" s="89">
        <v>1</v>
      </c>
      <c r="D106" s="103"/>
      <c r="E106" s="89"/>
    </row>
    <row r="107" spans="1:6" x14ac:dyDescent="0.2">
      <c r="A107" s="79">
        <v>399</v>
      </c>
      <c r="B107" s="50" t="s">
        <v>410</v>
      </c>
      <c r="C107" s="89">
        <v>2</v>
      </c>
      <c r="D107" s="103"/>
      <c r="E107" s="89"/>
    </row>
    <row r="108" spans="1:6" x14ac:dyDescent="0.2">
      <c r="A108" s="79">
        <v>400</v>
      </c>
      <c r="B108" s="50" t="s">
        <v>453</v>
      </c>
      <c r="C108" s="89">
        <v>1</v>
      </c>
      <c r="D108" s="103"/>
      <c r="E108" s="89"/>
      <c r="F108" s="103"/>
    </row>
    <row r="109" spans="1:6" x14ac:dyDescent="0.2">
      <c r="A109" s="11">
        <v>401</v>
      </c>
      <c r="B109" s="15" t="s">
        <v>458</v>
      </c>
      <c r="C109" s="89">
        <v>0</v>
      </c>
      <c r="D109" s="103"/>
      <c r="E109" s="89"/>
      <c r="F109" s="103"/>
    </row>
    <row r="110" spans="1:6" x14ac:dyDescent="0.2">
      <c r="A110" s="79">
        <v>403</v>
      </c>
      <c r="B110" s="3" t="s">
        <v>459</v>
      </c>
      <c r="C110" s="89">
        <v>0</v>
      </c>
      <c r="D110" s="103"/>
      <c r="E110" s="89"/>
      <c r="F110" s="103"/>
    </row>
    <row r="111" spans="1:6" x14ac:dyDescent="0.2">
      <c r="A111" s="79">
        <v>404</v>
      </c>
      <c r="B111" s="3" t="s">
        <v>461</v>
      </c>
      <c r="C111" s="89">
        <v>2</v>
      </c>
      <c r="D111" s="103"/>
      <c r="E111" s="89"/>
      <c r="F111" s="103"/>
    </row>
    <row r="112" spans="1:6" x14ac:dyDescent="0.2">
      <c r="A112" s="79">
        <v>406</v>
      </c>
      <c r="B112" s="3" t="s">
        <v>462</v>
      </c>
      <c r="C112" s="89">
        <v>2</v>
      </c>
      <c r="D112" s="103"/>
      <c r="E112" s="89"/>
      <c r="F112" s="103"/>
    </row>
    <row r="113" spans="1:6" x14ac:dyDescent="0.2">
      <c r="A113" s="79">
        <v>407</v>
      </c>
      <c r="B113" s="3" t="s">
        <v>463</v>
      </c>
      <c r="C113" s="89">
        <v>2</v>
      </c>
      <c r="D113" s="103"/>
      <c r="E113" s="89"/>
      <c r="F113" s="103"/>
    </row>
    <row r="114" spans="1:6" x14ac:dyDescent="0.2">
      <c r="A114" s="79">
        <v>408</v>
      </c>
      <c r="B114" s="3" t="s">
        <v>464</v>
      </c>
      <c r="C114" s="89">
        <v>2</v>
      </c>
      <c r="D114" s="103"/>
      <c r="E114" s="89"/>
      <c r="F114" s="103"/>
    </row>
    <row r="115" spans="1:6" x14ac:dyDescent="0.2">
      <c r="A115" s="79">
        <v>409</v>
      </c>
      <c r="B115" s="50" t="s">
        <v>465</v>
      </c>
      <c r="C115" s="89">
        <v>2</v>
      </c>
      <c r="D115" s="103"/>
      <c r="E115" s="89"/>
      <c r="F115" s="103"/>
    </row>
    <row r="116" spans="1:6" x14ac:dyDescent="0.2">
      <c r="A116" s="79">
        <v>410</v>
      </c>
      <c r="B116" s="3" t="s">
        <v>467</v>
      </c>
      <c r="C116" s="89">
        <v>1</v>
      </c>
      <c r="D116" s="103"/>
      <c r="E116" s="89"/>
      <c r="F116" s="103"/>
    </row>
    <row r="117" spans="1:6" x14ac:dyDescent="0.2">
      <c r="A117" s="79">
        <v>411</v>
      </c>
      <c r="B117" s="3" t="s">
        <v>468</v>
      </c>
      <c r="C117" s="89">
        <v>2</v>
      </c>
      <c r="D117" s="103"/>
      <c r="E117" s="89"/>
      <c r="F117" s="103"/>
    </row>
    <row r="118" spans="1:6" x14ac:dyDescent="0.2">
      <c r="A118" s="79">
        <v>413</v>
      </c>
      <c r="B118" s="3">
        <v>0</v>
      </c>
      <c r="C118" s="89">
        <v>0</v>
      </c>
      <c r="D118" s="103"/>
      <c r="E118" s="89"/>
      <c r="F118" s="103"/>
    </row>
    <row r="119" spans="1:6" x14ac:dyDescent="0.2">
      <c r="A119" s="79">
        <v>414</v>
      </c>
      <c r="B119" s="50" t="s">
        <v>470</v>
      </c>
      <c r="C119" s="89">
        <v>0</v>
      </c>
      <c r="D119" s="103"/>
      <c r="E119" s="89"/>
      <c r="F119" s="103"/>
    </row>
    <row r="120" spans="1:6" x14ac:dyDescent="0.2">
      <c r="A120" s="79">
        <v>415</v>
      </c>
      <c r="B120" s="3" t="s">
        <v>320</v>
      </c>
      <c r="C120" s="89">
        <v>1</v>
      </c>
      <c r="D120" s="103"/>
      <c r="E120" s="89"/>
      <c r="F120" s="103"/>
    </row>
    <row r="121" spans="1:6" x14ac:dyDescent="0.2">
      <c r="A121" s="11">
        <v>416</v>
      </c>
      <c r="B121" s="15" t="s">
        <v>320</v>
      </c>
      <c r="C121" s="89">
        <v>1</v>
      </c>
      <c r="D121" s="103"/>
      <c r="E121" s="89"/>
      <c r="F121" s="103"/>
    </row>
    <row r="122" spans="1:6" x14ac:dyDescent="0.2">
      <c r="A122" s="79">
        <v>417</v>
      </c>
      <c r="B122" s="3" t="s">
        <v>471</v>
      </c>
      <c r="C122" s="89">
        <v>2</v>
      </c>
      <c r="D122" s="103"/>
      <c r="E122" s="89"/>
      <c r="F122" s="103"/>
    </row>
    <row r="123" spans="1:6" x14ac:dyDescent="0.2">
      <c r="A123" s="11">
        <v>418</v>
      </c>
      <c r="B123" s="15" t="s">
        <v>473</v>
      </c>
      <c r="C123" s="89">
        <v>2</v>
      </c>
      <c r="D123" s="103"/>
      <c r="E123" s="89"/>
      <c r="F123" s="103"/>
    </row>
    <row r="124" spans="1:6" x14ac:dyDescent="0.2">
      <c r="A124" s="79">
        <v>419</v>
      </c>
      <c r="B124" s="50" t="s">
        <v>475</v>
      </c>
      <c r="C124" s="89">
        <v>0</v>
      </c>
      <c r="D124" s="103"/>
      <c r="E124" s="89"/>
      <c r="F124" s="103"/>
    </row>
    <row r="125" spans="1:6" x14ac:dyDescent="0.2">
      <c r="A125" s="79">
        <v>421</v>
      </c>
      <c r="B125" s="3">
        <v>0</v>
      </c>
      <c r="C125" s="89">
        <v>0</v>
      </c>
      <c r="D125" s="103"/>
      <c r="E125" s="89"/>
      <c r="F125" s="103"/>
    </row>
    <row r="126" spans="1:6" x14ac:dyDescent="0.2">
      <c r="A126" s="79">
        <v>275</v>
      </c>
      <c r="B126" s="50">
        <v>0</v>
      </c>
      <c r="C126" s="89">
        <v>0</v>
      </c>
      <c r="D126" s="103"/>
      <c r="E126" s="89"/>
      <c r="F126" s="103"/>
    </row>
    <row r="127" spans="1:6" x14ac:dyDescent="0.2">
      <c r="A127" s="79">
        <v>423</v>
      </c>
      <c r="B127" s="3" t="s">
        <v>480</v>
      </c>
      <c r="C127" s="89">
        <v>2</v>
      </c>
      <c r="D127" s="103"/>
      <c r="E127" s="89"/>
      <c r="F127" s="103"/>
    </row>
    <row r="128" spans="1:6" x14ac:dyDescent="0.2">
      <c r="A128" s="79">
        <v>424</v>
      </c>
      <c r="B128" s="3" t="s">
        <v>481</v>
      </c>
      <c r="C128" s="89">
        <v>1</v>
      </c>
      <c r="D128" s="103"/>
      <c r="E128" s="89"/>
      <c r="F128" s="103"/>
    </row>
    <row r="129" spans="1:6" x14ac:dyDescent="0.2">
      <c r="A129" s="79">
        <v>314</v>
      </c>
      <c r="B129" s="3" t="s">
        <v>482</v>
      </c>
      <c r="C129" s="89">
        <v>0</v>
      </c>
      <c r="D129" s="103"/>
      <c r="E129" s="89"/>
      <c r="F129" s="103"/>
    </row>
    <row r="130" spans="1:6" x14ac:dyDescent="0.2">
      <c r="A130" s="79">
        <v>426</v>
      </c>
      <c r="B130" s="3" t="s">
        <v>484</v>
      </c>
      <c r="C130" s="89">
        <v>0</v>
      </c>
      <c r="D130" s="103"/>
      <c r="E130" s="89"/>
      <c r="F130" s="103"/>
    </row>
    <row r="131" spans="1:6" x14ac:dyDescent="0.2">
      <c r="A131" s="79">
        <v>346</v>
      </c>
      <c r="B131" s="3" t="s">
        <v>391</v>
      </c>
      <c r="C131" s="89">
        <v>2</v>
      </c>
      <c r="D131" s="103"/>
      <c r="E131" s="89"/>
      <c r="F131" s="103"/>
    </row>
    <row r="132" spans="1:6" x14ac:dyDescent="0.2">
      <c r="A132" s="79">
        <v>428</v>
      </c>
      <c r="B132" s="3" t="s">
        <v>486</v>
      </c>
      <c r="C132" s="89">
        <v>2</v>
      </c>
      <c r="D132" s="103"/>
      <c r="E132" s="89"/>
      <c r="F132" s="103"/>
    </row>
    <row r="133" spans="1:6" x14ac:dyDescent="0.2">
      <c r="A133" s="79">
        <v>431</v>
      </c>
      <c r="B133" s="3">
        <v>0</v>
      </c>
      <c r="C133" s="89">
        <v>0</v>
      </c>
      <c r="D133" s="103"/>
      <c r="E133" s="89"/>
      <c r="F133" s="103"/>
    </row>
    <row r="134" spans="1:6" x14ac:dyDescent="0.2">
      <c r="A134" s="11">
        <v>432</v>
      </c>
      <c r="B134" s="15" t="s">
        <v>320</v>
      </c>
      <c r="C134" s="89">
        <v>1</v>
      </c>
      <c r="D134" s="103"/>
      <c r="E134" s="89"/>
      <c r="F134" s="103"/>
    </row>
    <row r="135" spans="1:6" x14ac:dyDescent="0.2">
      <c r="A135" s="11">
        <v>433</v>
      </c>
      <c r="B135" s="49">
        <v>0</v>
      </c>
      <c r="C135" s="89">
        <v>0</v>
      </c>
      <c r="D135" s="103"/>
      <c r="E135" s="89"/>
      <c r="F135" s="103"/>
    </row>
    <row r="136" spans="1:6" x14ac:dyDescent="0.2">
      <c r="A136" s="79">
        <v>434</v>
      </c>
      <c r="B136" s="3">
        <v>0</v>
      </c>
      <c r="C136" s="89">
        <v>0</v>
      </c>
      <c r="D136" s="103"/>
      <c r="E136" s="89"/>
      <c r="F136" s="103"/>
    </row>
    <row r="137" spans="1:6" x14ac:dyDescent="0.2">
      <c r="A137" s="79">
        <v>435</v>
      </c>
      <c r="B137" s="50" t="s">
        <v>489</v>
      </c>
      <c r="C137" s="89">
        <v>1</v>
      </c>
      <c r="D137" s="103"/>
      <c r="E137" s="89"/>
      <c r="F137" s="103"/>
    </row>
    <row r="138" spans="1:6" x14ac:dyDescent="0.2">
      <c r="A138" s="79">
        <v>436</v>
      </c>
      <c r="B138" s="3" t="s">
        <v>465</v>
      </c>
      <c r="C138" s="89">
        <v>2</v>
      </c>
      <c r="D138" s="103"/>
      <c r="E138" s="89"/>
      <c r="F138" s="103"/>
    </row>
    <row r="139" spans="1:6" x14ac:dyDescent="0.2">
      <c r="A139" s="79">
        <v>544</v>
      </c>
      <c r="B139" s="3" t="s">
        <v>490</v>
      </c>
      <c r="C139" s="89">
        <v>2</v>
      </c>
      <c r="D139" s="103"/>
      <c r="E139" s="89"/>
      <c r="F139" s="103"/>
    </row>
    <row r="140" spans="1:6" x14ac:dyDescent="0.2">
      <c r="A140" s="79">
        <v>546</v>
      </c>
      <c r="B140" s="50" t="s">
        <v>491</v>
      </c>
      <c r="C140" s="89">
        <v>1</v>
      </c>
      <c r="D140" s="103"/>
      <c r="E140" s="89"/>
      <c r="F140" s="103"/>
    </row>
    <row r="141" spans="1:6" x14ac:dyDescent="0.2">
      <c r="A141" s="79">
        <v>547</v>
      </c>
      <c r="B141" s="3" t="s">
        <v>320</v>
      </c>
      <c r="C141" s="89">
        <v>1</v>
      </c>
      <c r="D141" s="103"/>
      <c r="E141" s="89"/>
      <c r="F141" s="103"/>
    </row>
    <row r="142" spans="1:6" x14ac:dyDescent="0.2">
      <c r="A142" s="79">
        <v>548</v>
      </c>
      <c r="B142" s="5" t="s">
        <v>493</v>
      </c>
      <c r="C142" s="89">
        <v>1</v>
      </c>
      <c r="D142" s="103"/>
      <c r="E142" s="89"/>
      <c r="F142" s="103"/>
    </row>
    <row r="143" spans="1:6" x14ac:dyDescent="0.2">
      <c r="A143" s="79">
        <v>549</v>
      </c>
      <c r="B143" s="5" t="s">
        <v>495</v>
      </c>
      <c r="C143" s="89">
        <v>1</v>
      </c>
      <c r="D143" s="103"/>
      <c r="E143" s="89"/>
      <c r="F143" s="103"/>
    </row>
    <row r="144" spans="1:6" x14ac:dyDescent="0.2">
      <c r="A144" s="2"/>
      <c r="B144" s="94"/>
      <c r="C144" s="89"/>
      <c r="D144" s="103"/>
      <c r="E144" s="89"/>
      <c r="F144" s="103"/>
    </row>
    <row r="145" spans="1:6" x14ac:dyDescent="0.2">
      <c r="A145" s="2"/>
      <c r="B145" s="94"/>
      <c r="C145" s="89"/>
      <c r="D145" s="103"/>
      <c r="E145" s="89"/>
      <c r="F145" s="103"/>
    </row>
    <row r="146" spans="1:6" x14ac:dyDescent="0.2">
      <c r="A146" s="2"/>
      <c r="B146" s="110"/>
      <c r="C146" s="89"/>
      <c r="D146" s="103"/>
      <c r="E146" s="89"/>
      <c r="F146" s="103"/>
    </row>
    <row r="147" spans="1:6" x14ac:dyDescent="0.2">
      <c r="A147"/>
      <c r="B147" s="224"/>
      <c r="C147" s="89"/>
      <c r="D147" s="103"/>
      <c r="E147" s="89"/>
      <c r="F147" s="103"/>
    </row>
    <row r="148" spans="1:6" x14ac:dyDescent="0.2">
      <c r="A148" s="2"/>
      <c r="B148" s="224"/>
      <c r="C148" s="89"/>
      <c r="D148" s="103"/>
      <c r="E148" s="89"/>
      <c r="F148" s="103"/>
    </row>
    <row r="149" spans="1:6" x14ac:dyDescent="0.2">
      <c r="A149"/>
      <c r="B149" s="94"/>
      <c r="C149" s="89"/>
      <c r="D149" s="103"/>
      <c r="E149" s="89"/>
      <c r="F149" s="103"/>
    </row>
    <row r="150" spans="1:6" x14ac:dyDescent="0.2">
      <c r="A150" s="2"/>
      <c r="B150" s="110"/>
      <c r="C150" s="89"/>
      <c r="D150" s="103"/>
      <c r="E150" s="89"/>
      <c r="F150" s="103"/>
    </row>
    <row r="151" spans="1:6" x14ac:dyDescent="0.2">
      <c r="A151"/>
      <c r="B151" s="110"/>
      <c r="C151" s="89"/>
      <c r="D151" s="103"/>
      <c r="E151" s="89"/>
      <c r="F151" s="103"/>
    </row>
    <row r="152" spans="1:6" x14ac:dyDescent="0.2">
      <c r="A152" s="2"/>
      <c r="B152" s="94"/>
      <c r="C152" s="89"/>
      <c r="D152" s="103"/>
      <c r="E152" s="89"/>
      <c r="F152" s="103"/>
    </row>
    <row r="153" spans="1:6" x14ac:dyDescent="0.2">
      <c r="A153" s="2"/>
      <c r="B153" s="110"/>
      <c r="C153" s="89"/>
      <c r="D153" s="103"/>
      <c r="E153" s="89"/>
      <c r="F153" s="103"/>
    </row>
    <row r="154" spans="1:6" x14ac:dyDescent="0.2">
      <c r="A154"/>
      <c r="B154" s="110"/>
      <c r="C154" s="89"/>
      <c r="D154" s="103"/>
      <c r="E154" s="89"/>
      <c r="F154" s="103"/>
    </row>
    <row r="155" spans="1:6" x14ac:dyDescent="0.2">
      <c r="A155" s="108"/>
      <c r="B155" s="109"/>
      <c r="C155" s="89"/>
      <c r="D155" s="103"/>
      <c r="E155" s="89"/>
      <c r="F155" s="103"/>
    </row>
    <row r="156" spans="1:6" x14ac:dyDescent="0.2">
      <c r="A156" s="108"/>
      <c r="B156" s="109"/>
      <c r="C156" s="89"/>
      <c r="D156" s="103"/>
      <c r="E156" s="89"/>
      <c r="F156" s="103"/>
    </row>
    <row r="157" spans="1:6" x14ac:dyDescent="0.2">
      <c r="A157" s="108"/>
      <c r="B157" s="109"/>
      <c r="C157" s="89"/>
      <c r="D157" s="103"/>
      <c r="E157" s="89"/>
      <c r="F157" s="103"/>
    </row>
    <row r="158" spans="1:6" x14ac:dyDescent="0.2">
      <c r="A158" s="108"/>
      <c r="B158" s="109"/>
      <c r="C158" s="89"/>
      <c r="D158" s="103"/>
      <c r="E158" s="89"/>
      <c r="F158" s="103"/>
    </row>
    <row r="159" spans="1:6" x14ac:dyDescent="0.2">
      <c r="A159" s="108"/>
      <c r="B159" s="109"/>
      <c r="C159" s="89"/>
      <c r="D159" s="103"/>
      <c r="E159" s="89"/>
      <c r="F159" s="103"/>
    </row>
    <row r="160" spans="1:6" x14ac:dyDescent="0.2">
      <c r="A160" s="108"/>
      <c r="B160" s="109"/>
      <c r="C160" s="89"/>
      <c r="D160" s="103"/>
      <c r="E160" s="89"/>
      <c r="F160" s="103"/>
    </row>
    <row r="161" spans="1:6" x14ac:dyDescent="0.2">
      <c r="A161" s="108"/>
      <c r="B161" s="109"/>
      <c r="C161" s="89"/>
      <c r="D161" s="103"/>
      <c r="E161" s="89"/>
      <c r="F161" s="103"/>
    </row>
    <row r="162" spans="1:6" x14ac:dyDescent="0.2">
      <c r="A162" s="108"/>
      <c r="B162" s="109"/>
      <c r="C162" s="89"/>
      <c r="D162" s="103"/>
      <c r="E162" s="89"/>
      <c r="F162" s="103"/>
    </row>
    <row r="163" spans="1:6" x14ac:dyDescent="0.2">
      <c r="A163" s="108"/>
      <c r="B163" s="109"/>
      <c r="C163" s="89"/>
      <c r="D163" s="103"/>
      <c r="E163" s="89"/>
      <c r="F163" s="103"/>
    </row>
    <row r="164" spans="1:6" x14ac:dyDescent="0.2">
      <c r="A164" s="108"/>
      <c r="B164" s="109"/>
      <c r="C164" s="89"/>
      <c r="D164" s="103"/>
      <c r="E164" s="89"/>
      <c r="F164" s="103"/>
    </row>
    <row r="165" spans="1:6" x14ac:dyDescent="0.2">
      <c r="A165" s="108"/>
      <c r="B165" s="109"/>
      <c r="C165" s="89"/>
      <c r="D165" s="103"/>
      <c r="E165" s="89"/>
      <c r="F165" s="103"/>
    </row>
    <row r="166" spans="1:6" x14ac:dyDescent="0.2">
      <c r="A166" s="108"/>
      <c r="B166" s="109"/>
      <c r="C166" s="89"/>
      <c r="D166" s="103"/>
      <c r="E166" s="89"/>
      <c r="F166" s="103"/>
    </row>
    <row r="167" spans="1:6" x14ac:dyDescent="0.2">
      <c r="A167" s="108"/>
      <c r="B167" s="109"/>
      <c r="C167" s="89"/>
      <c r="D167" s="103"/>
      <c r="E167" s="89"/>
      <c r="F167" s="103"/>
    </row>
    <row r="168" spans="1:6" x14ac:dyDescent="0.2">
      <c r="A168" s="108"/>
      <c r="B168" s="109"/>
      <c r="C168" s="89"/>
      <c r="D168" s="103"/>
      <c r="E168" s="89"/>
      <c r="F168" s="103"/>
    </row>
    <row r="169" spans="1:6" x14ac:dyDescent="0.2">
      <c r="A169" s="108"/>
      <c r="B169" s="109"/>
      <c r="C169" s="89"/>
      <c r="D169" s="103"/>
      <c r="E169" s="89"/>
      <c r="F169" s="103"/>
    </row>
    <row r="170" spans="1:6" x14ac:dyDescent="0.2">
      <c r="A170" s="108"/>
      <c r="B170" s="109"/>
      <c r="C170" s="89"/>
      <c r="D170" s="103"/>
      <c r="E170" s="89"/>
      <c r="F170" s="103"/>
    </row>
    <row r="171" spans="1:6" x14ac:dyDescent="0.2">
      <c r="A171" s="108"/>
      <c r="B171" s="109"/>
      <c r="C171" s="89"/>
      <c r="D171" s="103"/>
      <c r="E171" s="89"/>
      <c r="F171" s="103"/>
    </row>
    <row r="172" spans="1:6" x14ac:dyDescent="0.2">
      <c r="A172" s="108"/>
      <c r="B172" s="109"/>
      <c r="C172" s="89"/>
      <c r="D172" s="103"/>
      <c r="E172" s="89"/>
      <c r="F172" s="103"/>
    </row>
    <row r="173" spans="1:6" x14ac:dyDescent="0.2">
      <c r="A173" s="108"/>
      <c r="B173" s="109"/>
      <c r="C173" s="89"/>
      <c r="D173" s="103"/>
      <c r="E173" s="89"/>
      <c r="F173" s="103"/>
    </row>
    <row r="174" spans="1:6" x14ac:dyDescent="0.2">
      <c r="A174" s="108"/>
      <c r="B174" s="109"/>
      <c r="C174" s="89"/>
      <c r="D174" s="103"/>
      <c r="E174" s="89"/>
      <c r="F174" s="103"/>
    </row>
    <row r="175" spans="1:6" x14ac:dyDescent="0.2">
      <c r="A175" s="108"/>
      <c r="B175" s="109"/>
      <c r="C175" s="89"/>
      <c r="D175" s="103"/>
      <c r="E175" s="89"/>
      <c r="F175" s="103"/>
    </row>
    <row r="176" spans="1:6" x14ac:dyDescent="0.2">
      <c r="A176" s="108"/>
      <c r="B176" s="109"/>
      <c r="C176" s="89"/>
      <c r="D176" s="103"/>
      <c r="E176" s="89"/>
      <c r="F176" s="103"/>
    </row>
    <row r="177" spans="1:6" x14ac:dyDescent="0.2">
      <c r="A177" s="108"/>
      <c r="B177" s="109"/>
      <c r="C177" s="89"/>
      <c r="D177" s="103"/>
      <c r="E177" s="89"/>
      <c r="F177" s="103"/>
    </row>
    <row r="178" spans="1:6" x14ac:dyDescent="0.2">
      <c r="A178" s="108"/>
      <c r="B178" s="109"/>
      <c r="C178" s="89"/>
      <c r="D178" s="103"/>
      <c r="E178" s="89"/>
      <c r="F178" s="103"/>
    </row>
    <row r="179" spans="1:6" x14ac:dyDescent="0.2">
      <c r="A179" s="108"/>
      <c r="B179" s="109"/>
      <c r="C179" s="89"/>
      <c r="D179" s="103"/>
      <c r="E179" s="89"/>
      <c r="F179" s="103"/>
    </row>
    <row r="180" spans="1:6" x14ac:dyDescent="0.2">
      <c r="A180" s="108"/>
      <c r="B180" s="109"/>
      <c r="C180" s="89"/>
      <c r="D180" s="103"/>
      <c r="E180" s="89"/>
      <c r="F180" s="103"/>
    </row>
    <row r="181" spans="1:6" x14ac:dyDescent="0.2">
      <c r="A181" s="108"/>
      <c r="B181" s="109"/>
      <c r="C181" s="89"/>
      <c r="D181" s="103"/>
      <c r="E181" s="89"/>
      <c r="F181" s="103"/>
    </row>
    <row r="182" spans="1:6" x14ac:dyDescent="0.2">
      <c r="A182" s="108"/>
      <c r="B182" s="109"/>
      <c r="C182" s="89"/>
      <c r="D182" s="103"/>
      <c r="E182" s="89"/>
      <c r="F182" s="103"/>
    </row>
    <row r="183" spans="1:6" x14ac:dyDescent="0.2">
      <c r="A183" s="108"/>
      <c r="B183" s="109"/>
      <c r="C183" s="89"/>
      <c r="D183" s="103"/>
      <c r="E183" s="89"/>
      <c r="F183" s="103"/>
    </row>
    <row r="184" spans="1:6" x14ac:dyDescent="0.2">
      <c r="A184" s="108"/>
      <c r="B184" s="109"/>
      <c r="C184" s="89"/>
      <c r="D184" s="103"/>
      <c r="E184" s="89"/>
      <c r="F184" s="103"/>
    </row>
    <row r="185" spans="1:6" x14ac:dyDescent="0.2">
      <c r="A185" s="108"/>
      <c r="B185" s="109"/>
      <c r="C185" s="89"/>
      <c r="D185" s="103"/>
      <c r="E185" s="89"/>
      <c r="F185" s="103"/>
    </row>
    <row r="186" spans="1:6" x14ac:dyDescent="0.2">
      <c r="A186" s="108"/>
      <c r="B186" s="109"/>
      <c r="C186" s="89"/>
      <c r="D186" s="103"/>
      <c r="E186" s="89"/>
      <c r="F186" s="103"/>
    </row>
    <row r="187" spans="1:6" x14ac:dyDescent="0.2">
      <c r="A187" s="108"/>
      <c r="B187" s="109"/>
      <c r="C187" s="89"/>
      <c r="D187" s="103"/>
      <c r="E187" s="89"/>
      <c r="F187" s="103"/>
    </row>
    <row r="188" spans="1:6" x14ac:dyDescent="0.2">
      <c r="A188" s="108"/>
      <c r="B188" s="109"/>
      <c r="C188" s="89"/>
      <c r="D188" s="103"/>
      <c r="E188" s="89"/>
      <c r="F188" s="103"/>
    </row>
    <row r="189" spans="1:6" x14ac:dyDescent="0.2">
      <c r="A189" s="108"/>
      <c r="B189" s="109"/>
      <c r="C189" s="89"/>
      <c r="D189" s="103"/>
      <c r="E189" s="89"/>
      <c r="F189" s="103"/>
    </row>
    <row r="190" spans="1:6" x14ac:dyDescent="0.2">
      <c r="A190" s="108"/>
      <c r="B190" s="109"/>
      <c r="C190" s="89"/>
      <c r="D190" s="103"/>
      <c r="E190" s="89"/>
      <c r="F190" s="103"/>
    </row>
    <row r="191" spans="1:6" x14ac:dyDescent="0.2">
      <c r="A191" s="108"/>
      <c r="B191" s="109"/>
      <c r="C191" s="89"/>
      <c r="D191" s="103"/>
      <c r="E191" s="89"/>
      <c r="F191" s="103"/>
    </row>
    <row r="192" spans="1:6" x14ac:dyDescent="0.2">
      <c r="A192" s="108"/>
      <c r="B192" s="109"/>
      <c r="C192" s="89"/>
      <c r="D192" s="103"/>
      <c r="E192" s="89"/>
      <c r="F192" s="103"/>
    </row>
    <row r="193" spans="1:6" x14ac:dyDescent="0.2">
      <c r="A193" s="108"/>
      <c r="B193" s="109"/>
      <c r="C193" s="89"/>
      <c r="D193" s="103"/>
      <c r="E193" s="89"/>
      <c r="F193" s="103"/>
    </row>
    <row r="194" spans="1:6" x14ac:dyDescent="0.2">
      <c r="A194" s="108"/>
      <c r="B194" s="109"/>
      <c r="C194" s="89"/>
      <c r="D194" s="103"/>
      <c r="E194" s="89"/>
      <c r="F194" s="103"/>
    </row>
    <row r="195" spans="1:6" x14ac:dyDescent="0.2">
      <c r="A195" s="108"/>
      <c r="B195" s="109"/>
      <c r="C195" s="89"/>
      <c r="D195" s="103"/>
      <c r="E195" s="89"/>
      <c r="F195" s="103"/>
    </row>
    <row r="196" spans="1:6" x14ac:dyDescent="0.2">
      <c r="A196" s="108"/>
      <c r="B196" s="109"/>
      <c r="C196" s="89"/>
      <c r="D196" s="103"/>
      <c r="E196" s="89"/>
      <c r="F196" s="103"/>
    </row>
    <row r="197" spans="1:6" x14ac:dyDescent="0.2">
      <c r="A197" s="108"/>
      <c r="B197" s="109"/>
      <c r="C197" s="89"/>
      <c r="D197" s="103"/>
      <c r="E197" s="89"/>
      <c r="F197" s="103"/>
    </row>
    <row r="198" spans="1:6" x14ac:dyDescent="0.2">
      <c r="A198" s="108"/>
      <c r="B198" s="109"/>
      <c r="C198" s="89"/>
      <c r="D198" s="103"/>
      <c r="E198" s="89"/>
      <c r="F198" s="103"/>
    </row>
    <row r="199" spans="1:6" x14ac:dyDescent="0.2">
      <c r="A199" s="108"/>
      <c r="B199" s="109"/>
      <c r="C199" s="89"/>
      <c r="D199" s="103"/>
      <c r="E199" s="89"/>
      <c r="F199" s="103"/>
    </row>
    <row r="200" spans="1:6" x14ac:dyDescent="0.2">
      <c r="A200" s="108"/>
      <c r="B200" s="109"/>
      <c r="C200" s="89"/>
      <c r="D200" s="103"/>
      <c r="E200" s="89"/>
      <c r="F200" s="103"/>
    </row>
    <row r="201" spans="1:6" x14ac:dyDescent="0.2">
      <c r="A201" s="108"/>
      <c r="B201" s="109"/>
      <c r="C201" s="89"/>
      <c r="D201" s="103"/>
      <c r="E201" s="89"/>
      <c r="F201" s="103"/>
    </row>
    <row r="202" spans="1:6" x14ac:dyDescent="0.2">
      <c r="A202" s="108"/>
      <c r="B202" s="109"/>
      <c r="C202" s="89"/>
      <c r="D202" s="103"/>
      <c r="E202" s="89"/>
      <c r="F202" s="103"/>
    </row>
    <row r="203" spans="1:6" x14ac:dyDescent="0.2">
      <c r="A203" s="108"/>
      <c r="B203" s="109"/>
      <c r="C203" s="89"/>
      <c r="D203" s="103"/>
      <c r="E203" s="89"/>
      <c r="F203" s="103"/>
    </row>
    <row r="204" spans="1:6" x14ac:dyDescent="0.2">
      <c r="A204" s="108"/>
      <c r="B204" s="109"/>
      <c r="C204" s="89"/>
      <c r="D204" s="103"/>
      <c r="E204" s="89"/>
      <c r="F204" s="103"/>
    </row>
    <row r="205" spans="1:6" x14ac:dyDescent="0.2">
      <c r="A205" s="108"/>
      <c r="B205" s="109"/>
      <c r="C205" s="89"/>
      <c r="D205" s="103"/>
      <c r="E205" s="89"/>
      <c r="F205" s="103"/>
    </row>
    <row r="206" spans="1:6" x14ac:dyDescent="0.2">
      <c r="A206" s="108"/>
      <c r="B206" s="109"/>
      <c r="C206" s="89"/>
      <c r="D206" s="103"/>
      <c r="E206" s="89"/>
      <c r="F206" s="103"/>
    </row>
    <row r="207" spans="1:6" x14ac:dyDescent="0.2">
      <c r="A207" s="108"/>
      <c r="B207" s="109"/>
      <c r="C207" s="89"/>
      <c r="D207" s="103"/>
      <c r="E207" s="89"/>
      <c r="F207" s="103"/>
    </row>
    <row r="208" spans="1:6" x14ac:dyDescent="0.2">
      <c r="A208" s="108"/>
      <c r="B208" s="109"/>
      <c r="C208" s="89"/>
      <c r="D208" s="103"/>
      <c r="E208" s="89"/>
      <c r="F208" s="103"/>
    </row>
    <row r="209" spans="1:6" x14ac:dyDescent="0.2">
      <c r="A209" s="108"/>
      <c r="B209" s="109"/>
      <c r="C209" s="89"/>
      <c r="D209" s="103"/>
      <c r="E209" s="89"/>
      <c r="F209" s="103"/>
    </row>
    <row r="210" spans="1:6" x14ac:dyDescent="0.2">
      <c r="A210" s="108"/>
      <c r="B210" s="109"/>
      <c r="C210" s="89"/>
      <c r="D210" s="103"/>
      <c r="E210" s="89"/>
      <c r="F210" s="103"/>
    </row>
    <row r="211" spans="1:6" x14ac:dyDescent="0.2">
      <c r="A211" s="108"/>
      <c r="B211" s="109"/>
      <c r="C211" s="89"/>
      <c r="D211" s="103"/>
      <c r="E211" s="89"/>
      <c r="F211" s="103"/>
    </row>
    <row r="212" spans="1:6" x14ac:dyDescent="0.2">
      <c r="A212" s="108"/>
      <c r="B212" s="109"/>
      <c r="C212" s="89"/>
      <c r="D212" s="103"/>
      <c r="E212" s="89"/>
      <c r="F212" s="103"/>
    </row>
    <row r="213" spans="1:6" x14ac:dyDescent="0.2">
      <c r="A213" s="108"/>
      <c r="B213" s="109"/>
      <c r="C213" s="89"/>
      <c r="D213" s="103"/>
      <c r="E213" s="89"/>
      <c r="F213" s="103"/>
    </row>
    <row r="214" spans="1:6" x14ac:dyDescent="0.2">
      <c r="A214" s="108"/>
      <c r="B214" s="109"/>
      <c r="C214" s="89"/>
      <c r="D214" s="103"/>
      <c r="E214" s="89"/>
      <c r="F214" s="103"/>
    </row>
    <row r="215" spans="1:6" x14ac:dyDescent="0.2">
      <c r="A215" s="108"/>
      <c r="B215" s="109"/>
      <c r="C215" s="89"/>
      <c r="D215" s="103"/>
      <c r="E215" s="89"/>
      <c r="F215" s="103"/>
    </row>
    <row r="216" spans="1:6" x14ac:dyDescent="0.2">
      <c r="A216" s="108"/>
      <c r="B216" s="109"/>
      <c r="C216" s="89"/>
      <c r="D216" s="103"/>
      <c r="E216" s="89"/>
      <c r="F216" s="103"/>
    </row>
    <row r="217" spans="1:6" x14ac:dyDescent="0.2">
      <c r="A217" s="108"/>
      <c r="B217" s="109"/>
      <c r="C217" s="89"/>
      <c r="D217" s="103"/>
      <c r="E217" s="89"/>
      <c r="F217" s="103"/>
    </row>
    <row r="218" spans="1:6" x14ac:dyDescent="0.2">
      <c r="A218" s="108"/>
      <c r="B218" s="109"/>
      <c r="C218" s="89"/>
      <c r="D218" s="103"/>
      <c r="E218" s="89"/>
      <c r="F218" s="103"/>
    </row>
    <row r="219" spans="1:6" x14ac:dyDescent="0.2">
      <c r="B219" s="120"/>
    </row>
    <row r="220" spans="1:6" x14ac:dyDescent="0.2">
      <c r="B220" s="120"/>
    </row>
    <row r="223" spans="1:6" x14ac:dyDescent="0.2">
      <c r="B223" s="120"/>
    </row>
    <row r="224" spans="1:6" x14ac:dyDescent="0.2">
      <c r="B224" s="120"/>
    </row>
    <row r="226" spans="2:2" x14ac:dyDescent="0.2">
      <c r="B226" s="120"/>
    </row>
    <row r="227" spans="2:2" x14ac:dyDescent="0.2">
      <c r="B227" s="120"/>
    </row>
  </sheetData>
  <conditionalFormatting sqref="A1:E2">
    <cfRule type="expression" dxfId="13" priority="14" stopIfTrue="1">
      <formula>ISEVEN(ROW($A1))</formula>
    </cfRule>
  </conditionalFormatting>
  <conditionalFormatting sqref="D3:D12">
    <cfRule type="cellIs" dxfId="12" priority="12" stopIfTrue="1" operator="equal">
      <formula>"!Error!"</formula>
    </cfRule>
  </conditionalFormatting>
  <conditionalFormatting sqref="E3">
    <cfRule type="expression" dxfId="11" priority="15" stopIfTrue="1">
      <formula>ISEVEN(ROW(#REF!))</formula>
    </cfRule>
  </conditionalFormatting>
  <conditionalFormatting sqref="E4:E107">
    <cfRule type="expression" dxfId="10" priority="16" stopIfTrue="1">
      <formula>ISEVEN(ROW($A3))</formula>
    </cfRule>
  </conditionalFormatting>
  <conditionalFormatting sqref="E108:E218">
    <cfRule type="expression" dxfId="9" priority="11" stopIfTrue="1">
      <formula>ISEVEN(ROW($A107))</formula>
    </cfRule>
  </conditionalFormatting>
  <conditionalFormatting sqref="C6:C107">
    <cfRule type="expression" dxfId="8" priority="9" stopIfTrue="1">
      <formula>ISEVEN(ROW($A5))</formula>
    </cfRule>
  </conditionalFormatting>
  <conditionalFormatting sqref="C108:C218">
    <cfRule type="expression" dxfId="7" priority="7" stopIfTrue="1">
      <formula>ISEVEN(ROW($A107))</formula>
    </cfRule>
  </conditionalFormatting>
  <conditionalFormatting sqref="C3:C5">
    <cfRule type="expression" dxfId="0" priority="3" stopIfTrue="1">
      <formula>ISEVEN(ROW($A2))</formula>
    </cfRule>
  </conditionalFormatting>
  <conditionalFormatting sqref="B3:B13">
    <cfRule type="cellIs" dxfId="1" priority="1" stopIfTrue="1" operator="equal">
      <formula>"!Error!"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II179"/>
  <sheetViews>
    <sheetView topLeftCell="P1" zoomScale="80" zoomScaleNormal="80" zoomScalePageLayoutView="80" workbookViewId="0">
      <selection activeCell="AA17" sqref="AA17"/>
    </sheetView>
  </sheetViews>
  <sheetFormatPr defaultColWidth="0" defaultRowHeight="12.75" x14ac:dyDescent="0.2"/>
  <cols>
    <col min="1" max="1" width="10.28515625" style="107" customWidth="1"/>
    <col min="2" max="2" width="23.7109375" style="107" bestFit="1" customWidth="1"/>
    <col min="3" max="3" width="18.42578125" style="107" bestFit="1" customWidth="1"/>
    <col min="4" max="4" width="19.42578125" style="107" bestFit="1" customWidth="1"/>
    <col min="5" max="5" width="12.140625" style="107" bestFit="1" customWidth="1"/>
    <col min="6" max="6" width="20.42578125" style="107" bestFit="1" customWidth="1"/>
    <col min="7" max="8" width="17.42578125" style="107" bestFit="1" customWidth="1"/>
    <col min="9" max="9" width="24.28515625" style="107" bestFit="1" customWidth="1"/>
    <col min="10" max="10" width="13.85546875" style="107" bestFit="1" customWidth="1"/>
    <col min="11" max="11" width="11.42578125" style="107" customWidth="1"/>
    <col min="12" max="12" width="11.7109375" style="107" customWidth="1"/>
    <col min="13" max="13" width="22.28515625" style="107" bestFit="1" customWidth="1"/>
    <col min="14" max="14" width="15.7109375" style="107" bestFit="1" customWidth="1"/>
    <col min="15" max="16" width="12.140625" style="107" bestFit="1" customWidth="1"/>
    <col min="17" max="17" width="20" style="107" bestFit="1" customWidth="1"/>
    <col min="18" max="18" width="9.140625" style="107" customWidth="1"/>
    <col min="19" max="19" width="12.28515625" style="107" bestFit="1" customWidth="1"/>
    <col min="20" max="20" width="9.140625" style="107" customWidth="1"/>
    <col min="21" max="21" width="11.85546875" style="107" customWidth="1"/>
    <col min="22" max="22" width="16.7109375" style="107" bestFit="1" customWidth="1"/>
    <col min="23" max="23" width="12" style="107" bestFit="1" customWidth="1"/>
    <col min="24" max="24" width="9.140625" style="107" customWidth="1"/>
    <col min="25" max="25" width="3.28515625" style="107" bestFit="1" customWidth="1"/>
    <col min="26" max="26" width="4" style="107" customWidth="1"/>
    <col min="27" max="27" width="75.85546875" style="107" bestFit="1" customWidth="1"/>
    <col min="28" max="28" width="17.42578125" style="107" bestFit="1" customWidth="1"/>
    <col min="29" max="30" width="13.42578125" style="107" customWidth="1"/>
    <col min="31" max="31" width="14.85546875" style="107" bestFit="1" customWidth="1"/>
    <col min="32" max="32" width="12" style="107" bestFit="1" customWidth="1"/>
    <col min="33" max="34" width="12.28515625" style="107" bestFit="1" customWidth="1"/>
    <col min="35" max="242" width="9.140625" style="107" customWidth="1"/>
    <col min="243" max="16384" width="0" style="107" hidden="1"/>
  </cols>
  <sheetData>
    <row r="1" spans="24:243" ht="24" thickBot="1" x14ac:dyDescent="0.4">
      <c r="AA1" s="43" t="s">
        <v>37</v>
      </c>
      <c r="AE1" s="107" t="s">
        <v>127</v>
      </c>
      <c r="AF1" s="107">
        <v>20</v>
      </c>
      <c r="II1" s="107" t="s">
        <v>8</v>
      </c>
    </row>
    <row r="2" spans="24:243" ht="13.5" thickBot="1" x14ac:dyDescent="0.25">
      <c r="Y2" s="38"/>
      <c r="Z2" s="39"/>
      <c r="AA2" s="39"/>
      <c r="AB2" s="40" t="s">
        <v>34</v>
      </c>
      <c r="AC2" s="40" t="s">
        <v>35</v>
      </c>
      <c r="AD2" s="41" t="s">
        <v>36</v>
      </c>
    </row>
    <row r="3" spans="24:243" ht="12.75" customHeight="1" x14ac:dyDescent="0.2">
      <c r="X3" s="42">
        <v>1</v>
      </c>
      <c r="Y3" s="227" t="s">
        <v>31</v>
      </c>
      <c r="Z3" s="122" t="s">
        <v>57</v>
      </c>
      <c r="AA3" s="123" t="s">
        <v>142</v>
      </c>
      <c r="AB3" s="124">
        <f>G49</f>
        <v>150300.5</v>
      </c>
      <c r="AC3" s="125">
        <v>0</v>
      </c>
      <c r="AD3" s="126">
        <f>IF(OR(AND(AC3&gt;=AB3-15,AC3&lt;=AB3+15)),X3,0)</f>
        <v>0</v>
      </c>
      <c r="AE3" s="112"/>
      <c r="AF3" s="112"/>
      <c r="AG3" s="112"/>
    </row>
    <row r="4" spans="24:243" x14ac:dyDescent="0.2">
      <c r="X4" s="42">
        <v>1</v>
      </c>
      <c r="Y4" s="228"/>
      <c r="Z4" s="44" t="s">
        <v>58</v>
      </c>
      <c r="AA4" s="37" t="s">
        <v>143</v>
      </c>
      <c r="AB4" s="127">
        <f>H44</f>
        <v>125148.13368416292</v>
      </c>
      <c r="AC4" s="128">
        <v>0</v>
      </c>
      <c r="AD4" s="129">
        <f>IF(OR((AND(AC4&gt;=AB4-15,AC4&lt;=AB4+15)),AND(AC4&gt;=AE4-15,AC4&lt;=AE4+15)),X4,0)</f>
        <v>0</v>
      </c>
      <c r="AE4" s="112">
        <v>106870.33191937313</v>
      </c>
      <c r="AF4" s="112"/>
      <c r="AG4" s="112"/>
    </row>
    <row r="5" spans="24:243" x14ac:dyDescent="0.2">
      <c r="X5" s="42">
        <v>1</v>
      </c>
      <c r="Y5" s="228"/>
      <c r="Z5" s="44" t="s">
        <v>59</v>
      </c>
      <c r="AA5" s="37" t="s">
        <v>144</v>
      </c>
      <c r="AB5" s="127">
        <f>I42+I43</f>
        <v>104774.37</v>
      </c>
      <c r="AC5" s="130">
        <v>0</v>
      </c>
      <c r="AD5" s="129">
        <f>IF(OR(AND(AC5&gt;=AB5-15,AC5&lt;=AB5+15)),X5,0)</f>
        <v>0</v>
      </c>
      <c r="AE5" s="112"/>
      <c r="AF5" s="112"/>
      <c r="AG5" s="112"/>
    </row>
    <row r="6" spans="24:243" x14ac:dyDescent="0.2">
      <c r="X6" s="42">
        <v>1.5</v>
      </c>
      <c r="Y6" s="228"/>
      <c r="Z6" s="44" t="s">
        <v>60</v>
      </c>
      <c r="AA6" s="37" t="s">
        <v>145</v>
      </c>
      <c r="AB6" s="127">
        <f>L40</f>
        <v>64779.399999999994</v>
      </c>
      <c r="AC6" s="128">
        <v>0</v>
      </c>
      <c r="AD6" s="129">
        <f>IF(OR(AND(AC6&gt;=AB6-15,AC6&lt;=AB6+15)),X6,0)</f>
        <v>0</v>
      </c>
      <c r="AE6" s="112"/>
      <c r="AF6" s="112"/>
      <c r="AG6" s="112"/>
    </row>
    <row r="7" spans="24:243" x14ac:dyDescent="0.2">
      <c r="X7" s="42">
        <v>1.5</v>
      </c>
      <c r="Y7" s="228"/>
      <c r="Z7" s="44" t="s">
        <v>61</v>
      </c>
      <c r="AA7" s="37" t="s">
        <v>140</v>
      </c>
      <c r="AB7" s="127">
        <f>2018</f>
        <v>2018</v>
      </c>
      <c r="AC7" s="130">
        <v>0</v>
      </c>
      <c r="AD7" s="129">
        <f>IF(OR((AND(AC7&gt;=AB7-0.5,AC7&lt;=AB7+0.5)),AND(AC7&gt;=AE7-0.5,AC7&lt;=AE7+0.5),AND(AC7&gt;=AG7-0.5,AC7&lt;=AG7+0.5)),X7,0)</f>
        <v>0</v>
      </c>
      <c r="AE7" s="131">
        <v>13.232904171879834</v>
      </c>
      <c r="AF7" s="113">
        <v>13</v>
      </c>
      <c r="AG7" s="112">
        <v>14</v>
      </c>
    </row>
    <row r="8" spans="24:243" x14ac:dyDescent="0.2">
      <c r="X8" s="42">
        <v>1.5</v>
      </c>
      <c r="Y8" s="228"/>
      <c r="Z8" s="44" t="s">
        <v>62</v>
      </c>
      <c r="AA8" s="37" t="s">
        <v>141</v>
      </c>
      <c r="AB8" s="127">
        <f>2021</f>
        <v>2021</v>
      </c>
      <c r="AC8" s="128">
        <v>0</v>
      </c>
      <c r="AD8" s="129">
        <f>IF(OR((AND(AC8&gt;=AB8-0.5,AC8&lt;=AB8+0.5)),AND(AC8&gt;=AE8-0.5,AC8&lt;=AE8+0.5),AND(AC8&gt;=AG8-0.5,AC8&lt;=AG8+0.5),AND(AC8&gt;=AH8-0.5,AC8&lt;=AH8+0.5)),X8,0)</f>
        <v>0</v>
      </c>
      <c r="AE8" s="131">
        <v>18.210638898978893</v>
      </c>
      <c r="AF8" s="113">
        <v>18</v>
      </c>
      <c r="AG8" s="112">
        <v>19</v>
      </c>
      <c r="AH8" s="112">
        <v>2020</v>
      </c>
    </row>
    <row r="9" spans="24:243" x14ac:dyDescent="0.2">
      <c r="X9" s="42">
        <v>1</v>
      </c>
      <c r="Y9" s="228"/>
      <c r="Z9" s="44" t="s">
        <v>50</v>
      </c>
      <c r="AA9" s="37" t="s">
        <v>63</v>
      </c>
      <c r="AB9" s="132">
        <f>J39</f>
        <v>46287.829999999994</v>
      </c>
      <c r="AC9" s="130">
        <v>0</v>
      </c>
      <c r="AD9" s="129">
        <f>IF(OR((AND(AC9&gt;=AB9-15,AC9&lt;=AB9+15)),AND(AC9&gt;=AE9-15,AC9&lt;=AE9+15)),X9,0)</f>
        <v>0</v>
      </c>
      <c r="AE9" s="112">
        <v>26426.319999999974</v>
      </c>
      <c r="AF9" s="112"/>
      <c r="AG9" s="112"/>
    </row>
    <row r="10" spans="24:243" x14ac:dyDescent="0.2">
      <c r="X10" s="42">
        <v>1</v>
      </c>
      <c r="Y10" s="228"/>
      <c r="Z10" s="44" t="s">
        <v>49</v>
      </c>
      <c r="AA10" s="37" t="s">
        <v>64</v>
      </c>
      <c r="AB10" s="132">
        <f>J40</f>
        <v>26391.259999999951</v>
      </c>
      <c r="AC10" s="128">
        <v>0</v>
      </c>
      <c r="AD10" s="129">
        <f>IF(OR((AND(AC10&gt;=AB10-15,AC10&lt;=AB10+15)),AND(AC10&gt;=AE10-15,AC10&lt;=AE10+15)),X10,0)</f>
        <v>0</v>
      </c>
      <c r="AE10" s="112">
        <v>-3621.5600000000118</v>
      </c>
      <c r="AF10" s="112"/>
      <c r="AG10" s="112"/>
    </row>
    <row r="11" spans="24:243" x14ac:dyDescent="0.2">
      <c r="X11" s="42">
        <v>1</v>
      </c>
      <c r="Y11" s="228"/>
      <c r="Z11" s="44" t="s">
        <v>48</v>
      </c>
      <c r="AA11" s="37" t="s">
        <v>65</v>
      </c>
      <c r="AB11" s="132">
        <f>J41</f>
        <v>-3667.6100000000279</v>
      </c>
      <c r="AC11" s="130">
        <v>0</v>
      </c>
      <c r="AD11" s="129">
        <f>IF(OR((AND(AC11&gt;=AB11-15,AC11&lt;=AB11+15)),AND(AC11&gt;=AE11-15,AC11&lt;=AE11+15)),X11,0)</f>
        <v>0</v>
      </c>
      <c r="AE11" s="112">
        <v>-45272.240000000049</v>
      </c>
      <c r="AF11" s="112"/>
      <c r="AG11" s="112"/>
    </row>
    <row r="12" spans="24:243" x14ac:dyDescent="0.2">
      <c r="X12" s="42">
        <v>1</v>
      </c>
      <c r="Y12" s="228"/>
      <c r="Z12" s="44" t="s">
        <v>47</v>
      </c>
      <c r="AA12" s="37" t="s">
        <v>133</v>
      </c>
      <c r="AB12" s="132">
        <f>J42</f>
        <v>-45331.359999999957</v>
      </c>
      <c r="AC12" s="128">
        <v>0</v>
      </c>
      <c r="AD12" s="129">
        <f>IF(OR((AND(AC12&gt;=AB12-15,AC12&lt;=AB12+15)),AND(AC12&gt;=AE12-15,AC12&lt;=AE12+15)),X12,0)</f>
        <v>0</v>
      </c>
      <c r="AE12" s="112">
        <v>-99968.119999999966</v>
      </c>
      <c r="AF12" s="112"/>
      <c r="AG12" s="112"/>
    </row>
    <row r="13" spans="24:243" x14ac:dyDescent="0.2">
      <c r="X13" s="42">
        <v>1.5</v>
      </c>
      <c r="Y13" s="228"/>
      <c r="Z13" s="44" t="s">
        <v>66</v>
      </c>
      <c r="AA13" s="37" t="s">
        <v>67</v>
      </c>
      <c r="AB13" s="132">
        <f>SUMXMY2($D$30:$D$38,G30:G38)</f>
        <v>363525065.4000001</v>
      </c>
      <c r="AC13" s="130">
        <v>0</v>
      </c>
      <c r="AD13" s="129">
        <f>IF(OR(AND(AC13&gt;=AB13-15,AC13&lt;=AB13+15)),X13,0)</f>
        <v>0</v>
      </c>
      <c r="AE13" s="112"/>
      <c r="AF13" s="112"/>
      <c r="AG13" s="112"/>
    </row>
    <row r="14" spans="24:243" x14ac:dyDescent="0.2">
      <c r="X14" s="42">
        <v>1.5</v>
      </c>
      <c r="Y14" s="228"/>
      <c r="Z14" s="44" t="s">
        <v>68</v>
      </c>
      <c r="AA14" s="37" t="s">
        <v>69</v>
      </c>
      <c r="AB14" s="132">
        <f>SUMXMY2($D$30:$D$38,H30:H38)</f>
        <v>430754299.79112637</v>
      </c>
      <c r="AC14" s="128">
        <v>0</v>
      </c>
      <c r="AD14" s="129">
        <f>IF(OR((AND(AC14&gt;=AB14-15,AC14&lt;=AB14+15)),AND(AC14&gt;=AE14-15,AC14&lt;=AE14+15)),X14,0)</f>
        <v>0</v>
      </c>
      <c r="AE14" s="112">
        <v>428009464.06866002</v>
      </c>
      <c r="AF14" s="112"/>
      <c r="AG14" s="112"/>
    </row>
    <row r="15" spans="24:243" x14ac:dyDescent="0.2">
      <c r="X15" s="42">
        <v>1.5</v>
      </c>
      <c r="Y15" s="228"/>
      <c r="Z15" s="44" t="s">
        <v>70</v>
      </c>
      <c r="AA15" s="37" t="s">
        <v>71</v>
      </c>
      <c r="AB15" s="132">
        <f>SUMXMY2($D$30:$D$38,I30:I38)</f>
        <v>188705526.64769992</v>
      </c>
      <c r="AC15" s="130">
        <v>0</v>
      </c>
      <c r="AD15" s="129">
        <f>IF(OR((AND(AC15&gt;=AB15-15,AC15&lt;=AB15+15)),AND(AC15&gt;=AE15-15,AC15&lt;=AE15+15)),X15,0)</f>
        <v>0</v>
      </c>
      <c r="AE15" s="112">
        <v>188705527.74929991</v>
      </c>
      <c r="AF15" s="112"/>
      <c r="AG15" s="112"/>
    </row>
    <row r="16" spans="24:243" x14ac:dyDescent="0.2">
      <c r="X16" s="42">
        <v>1.5</v>
      </c>
      <c r="Y16" s="228"/>
      <c r="Z16" s="44" t="s">
        <v>72</v>
      </c>
      <c r="AA16" s="37" t="s">
        <v>73</v>
      </c>
      <c r="AB16" s="132">
        <f>SUMXMY2($D$30:$D$38,J30:J38)</f>
        <v>106297522.3067999</v>
      </c>
      <c r="AC16" s="128">
        <v>0</v>
      </c>
      <c r="AD16" s="129">
        <f>IF(OR((AND(AC16&gt;=AB16-15,AC16&lt;=AB16+15)),AND(AC16&gt;=AE16-15,AC16&lt;=AE16+15)),X16,0)</f>
        <v>0</v>
      </c>
      <c r="AE16" s="112">
        <v>106298076.81600007</v>
      </c>
      <c r="AF16" s="112"/>
      <c r="AG16" s="112"/>
    </row>
    <row r="17" spans="2:35" ht="38.25" x14ac:dyDescent="0.2">
      <c r="X17" s="42">
        <v>2</v>
      </c>
      <c r="Y17" s="228"/>
      <c r="Z17" s="44">
        <v>5</v>
      </c>
      <c r="AA17" s="133" t="s">
        <v>74</v>
      </c>
      <c r="AB17" s="134"/>
      <c r="AC17" s="217">
        <v>0</v>
      </c>
      <c r="AD17" s="129">
        <v>0</v>
      </c>
      <c r="AE17" s="112"/>
      <c r="AF17" s="112"/>
      <c r="AG17" s="112"/>
    </row>
    <row r="18" spans="2:35" x14ac:dyDescent="0.2">
      <c r="X18" s="42">
        <v>1</v>
      </c>
      <c r="Y18" s="229"/>
      <c r="Z18" s="95">
        <v>6</v>
      </c>
      <c r="AA18" s="135" t="s">
        <v>33</v>
      </c>
      <c r="AB18" s="132" t="s">
        <v>56</v>
      </c>
      <c r="AC18" s="136" t="s">
        <v>55</v>
      </c>
      <c r="AD18" s="129">
        <f>IF(EXACT(AC18,AB18),X18,0)</f>
        <v>0</v>
      </c>
      <c r="AE18" s="112"/>
      <c r="AF18" s="112"/>
      <c r="AG18" s="112"/>
    </row>
    <row r="19" spans="2:35" ht="12.75" customHeight="1" x14ac:dyDescent="0.2">
      <c r="X19" s="42">
        <v>1</v>
      </c>
      <c r="Y19" s="230" t="s">
        <v>32</v>
      </c>
      <c r="Z19" s="76">
        <v>1</v>
      </c>
      <c r="AA19" s="75" t="s">
        <v>75</v>
      </c>
      <c r="AB19" s="132">
        <f>C73</f>
        <v>8</v>
      </c>
      <c r="AC19" s="130">
        <v>0</v>
      </c>
      <c r="AD19" s="129">
        <f>IF(OR(AND(AC19&gt;=AB19-5,AC19&lt;=AB19+5)),X19,0)</f>
        <v>0</v>
      </c>
      <c r="AE19" s="114"/>
      <c r="AF19" s="112"/>
      <c r="AG19" s="112"/>
    </row>
    <row r="20" spans="2:35" x14ac:dyDescent="0.2">
      <c r="X20" s="42">
        <v>2</v>
      </c>
      <c r="Y20" s="228"/>
      <c r="Z20" s="77">
        <v>2</v>
      </c>
      <c r="AA20" s="75" t="s">
        <v>76</v>
      </c>
      <c r="AB20" s="132">
        <f>J94</f>
        <v>0.17414663759005933</v>
      </c>
      <c r="AC20" s="128">
        <v>0</v>
      </c>
      <c r="AD20" s="129">
        <f>IF(OR(AND(AC20&gt;=AB20-15,AC20&lt;=AB20+15)),X20,0)</f>
        <v>2</v>
      </c>
      <c r="AE20" s="112"/>
      <c r="AF20" s="112"/>
      <c r="AG20" s="112"/>
    </row>
    <row r="21" spans="2:35" x14ac:dyDescent="0.2">
      <c r="X21" s="42">
        <v>1</v>
      </c>
      <c r="Y21" s="228"/>
      <c r="Z21" s="77" t="s">
        <v>50</v>
      </c>
      <c r="AA21" s="75" t="s">
        <v>53</v>
      </c>
      <c r="AB21" s="132" t="s">
        <v>21</v>
      </c>
      <c r="AC21" s="136" t="s">
        <v>55</v>
      </c>
      <c r="AD21" s="129">
        <f>IF(EXACT(AC21,AB21),X21,0)</f>
        <v>0</v>
      </c>
      <c r="AE21" s="112"/>
      <c r="AF21" s="112"/>
      <c r="AG21" s="112"/>
    </row>
    <row r="22" spans="2:35" ht="13.5" thickBot="1" x14ac:dyDescent="0.25">
      <c r="X22" s="42">
        <v>1.5</v>
      </c>
      <c r="Y22" s="228"/>
      <c r="Z22" s="77" t="s">
        <v>49</v>
      </c>
      <c r="AA22" s="75" t="s">
        <v>54</v>
      </c>
      <c r="AB22" s="132">
        <f>I112</f>
        <v>3.2121246427350481E-2</v>
      </c>
      <c r="AC22" s="130">
        <v>0</v>
      </c>
      <c r="AD22" s="129">
        <f>IF(OR(AND(AC22&gt;=AB22-0.01,AC22&lt;=AB22+0.01)),X22,0)</f>
        <v>0</v>
      </c>
      <c r="AE22" s="112"/>
      <c r="AF22" s="112"/>
      <c r="AG22" s="112"/>
    </row>
    <row r="23" spans="2:35" x14ac:dyDescent="0.2">
      <c r="C23" s="65" t="s">
        <v>9</v>
      </c>
      <c r="D23" s="66">
        <v>7433.1</v>
      </c>
      <c r="H23" s="65" t="s">
        <v>10</v>
      </c>
      <c r="I23" s="66">
        <v>6718.09</v>
      </c>
      <c r="L23" s="65" t="s">
        <v>11</v>
      </c>
      <c r="M23" s="64"/>
      <c r="N23" s="66">
        <v>-12173.64</v>
      </c>
      <c r="Q23" s="65" t="s">
        <v>11</v>
      </c>
      <c r="R23" s="64"/>
      <c r="S23" s="137">
        <v>3694.63</v>
      </c>
      <c r="X23" s="42">
        <v>1.5</v>
      </c>
      <c r="Y23" s="228"/>
      <c r="Z23" s="77" t="s">
        <v>66</v>
      </c>
      <c r="AA23" s="75" t="s">
        <v>52</v>
      </c>
      <c r="AB23" s="132">
        <f>F146</f>
        <v>7.9804735128931478E-2</v>
      </c>
      <c r="AC23" s="128">
        <v>0</v>
      </c>
      <c r="AD23" s="129">
        <f>IF(OR(AND(AC23&gt;=AB23-0.02,AC23&lt;=AB23+0.02)),X23,0)</f>
        <v>0</v>
      </c>
      <c r="AE23" s="112"/>
      <c r="AF23" s="112"/>
      <c r="AG23" s="112"/>
    </row>
    <row r="24" spans="2:35" ht="13.5" thickBot="1" x14ac:dyDescent="0.25">
      <c r="C24" s="62" t="s">
        <v>11</v>
      </c>
      <c r="D24" s="56">
        <v>1638.5</v>
      </c>
      <c r="H24" s="62" t="s">
        <v>12</v>
      </c>
      <c r="I24" s="67">
        <v>1.08</v>
      </c>
      <c r="L24" s="63" t="s">
        <v>13</v>
      </c>
      <c r="M24" s="61"/>
      <c r="N24" s="67">
        <v>14967</v>
      </c>
      <c r="Q24" s="63" t="s">
        <v>13</v>
      </c>
      <c r="R24" s="61"/>
      <c r="S24" s="67">
        <v>-228.08</v>
      </c>
      <c r="X24" s="42">
        <v>1.5</v>
      </c>
      <c r="Y24" s="228"/>
      <c r="Z24" s="77" t="s">
        <v>68</v>
      </c>
      <c r="AA24" s="75" t="s">
        <v>51</v>
      </c>
      <c r="AB24" s="132">
        <f>G146</f>
        <v>6.4263938436856352</v>
      </c>
      <c r="AC24" s="128">
        <v>0</v>
      </c>
      <c r="AD24" s="129">
        <f>IF(OR(AND(AC24&gt;=AB24-0.04,AC24&lt;=AB24+0.04)),X24,0)</f>
        <v>0</v>
      </c>
      <c r="AE24" s="116"/>
      <c r="AF24" s="112"/>
      <c r="AG24" s="112"/>
    </row>
    <row r="25" spans="2:35" ht="13.5" thickBot="1" x14ac:dyDescent="0.25">
      <c r="D25" s="64"/>
      <c r="I25" s="64"/>
      <c r="L25" s="62" t="s">
        <v>14</v>
      </c>
      <c r="M25" s="138"/>
      <c r="N25" s="24">
        <v>-753.39</v>
      </c>
      <c r="Q25" s="63" t="s">
        <v>14</v>
      </c>
      <c r="R25" s="61"/>
      <c r="S25" s="67">
        <v>2853.04</v>
      </c>
      <c r="X25" s="42">
        <v>1.5</v>
      </c>
      <c r="Y25" s="228"/>
      <c r="Z25" s="77" t="s">
        <v>70</v>
      </c>
      <c r="AA25" s="37" t="s">
        <v>138</v>
      </c>
      <c r="AB25" s="132">
        <f>J164+J165</f>
        <v>0.28428632944706511</v>
      </c>
      <c r="AC25" s="130">
        <v>0</v>
      </c>
      <c r="AD25" s="139">
        <f>IF(OR(AND(AC25&gt;=AB25-15,AC25&lt;=AB25+15)),X25,0)</f>
        <v>1.5</v>
      </c>
      <c r="AE25" s="112"/>
      <c r="AF25" s="112"/>
      <c r="AG25" s="112"/>
    </row>
    <row r="26" spans="2:35" ht="13.5" thickBot="1" x14ac:dyDescent="0.25">
      <c r="M26" s="61"/>
      <c r="Q26" s="62" t="s">
        <v>19</v>
      </c>
      <c r="R26" s="138"/>
      <c r="S26" s="24">
        <v>-240.43</v>
      </c>
      <c r="X26" s="42">
        <v>1</v>
      </c>
      <c r="Y26" s="228"/>
      <c r="Z26" s="77">
        <v>5</v>
      </c>
      <c r="AA26" s="75" t="s">
        <v>33</v>
      </c>
      <c r="AB26" s="132" t="s">
        <v>139</v>
      </c>
      <c r="AC26" s="140" t="s">
        <v>55</v>
      </c>
      <c r="AD26" s="129">
        <f>IF(EXACT(AC26,AB26),X26,0)</f>
        <v>0</v>
      </c>
      <c r="AE26" s="115"/>
      <c r="AF26" s="115"/>
      <c r="AG26" s="112"/>
    </row>
    <row r="27" spans="2:35" x14ac:dyDescent="0.2">
      <c r="L27" s="141"/>
      <c r="M27" s="141"/>
      <c r="X27" s="42">
        <v>1.5</v>
      </c>
      <c r="Y27" s="228"/>
      <c r="Z27" s="77" t="s">
        <v>28</v>
      </c>
      <c r="AA27" s="75" t="s">
        <v>77</v>
      </c>
      <c r="AB27" s="132">
        <f>P72</f>
        <v>0.3040200405079494</v>
      </c>
      <c r="AC27" s="142">
        <v>0</v>
      </c>
      <c r="AD27" s="129">
        <f>IF(OR(AND(AC27&gt;=AB27-15,AC27&lt;=AB27+15)),X27,0)</f>
        <v>1.5</v>
      </c>
      <c r="AF27" s="28"/>
    </row>
    <row r="28" spans="2:35" ht="17.25" thickBot="1" x14ac:dyDescent="0.3">
      <c r="C28" s="143" t="s">
        <v>2</v>
      </c>
      <c r="D28" s="143"/>
      <c r="E28" s="25"/>
      <c r="F28" s="57" t="s">
        <v>78</v>
      </c>
      <c r="G28" s="59"/>
      <c r="H28" s="59"/>
      <c r="I28" s="59"/>
      <c r="J28" s="59"/>
      <c r="K28" s="59"/>
      <c r="L28" s="144"/>
      <c r="M28" s="144"/>
      <c r="X28" s="42">
        <v>1.5</v>
      </c>
      <c r="Y28" s="228"/>
      <c r="Z28" s="77" t="s">
        <v>29</v>
      </c>
      <c r="AA28" s="75" t="s">
        <v>79</v>
      </c>
      <c r="AB28" s="127">
        <f>P73</f>
        <v>0.25945897381991845</v>
      </c>
      <c r="AC28" s="142">
        <v>0</v>
      </c>
      <c r="AD28" s="129">
        <f>IF(OR(AND(AC28&gt;=AB28-15,AC28&lt;=AB28+15)),X28,0)</f>
        <v>1.5</v>
      </c>
      <c r="AF28" s="28"/>
      <c r="AG28" s="26"/>
    </row>
    <row r="29" spans="2:35" s="26" customFormat="1" ht="13.5" customHeight="1" thickBot="1" x14ac:dyDescent="0.25">
      <c r="C29" s="145" t="s">
        <v>80</v>
      </c>
      <c r="D29" s="146" t="s">
        <v>81</v>
      </c>
      <c r="E29" s="27"/>
      <c r="F29" s="147" t="s">
        <v>17</v>
      </c>
      <c r="G29" s="148" t="s">
        <v>82</v>
      </c>
      <c r="H29" s="148" t="s">
        <v>12</v>
      </c>
      <c r="I29" s="148" t="s">
        <v>83</v>
      </c>
      <c r="J29" s="148" t="s">
        <v>84</v>
      </c>
      <c r="K29" s="232" t="s">
        <v>85</v>
      </c>
      <c r="L29" s="233"/>
      <c r="X29" s="42">
        <v>1.5</v>
      </c>
      <c r="Y29" s="228"/>
      <c r="Z29" s="77" t="s">
        <v>30</v>
      </c>
      <c r="AA29" s="75" t="s">
        <v>86</v>
      </c>
      <c r="AB29" s="132">
        <f>P74</f>
        <v>0.22184949607273996</v>
      </c>
      <c r="AC29" s="142">
        <v>0</v>
      </c>
      <c r="AD29" s="129">
        <f>IF(OR(AND(AC29&gt;=AB29-15,AC29&lt;=AB29+15)),X29,0)</f>
        <v>1.5</v>
      </c>
      <c r="AH29" s="107"/>
      <c r="AI29" s="107"/>
    </row>
    <row r="30" spans="2:35" ht="15.75" thickBot="1" x14ac:dyDescent="0.3">
      <c r="B30" s="107">
        <v>1</v>
      </c>
      <c r="C30" s="225" t="s">
        <v>88</v>
      </c>
      <c r="D30" s="150">
        <v>7221</v>
      </c>
      <c r="E30" s="28"/>
      <c r="F30" s="151">
        <v>1</v>
      </c>
      <c r="G30" s="152">
        <f>$D$23*F30+$D$24</f>
        <v>9071.6</v>
      </c>
      <c r="H30" s="152">
        <f>$I$23*F30^$I$24</f>
        <v>6718.09</v>
      </c>
      <c r="I30" s="152">
        <f>$N$25*F30^2+$N$24*F30+$N$23</f>
        <v>2039.9700000000012</v>
      </c>
      <c r="J30" s="59">
        <f>$S$26*F30^3+$S$25*F30^2+$S$24*F30+$S$23</f>
        <v>6079.16</v>
      </c>
      <c r="K30" s="153"/>
      <c r="L30" s="154"/>
      <c r="X30" s="42">
        <v>1.5</v>
      </c>
      <c r="Y30" s="231"/>
      <c r="Z30" s="155">
        <v>7</v>
      </c>
      <c r="AA30" s="156" t="s">
        <v>87</v>
      </c>
      <c r="AB30" s="157">
        <f>D108</f>
        <v>31</v>
      </c>
      <c r="AC30" s="158">
        <v>0</v>
      </c>
      <c r="AD30" s="159">
        <f>IF(EXACT(AC30,AB30),X30,0)</f>
        <v>0</v>
      </c>
    </row>
    <row r="31" spans="2:35" ht="18.75" thickBot="1" x14ac:dyDescent="0.3">
      <c r="B31" s="107">
        <v>2</v>
      </c>
      <c r="C31" s="225" t="s">
        <v>89</v>
      </c>
      <c r="D31" s="150">
        <v>11807</v>
      </c>
      <c r="E31" s="28"/>
      <c r="F31" s="160">
        <v>2</v>
      </c>
      <c r="G31" s="152">
        <f t="shared" ref="G31:G59" si="0">$D$23*F31+$D$24</f>
        <v>16504.7</v>
      </c>
      <c r="H31" s="152">
        <f t="shared" ref="H31:H59" si="1">$I$23*F31^$I$24</f>
        <v>14202.284656230009</v>
      </c>
      <c r="I31" s="152">
        <f t="shared" ref="I31:I59" si="2">$N$25*F31^2+$N$24*F31+$N$23</f>
        <v>14746.8</v>
      </c>
      <c r="J31" s="59">
        <f t="shared" ref="J31:J59" si="3">$S$26*F31^3+$S$25*F31^2+$S$24*F31+$S$23</f>
        <v>12727.189999999999</v>
      </c>
      <c r="K31" s="153"/>
      <c r="L31" s="154"/>
      <c r="X31" s="42">
        <f>SUM(X3:X30)</f>
        <v>37.5</v>
      </c>
      <c r="AD31" s="161">
        <f>SUM(AD3:AD30)</f>
        <v>8</v>
      </c>
      <c r="AH31" s="26"/>
      <c r="AI31" s="26"/>
    </row>
    <row r="32" spans="2:35" ht="18.75" thickBot="1" x14ac:dyDescent="0.3">
      <c r="B32" s="107">
        <v>3</v>
      </c>
      <c r="C32" s="149" t="s">
        <v>90</v>
      </c>
      <c r="D32" s="150">
        <v>17883</v>
      </c>
      <c r="E32" s="28"/>
      <c r="F32" s="160">
        <v>3</v>
      </c>
      <c r="G32" s="152">
        <f t="shared" si="0"/>
        <v>23937.800000000003</v>
      </c>
      <c r="H32" s="152">
        <f t="shared" si="1"/>
        <v>22005.780298881287</v>
      </c>
      <c r="I32" s="152">
        <f t="shared" si="2"/>
        <v>25946.85</v>
      </c>
      <c r="J32" s="59">
        <f t="shared" si="3"/>
        <v>22196.14</v>
      </c>
      <c r="K32" s="153"/>
      <c r="L32" s="154"/>
      <c r="X32" s="42"/>
      <c r="Y32" s="36"/>
      <c r="AD32" s="162">
        <f>AD31/X31</f>
        <v>0.21333333333333335</v>
      </c>
    </row>
    <row r="33" spans="2:24" ht="15" x14ac:dyDescent="0.25">
      <c r="B33" s="107">
        <v>4</v>
      </c>
      <c r="C33" s="149" t="s">
        <v>91</v>
      </c>
      <c r="D33" s="150">
        <v>38794</v>
      </c>
      <c r="E33" s="28"/>
      <c r="F33" s="160">
        <v>4</v>
      </c>
      <c r="G33" s="152">
        <f t="shared" si="0"/>
        <v>31370.9</v>
      </c>
      <c r="H33" s="152">
        <f t="shared" si="1"/>
        <v>30024.142197646404</v>
      </c>
      <c r="I33" s="152">
        <f t="shared" si="2"/>
        <v>35640.120000000003</v>
      </c>
      <c r="J33" s="59">
        <f t="shared" si="3"/>
        <v>33043.43</v>
      </c>
      <c r="K33" s="152"/>
      <c r="L33" s="154"/>
      <c r="X33" s="42"/>
    </row>
    <row r="34" spans="2:24" ht="15" x14ac:dyDescent="0.25">
      <c r="B34" s="107">
        <v>5</v>
      </c>
      <c r="C34" s="149" t="s">
        <v>92</v>
      </c>
      <c r="D34" s="150">
        <v>42285</v>
      </c>
      <c r="E34" s="28"/>
      <c r="F34" s="160">
        <v>5</v>
      </c>
      <c r="G34" s="152">
        <f t="shared" si="0"/>
        <v>38804</v>
      </c>
      <c r="H34" s="152">
        <f t="shared" si="1"/>
        <v>38206.162835542797</v>
      </c>
      <c r="I34" s="152">
        <f t="shared" si="2"/>
        <v>43826.61</v>
      </c>
      <c r="J34" s="59">
        <f t="shared" si="3"/>
        <v>43826.479999999996</v>
      </c>
      <c r="K34" s="73">
        <f>D34-D33</f>
        <v>3491</v>
      </c>
      <c r="L34" s="154"/>
      <c r="X34" s="42"/>
    </row>
    <row r="35" spans="2:24" ht="14.25" customHeight="1" x14ac:dyDescent="0.25">
      <c r="B35" s="107">
        <v>6</v>
      </c>
      <c r="C35" s="149" t="s">
        <v>93</v>
      </c>
      <c r="D35" s="150">
        <v>56291</v>
      </c>
      <c r="E35" s="28"/>
      <c r="F35" s="160">
        <v>6</v>
      </c>
      <c r="G35" s="152">
        <f t="shared" si="0"/>
        <v>46237.100000000006</v>
      </c>
      <c r="H35" s="152">
        <f t="shared" si="1"/>
        <v>46521.013545095455</v>
      </c>
      <c r="I35" s="152">
        <f t="shared" si="2"/>
        <v>50506.32</v>
      </c>
      <c r="J35" s="59">
        <f t="shared" si="3"/>
        <v>53102.709999999992</v>
      </c>
      <c r="K35" s="73">
        <f>D35-D34</f>
        <v>14006</v>
      </c>
      <c r="L35" s="154"/>
      <c r="X35" s="42"/>
    </row>
    <row r="36" spans="2:24" ht="15.75" customHeight="1" x14ac:dyDescent="0.25">
      <c r="B36" s="107">
        <v>7</v>
      </c>
      <c r="C36" s="149" t="s">
        <v>94</v>
      </c>
      <c r="D36" s="150">
        <v>53660</v>
      </c>
      <c r="E36" s="28"/>
      <c r="F36" s="160">
        <v>7</v>
      </c>
      <c r="G36" s="152">
        <f t="shared" si="0"/>
        <v>53670.200000000004</v>
      </c>
      <c r="H36" s="152">
        <f t="shared" si="1"/>
        <v>54947.976122980544</v>
      </c>
      <c r="I36" s="152">
        <f t="shared" si="2"/>
        <v>55679.25</v>
      </c>
      <c r="J36" s="59">
        <f t="shared" si="3"/>
        <v>59429.539999999986</v>
      </c>
      <c r="K36" s="73">
        <f>D36-D35</f>
        <v>-2631</v>
      </c>
      <c r="L36" s="154"/>
    </row>
    <row r="37" spans="2:24" ht="15" x14ac:dyDescent="0.25">
      <c r="B37" s="107">
        <v>8</v>
      </c>
      <c r="C37" s="149" t="s">
        <v>95</v>
      </c>
      <c r="D37" s="150">
        <v>63940</v>
      </c>
      <c r="E37" s="28"/>
      <c r="F37" s="160">
        <v>8</v>
      </c>
      <c r="G37" s="152">
        <f t="shared" si="0"/>
        <v>61103.3</v>
      </c>
      <c r="H37" s="152">
        <f t="shared" si="1"/>
        <v>63472.119910584915</v>
      </c>
      <c r="I37" s="152">
        <f t="shared" si="2"/>
        <v>59345.400000000009</v>
      </c>
      <c r="J37" s="59">
        <f t="shared" si="3"/>
        <v>61364.389999999992</v>
      </c>
      <c r="K37" s="73">
        <f>D37-D36</f>
        <v>10280</v>
      </c>
      <c r="L37" s="154"/>
    </row>
    <row r="38" spans="2:24" ht="15.75" thickBot="1" x14ac:dyDescent="0.3">
      <c r="B38" s="107">
        <v>9</v>
      </c>
      <c r="C38" s="149" t="s">
        <v>96</v>
      </c>
      <c r="D38" s="150">
        <v>57355</v>
      </c>
      <c r="E38" s="70"/>
      <c r="F38" s="160">
        <v>9</v>
      </c>
      <c r="G38" s="152">
        <f t="shared" si="0"/>
        <v>68536.400000000009</v>
      </c>
      <c r="H38" s="152">
        <f t="shared" si="1"/>
        <v>72082.149325571969</v>
      </c>
      <c r="I38" s="152">
        <f t="shared" si="2"/>
        <v>61504.770000000004</v>
      </c>
      <c r="J38" s="59">
        <f t="shared" si="3"/>
        <v>57464.679999999986</v>
      </c>
      <c r="K38" s="73">
        <f>D38-D37</f>
        <v>-6585</v>
      </c>
      <c r="L38" s="154"/>
    </row>
    <row r="39" spans="2:24" ht="15" x14ac:dyDescent="0.25">
      <c r="B39" s="107">
        <v>10</v>
      </c>
      <c r="C39" s="149" t="s">
        <v>97</v>
      </c>
      <c r="D39" s="58"/>
      <c r="E39" s="70"/>
      <c r="F39" s="160">
        <v>10</v>
      </c>
      <c r="G39" s="152">
        <f t="shared" si="0"/>
        <v>75969.5</v>
      </c>
      <c r="H39" s="152">
        <f t="shared" si="1"/>
        <v>80769.206755588981</v>
      </c>
      <c r="I39" s="152">
        <f t="shared" si="2"/>
        <v>62157.36</v>
      </c>
      <c r="J39" s="59">
        <f t="shared" si="3"/>
        <v>46287.829999999994</v>
      </c>
      <c r="K39" s="163">
        <f>AVERAGE(K34:K38)</f>
        <v>3712.2</v>
      </c>
      <c r="L39" s="74">
        <f>D38+K39</f>
        <v>61067.199999999997</v>
      </c>
    </row>
    <row r="40" spans="2:24" ht="15.75" thickBot="1" x14ac:dyDescent="0.3">
      <c r="B40" s="107">
        <v>11</v>
      </c>
      <c r="C40" s="149" t="s">
        <v>98</v>
      </c>
      <c r="D40" s="58"/>
      <c r="E40" s="70"/>
      <c r="F40" s="160">
        <v>11</v>
      </c>
      <c r="G40" s="152">
        <f t="shared" si="0"/>
        <v>83402.600000000006</v>
      </c>
      <c r="H40" s="152">
        <f t="shared" si="1"/>
        <v>89526.151897153017</v>
      </c>
      <c r="I40" s="152">
        <f t="shared" si="2"/>
        <v>61303.17</v>
      </c>
      <c r="J40" s="59">
        <f t="shared" si="3"/>
        <v>26391.259999999951</v>
      </c>
      <c r="K40" s="164" t="s">
        <v>18</v>
      </c>
      <c r="L40" s="74">
        <f>L39+$K$39</f>
        <v>64779.399999999994</v>
      </c>
    </row>
    <row r="41" spans="2:24" ht="15" x14ac:dyDescent="0.25">
      <c r="B41" s="107">
        <v>12</v>
      </c>
      <c r="C41" s="149" t="s">
        <v>99</v>
      </c>
      <c r="D41" s="60"/>
      <c r="E41" s="70"/>
      <c r="F41" s="160">
        <v>12</v>
      </c>
      <c r="G41" s="152">
        <f t="shared" si="0"/>
        <v>90835.700000000012</v>
      </c>
      <c r="H41" s="152">
        <f t="shared" si="1"/>
        <v>98347.101164732478</v>
      </c>
      <c r="I41" s="152">
        <f t="shared" si="2"/>
        <v>58942.2</v>
      </c>
      <c r="J41" s="59">
        <f t="shared" si="3"/>
        <v>-3667.6100000000279</v>
      </c>
      <c r="K41" s="165"/>
      <c r="L41" s="74">
        <f>L40+$K$39</f>
        <v>68491.599999999991</v>
      </c>
    </row>
    <row r="42" spans="2:24" ht="15" x14ac:dyDescent="0.25">
      <c r="B42" s="107">
        <v>13</v>
      </c>
      <c r="C42" s="149" t="s">
        <v>100</v>
      </c>
      <c r="D42" s="60"/>
      <c r="E42" s="70"/>
      <c r="F42" s="160">
        <v>13</v>
      </c>
      <c r="G42" s="152">
        <f t="shared" si="0"/>
        <v>98268.800000000003</v>
      </c>
      <c r="H42" s="152">
        <f t="shared" si="1"/>
        <v>107227.11917297033</v>
      </c>
      <c r="I42" s="152">
        <f t="shared" si="2"/>
        <v>55074.45</v>
      </c>
      <c r="J42" s="59">
        <f t="shared" si="3"/>
        <v>-45331.359999999957</v>
      </c>
      <c r="K42" s="165"/>
      <c r="L42" s="74">
        <f>L41+$K$39</f>
        <v>72203.799999999988</v>
      </c>
    </row>
    <row r="43" spans="2:24" ht="15.75" thickBot="1" x14ac:dyDescent="0.3">
      <c r="B43" s="107">
        <v>14</v>
      </c>
      <c r="C43" s="149" t="s">
        <v>101</v>
      </c>
      <c r="D43" s="60"/>
      <c r="E43" s="70"/>
      <c r="F43" s="166">
        <v>14</v>
      </c>
      <c r="G43" s="152">
        <f t="shared" si="0"/>
        <v>105701.90000000001</v>
      </c>
      <c r="H43" s="152">
        <f t="shared" si="1"/>
        <v>116162.00410865282</v>
      </c>
      <c r="I43" s="152">
        <f t="shared" si="2"/>
        <v>49699.92</v>
      </c>
      <c r="J43" s="59">
        <f t="shared" si="3"/>
        <v>-100042.57000000007</v>
      </c>
      <c r="K43" s="167"/>
      <c r="L43" s="168">
        <f>L42+$K$39</f>
        <v>75915.999999999985</v>
      </c>
    </row>
    <row r="44" spans="2:24" ht="15" x14ac:dyDescent="0.25">
      <c r="B44" s="107">
        <v>15</v>
      </c>
      <c r="C44" s="149" t="s">
        <v>102</v>
      </c>
      <c r="D44" s="60"/>
      <c r="F44" s="166">
        <v>15</v>
      </c>
      <c r="G44" s="152">
        <f t="shared" si="0"/>
        <v>113135</v>
      </c>
      <c r="H44" s="152">
        <f t="shared" si="1"/>
        <v>125148.13368416292</v>
      </c>
      <c r="I44" s="152">
        <f t="shared" si="2"/>
        <v>42818.61</v>
      </c>
      <c r="J44" s="59">
        <f t="shared" si="3"/>
        <v>-169243.82</v>
      </c>
      <c r="L44" s="141"/>
      <c r="M44" s="141"/>
    </row>
    <row r="45" spans="2:24" ht="15" x14ac:dyDescent="0.25">
      <c r="B45" s="107">
        <v>16</v>
      </c>
      <c r="C45" s="149" t="s">
        <v>103</v>
      </c>
      <c r="D45" s="60"/>
      <c r="F45" s="166">
        <v>16</v>
      </c>
      <c r="G45" s="152">
        <f t="shared" si="0"/>
        <v>120568.1</v>
      </c>
      <c r="H45" s="152">
        <f t="shared" si="1"/>
        <v>134182.35163632687</v>
      </c>
      <c r="I45" s="152">
        <f t="shared" si="2"/>
        <v>34430.520000000004</v>
      </c>
      <c r="J45" s="59">
        <f t="shared" si="3"/>
        <v>-254377.69000000003</v>
      </c>
    </row>
    <row r="46" spans="2:24" ht="15" x14ac:dyDescent="0.25">
      <c r="B46" s="107">
        <v>17</v>
      </c>
      <c r="C46" s="149" t="s">
        <v>104</v>
      </c>
      <c r="D46" s="60"/>
      <c r="F46" s="166">
        <v>17</v>
      </c>
      <c r="G46" s="152">
        <f t="shared" si="0"/>
        <v>128001.20000000001</v>
      </c>
      <c r="H46" s="152">
        <f t="shared" si="1"/>
        <v>143261.88221081989</v>
      </c>
      <c r="I46" s="152">
        <f t="shared" si="2"/>
        <v>24535.650000000009</v>
      </c>
      <c r="J46" s="59">
        <f t="shared" si="3"/>
        <v>-356886.76000000013</v>
      </c>
    </row>
    <row r="47" spans="2:24" ht="15" x14ac:dyDescent="0.25">
      <c r="B47" s="107">
        <v>18</v>
      </c>
      <c r="C47" s="149" t="s">
        <v>105</v>
      </c>
      <c r="D47" s="60"/>
      <c r="F47" s="166">
        <v>18</v>
      </c>
      <c r="G47" s="152">
        <f t="shared" si="0"/>
        <v>135434.30000000002</v>
      </c>
      <c r="H47" s="152">
        <f t="shared" si="1"/>
        <v>152384.26447913775</v>
      </c>
      <c r="I47" s="152">
        <f t="shared" si="2"/>
        <v>13134.000000000015</v>
      </c>
      <c r="J47" s="59">
        <f t="shared" si="3"/>
        <v>-478213.61000000004</v>
      </c>
    </row>
    <row r="48" spans="2:24" ht="15" x14ac:dyDescent="0.25">
      <c r="B48" s="107">
        <v>19</v>
      </c>
      <c r="C48" s="149" t="s">
        <v>106</v>
      </c>
      <c r="D48" s="60"/>
      <c r="F48" s="166">
        <v>19</v>
      </c>
      <c r="G48" s="152">
        <f t="shared" si="0"/>
        <v>142867.4</v>
      </c>
      <c r="H48" s="152">
        <f t="shared" si="1"/>
        <v>161547.30103479099</v>
      </c>
      <c r="I48" s="152">
        <f t="shared" si="2"/>
        <v>225.57000000002154</v>
      </c>
      <c r="J48" s="59">
        <f t="shared" si="3"/>
        <v>-619800.82000000018</v>
      </c>
    </row>
    <row r="49" spans="2:10" ht="15" x14ac:dyDescent="0.25">
      <c r="B49" s="107">
        <v>20</v>
      </c>
      <c r="C49" s="149" t="s">
        <v>107</v>
      </c>
      <c r="D49" s="60"/>
      <c r="F49" s="166">
        <v>20</v>
      </c>
      <c r="G49" s="152">
        <f t="shared" si="0"/>
        <v>150300.5</v>
      </c>
      <c r="H49" s="152">
        <f t="shared" si="1"/>
        <v>170749.01732497927</v>
      </c>
      <c r="I49" s="152">
        <f t="shared" si="2"/>
        <v>-14189.64</v>
      </c>
      <c r="J49" s="59">
        <f t="shared" si="3"/>
        <v>-783090.97</v>
      </c>
    </row>
    <row r="50" spans="2:10" ht="15" x14ac:dyDescent="0.25">
      <c r="B50" s="107">
        <v>21</v>
      </c>
      <c r="C50" s="149" t="s">
        <v>108</v>
      </c>
      <c r="D50" s="60"/>
      <c r="F50" s="166">
        <v>21</v>
      </c>
      <c r="G50" s="152">
        <f t="shared" si="0"/>
        <v>157733.6</v>
      </c>
      <c r="H50" s="152">
        <f t="shared" si="1"/>
        <v>179987.62898837085</v>
      </c>
      <c r="I50" s="152">
        <f t="shared" si="2"/>
        <v>-30111.62999999999</v>
      </c>
      <c r="J50" s="59">
        <f t="shared" si="3"/>
        <v>-969526.64000000013</v>
      </c>
    </row>
    <row r="51" spans="2:10" ht="15" x14ac:dyDescent="0.25">
      <c r="B51" s="107">
        <v>22</v>
      </c>
      <c r="C51" s="149" t="s">
        <v>109</v>
      </c>
      <c r="D51" s="60"/>
      <c r="F51" s="166">
        <v>22</v>
      </c>
      <c r="G51" s="152">
        <f t="shared" si="0"/>
        <v>165166.70000000001</v>
      </c>
      <c r="H51" s="152">
        <f t="shared" si="1"/>
        <v>189261.51531465841</v>
      </c>
      <c r="I51" s="152">
        <f t="shared" si="2"/>
        <v>-47540.400000000009</v>
      </c>
      <c r="J51" s="59">
        <f t="shared" si="3"/>
        <v>-1180550.4100000004</v>
      </c>
    </row>
    <row r="52" spans="2:10" ht="15" x14ac:dyDescent="0.25">
      <c r="B52" s="107">
        <v>23</v>
      </c>
      <c r="C52" s="149" t="s">
        <v>110</v>
      </c>
      <c r="D52" s="60"/>
      <c r="F52" s="166">
        <v>23</v>
      </c>
      <c r="G52" s="152">
        <f t="shared" si="0"/>
        <v>172599.80000000002</v>
      </c>
      <c r="H52" s="152">
        <f t="shared" si="1"/>
        <v>198569.19745102321</v>
      </c>
      <c r="I52" s="152">
        <f t="shared" si="2"/>
        <v>-66475.95</v>
      </c>
      <c r="J52" s="59">
        <f t="shared" si="3"/>
        <v>-1417604.8600000003</v>
      </c>
    </row>
    <row r="53" spans="2:10" ht="15" x14ac:dyDescent="0.25">
      <c r="B53" s="107">
        <v>24</v>
      </c>
      <c r="C53" s="149" t="s">
        <v>111</v>
      </c>
      <c r="D53" s="60"/>
      <c r="F53" s="166">
        <v>24</v>
      </c>
      <c r="G53" s="152">
        <f t="shared" si="0"/>
        <v>180032.90000000002</v>
      </c>
      <c r="H53" s="152">
        <f t="shared" si="1"/>
        <v>207909.32033607474</v>
      </c>
      <c r="I53" s="152">
        <f t="shared" si="2"/>
        <v>-86918.280000000013</v>
      </c>
      <c r="J53" s="59">
        <f t="shared" si="3"/>
        <v>-1682132.5700000003</v>
      </c>
    </row>
    <row r="54" spans="2:10" ht="15" x14ac:dyDescent="0.25">
      <c r="B54" s="107">
        <v>25</v>
      </c>
      <c r="C54" s="149" t="s">
        <v>112</v>
      </c>
      <c r="D54" s="169"/>
      <c r="F54" s="166">
        <v>25</v>
      </c>
      <c r="G54" s="152">
        <f t="shared" si="0"/>
        <v>187466</v>
      </c>
      <c r="H54" s="152">
        <f t="shared" si="1"/>
        <v>217280.63759431799</v>
      </c>
      <c r="I54" s="152">
        <f t="shared" si="2"/>
        <v>-108867.39</v>
      </c>
      <c r="J54" s="59">
        <f t="shared" si="3"/>
        <v>-1975576.12</v>
      </c>
    </row>
    <row r="55" spans="2:10" ht="15" x14ac:dyDescent="0.25">
      <c r="B55" s="107">
        <v>26</v>
      </c>
      <c r="C55" s="149" t="s">
        <v>113</v>
      </c>
      <c r="D55" s="169"/>
      <c r="F55" s="166">
        <v>26</v>
      </c>
      <c r="G55" s="152">
        <f t="shared" si="0"/>
        <v>194899.1</v>
      </c>
      <c r="H55" s="152">
        <f t="shared" si="1"/>
        <v>226681.99880650951</v>
      </c>
      <c r="I55" s="152">
        <f t="shared" si="2"/>
        <v>-132323.28000000003</v>
      </c>
      <c r="J55" s="59">
        <f t="shared" si="3"/>
        <v>-2299378.09</v>
      </c>
    </row>
    <row r="56" spans="2:10" ht="15" x14ac:dyDescent="0.25">
      <c r="B56" s="107">
        <v>27</v>
      </c>
      <c r="C56" s="149" t="s">
        <v>114</v>
      </c>
      <c r="D56" s="169"/>
      <c r="F56" s="166">
        <v>27</v>
      </c>
      <c r="G56" s="152">
        <f t="shared" si="0"/>
        <v>202332.2</v>
      </c>
      <c r="H56" s="152">
        <f t="shared" si="1"/>
        <v>236112.33870485367</v>
      </c>
      <c r="I56" s="152">
        <f t="shared" si="2"/>
        <v>-157285.94999999995</v>
      </c>
      <c r="J56" s="59">
        <f t="shared" si="3"/>
        <v>-2654981.0600000005</v>
      </c>
    </row>
    <row r="57" spans="2:10" ht="15" x14ac:dyDescent="0.25">
      <c r="B57" s="107">
        <v>28</v>
      </c>
      <c r="C57" s="149" t="s">
        <v>115</v>
      </c>
      <c r="D57" s="169"/>
      <c r="F57" s="166">
        <v>28</v>
      </c>
      <c r="G57" s="152">
        <f t="shared" si="0"/>
        <v>209765.30000000002</v>
      </c>
      <c r="H57" s="152">
        <f t="shared" si="1"/>
        <v>245570.66794122243</v>
      </c>
      <c r="I57" s="152">
        <f t="shared" si="2"/>
        <v>-183755.40000000002</v>
      </c>
      <c r="J57" s="59">
        <f t="shared" si="3"/>
        <v>-3043827.6100000008</v>
      </c>
    </row>
    <row r="58" spans="2:10" ht="15" x14ac:dyDescent="0.25">
      <c r="B58" s="107">
        <v>29</v>
      </c>
      <c r="C58" s="149" t="s">
        <v>131</v>
      </c>
      <c r="D58" s="169"/>
      <c r="F58" s="166">
        <v>29</v>
      </c>
      <c r="G58" s="152">
        <f t="shared" si="0"/>
        <v>217198.40000000002</v>
      </c>
      <c r="H58" s="152">
        <f t="shared" si="1"/>
        <v>255056.06515119784</v>
      </c>
      <c r="I58" s="152">
        <f t="shared" si="2"/>
        <v>-211731.63</v>
      </c>
      <c r="J58" s="59">
        <f t="shared" si="3"/>
        <v>-3467360.3200000003</v>
      </c>
    </row>
    <row r="59" spans="2:10" ht="15.75" thickBot="1" x14ac:dyDescent="0.3">
      <c r="B59" s="107">
        <v>30</v>
      </c>
      <c r="C59" s="226" t="s">
        <v>132</v>
      </c>
      <c r="D59" s="170"/>
      <c r="F59" s="166">
        <v>30</v>
      </c>
      <c r="G59" s="152">
        <f t="shared" si="0"/>
        <v>224631.5</v>
      </c>
      <c r="H59" s="152">
        <f t="shared" si="1"/>
        <v>264567.67009349522</v>
      </c>
      <c r="I59" s="152">
        <f t="shared" si="2"/>
        <v>-241214.64</v>
      </c>
      <c r="J59" s="59">
        <f t="shared" si="3"/>
        <v>-3927021.77</v>
      </c>
    </row>
    <row r="68" spans="1:19" x14ac:dyDescent="0.2">
      <c r="A68" s="35"/>
      <c r="B68" s="35"/>
      <c r="C68" s="35"/>
      <c r="D68" s="35"/>
      <c r="E68" s="35"/>
      <c r="F68" s="35"/>
      <c r="G68" s="35"/>
      <c r="H68" s="35"/>
      <c r="I68" s="35"/>
      <c r="J68" s="35"/>
      <c r="K68" s="35"/>
      <c r="L68" s="35"/>
      <c r="M68" s="35"/>
      <c r="N68" s="35"/>
      <c r="O68" s="35"/>
      <c r="P68" s="35"/>
      <c r="Q68" s="35"/>
      <c r="R68" s="35"/>
      <c r="S68" s="35"/>
    </row>
    <row r="69" spans="1:19" x14ac:dyDescent="0.2">
      <c r="A69" s="117"/>
      <c r="B69" s="31"/>
      <c r="C69" s="69"/>
      <c r="D69" s="32"/>
      <c r="E69" s="71"/>
      <c r="F69" s="72"/>
      <c r="G69" s="72"/>
      <c r="H69" s="171"/>
      <c r="I69" s="171"/>
    </row>
    <row r="70" spans="1:19" x14ac:dyDescent="0.2">
      <c r="A70" s="30"/>
      <c r="B70" s="31"/>
      <c r="C70" s="69"/>
      <c r="D70" s="32"/>
      <c r="E70" s="71"/>
      <c r="F70" s="72"/>
      <c r="G70" s="72"/>
      <c r="H70" s="171"/>
      <c r="I70" s="171"/>
    </row>
    <row r="71" spans="1:19" ht="15" x14ac:dyDescent="0.25">
      <c r="A71" s="117"/>
      <c r="B71" s="172" t="s">
        <v>116</v>
      </c>
      <c r="C71" s="173">
        <f>AF1</f>
        <v>20</v>
      </c>
      <c r="D71" s="32"/>
      <c r="E71" s="174" t="s">
        <v>20</v>
      </c>
      <c r="F71" s="174" t="s">
        <v>21</v>
      </c>
      <c r="G71" s="174" t="s">
        <v>22</v>
      </c>
      <c r="H71" s="171"/>
      <c r="I71" s="171"/>
      <c r="M71" s="175" t="s">
        <v>134</v>
      </c>
    </row>
    <row r="72" spans="1:19" ht="15" x14ac:dyDescent="0.25">
      <c r="A72" s="30"/>
      <c r="B72" s="172" t="s">
        <v>117</v>
      </c>
      <c r="C72" s="176">
        <v>0.4</v>
      </c>
      <c r="D72" s="32"/>
      <c r="E72" s="177">
        <v>1</v>
      </c>
      <c r="F72" s="177">
        <v>0.24</v>
      </c>
      <c r="G72" s="177">
        <v>5.2498186956295196</v>
      </c>
      <c r="H72" s="178"/>
      <c r="I72" s="179"/>
      <c r="L72" s="180" t="s">
        <v>20</v>
      </c>
      <c r="M72" s="107">
        <v>0.93</v>
      </c>
      <c r="O72" s="180" t="s">
        <v>118</v>
      </c>
      <c r="P72" s="181">
        <f>N94+N95</f>
        <v>0.3040200405079494</v>
      </c>
      <c r="Q72" s="182"/>
    </row>
    <row r="73" spans="1:19" x14ac:dyDescent="0.2">
      <c r="A73" s="117"/>
      <c r="B73" s="29" t="s">
        <v>119</v>
      </c>
      <c r="C73" s="183">
        <f>C71*C72</f>
        <v>8</v>
      </c>
      <c r="D73" s="32"/>
      <c r="E73" s="71"/>
      <c r="F73" s="72"/>
      <c r="G73" s="72"/>
      <c r="H73" s="178"/>
      <c r="I73" s="184"/>
      <c r="L73" s="180" t="s">
        <v>21</v>
      </c>
      <c r="M73" s="107">
        <v>12</v>
      </c>
      <c r="O73" s="180" t="s">
        <v>120</v>
      </c>
      <c r="P73" s="181">
        <f>N96+N97</f>
        <v>0.25945897381991845</v>
      </c>
      <c r="Q73" s="182"/>
    </row>
    <row r="74" spans="1:19" x14ac:dyDescent="0.2">
      <c r="A74" s="30"/>
      <c r="B74" s="31"/>
      <c r="E74" s="71" t="s">
        <v>23</v>
      </c>
      <c r="F74" s="72">
        <f>SUMXMY2($G$78:$G$86,H78:H86)</f>
        <v>4858012296.2675934</v>
      </c>
      <c r="G74" s="72"/>
      <c r="H74" s="178"/>
      <c r="L74" s="180" t="s">
        <v>121</v>
      </c>
      <c r="M74" s="107" t="s">
        <v>122</v>
      </c>
      <c r="O74" s="180" t="s">
        <v>123</v>
      </c>
      <c r="P74" s="181">
        <f>N98+N99</f>
        <v>0.22184949607273996</v>
      </c>
      <c r="Q74" s="182"/>
    </row>
    <row r="75" spans="1:19" x14ac:dyDescent="0.2">
      <c r="A75" s="117"/>
      <c r="B75" s="31"/>
      <c r="E75" s="71"/>
      <c r="F75" s="72"/>
      <c r="G75" s="72"/>
      <c r="H75" s="180"/>
    </row>
    <row r="76" spans="1:19" x14ac:dyDescent="0.2">
      <c r="A76" s="30"/>
      <c r="B76" s="31"/>
      <c r="E76" s="71"/>
      <c r="F76" s="72"/>
      <c r="G76" s="72"/>
    </row>
    <row r="77" spans="1:19" ht="26.25" x14ac:dyDescent="0.25">
      <c r="A77" s="117"/>
      <c r="B77" s="185"/>
      <c r="C77" s="186" t="s">
        <v>15</v>
      </c>
      <c r="D77" s="186" t="s">
        <v>24</v>
      </c>
      <c r="E77" s="187" t="s">
        <v>16</v>
      </c>
      <c r="F77" s="187" t="s">
        <v>27</v>
      </c>
      <c r="G77" s="187" t="s">
        <v>25</v>
      </c>
      <c r="H77" s="188" t="s">
        <v>26</v>
      </c>
      <c r="I77" s="188" t="s">
        <v>27</v>
      </c>
      <c r="J77" s="188" t="s">
        <v>124</v>
      </c>
      <c r="L77" s="189" t="s">
        <v>135</v>
      </c>
      <c r="M77" s="190" t="s">
        <v>136</v>
      </c>
      <c r="N77" s="190" t="s">
        <v>137</v>
      </c>
    </row>
    <row r="78" spans="1:19" ht="15" x14ac:dyDescent="0.25">
      <c r="A78" s="30"/>
      <c r="B78" s="185">
        <v>2012</v>
      </c>
      <c r="C78" s="30" t="s">
        <v>125</v>
      </c>
      <c r="D78" s="31">
        <v>1</v>
      </c>
      <c r="E78" s="191">
        <v>7221</v>
      </c>
      <c r="F78" s="69">
        <f>E78</f>
        <v>7221</v>
      </c>
      <c r="G78" s="32">
        <f t="shared" ref="G78:G86" si="4">F78/$C$73</f>
        <v>902.625</v>
      </c>
      <c r="H78" s="33">
        <f t="shared" ref="H78:H103" si="5">$E$72*EXP(-$G$72*EXP(-$F$72*D78))</f>
        <v>1.6088450067798195E-2</v>
      </c>
      <c r="I78" s="34">
        <f t="shared" ref="I78:I103" si="6">H78*$C$73</f>
        <v>0.12870760054238556</v>
      </c>
      <c r="J78" s="34">
        <f>I78</f>
        <v>0.12870760054238556</v>
      </c>
      <c r="L78" s="96">
        <f>WEIBULL(D78,$M$72,$M$73,TRUE)</f>
        <v>9.4407352695744656E-2</v>
      </c>
      <c r="M78" s="182">
        <f>L78*$C$73</f>
        <v>0.75525882156595725</v>
      </c>
      <c r="N78" s="182">
        <f>M78</f>
        <v>0.75525882156595725</v>
      </c>
    </row>
    <row r="79" spans="1:19" ht="15" x14ac:dyDescent="0.25">
      <c r="A79" s="117"/>
      <c r="B79" s="185"/>
      <c r="C79" s="30" t="s">
        <v>126</v>
      </c>
      <c r="D79" s="31">
        <v>2</v>
      </c>
      <c r="E79" s="191">
        <v>11807</v>
      </c>
      <c r="F79" s="69">
        <f t="shared" ref="F79:F86" si="7">E79+F78</f>
        <v>19028</v>
      </c>
      <c r="G79" s="32">
        <f t="shared" si="4"/>
        <v>2378.5</v>
      </c>
      <c r="H79" s="33">
        <f t="shared" si="5"/>
        <v>3.8832388754882624E-2</v>
      </c>
      <c r="I79" s="34">
        <f t="shared" si="6"/>
        <v>0.31065911003906099</v>
      </c>
      <c r="J79" s="34">
        <f t="shared" ref="J79:J103" si="8">I79-I78</f>
        <v>0.18195150949667543</v>
      </c>
      <c r="L79" s="96">
        <f t="shared" ref="L79:L108" si="9">WEIBULL(D79,$M$72,$M$73,TRUE)</f>
        <v>0.17216217734785716</v>
      </c>
      <c r="M79" s="182">
        <f t="shared" ref="M79:M103" si="10">L79*$C$73</f>
        <v>1.3772974187828573</v>
      </c>
      <c r="N79" s="182">
        <f>M79-M78</f>
        <v>0.62203859721690002</v>
      </c>
    </row>
    <row r="80" spans="1:19" ht="15" x14ac:dyDescent="0.25">
      <c r="A80" s="30"/>
      <c r="B80" s="185">
        <v>2013</v>
      </c>
      <c r="C80" s="30" t="s">
        <v>125</v>
      </c>
      <c r="D80" s="31">
        <v>3</v>
      </c>
      <c r="E80" s="191">
        <v>17883</v>
      </c>
      <c r="F80" s="69">
        <f t="shared" si="7"/>
        <v>36911</v>
      </c>
      <c r="G80" s="32">
        <f t="shared" si="4"/>
        <v>4613.875</v>
      </c>
      <c r="H80" s="33">
        <f t="shared" si="5"/>
        <v>7.7664182973449625E-2</v>
      </c>
      <c r="I80" s="34">
        <f t="shared" si="6"/>
        <v>0.621313463787597</v>
      </c>
      <c r="J80" s="34">
        <f t="shared" si="8"/>
        <v>0.31065435374853601</v>
      </c>
      <c r="L80" s="96">
        <f t="shared" si="9"/>
        <v>0.2407895588652546</v>
      </c>
      <c r="M80" s="182">
        <f t="shared" si="10"/>
        <v>1.9263164709220368</v>
      </c>
      <c r="N80" s="182">
        <f t="shared" ref="N80:N103" si="11">M80-M79</f>
        <v>0.54901905213917956</v>
      </c>
    </row>
    <row r="81" spans="1:14" ht="15" x14ac:dyDescent="0.25">
      <c r="A81" s="117"/>
      <c r="B81" s="185"/>
      <c r="C81" s="30" t="s">
        <v>126</v>
      </c>
      <c r="D81" s="31">
        <v>4</v>
      </c>
      <c r="E81" s="191">
        <v>38794</v>
      </c>
      <c r="F81" s="69">
        <f t="shared" si="7"/>
        <v>75705</v>
      </c>
      <c r="G81" s="32">
        <f t="shared" si="4"/>
        <v>9463.125</v>
      </c>
      <c r="H81" s="33">
        <f t="shared" si="5"/>
        <v>0.13397283396136234</v>
      </c>
      <c r="I81" s="34">
        <f t="shared" si="6"/>
        <v>1.0717826716908987</v>
      </c>
      <c r="J81" s="34">
        <f t="shared" si="8"/>
        <v>0.45046920790330169</v>
      </c>
      <c r="L81" s="96">
        <f t="shared" si="9"/>
        <v>0.30230906127649465</v>
      </c>
      <c r="M81" s="182">
        <f t="shared" si="10"/>
        <v>2.4184724902119572</v>
      </c>
      <c r="N81" s="182">
        <f t="shared" si="11"/>
        <v>0.49215601928992037</v>
      </c>
    </row>
    <row r="82" spans="1:14" ht="15" x14ac:dyDescent="0.25">
      <c r="A82" s="30"/>
      <c r="B82" s="185">
        <v>2014</v>
      </c>
      <c r="C82" s="30" t="s">
        <v>125</v>
      </c>
      <c r="D82" s="31">
        <v>5</v>
      </c>
      <c r="E82" s="191">
        <v>42285</v>
      </c>
      <c r="F82" s="69">
        <f t="shared" si="7"/>
        <v>117990</v>
      </c>
      <c r="G82" s="32">
        <f t="shared" si="4"/>
        <v>14748.75</v>
      </c>
      <c r="H82" s="33">
        <f t="shared" si="5"/>
        <v>0.20572498946241241</v>
      </c>
      <c r="I82" s="34">
        <f t="shared" si="6"/>
        <v>1.6457999156992993</v>
      </c>
      <c r="J82" s="34">
        <f t="shared" si="8"/>
        <v>0.5740172440084006</v>
      </c>
      <c r="L82" s="96">
        <f t="shared" si="9"/>
        <v>0.3578926743513981</v>
      </c>
      <c r="M82" s="182">
        <f t="shared" si="10"/>
        <v>2.8631413948111848</v>
      </c>
      <c r="N82" s="182">
        <f t="shared" si="11"/>
        <v>0.44466890459922759</v>
      </c>
    </row>
    <row r="83" spans="1:14" ht="15" x14ac:dyDescent="0.25">
      <c r="B83" s="185"/>
      <c r="C83" s="30" t="s">
        <v>126</v>
      </c>
      <c r="D83" s="31">
        <v>6</v>
      </c>
      <c r="E83" s="191">
        <v>56291</v>
      </c>
      <c r="F83" s="69">
        <f t="shared" si="7"/>
        <v>174281</v>
      </c>
      <c r="G83" s="32">
        <f t="shared" si="4"/>
        <v>21785.125</v>
      </c>
      <c r="H83" s="33">
        <f t="shared" si="5"/>
        <v>0.28827863698162309</v>
      </c>
      <c r="I83" s="34">
        <f t="shared" si="6"/>
        <v>2.3062290958529847</v>
      </c>
      <c r="J83" s="34">
        <f t="shared" si="8"/>
        <v>0.66042918015368546</v>
      </c>
      <c r="L83" s="96">
        <f t="shared" si="9"/>
        <v>0.40836083103622761</v>
      </c>
      <c r="M83" s="182">
        <f t="shared" si="10"/>
        <v>3.2668866482898209</v>
      </c>
      <c r="N83" s="182">
        <f t="shared" si="11"/>
        <v>0.4037452534786361</v>
      </c>
    </row>
    <row r="84" spans="1:14" ht="15" x14ac:dyDescent="0.25">
      <c r="B84" s="185">
        <v>2015</v>
      </c>
      <c r="C84" s="30" t="s">
        <v>125</v>
      </c>
      <c r="D84" s="31">
        <v>7</v>
      </c>
      <c r="E84" s="191">
        <v>53660</v>
      </c>
      <c r="F84" s="69">
        <f t="shared" si="7"/>
        <v>227941</v>
      </c>
      <c r="G84" s="32">
        <f t="shared" si="4"/>
        <v>28492.625</v>
      </c>
      <c r="H84" s="33">
        <f t="shared" si="5"/>
        <v>0.37590095652443967</v>
      </c>
      <c r="I84" s="34">
        <f t="shared" si="6"/>
        <v>3.0072076521955173</v>
      </c>
      <c r="J84" s="34">
        <f t="shared" si="8"/>
        <v>0.70097855634253259</v>
      </c>
      <c r="L84" s="96">
        <f t="shared" si="9"/>
        <v>0.45434197431530426</v>
      </c>
      <c r="M84" s="182">
        <f t="shared" si="10"/>
        <v>3.6347357945224341</v>
      </c>
      <c r="N84" s="182">
        <f t="shared" si="11"/>
        <v>0.36784914623261322</v>
      </c>
    </row>
    <row r="85" spans="1:14" ht="15" x14ac:dyDescent="0.25">
      <c r="B85" s="185"/>
      <c r="C85" s="30" t="s">
        <v>126</v>
      </c>
      <c r="D85" s="31">
        <v>8</v>
      </c>
      <c r="E85" s="191">
        <v>63940</v>
      </c>
      <c r="F85" s="69">
        <f t="shared" si="7"/>
        <v>291881</v>
      </c>
      <c r="G85" s="32">
        <f t="shared" si="4"/>
        <v>36485.125</v>
      </c>
      <c r="H85" s="33">
        <f t="shared" si="5"/>
        <v>0.46317053308990846</v>
      </c>
      <c r="I85" s="34">
        <f t="shared" si="6"/>
        <v>3.7053642647192677</v>
      </c>
      <c r="J85" s="34">
        <f t="shared" si="8"/>
        <v>0.69815661252375039</v>
      </c>
      <c r="L85" s="96">
        <f t="shared" si="9"/>
        <v>0.49634282641004995</v>
      </c>
      <c r="M85" s="182">
        <f t="shared" si="10"/>
        <v>3.9707426112803996</v>
      </c>
      <c r="N85" s="182">
        <f t="shared" si="11"/>
        <v>0.33600681675796551</v>
      </c>
    </row>
    <row r="86" spans="1:14" ht="15" x14ac:dyDescent="0.25">
      <c r="B86" s="185">
        <v>2016</v>
      </c>
      <c r="C86" s="30" t="s">
        <v>125</v>
      </c>
      <c r="D86" s="31">
        <v>9</v>
      </c>
      <c r="E86" s="191">
        <v>57355</v>
      </c>
      <c r="F86" s="69">
        <f t="shared" si="7"/>
        <v>349236</v>
      </c>
      <c r="G86" s="32">
        <f t="shared" si="4"/>
        <v>43654.5</v>
      </c>
      <c r="H86" s="33">
        <f t="shared" si="5"/>
        <v>0.54583640291184832</v>
      </c>
      <c r="I86" s="34">
        <f t="shared" si="6"/>
        <v>4.3666912232947865</v>
      </c>
      <c r="J86" s="34">
        <f t="shared" si="8"/>
        <v>0.66132695857551882</v>
      </c>
      <c r="L86" s="96">
        <f t="shared" si="9"/>
        <v>0.53478536910043395</v>
      </c>
      <c r="M86" s="182">
        <f t="shared" si="10"/>
        <v>4.2782829528034716</v>
      </c>
      <c r="N86" s="182">
        <f t="shared" si="11"/>
        <v>0.30754034152307197</v>
      </c>
    </row>
    <row r="87" spans="1:14" x14ac:dyDescent="0.2">
      <c r="C87" s="30" t="s">
        <v>126</v>
      </c>
      <c r="D87" s="31">
        <v>10</v>
      </c>
      <c r="H87" s="33">
        <f t="shared" si="5"/>
        <v>0.62110644221234312</v>
      </c>
      <c r="I87" s="34">
        <f t="shared" si="6"/>
        <v>4.968851537698745</v>
      </c>
      <c r="J87" s="34">
        <f t="shared" si="8"/>
        <v>0.60216031440395845</v>
      </c>
      <c r="L87" s="96">
        <f t="shared" si="9"/>
        <v>0.5700287420350274</v>
      </c>
      <c r="M87" s="182">
        <f t="shared" si="10"/>
        <v>4.5602299362802192</v>
      </c>
      <c r="N87" s="182">
        <f t="shared" si="11"/>
        <v>0.28194698347674763</v>
      </c>
    </row>
    <row r="88" spans="1:14" x14ac:dyDescent="0.2">
      <c r="B88" s="107">
        <v>2017</v>
      </c>
      <c r="C88" s="30" t="s">
        <v>125</v>
      </c>
      <c r="D88" s="31">
        <v>11</v>
      </c>
      <c r="H88" s="33">
        <f t="shared" si="5"/>
        <v>0.68754106036264984</v>
      </c>
      <c r="I88" s="34">
        <f t="shared" si="6"/>
        <v>5.5003284829011987</v>
      </c>
      <c r="J88" s="34">
        <f t="shared" si="8"/>
        <v>0.5314769452024537</v>
      </c>
      <c r="L88" s="96">
        <f t="shared" si="9"/>
        <v>0.60238335222800421</v>
      </c>
      <c r="M88" s="182">
        <f t="shared" si="10"/>
        <v>4.8190668178240337</v>
      </c>
      <c r="N88" s="182">
        <f t="shared" si="11"/>
        <v>0.25883688154381446</v>
      </c>
    </row>
    <row r="89" spans="1:14" x14ac:dyDescent="0.2">
      <c r="C89" s="30" t="s">
        <v>126</v>
      </c>
      <c r="D89" s="31">
        <v>12</v>
      </c>
      <c r="H89" s="33">
        <f t="shared" si="5"/>
        <v>0.74475697088322568</v>
      </c>
      <c r="I89" s="34">
        <f t="shared" si="6"/>
        <v>5.9580557670658054</v>
      </c>
      <c r="J89" s="34">
        <f t="shared" si="8"/>
        <v>0.45772728416460673</v>
      </c>
      <c r="L89" s="96">
        <f t="shared" si="9"/>
        <v>0.63212055882855767</v>
      </c>
      <c r="M89" s="182">
        <f t="shared" si="10"/>
        <v>5.0569644706284613</v>
      </c>
      <c r="N89" s="182">
        <f t="shared" si="11"/>
        <v>0.23789765280442765</v>
      </c>
    </row>
    <row r="90" spans="1:14" x14ac:dyDescent="0.2">
      <c r="B90" s="107">
        <v>2018</v>
      </c>
      <c r="C90" s="30" t="s">
        <v>125</v>
      </c>
      <c r="D90" s="31">
        <v>13</v>
      </c>
      <c r="H90" s="33">
        <f t="shared" si="5"/>
        <v>0.7930911439594418</v>
      </c>
      <c r="I90" s="34">
        <f t="shared" si="6"/>
        <v>6.3447291516755344</v>
      </c>
      <c r="J90" s="34">
        <f t="shared" si="8"/>
        <v>0.386673384609729</v>
      </c>
      <c r="L90" s="96">
        <f t="shared" si="9"/>
        <v>0.65947965373469275</v>
      </c>
      <c r="M90" s="182">
        <f t="shared" si="10"/>
        <v>5.275837229877542</v>
      </c>
      <c r="N90" s="182">
        <f t="shared" si="11"/>
        <v>0.21887275924908067</v>
      </c>
    </row>
    <row r="91" spans="1:14" x14ac:dyDescent="0.2">
      <c r="C91" s="30" t="s">
        <v>126</v>
      </c>
      <c r="D91" s="31">
        <v>14</v>
      </c>
      <c r="H91" s="33">
        <f t="shared" si="5"/>
        <v>0.83330645459043406</v>
      </c>
      <c r="I91" s="34">
        <f t="shared" si="6"/>
        <v>6.6664516367234725</v>
      </c>
      <c r="J91" s="34">
        <f t="shared" si="8"/>
        <v>0.3217224850479381</v>
      </c>
      <c r="L91" s="96">
        <f t="shared" si="9"/>
        <v>0.68467309094724205</v>
      </c>
      <c r="M91" s="182">
        <f t="shared" si="10"/>
        <v>5.4773847275779364</v>
      </c>
      <c r="N91" s="182">
        <f t="shared" si="11"/>
        <v>0.20154749770039437</v>
      </c>
    </row>
    <row r="92" spans="1:14" x14ac:dyDescent="0.2">
      <c r="B92" s="107">
        <v>2019</v>
      </c>
      <c r="C92" s="30" t="s">
        <v>125</v>
      </c>
      <c r="D92" s="31">
        <v>15</v>
      </c>
      <c r="H92" s="33">
        <f t="shared" si="5"/>
        <v>0.86636880527281979</v>
      </c>
      <c r="I92" s="34">
        <f t="shared" si="6"/>
        <v>6.9309504421825583</v>
      </c>
      <c r="J92" s="34">
        <f t="shared" si="8"/>
        <v>0.26449880545908577</v>
      </c>
      <c r="L92" s="96">
        <f t="shared" si="9"/>
        <v>0.70789052703984134</v>
      </c>
      <c r="M92" s="182">
        <f t="shared" si="10"/>
        <v>5.6631242163187308</v>
      </c>
      <c r="N92" s="182">
        <f t="shared" si="11"/>
        <v>0.18573948874079438</v>
      </c>
    </row>
    <row r="93" spans="1:14" x14ac:dyDescent="0.2">
      <c r="C93" s="30" t="s">
        <v>126</v>
      </c>
      <c r="D93" s="31">
        <v>16</v>
      </c>
      <c r="H93" s="33">
        <f t="shared" si="5"/>
        <v>0.8932957997994625</v>
      </c>
      <c r="I93" s="34">
        <f t="shared" si="6"/>
        <v>7.1463663983957</v>
      </c>
      <c r="J93" s="34">
        <f t="shared" si="8"/>
        <v>0.21541595621314169</v>
      </c>
      <c r="L93" s="96">
        <f t="shared" si="9"/>
        <v>0.72930202240927378</v>
      </c>
      <c r="M93" s="182">
        <f t="shared" si="10"/>
        <v>5.8344161792741902</v>
      </c>
      <c r="N93" s="182">
        <f t="shared" si="11"/>
        <v>0.17129196295545945</v>
      </c>
    </row>
    <row r="94" spans="1:14" x14ac:dyDescent="0.2">
      <c r="B94" s="107">
        <v>2020</v>
      </c>
      <c r="C94" s="30" t="s">
        <v>125</v>
      </c>
      <c r="D94" s="31">
        <v>17</v>
      </c>
      <c r="H94" s="33">
        <f t="shared" si="5"/>
        <v>0.91506412949821991</v>
      </c>
      <c r="I94" s="34">
        <f t="shared" si="6"/>
        <v>7.3205130359857593</v>
      </c>
      <c r="J94" s="34">
        <f t="shared" si="8"/>
        <v>0.17414663759005933</v>
      </c>
      <c r="L94" s="96">
        <f t="shared" si="9"/>
        <v>0.74906063041251791</v>
      </c>
      <c r="M94" s="182">
        <f t="shared" si="10"/>
        <v>5.9924850433001433</v>
      </c>
      <c r="N94" s="182">
        <f t="shared" si="11"/>
        <v>0.1580688640259531</v>
      </c>
    </row>
    <row r="95" spans="1:14" x14ac:dyDescent="0.2">
      <c r="C95" s="30" t="s">
        <v>126</v>
      </c>
      <c r="D95" s="31">
        <v>18</v>
      </c>
      <c r="H95" s="33">
        <f t="shared" si="5"/>
        <v>0.93255982197407372</v>
      </c>
      <c r="I95" s="34">
        <f t="shared" si="6"/>
        <v>7.4604785757925898</v>
      </c>
      <c r="J95" s="34">
        <f t="shared" si="8"/>
        <v>0.13996553980683046</v>
      </c>
      <c r="L95" s="96">
        <f t="shared" si="9"/>
        <v>0.76730452747276745</v>
      </c>
      <c r="M95" s="182">
        <f t="shared" si="10"/>
        <v>6.1384362197821396</v>
      </c>
      <c r="N95" s="182">
        <f t="shared" si="11"/>
        <v>0.14595117648199629</v>
      </c>
    </row>
    <row r="96" spans="1:14" x14ac:dyDescent="0.2">
      <c r="B96" s="192">
        <v>2021</v>
      </c>
      <c r="C96" s="193" t="s">
        <v>125</v>
      </c>
      <c r="D96" s="194">
        <v>19</v>
      </c>
      <c r="E96" s="195"/>
      <c r="F96" s="195"/>
      <c r="G96" s="195"/>
      <c r="H96" s="196">
        <f t="shared" si="5"/>
        <v>0.94655716625328223</v>
      </c>
      <c r="I96" s="197">
        <f t="shared" si="6"/>
        <v>7.5724573300262579</v>
      </c>
      <c r="J96" s="197">
        <f t="shared" si="8"/>
        <v>0.1119787542336681</v>
      </c>
      <c r="K96" s="195"/>
      <c r="L96" s="198">
        <f t="shared" si="9"/>
        <v>0.78415879069143934</v>
      </c>
      <c r="M96" s="199">
        <f t="shared" si="10"/>
        <v>6.2732703255315148</v>
      </c>
      <c r="N96" s="200">
        <f t="shared" si="11"/>
        <v>0.13483410574937515</v>
      </c>
    </row>
    <row r="97" spans="2:14" x14ac:dyDescent="0.2">
      <c r="B97" s="201"/>
      <c r="C97" s="202" t="s">
        <v>126</v>
      </c>
      <c r="D97" s="203">
        <v>20</v>
      </c>
      <c r="E97" s="59"/>
      <c r="F97" s="59"/>
      <c r="G97" s="59"/>
      <c r="H97" s="204">
        <f t="shared" si="5"/>
        <v>0.95771534490596189</v>
      </c>
      <c r="I97" s="205">
        <f t="shared" si="6"/>
        <v>7.6617227592476951</v>
      </c>
      <c r="J97" s="205">
        <f t="shared" si="8"/>
        <v>8.9265429221437209E-2</v>
      </c>
      <c r="K97" s="59"/>
      <c r="L97" s="96">
        <f t="shared" si="9"/>
        <v>0.79973689920025726</v>
      </c>
      <c r="M97" s="206">
        <f t="shared" si="10"/>
        <v>6.3978951936020581</v>
      </c>
      <c r="N97" s="207">
        <f t="shared" si="11"/>
        <v>0.12462486807054329</v>
      </c>
    </row>
    <row r="98" spans="2:14" x14ac:dyDescent="0.2">
      <c r="B98" s="201">
        <v>2022</v>
      </c>
      <c r="C98" s="202" t="s">
        <v>125</v>
      </c>
      <c r="D98" s="203">
        <v>21</v>
      </c>
      <c r="E98" s="59"/>
      <c r="F98" s="59"/>
      <c r="G98" s="59"/>
      <c r="H98" s="204">
        <f t="shared" si="5"/>
        <v>0.96658503194661627</v>
      </c>
      <c r="I98" s="205">
        <f t="shared" si="6"/>
        <v>7.7326802555729302</v>
      </c>
      <c r="J98" s="205">
        <f t="shared" si="8"/>
        <v>7.095749632523507E-2</v>
      </c>
      <c r="K98" s="59"/>
      <c r="L98" s="96">
        <f t="shared" si="9"/>
        <v>0.81414201514973494</v>
      </c>
      <c r="M98" s="206">
        <f t="shared" si="10"/>
        <v>6.5131361211978795</v>
      </c>
      <c r="N98" s="207">
        <f t="shared" si="11"/>
        <v>0.1152409275958215</v>
      </c>
    </row>
    <row r="99" spans="2:14" x14ac:dyDescent="0.2">
      <c r="B99" s="201"/>
      <c r="C99" s="202" t="s">
        <v>126</v>
      </c>
      <c r="D99" s="203">
        <v>22</v>
      </c>
      <c r="E99" s="59"/>
      <c r="F99" s="59"/>
      <c r="G99" s="59"/>
      <c r="H99" s="204">
        <f t="shared" si="5"/>
        <v>0.9736198605979991</v>
      </c>
      <c r="I99" s="205">
        <f t="shared" si="6"/>
        <v>7.7889588847839928</v>
      </c>
      <c r="J99" s="205">
        <f t="shared" si="8"/>
        <v>5.6278629211062636E-2</v>
      </c>
      <c r="K99" s="59"/>
      <c r="L99" s="96">
        <f t="shared" si="9"/>
        <v>0.82746808620934975</v>
      </c>
      <c r="M99" s="206">
        <f t="shared" si="10"/>
        <v>6.619744689674798</v>
      </c>
      <c r="N99" s="207">
        <f t="shared" si="11"/>
        <v>0.10660856847691846</v>
      </c>
    </row>
    <row r="100" spans="2:14" x14ac:dyDescent="0.2">
      <c r="B100" s="201">
        <v>2023</v>
      </c>
      <c r="C100" s="202" t="s">
        <v>125</v>
      </c>
      <c r="D100" s="203">
        <v>23</v>
      </c>
      <c r="E100" s="59"/>
      <c r="F100" s="59"/>
      <c r="G100" s="59"/>
      <c r="H100" s="204">
        <f t="shared" si="5"/>
        <v>0.97918961251137493</v>
      </c>
      <c r="I100" s="205">
        <f t="shared" si="6"/>
        <v>7.8335169000909994</v>
      </c>
      <c r="J100" s="205">
        <f t="shared" si="8"/>
        <v>4.4558015307006649E-2</v>
      </c>
      <c r="K100" s="59"/>
      <c r="L100" s="96">
        <f t="shared" si="9"/>
        <v>0.83980080155487713</v>
      </c>
      <c r="M100" s="206">
        <f t="shared" si="10"/>
        <v>6.718406412439017</v>
      </c>
      <c r="N100" s="207">
        <f t="shared" si="11"/>
        <v>9.8661722764219029E-2</v>
      </c>
    </row>
    <row r="101" spans="2:14" x14ac:dyDescent="0.2">
      <c r="B101" s="208"/>
      <c r="C101" s="209" t="s">
        <v>126</v>
      </c>
      <c r="D101" s="210">
        <v>24</v>
      </c>
      <c r="E101" s="211"/>
      <c r="F101" s="211"/>
      <c r="G101" s="211"/>
      <c r="H101" s="212">
        <f t="shared" si="5"/>
        <v>0.98359331553472396</v>
      </c>
      <c r="I101" s="213">
        <f t="shared" si="6"/>
        <v>7.8687465242777916</v>
      </c>
      <c r="J101" s="213">
        <f t="shared" si="8"/>
        <v>3.5229624186792208E-2</v>
      </c>
      <c r="K101" s="211"/>
      <c r="L101" s="214">
        <f t="shared" si="9"/>
        <v>0.85121842617733579</v>
      </c>
      <c r="M101" s="215">
        <f t="shared" si="10"/>
        <v>6.8097474094186863</v>
      </c>
      <c r="N101" s="216">
        <f t="shared" si="11"/>
        <v>9.1340996979669242E-2</v>
      </c>
    </row>
    <row r="102" spans="2:14" x14ac:dyDescent="0.2">
      <c r="B102" s="107">
        <v>2024</v>
      </c>
      <c r="C102" s="30" t="s">
        <v>125</v>
      </c>
      <c r="D102" s="31">
        <v>25</v>
      </c>
      <c r="H102" s="33">
        <f t="shared" si="5"/>
        <v>0.98707130348482508</v>
      </c>
      <c r="I102" s="34">
        <f t="shared" si="6"/>
        <v>7.8965704278786006</v>
      </c>
      <c r="J102" s="34">
        <f t="shared" si="8"/>
        <v>2.7823903600808997E-2</v>
      </c>
      <c r="L102" s="96">
        <f t="shared" si="9"/>
        <v>0.86179253309684478</v>
      </c>
      <c r="M102" s="182">
        <f t="shared" si="10"/>
        <v>6.8943402647747583</v>
      </c>
      <c r="N102" s="182">
        <f t="shared" si="11"/>
        <v>8.4592855356071972E-2</v>
      </c>
    </row>
    <row r="103" spans="2:14" x14ac:dyDescent="0.2">
      <c r="C103" s="30" t="s">
        <v>126</v>
      </c>
      <c r="D103" s="31">
        <v>26</v>
      </c>
      <c r="H103" s="33">
        <f t="shared" si="5"/>
        <v>0.98981582553069059</v>
      </c>
      <c r="I103" s="34">
        <f t="shared" si="6"/>
        <v>7.9185266042455247</v>
      </c>
      <c r="J103" s="34">
        <f t="shared" si="8"/>
        <v>2.1956176366924041E-2</v>
      </c>
      <c r="L103" s="96">
        <f t="shared" si="9"/>
        <v>0.8715886491354351</v>
      </c>
      <c r="M103" s="182">
        <f t="shared" si="10"/>
        <v>6.9727091930834808</v>
      </c>
      <c r="N103" s="182">
        <f t="shared" si="11"/>
        <v>7.8368928308722552E-2</v>
      </c>
    </row>
    <row r="104" spans="2:14" x14ac:dyDescent="0.2">
      <c r="B104" s="107">
        <v>2025</v>
      </c>
      <c r="C104" s="30" t="s">
        <v>125</v>
      </c>
      <c r="D104" s="31">
        <v>27</v>
      </c>
      <c r="H104" s="33">
        <f>$E$72*EXP(-$G$72*EXP(-$F$72*D104))</f>
        <v>0.99198010436716821</v>
      </c>
      <c r="I104" s="34">
        <f>H104*$C$73</f>
        <v>7.9358408349373457</v>
      </c>
      <c r="J104" s="34">
        <f>I104-I103</f>
        <v>1.7314230691821031E-2</v>
      </c>
      <c r="L104" s="96">
        <f t="shared" si="9"/>
        <v>0.88066682691587084</v>
      </c>
    </row>
    <row r="105" spans="2:14" x14ac:dyDescent="0.2">
      <c r="C105" s="30" t="s">
        <v>126</v>
      </c>
      <c r="D105" s="31">
        <v>28</v>
      </c>
      <c r="H105" s="33">
        <f>$E$72*EXP(-$G$72*EXP(-$F$72*D105))</f>
        <v>0.99368591129427219</v>
      </c>
      <c r="I105" s="34">
        <f>H105*$C$73</f>
        <v>7.9494872903541776</v>
      </c>
      <c r="J105" s="34">
        <f>I105-I104</f>
        <v>1.3646455416831849E-2</v>
      </c>
      <c r="L105" s="96">
        <f t="shared" si="9"/>
        <v>0.88908215344989538</v>
      </c>
    </row>
    <row r="106" spans="2:14" x14ac:dyDescent="0.2">
      <c r="D106" s="203">
        <v>29</v>
      </c>
      <c r="L106" s="96">
        <f t="shared" si="9"/>
        <v>0.89688520387918502</v>
      </c>
    </row>
    <row r="107" spans="2:14" x14ac:dyDescent="0.2">
      <c r="D107" s="203">
        <v>30</v>
      </c>
      <c r="L107" s="96">
        <f t="shared" si="9"/>
        <v>0.90412244750854709</v>
      </c>
    </row>
    <row r="108" spans="2:14" x14ac:dyDescent="0.2">
      <c r="D108" s="31">
        <v>31</v>
      </c>
      <c r="L108" s="96">
        <f t="shared" si="9"/>
        <v>0.91083661213236011</v>
      </c>
    </row>
    <row r="109" spans="2:14" x14ac:dyDescent="0.2">
      <c r="B109" s="221" t="s">
        <v>128</v>
      </c>
      <c r="L109" s="96"/>
    </row>
    <row r="110" spans="2:14" x14ac:dyDescent="0.2">
      <c r="L110" s="96"/>
    </row>
    <row r="111" spans="2:14" x14ac:dyDescent="0.2">
      <c r="E111" s="174" t="s">
        <v>20</v>
      </c>
      <c r="F111" s="174" t="s">
        <v>21</v>
      </c>
      <c r="G111" s="174" t="s">
        <v>22</v>
      </c>
      <c r="L111" s="96"/>
    </row>
    <row r="112" spans="2:14" x14ac:dyDescent="0.2">
      <c r="E112" s="177">
        <v>1</v>
      </c>
      <c r="F112" s="177">
        <v>0.27212124642735047</v>
      </c>
      <c r="G112" s="177">
        <v>5.2498186956295196</v>
      </c>
      <c r="H112" s="180" t="s">
        <v>130</v>
      </c>
      <c r="I112" s="223">
        <f>F112-F72</f>
        <v>3.2121246427350481E-2</v>
      </c>
      <c r="L112" s="96"/>
    </row>
    <row r="113" spans="2:12" x14ac:dyDescent="0.2">
      <c r="L113" s="96"/>
    </row>
    <row r="114" spans="2:12" ht="25.5" x14ac:dyDescent="0.25">
      <c r="B114" s="185"/>
      <c r="C114" s="186" t="s">
        <v>15</v>
      </c>
      <c r="D114" s="186" t="s">
        <v>24</v>
      </c>
      <c r="E114" s="187" t="s">
        <v>16</v>
      </c>
      <c r="F114" s="187" t="s">
        <v>27</v>
      </c>
      <c r="G114" s="187" t="s">
        <v>25</v>
      </c>
      <c r="H114" s="188" t="s">
        <v>26</v>
      </c>
      <c r="I114" s="188" t="s">
        <v>27</v>
      </c>
      <c r="J114" s="188" t="s">
        <v>124</v>
      </c>
    </row>
    <row r="115" spans="2:12" ht="15" x14ac:dyDescent="0.25">
      <c r="B115" s="185">
        <v>2012</v>
      </c>
      <c r="C115" s="30" t="s">
        <v>125</v>
      </c>
      <c r="D115" s="31">
        <v>1</v>
      </c>
      <c r="E115" s="191">
        <v>7221</v>
      </c>
      <c r="F115" s="69">
        <f>E115</f>
        <v>7221</v>
      </c>
      <c r="G115" s="32">
        <f t="shared" ref="G115:G123" si="12">F115/$C$73</f>
        <v>902.625</v>
      </c>
      <c r="H115" s="33">
        <f t="shared" ref="H115:H140" si="13">$E$112*EXP(-$G$112*EXP(-$F$112*D115))</f>
        <v>1.8331913409727247E-2</v>
      </c>
      <c r="I115" s="34">
        <f t="shared" ref="I115:I140" si="14">H115*$C$73</f>
        <v>0.14665530727781798</v>
      </c>
      <c r="J115" s="34">
        <f>I115</f>
        <v>0.14665530727781798</v>
      </c>
    </row>
    <row r="116" spans="2:12" ht="15" x14ac:dyDescent="0.25">
      <c r="B116" s="185"/>
      <c r="C116" s="30" t="s">
        <v>126</v>
      </c>
      <c r="D116" s="31">
        <v>2</v>
      </c>
      <c r="E116" s="191">
        <v>11807</v>
      </c>
      <c r="F116" s="69">
        <f t="shared" ref="F116:F123" si="15">E116+F115</f>
        <v>19028</v>
      </c>
      <c r="G116" s="32">
        <f t="shared" si="12"/>
        <v>2378.5</v>
      </c>
      <c r="H116" s="33">
        <f t="shared" si="13"/>
        <v>4.7531101742694259E-2</v>
      </c>
      <c r="I116" s="34">
        <f t="shared" si="14"/>
        <v>0.38024881394155408</v>
      </c>
      <c r="J116" s="34">
        <f t="shared" ref="J116:J140" si="16">I116-I115</f>
        <v>0.2335935066637361</v>
      </c>
    </row>
    <row r="117" spans="2:12" ht="15" x14ac:dyDescent="0.25">
      <c r="B117" s="185">
        <v>2013</v>
      </c>
      <c r="C117" s="30" t="s">
        <v>125</v>
      </c>
      <c r="D117" s="31">
        <v>3</v>
      </c>
      <c r="E117" s="191">
        <v>17883</v>
      </c>
      <c r="F117" s="69">
        <f t="shared" si="15"/>
        <v>36911</v>
      </c>
      <c r="G117" s="32">
        <f t="shared" si="12"/>
        <v>4613.875</v>
      </c>
      <c r="H117" s="33">
        <f t="shared" si="13"/>
        <v>9.8213720720851466E-2</v>
      </c>
      <c r="I117" s="34">
        <f t="shared" si="14"/>
        <v>0.78570976576681173</v>
      </c>
      <c r="J117" s="34">
        <f t="shared" si="16"/>
        <v>0.40546095182525765</v>
      </c>
    </row>
    <row r="118" spans="2:12" ht="15" x14ac:dyDescent="0.25">
      <c r="B118" s="185"/>
      <c r="C118" s="30" t="s">
        <v>126</v>
      </c>
      <c r="D118" s="31">
        <v>4</v>
      </c>
      <c r="E118" s="191">
        <v>38794</v>
      </c>
      <c r="F118" s="69">
        <f t="shared" si="15"/>
        <v>75705</v>
      </c>
      <c r="G118" s="32">
        <f t="shared" si="12"/>
        <v>9463.125</v>
      </c>
      <c r="H118" s="33">
        <f t="shared" si="13"/>
        <v>0.170716366347718</v>
      </c>
      <c r="I118" s="34">
        <f t="shared" si="14"/>
        <v>1.365730930781744</v>
      </c>
      <c r="J118" s="34">
        <f t="shared" si="16"/>
        <v>0.58002116501493228</v>
      </c>
    </row>
    <row r="119" spans="2:12" ht="15" x14ac:dyDescent="0.25">
      <c r="B119" s="185">
        <v>2014</v>
      </c>
      <c r="C119" s="30" t="s">
        <v>125</v>
      </c>
      <c r="D119" s="31">
        <v>5</v>
      </c>
      <c r="E119" s="191">
        <v>42285</v>
      </c>
      <c r="F119" s="69">
        <f t="shared" si="15"/>
        <v>117990</v>
      </c>
      <c r="G119" s="32">
        <f t="shared" si="12"/>
        <v>14748.75</v>
      </c>
      <c r="H119" s="33">
        <f t="shared" si="13"/>
        <v>0.26012163199637534</v>
      </c>
      <c r="I119" s="34">
        <f t="shared" si="14"/>
        <v>2.0809730559710027</v>
      </c>
      <c r="J119" s="34">
        <f t="shared" si="16"/>
        <v>0.71524212518925867</v>
      </c>
    </row>
    <row r="120" spans="2:12" ht="15" x14ac:dyDescent="0.25">
      <c r="B120" s="185"/>
      <c r="C120" s="30" t="s">
        <v>126</v>
      </c>
      <c r="D120" s="31">
        <v>6</v>
      </c>
      <c r="E120" s="191">
        <v>56291</v>
      </c>
      <c r="F120" s="69">
        <f t="shared" si="15"/>
        <v>174281</v>
      </c>
      <c r="G120" s="32">
        <f t="shared" si="12"/>
        <v>21785.125</v>
      </c>
      <c r="H120" s="33">
        <f t="shared" si="13"/>
        <v>0.35851201902814761</v>
      </c>
      <c r="I120" s="34">
        <f t="shared" si="14"/>
        <v>2.8680961522251809</v>
      </c>
      <c r="J120" s="34">
        <f t="shared" si="16"/>
        <v>0.7871230962541782</v>
      </c>
    </row>
    <row r="121" spans="2:12" ht="15" x14ac:dyDescent="0.25">
      <c r="B121" s="185">
        <v>2015</v>
      </c>
      <c r="C121" s="30" t="s">
        <v>125</v>
      </c>
      <c r="D121" s="31">
        <v>7</v>
      </c>
      <c r="E121" s="191">
        <v>53660</v>
      </c>
      <c r="F121" s="69">
        <f t="shared" si="15"/>
        <v>227941</v>
      </c>
      <c r="G121" s="32">
        <f t="shared" si="12"/>
        <v>28492.625</v>
      </c>
      <c r="H121" s="33">
        <f t="shared" si="13"/>
        <v>0.45776007289005355</v>
      </c>
      <c r="I121" s="34">
        <f t="shared" si="14"/>
        <v>3.6620805831204284</v>
      </c>
      <c r="J121" s="34">
        <f t="shared" si="16"/>
        <v>0.79398443089524751</v>
      </c>
    </row>
    <row r="122" spans="2:12" ht="15" x14ac:dyDescent="0.25">
      <c r="B122" s="185"/>
      <c r="C122" s="30" t="s">
        <v>126</v>
      </c>
      <c r="D122" s="31">
        <v>8</v>
      </c>
      <c r="E122" s="191">
        <v>63940</v>
      </c>
      <c r="F122" s="69">
        <f t="shared" si="15"/>
        <v>291881</v>
      </c>
      <c r="G122" s="32">
        <f t="shared" si="12"/>
        <v>36485.125</v>
      </c>
      <c r="H122" s="33">
        <f t="shared" si="13"/>
        <v>0.55142555767730284</v>
      </c>
      <c r="I122" s="34">
        <f t="shared" si="14"/>
        <v>4.4114044614184227</v>
      </c>
      <c r="J122" s="34">
        <f t="shared" si="16"/>
        <v>0.74932387829799429</v>
      </c>
    </row>
    <row r="123" spans="2:12" ht="15" x14ac:dyDescent="0.25">
      <c r="B123" s="185">
        <v>2016</v>
      </c>
      <c r="C123" s="30" t="s">
        <v>125</v>
      </c>
      <c r="D123" s="31">
        <v>9</v>
      </c>
      <c r="E123" s="191">
        <v>57355</v>
      </c>
      <c r="F123" s="69">
        <f t="shared" si="15"/>
        <v>349236</v>
      </c>
      <c r="G123" s="32">
        <f t="shared" si="12"/>
        <v>43654.5</v>
      </c>
      <c r="H123" s="33">
        <f t="shared" si="13"/>
        <v>0.63544002170224889</v>
      </c>
      <c r="I123" s="34">
        <f t="shared" si="14"/>
        <v>5.0835201736179911</v>
      </c>
      <c r="J123" s="34">
        <f t="shared" si="16"/>
        <v>0.67211571219956845</v>
      </c>
    </row>
    <row r="124" spans="2:12" x14ac:dyDescent="0.2">
      <c r="C124" s="30" t="s">
        <v>126</v>
      </c>
      <c r="D124" s="31">
        <v>10</v>
      </c>
      <c r="H124" s="33">
        <f t="shared" si="13"/>
        <v>0.70792900601555886</v>
      </c>
      <c r="I124" s="34">
        <f t="shared" si="14"/>
        <v>5.6634320481244709</v>
      </c>
      <c r="J124" s="34">
        <f t="shared" si="16"/>
        <v>0.57991187450647974</v>
      </c>
    </row>
    <row r="125" spans="2:12" x14ac:dyDescent="0.2">
      <c r="B125" s="107">
        <v>2017</v>
      </c>
      <c r="C125" s="30" t="s">
        <v>125</v>
      </c>
      <c r="D125" s="31">
        <v>11</v>
      </c>
      <c r="H125" s="33">
        <f t="shared" si="13"/>
        <v>0.76864866113873509</v>
      </c>
      <c r="I125" s="34">
        <f t="shared" si="14"/>
        <v>6.1491892891098807</v>
      </c>
      <c r="J125" s="34">
        <f t="shared" si="16"/>
        <v>0.48575724098540984</v>
      </c>
    </row>
    <row r="126" spans="2:12" x14ac:dyDescent="0.2">
      <c r="C126" s="30" t="s">
        <v>126</v>
      </c>
      <c r="D126" s="31">
        <v>12</v>
      </c>
      <c r="H126" s="33">
        <f t="shared" si="13"/>
        <v>0.81837404964913851</v>
      </c>
      <c r="I126" s="34">
        <f t="shared" si="14"/>
        <v>6.5469923971931081</v>
      </c>
      <c r="J126" s="34">
        <f t="shared" si="16"/>
        <v>0.39780310808322739</v>
      </c>
    </row>
    <row r="127" spans="2:12" x14ac:dyDescent="0.2">
      <c r="B127" s="107">
        <v>2018</v>
      </c>
      <c r="C127" s="30" t="s">
        <v>125</v>
      </c>
      <c r="D127" s="31">
        <v>13</v>
      </c>
      <c r="H127" s="33">
        <f t="shared" si="13"/>
        <v>0.85840064647150616</v>
      </c>
      <c r="I127" s="34">
        <f t="shared" si="14"/>
        <v>6.8672051717720493</v>
      </c>
      <c r="J127" s="34">
        <f t="shared" si="16"/>
        <v>0.32021277457894115</v>
      </c>
    </row>
    <row r="128" spans="2:12" x14ac:dyDescent="0.2">
      <c r="C128" s="30" t="s">
        <v>126</v>
      </c>
      <c r="D128" s="31">
        <v>14</v>
      </c>
      <c r="H128" s="33">
        <f t="shared" si="13"/>
        <v>0.89020001285244632</v>
      </c>
      <c r="I128" s="34">
        <f t="shared" si="14"/>
        <v>7.1216001028195706</v>
      </c>
      <c r="J128" s="34">
        <f t="shared" si="16"/>
        <v>0.25439493104752131</v>
      </c>
    </row>
    <row r="129" spans="2:10" x14ac:dyDescent="0.2">
      <c r="B129" s="107">
        <v>2019</v>
      </c>
      <c r="C129" s="30" t="s">
        <v>125</v>
      </c>
      <c r="D129" s="31">
        <v>15</v>
      </c>
      <c r="H129" s="33">
        <f t="shared" si="13"/>
        <v>0.91521172554227537</v>
      </c>
      <c r="I129" s="34">
        <f t="shared" si="14"/>
        <v>7.3216938043382029</v>
      </c>
      <c r="J129" s="34">
        <f t="shared" si="16"/>
        <v>0.20009370151863237</v>
      </c>
    </row>
    <row r="130" spans="2:10" x14ac:dyDescent="0.2">
      <c r="C130" s="30" t="s">
        <v>126</v>
      </c>
      <c r="D130" s="31">
        <v>16</v>
      </c>
      <c r="H130" s="33">
        <f t="shared" si="13"/>
        <v>0.93473521072869958</v>
      </c>
      <c r="I130" s="34">
        <f t="shared" si="14"/>
        <v>7.4778816858295967</v>
      </c>
      <c r="J130" s="34">
        <f t="shared" si="16"/>
        <v>0.15618788149139373</v>
      </c>
    </row>
    <row r="131" spans="2:10" x14ac:dyDescent="0.2">
      <c r="B131" s="107">
        <v>2020</v>
      </c>
      <c r="C131" s="30" t="s">
        <v>125</v>
      </c>
      <c r="D131" s="31">
        <v>17</v>
      </c>
      <c r="H131" s="33">
        <f t="shared" si="13"/>
        <v>0.94988645384716319</v>
      </c>
      <c r="I131" s="34">
        <f t="shared" si="14"/>
        <v>7.5990916307773055</v>
      </c>
      <c r="J131" s="34">
        <f t="shared" si="16"/>
        <v>0.12120994494770887</v>
      </c>
    </row>
    <row r="132" spans="2:10" x14ac:dyDescent="0.2">
      <c r="C132" s="30" t="s">
        <v>126</v>
      </c>
      <c r="D132" s="31">
        <v>18</v>
      </c>
      <c r="H132" s="33">
        <f t="shared" si="13"/>
        <v>0.96159267757824707</v>
      </c>
      <c r="I132" s="34">
        <f t="shared" si="14"/>
        <v>7.6927414206259765</v>
      </c>
      <c r="J132" s="34">
        <f t="shared" si="16"/>
        <v>9.3649789848671006E-2</v>
      </c>
    </row>
    <row r="133" spans="2:10" x14ac:dyDescent="0.2">
      <c r="B133" s="192">
        <v>2021</v>
      </c>
      <c r="C133" s="193" t="s">
        <v>125</v>
      </c>
      <c r="D133" s="194">
        <v>19</v>
      </c>
      <c r="E133" s="195"/>
      <c r="F133" s="195"/>
      <c r="G133" s="195"/>
      <c r="H133" s="33">
        <f t="shared" si="13"/>
        <v>0.97060674350313203</v>
      </c>
      <c r="I133" s="197">
        <f t="shared" si="14"/>
        <v>7.7648539480250562</v>
      </c>
      <c r="J133" s="197">
        <f t="shared" si="16"/>
        <v>7.2112527399079696E-2</v>
      </c>
    </row>
    <row r="134" spans="2:10" x14ac:dyDescent="0.2">
      <c r="B134" s="201"/>
      <c r="C134" s="202" t="s">
        <v>126</v>
      </c>
      <c r="D134" s="203">
        <v>20</v>
      </c>
      <c r="E134" s="59"/>
      <c r="F134" s="59"/>
      <c r="G134" s="59"/>
      <c r="H134" s="33">
        <f t="shared" si="13"/>
        <v>0.97752997383775797</v>
      </c>
      <c r="I134" s="205">
        <f t="shared" si="14"/>
        <v>7.8202397907020638</v>
      </c>
      <c r="J134" s="205">
        <f t="shared" si="16"/>
        <v>5.5385842677007524E-2</v>
      </c>
    </row>
    <row r="135" spans="2:10" x14ac:dyDescent="0.2">
      <c r="B135" s="201">
        <v>2022</v>
      </c>
      <c r="C135" s="202" t="s">
        <v>125</v>
      </c>
      <c r="D135" s="203">
        <v>21</v>
      </c>
      <c r="E135" s="59"/>
      <c r="F135" s="59"/>
      <c r="G135" s="59"/>
      <c r="H135" s="33">
        <f t="shared" si="13"/>
        <v>0.98283694497688479</v>
      </c>
      <c r="I135" s="205">
        <f t="shared" si="14"/>
        <v>7.8626955598150783</v>
      </c>
      <c r="J135" s="205">
        <f t="shared" si="16"/>
        <v>4.2455769113014519E-2</v>
      </c>
    </row>
    <row r="136" spans="2:10" x14ac:dyDescent="0.2">
      <c r="B136" s="201"/>
      <c r="C136" s="202" t="s">
        <v>126</v>
      </c>
      <c r="D136" s="203">
        <v>22</v>
      </c>
      <c r="E136" s="59"/>
      <c r="F136" s="59"/>
      <c r="G136" s="59"/>
      <c r="H136" s="33">
        <f t="shared" si="13"/>
        <v>0.98689891807103569</v>
      </c>
      <c r="I136" s="205">
        <f t="shared" si="14"/>
        <v>7.8951913445682855</v>
      </c>
      <c r="J136" s="205">
        <f t="shared" si="16"/>
        <v>3.2495784753207246E-2</v>
      </c>
    </row>
    <row r="137" spans="2:10" x14ac:dyDescent="0.2">
      <c r="B137" s="201">
        <v>2023</v>
      </c>
      <c r="C137" s="202" t="s">
        <v>125</v>
      </c>
      <c r="D137" s="203">
        <v>23</v>
      </c>
      <c r="E137" s="59"/>
      <c r="F137" s="59"/>
      <c r="G137" s="59"/>
      <c r="H137" s="33">
        <f t="shared" si="13"/>
        <v>0.99000443564340035</v>
      </c>
      <c r="I137" s="205">
        <f t="shared" si="14"/>
        <v>7.9200354851472028</v>
      </c>
      <c r="J137" s="205">
        <f t="shared" si="16"/>
        <v>2.4844140578917262E-2</v>
      </c>
    </row>
    <row r="138" spans="2:10" x14ac:dyDescent="0.2">
      <c r="B138" s="208"/>
      <c r="C138" s="209" t="s">
        <v>126</v>
      </c>
      <c r="D138" s="210">
        <v>24</v>
      </c>
      <c r="E138" s="211"/>
      <c r="F138" s="211"/>
      <c r="G138" s="211"/>
      <c r="H138" s="33">
        <f t="shared" si="13"/>
        <v>0.99237665635735461</v>
      </c>
      <c r="I138" s="213">
        <f t="shared" si="14"/>
        <v>7.9390132508588369</v>
      </c>
      <c r="J138" s="213">
        <f t="shared" si="16"/>
        <v>1.897776571163412E-2</v>
      </c>
    </row>
    <row r="139" spans="2:10" x14ac:dyDescent="0.2">
      <c r="B139" s="107">
        <v>2024</v>
      </c>
      <c r="C139" s="30" t="s">
        <v>125</v>
      </c>
      <c r="D139" s="31">
        <v>25</v>
      </c>
      <c r="H139" s="33">
        <f t="shared" si="13"/>
        <v>0.99418753723062248</v>
      </c>
      <c r="I139" s="34">
        <f t="shared" si="14"/>
        <v>7.9535002978449798</v>
      </c>
      <c r="J139" s="34">
        <f t="shared" si="16"/>
        <v>1.4487046986142893E-2</v>
      </c>
    </row>
    <row r="140" spans="2:10" x14ac:dyDescent="0.2">
      <c r="C140" s="30" t="s">
        <v>126</v>
      </c>
      <c r="D140" s="31">
        <v>26</v>
      </c>
      <c r="H140" s="33">
        <f t="shared" si="13"/>
        <v>0.99556921433210877</v>
      </c>
      <c r="I140" s="34">
        <f t="shared" si="14"/>
        <v>7.9645537146568701</v>
      </c>
      <c r="J140" s="34">
        <f t="shared" si="16"/>
        <v>1.1053416811890315E-2</v>
      </c>
    </row>
    <row r="141" spans="2:10" x14ac:dyDescent="0.2">
      <c r="C141" s="30"/>
    </row>
    <row r="142" spans="2:10" x14ac:dyDescent="0.2">
      <c r="C142" s="30"/>
    </row>
    <row r="143" spans="2:10" x14ac:dyDescent="0.2">
      <c r="B143" s="221" t="s">
        <v>129</v>
      </c>
    </row>
    <row r="145" spans="2:10" x14ac:dyDescent="0.2">
      <c r="C145" s="30"/>
      <c r="D145" s="31"/>
      <c r="E145" s="174" t="s">
        <v>20</v>
      </c>
      <c r="F145" s="174" t="s">
        <v>21</v>
      </c>
      <c r="G145" s="174" t="s">
        <v>22</v>
      </c>
    </row>
    <row r="146" spans="2:10" x14ac:dyDescent="0.2">
      <c r="C146" s="30"/>
      <c r="D146" s="31"/>
      <c r="E146" s="177">
        <v>0.8</v>
      </c>
      <c r="F146" s="177">
        <v>7.9804735128931478E-2</v>
      </c>
      <c r="G146" s="177">
        <v>6.4263938436856352</v>
      </c>
      <c r="H146" s="180" t="s">
        <v>23</v>
      </c>
      <c r="I146" s="222">
        <f>SUMXMY2(G150:G158,H150:H158)</f>
        <v>4858129932.190629</v>
      </c>
    </row>
    <row r="147" spans="2:10" x14ac:dyDescent="0.2">
      <c r="C147" s="30"/>
      <c r="D147" s="31"/>
    </row>
    <row r="148" spans="2:10" x14ac:dyDescent="0.2">
      <c r="C148" s="30"/>
      <c r="D148" s="31"/>
    </row>
    <row r="149" spans="2:10" ht="25.5" x14ac:dyDescent="0.25">
      <c r="B149" s="185"/>
      <c r="C149" s="186" t="s">
        <v>15</v>
      </c>
      <c r="D149" s="186" t="s">
        <v>24</v>
      </c>
      <c r="E149" s="187" t="s">
        <v>16</v>
      </c>
      <c r="F149" s="187" t="s">
        <v>27</v>
      </c>
      <c r="G149" s="187" t="s">
        <v>25</v>
      </c>
      <c r="H149" s="188" t="s">
        <v>26</v>
      </c>
      <c r="I149" s="188" t="s">
        <v>27</v>
      </c>
      <c r="J149" s="188" t="s">
        <v>124</v>
      </c>
    </row>
    <row r="150" spans="2:10" ht="15" x14ac:dyDescent="0.25">
      <c r="B150" s="185">
        <v>2012</v>
      </c>
      <c r="C150" s="30" t="s">
        <v>125</v>
      </c>
      <c r="D150" s="31">
        <v>1</v>
      </c>
      <c r="E150" s="191">
        <v>7221</v>
      </c>
      <c r="F150" s="69">
        <f>E150</f>
        <v>7221</v>
      </c>
      <c r="G150" s="32">
        <f>F150/$C$73</f>
        <v>902.625</v>
      </c>
      <c r="H150" s="33">
        <f t="shared" ref="H150:H175" si="17">$E$146*EXP(-$G$146*EXP(-$F$146*D150))</f>
        <v>2.1194233300396758E-3</v>
      </c>
      <c r="I150" s="34">
        <f>H150*$C$73</f>
        <v>1.6955386640317406E-2</v>
      </c>
      <c r="J150" s="34">
        <f>I150</f>
        <v>1.6955386640317406E-2</v>
      </c>
    </row>
    <row r="151" spans="2:10" ht="15" x14ac:dyDescent="0.25">
      <c r="B151" s="185"/>
      <c r="C151" s="30" t="s">
        <v>126</v>
      </c>
      <c r="D151" s="31">
        <v>2</v>
      </c>
      <c r="E151" s="191">
        <v>11807</v>
      </c>
      <c r="F151" s="69">
        <f>E151+F150</f>
        <v>19028</v>
      </c>
      <c r="G151" s="32">
        <f t="shared" ref="G151:G158" si="18">F151/$C$73</f>
        <v>2378.5</v>
      </c>
      <c r="H151" s="33">
        <f t="shared" si="17"/>
        <v>3.3409696765190188E-3</v>
      </c>
      <c r="I151" s="34">
        <f t="shared" ref="I151:I179" si="19">H151*$C$73</f>
        <v>2.6727757412152151E-2</v>
      </c>
      <c r="J151" s="34">
        <f>I151-I150</f>
        <v>9.7723707718347444E-3</v>
      </c>
    </row>
    <row r="152" spans="2:10" ht="15" x14ac:dyDescent="0.25">
      <c r="B152" s="185">
        <v>2013</v>
      </c>
      <c r="C152" s="30" t="s">
        <v>125</v>
      </c>
      <c r="D152" s="31">
        <v>3</v>
      </c>
      <c r="E152" s="191">
        <v>17883</v>
      </c>
      <c r="F152" s="69">
        <f t="shared" ref="F152:F158" si="20">E152+F151</f>
        <v>36911</v>
      </c>
      <c r="G152" s="32">
        <f t="shared" si="18"/>
        <v>4613.875</v>
      </c>
      <c r="H152" s="33">
        <f t="shared" si="17"/>
        <v>5.085885322369324E-3</v>
      </c>
      <c r="I152" s="34">
        <f t="shared" si="19"/>
        <v>4.0687082578954592E-2</v>
      </c>
      <c r="J152" s="34">
        <f t="shared" ref="J152:J179" si="21">I152-I151</f>
        <v>1.3959325166802442E-2</v>
      </c>
    </row>
    <row r="153" spans="2:10" ht="15" x14ac:dyDescent="0.25">
      <c r="B153" s="185"/>
      <c r="C153" s="30" t="s">
        <v>126</v>
      </c>
      <c r="D153" s="31">
        <v>4</v>
      </c>
      <c r="E153" s="191">
        <v>38794</v>
      </c>
      <c r="F153" s="69">
        <f t="shared" si="20"/>
        <v>75705</v>
      </c>
      <c r="G153" s="32">
        <f t="shared" si="18"/>
        <v>9463.125</v>
      </c>
      <c r="H153" s="33">
        <f t="shared" si="17"/>
        <v>7.4965714270683135E-3</v>
      </c>
      <c r="I153" s="34">
        <f t="shared" si="19"/>
        <v>5.9972571416546508E-2</v>
      </c>
      <c r="J153" s="34">
        <f t="shared" si="21"/>
        <v>1.9285488837591916E-2</v>
      </c>
    </row>
    <row r="154" spans="2:10" ht="15" x14ac:dyDescent="0.25">
      <c r="B154" s="185">
        <v>2014</v>
      </c>
      <c r="C154" s="30" t="s">
        <v>125</v>
      </c>
      <c r="D154" s="31">
        <v>5</v>
      </c>
      <c r="E154" s="191">
        <v>42285</v>
      </c>
      <c r="F154" s="69">
        <f t="shared" si="20"/>
        <v>117990</v>
      </c>
      <c r="G154" s="32">
        <f t="shared" si="18"/>
        <v>14748.75</v>
      </c>
      <c r="H154" s="33">
        <f t="shared" si="17"/>
        <v>1.0725920672151584E-2</v>
      </c>
      <c r="I154" s="34">
        <f t="shared" si="19"/>
        <v>8.5807365377212674E-2</v>
      </c>
      <c r="J154" s="34">
        <f t="shared" si="21"/>
        <v>2.5834793960666166E-2</v>
      </c>
    </row>
    <row r="155" spans="2:10" ht="15" x14ac:dyDescent="0.25">
      <c r="B155" s="185"/>
      <c r="C155" s="30" t="s">
        <v>126</v>
      </c>
      <c r="D155" s="31">
        <v>6</v>
      </c>
      <c r="E155" s="191">
        <v>56291</v>
      </c>
      <c r="F155" s="69">
        <f t="shared" si="20"/>
        <v>174281</v>
      </c>
      <c r="G155" s="32">
        <f t="shared" si="18"/>
        <v>21785.125</v>
      </c>
      <c r="H155" s="33">
        <f t="shared" si="17"/>
        <v>1.4930473707051315E-2</v>
      </c>
      <c r="I155" s="34">
        <f t="shared" si="19"/>
        <v>0.11944378965641052</v>
      </c>
      <c r="J155" s="34">
        <f t="shared" si="21"/>
        <v>3.3636424279197844E-2</v>
      </c>
    </row>
    <row r="156" spans="2:10" ht="15" x14ac:dyDescent="0.25">
      <c r="B156" s="185">
        <v>2015</v>
      </c>
      <c r="C156" s="30" t="s">
        <v>125</v>
      </c>
      <c r="D156" s="31">
        <v>7</v>
      </c>
      <c r="E156" s="191">
        <v>53660</v>
      </c>
      <c r="F156" s="69">
        <f t="shared" si="20"/>
        <v>227941</v>
      </c>
      <c r="G156" s="32">
        <f t="shared" si="18"/>
        <v>28492.625</v>
      </c>
      <c r="H156" s="33">
        <f t="shared" si="17"/>
        <v>2.0262591807069994E-2</v>
      </c>
      <c r="I156" s="34">
        <f t="shared" si="19"/>
        <v>0.16210073445655995</v>
      </c>
      <c r="J156" s="34">
        <f t="shared" si="21"/>
        <v>4.2656944800149435E-2</v>
      </c>
    </row>
    <row r="157" spans="2:10" ht="15" x14ac:dyDescent="0.25">
      <c r="B157" s="185"/>
      <c r="C157" s="30" t="s">
        <v>126</v>
      </c>
      <c r="D157" s="31">
        <v>8</v>
      </c>
      <c r="E157" s="191">
        <v>63940</v>
      </c>
      <c r="F157" s="69">
        <f t="shared" si="20"/>
        <v>291881</v>
      </c>
      <c r="G157" s="32">
        <f t="shared" si="18"/>
        <v>36485.125</v>
      </c>
      <c r="H157" s="33">
        <f t="shared" si="17"/>
        <v>2.6862343192969953E-2</v>
      </c>
      <c r="I157" s="34">
        <f t="shared" si="19"/>
        <v>0.21489874554375962</v>
      </c>
      <c r="J157" s="34">
        <f t="shared" si="21"/>
        <v>5.279801108719967E-2</v>
      </c>
    </row>
    <row r="158" spans="2:10" ht="15" x14ac:dyDescent="0.25">
      <c r="B158" s="185">
        <v>2016</v>
      </c>
      <c r="C158" s="30" t="s">
        <v>125</v>
      </c>
      <c r="D158" s="31">
        <v>9</v>
      </c>
      <c r="E158" s="191">
        <v>57355</v>
      </c>
      <c r="F158" s="69">
        <f t="shared" si="20"/>
        <v>349236</v>
      </c>
      <c r="G158" s="32">
        <f t="shared" si="18"/>
        <v>43654.5</v>
      </c>
      <c r="H158" s="33">
        <f t="shared" si="17"/>
        <v>3.4849820561184554E-2</v>
      </c>
      <c r="I158" s="34">
        <f t="shared" si="19"/>
        <v>0.27879856448947643</v>
      </c>
      <c r="J158" s="34">
        <f t="shared" si="21"/>
        <v>6.3899818945716808E-2</v>
      </c>
    </row>
    <row r="159" spans="2:10" x14ac:dyDescent="0.2">
      <c r="C159" s="30" t="s">
        <v>126</v>
      </c>
      <c r="D159" s="31">
        <v>10</v>
      </c>
      <c r="H159" s="33">
        <f t="shared" si="17"/>
        <v>4.4318532504325797E-2</v>
      </c>
      <c r="I159" s="34">
        <f t="shared" si="19"/>
        <v>0.35454826003460638</v>
      </c>
      <c r="J159" s="34">
        <f t="shared" si="21"/>
        <v>7.5749695545129947E-2</v>
      </c>
    </row>
    <row r="160" spans="2:10" x14ac:dyDescent="0.2">
      <c r="B160" s="107">
        <v>2017</v>
      </c>
      <c r="C160" s="30" t="s">
        <v>125</v>
      </c>
      <c r="D160" s="31">
        <v>11</v>
      </c>
      <c r="H160" s="33">
        <f t="shared" si="17"/>
        <v>5.5330363987009495E-2</v>
      </c>
      <c r="I160" s="34">
        <f t="shared" si="19"/>
        <v>0.44264291189607596</v>
      </c>
      <c r="J160" s="34">
        <f t="shared" si="21"/>
        <v>8.8094651861469586E-2</v>
      </c>
    </row>
    <row r="161" spans="2:10" x14ac:dyDescent="0.2">
      <c r="C161" s="30" t="s">
        <v>126</v>
      </c>
      <c r="D161" s="31">
        <v>12</v>
      </c>
      <c r="H161" s="33">
        <f t="shared" si="17"/>
        <v>6.7912411536410131E-2</v>
      </c>
      <c r="I161" s="34">
        <f t="shared" si="19"/>
        <v>0.54329929229128104</v>
      </c>
      <c r="J161" s="34">
        <f t="shared" si="21"/>
        <v>0.10065638039520508</v>
      </c>
    </row>
    <row r="162" spans="2:10" x14ac:dyDescent="0.2">
      <c r="B162" s="107">
        <v>2018</v>
      </c>
      <c r="C162" s="30" t="s">
        <v>125</v>
      </c>
      <c r="D162" s="31">
        <v>13</v>
      </c>
      <c r="H162" s="33">
        <f t="shared" si="17"/>
        <v>8.2055799039362665E-2</v>
      </c>
      <c r="I162" s="34">
        <f t="shared" si="19"/>
        <v>0.65644639231490132</v>
      </c>
      <c r="J162" s="34">
        <f t="shared" si="21"/>
        <v>0.11314710002362027</v>
      </c>
    </row>
    <row r="163" spans="2:10" x14ac:dyDescent="0.2">
      <c r="C163" s="30" t="s">
        <v>126</v>
      </c>
      <c r="D163" s="31">
        <v>14</v>
      </c>
      <c r="H163" s="33">
        <f t="shared" si="17"/>
        <v>9.7716397100828259E-2</v>
      </c>
      <c r="I163" s="34">
        <f t="shared" si="19"/>
        <v>0.78173117680662607</v>
      </c>
      <c r="J163" s="34">
        <f t="shared" si="21"/>
        <v>0.12528478449172475</v>
      </c>
    </row>
    <row r="164" spans="2:10" x14ac:dyDescent="0.2">
      <c r="B164" s="107">
        <v>2019</v>
      </c>
      <c r="C164" s="30" t="s">
        <v>125</v>
      </c>
      <c r="D164" s="31">
        <v>15</v>
      </c>
      <c r="H164" s="33">
        <f t="shared" si="17"/>
        <v>0.11481722188802908</v>
      </c>
      <c r="I164" s="34">
        <f t="shared" si="19"/>
        <v>0.91853777510423262</v>
      </c>
      <c r="J164" s="34">
        <f t="shared" si="21"/>
        <v>0.13680659829760655</v>
      </c>
    </row>
    <row r="165" spans="2:10" x14ac:dyDescent="0.2">
      <c r="C165" s="30" t="s">
        <v>126</v>
      </c>
      <c r="D165" s="31">
        <v>16</v>
      </c>
      <c r="H165" s="33">
        <f t="shared" si="17"/>
        <v>0.1332521882817114</v>
      </c>
      <c r="I165" s="34">
        <f t="shared" si="19"/>
        <v>1.0660175062536912</v>
      </c>
      <c r="J165" s="34">
        <f t="shared" si="21"/>
        <v>0.14747973114945856</v>
      </c>
    </row>
    <row r="166" spans="2:10" x14ac:dyDescent="0.2">
      <c r="B166" s="107">
        <v>2020</v>
      </c>
      <c r="C166" s="30" t="s">
        <v>125</v>
      </c>
      <c r="D166" s="31">
        <v>17</v>
      </c>
      <c r="H166" s="33">
        <f t="shared" si="17"/>
        <v>0.15289083875017201</v>
      </c>
      <c r="I166" s="34">
        <f t="shared" si="19"/>
        <v>1.2231267100013761</v>
      </c>
      <c r="J166" s="34">
        <f t="shared" si="21"/>
        <v>0.15710920374768489</v>
      </c>
    </row>
    <row r="167" spans="2:10" x14ac:dyDescent="0.2">
      <c r="C167" s="30" t="s">
        <v>126</v>
      </c>
      <c r="D167" s="31">
        <v>18</v>
      </c>
      <c r="H167" s="33">
        <f t="shared" si="17"/>
        <v>0.17358365909543838</v>
      </c>
      <c r="I167" s="34">
        <f t="shared" si="19"/>
        <v>1.388669272763507</v>
      </c>
      <c r="J167" s="34">
        <f t="shared" si="21"/>
        <v>0.16554256276213097</v>
      </c>
    </row>
    <row r="168" spans="2:10" x14ac:dyDescent="0.2">
      <c r="B168" s="192">
        <v>2021</v>
      </c>
      <c r="C168" s="193" t="s">
        <v>125</v>
      </c>
      <c r="D168" s="194">
        <v>19</v>
      </c>
      <c r="E168" s="195"/>
      <c r="F168" s="195"/>
      <c r="G168" s="195"/>
      <c r="H168" s="196">
        <f t="shared" si="17"/>
        <v>0.1951676165587149</v>
      </c>
      <c r="I168" s="197">
        <f t="shared" si="19"/>
        <v>1.5613409324697192</v>
      </c>
      <c r="J168" s="218">
        <f t="shared" si="21"/>
        <v>0.17267165970621212</v>
      </c>
    </row>
    <row r="169" spans="2:10" x14ac:dyDescent="0.2">
      <c r="B169" s="201"/>
      <c r="C169" s="202" t="s">
        <v>126</v>
      </c>
      <c r="D169" s="203">
        <v>20</v>
      </c>
      <c r="E169" s="59"/>
      <c r="F169" s="59"/>
      <c r="G169" s="59"/>
      <c r="H169" s="204">
        <f t="shared" si="17"/>
        <v>0.21747160443461921</v>
      </c>
      <c r="I169" s="205">
        <f t="shared" si="19"/>
        <v>1.7397728354769537</v>
      </c>
      <c r="J169" s="219">
        <f t="shared" si="21"/>
        <v>0.17843190300723455</v>
      </c>
    </row>
    <row r="170" spans="2:10" x14ac:dyDescent="0.2">
      <c r="B170" s="201">
        <v>2022</v>
      </c>
      <c r="C170" s="202" t="s">
        <v>125</v>
      </c>
      <c r="D170" s="203">
        <v>21</v>
      </c>
      <c r="E170" s="59"/>
      <c r="F170" s="59"/>
      <c r="G170" s="59"/>
      <c r="H170" s="204">
        <f t="shared" si="17"/>
        <v>0.24032154010168416</v>
      </c>
      <c r="I170" s="205">
        <f t="shared" si="19"/>
        <v>1.9225723208134733</v>
      </c>
      <c r="J170" s="219">
        <f t="shared" si="21"/>
        <v>0.18279948533651957</v>
      </c>
    </row>
    <row r="171" spans="2:10" x14ac:dyDescent="0.2">
      <c r="B171" s="201"/>
      <c r="C171" s="202" t="s">
        <v>126</v>
      </c>
      <c r="D171" s="203">
        <v>22</v>
      </c>
      <c r="E171" s="59"/>
      <c r="F171" s="59"/>
      <c r="G171" s="59"/>
      <c r="H171" s="204">
        <f t="shared" si="17"/>
        <v>0.26354493127177236</v>
      </c>
      <c r="I171" s="205">
        <f t="shared" si="19"/>
        <v>2.1083594501741789</v>
      </c>
      <c r="J171" s="219">
        <f t="shared" si="21"/>
        <v>0.18578712936070563</v>
      </c>
    </row>
    <row r="172" spans="2:10" x14ac:dyDescent="0.2">
      <c r="B172" s="201">
        <v>2023</v>
      </c>
      <c r="C172" s="202" t="s">
        <v>125</v>
      </c>
      <c r="D172" s="203">
        <v>23</v>
      </c>
      <c r="E172" s="59"/>
      <c r="F172" s="59"/>
      <c r="G172" s="59"/>
      <c r="H172" s="204">
        <f t="shared" si="17"/>
        <v>0.2869747912666713</v>
      </c>
      <c r="I172" s="205">
        <f t="shared" si="19"/>
        <v>2.2957983301333704</v>
      </c>
      <c r="J172" s="219">
        <f t="shared" si="21"/>
        <v>0.18743887995919151</v>
      </c>
    </row>
    <row r="173" spans="2:10" x14ac:dyDescent="0.2">
      <c r="B173" s="208"/>
      <c r="C173" s="209" t="s">
        <v>126</v>
      </c>
      <c r="D173" s="210">
        <v>24</v>
      </c>
      <c r="E173" s="211"/>
      <c r="F173" s="211"/>
      <c r="G173" s="211"/>
      <c r="H173" s="212">
        <f t="shared" si="17"/>
        <v>0.31045284335035161</v>
      </c>
      <c r="I173" s="213">
        <f t="shared" si="19"/>
        <v>2.4836227468028129</v>
      </c>
      <c r="J173" s="220">
        <f t="shared" si="21"/>
        <v>0.1878244166694425</v>
      </c>
    </row>
    <row r="174" spans="2:10" x14ac:dyDescent="0.2">
      <c r="B174" s="107">
        <v>2024</v>
      </c>
      <c r="C174" s="30" t="s">
        <v>125</v>
      </c>
      <c r="D174" s="31">
        <v>25</v>
      </c>
      <c r="H174" s="33">
        <f t="shared" si="17"/>
        <v>0.33383200368780591</v>
      </c>
      <c r="I174" s="34">
        <f t="shared" si="19"/>
        <v>2.6706560295024473</v>
      </c>
      <c r="J174" s="34">
        <f t="shared" si="21"/>
        <v>0.18703328269963437</v>
      </c>
    </row>
    <row r="175" spans="2:10" x14ac:dyDescent="0.2">
      <c r="C175" s="30" t="s">
        <v>126</v>
      </c>
      <c r="D175" s="31">
        <v>26</v>
      </c>
      <c r="H175" s="33">
        <f t="shared" si="17"/>
        <v>0.35697817115549796</v>
      </c>
      <c r="I175" s="34">
        <f t="shared" si="19"/>
        <v>2.8558253692439837</v>
      </c>
      <c r="J175" s="34">
        <f t="shared" si="21"/>
        <v>0.18516933974153638</v>
      </c>
    </row>
    <row r="176" spans="2:10" x14ac:dyDescent="0.2">
      <c r="B176" s="107">
        <v>2025</v>
      </c>
      <c r="C176" s="30" t="s">
        <v>125</v>
      </c>
      <c r="D176" s="31">
        <v>27</v>
      </c>
      <c r="H176" s="33">
        <f>$E$146*EXP(-$G$146*EXP(-$F$146*D176))</f>
        <v>0.37977138006072675</v>
      </c>
      <c r="I176" s="34">
        <f t="shared" si="19"/>
        <v>3.038171040485814</v>
      </c>
      <c r="J176" s="34">
        <f t="shared" si="21"/>
        <v>0.18234567124183032</v>
      </c>
    </row>
    <row r="177" spans="2:10" x14ac:dyDescent="0.2">
      <c r="C177" s="30" t="s">
        <v>126</v>
      </c>
      <c r="D177" s="31">
        <v>28</v>
      </c>
      <c r="H177" s="33">
        <f>$E$146*EXP(-$G$146*EXP(-$F$146*D177))</f>
        <v>0.40210638977316537</v>
      </c>
      <c r="I177" s="34">
        <f t="shared" si="19"/>
        <v>3.216851118185323</v>
      </c>
      <c r="J177" s="34">
        <f t="shared" si="21"/>
        <v>0.178680077699509</v>
      </c>
    </row>
    <row r="178" spans="2:10" x14ac:dyDescent="0.2">
      <c r="B178" s="107">
        <v>2026</v>
      </c>
      <c r="C178" s="30" t="s">
        <v>125</v>
      </c>
      <c r="D178" s="31">
        <v>29</v>
      </c>
      <c r="H178" s="33">
        <f>$E$146*EXP(-$G$146*EXP(-$F$146*D178))</f>
        <v>0.42389279477494135</v>
      </c>
      <c r="I178" s="34">
        <f t="shared" si="19"/>
        <v>3.3911423581995308</v>
      </c>
      <c r="J178" s="34">
        <f t="shared" si="21"/>
        <v>0.17429124001420782</v>
      </c>
    </row>
    <row r="179" spans="2:10" x14ac:dyDescent="0.2">
      <c r="C179" s="30" t="s">
        <v>126</v>
      </c>
      <c r="D179" s="31">
        <v>30</v>
      </c>
      <c r="H179" s="33">
        <f>$E$146*EXP(-$G$146*EXP(-$F$146*D179))</f>
        <v>0.44505474135774625</v>
      </c>
      <c r="I179" s="34">
        <f t="shared" si="19"/>
        <v>3.56043793086197</v>
      </c>
      <c r="J179" s="34">
        <f t="shared" si="21"/>
        <v>0.16929557266243922</v>
      </c>
    </row>
  </sheetData>
  <mergeCells count="3">
    <mergeCell ref="Y3:Y18"/>
    <mergeCell ref="Y19:Y30"/>
    <mergeCell ref="K29:L29"/>
  </mergeCells>
  <conditionalFormatting sqref="L39:L43">
    <cfRule type="cellIs" dxfId="4" priority="1" stopIfTrue="1" operator="notEqual">
      <formula>0</formula>
    </cfRule>
  </conditionalFormatting>
  <conditionalFormatting sqref="L39:L43">
    <cfRule type="cellIs" dxfId="3" priority="3" stopIfTrue="1" operator="notEqual">
      <formula>0</formula>
    </cfRule>
  </conditionalFormatting>
  <conditionalFormatting sqref="L39:L43">
    <cfRule type="cellIs" dxfId="2" priority="2" stopIfTrue="1" operator="notEqual">
      <formula>0</formula>
    </cfRule>
  </conditionalFormatting>
  <pageMargins left="0.75" right="0.75" top="1" bottom="1" header="0.5" footer="0.5"/>
  <pageSetup paperSize="9" orientation="portrait"/>
  <headerFooter alignWithMargins="0"/>
  <ignoredErrors>
    <ignoredError sqref="P73" formula="1"/>
  </ignoredError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97"/>
  <sheetViews>
    <sheetView workbookViewId="0">
      <selection activeCell="A2" sqref="A2"/>
    </sheetView>
  </sheetViews>
  <sheetFormatPr defaultColWidth="8.85546875" defaultRowHeight="12.75" x14ac:dyDescent="0.2"/>
  <cols>
    <col min="1" max="1" width="8.85546875" style="47"/>
    <col min="2" max="2" width="24.42578125" style="47" bestFit="1" customWidth="1"/>
    <col min="3" max="3" width="23.42578125" style="47" bestFit="1" customWidth="1"/>
    <col min="4" max="4" width="10.42578125" style="47" bestFit="1" customWidth="1"/>
    <col min="5" max="16384" width="8.85546875" style="47"/>
  </cols>
  <sheetData>
    <row r="1" spans="1:15" x14ac:dyDescent="0.2">
      <c r="A1" s="48" t="s">
        <v>40</v>
      </c>
      <c r="B1" s="48" t="s">
        <v>41</v>
      </c>
      <c r="C1" s="48" t="s">
        <v>42</v>
      </c>
      <c r="D1" s="48" t="s">
        <v>43</v>
      </c>
      <c r="E1" s="48" t="s">
        <v>38</v>
      </c>
    </row>
    <row r="2" spans="1:15" x14ac:dyDescent="0.2">
      <c r="B2" s="52">
        <v>0</v>
      </c>
      <c r="C2" s="52">
        <v>0</v>
      </c>
      <c r="D2" s="55">
        <v>0</v>
      </c>
      <c r="E2" s="47" t="s">
        <v>291</v>
      </c>
      <c r="F2" s="47" t="s">
        <v>291</v>
      </c>
      <c r="G2" s="47" t="s">
        <v>292</v>
      </c>
      <c r="H2" s="47" t="s">
        <v>292</v>
      </c>
      <c r="I2" s="47" t="s">
        <v>293</v>
      </c>
    </row>
    <row r="3" spans="1:15" x14ac:dyDescent="0.2">
      <c r="B3" s="52">
        <v>0</v>
      </c>
      <c r="C3" s="52">
        <v>0</v>
      </c>
      <c r="D3" s="55">
        <v>0</v>
      </c>
      <c r="E3" s="47" t="s">
        <v>295</v>
      </c>
      <c r="F3" s="47" t="s">
        <v>295</v>
      </c>
      <c r="G3" s="47" t="s">
        <v>295</v>
      </c>
      <c r="H3" s="47" t="s">
        <v>295</v>
      </c>
      <c r="I3" s="47" t="s">
        <v>295</v>
      </c>
      <c r="J3" s="47" t="s">
        <v>295</v>
      </c>
      <c r="K3" s="47" t="s">
        <v>295</v>
      </c>
      <c r="L3" s="47" t="s">
        <v>295</v>
      </c>
      <c r="M3" s="47" t="s">
        <v>295</v>
      </c>
    </row>
    <row r="4" spans="1:15" x14ac:dyDescent="0.2">
      <c r="B4" s="52">
        <v>0</v>
      </c>
      <c r="C4" s="52">
        <v>0</v>
      </c>
      <c r="D4" s="53">
        <v>0</v>
      </c>
    </row>
    <row r="5" spans="1:15" x14ac:dyDescent="0.2">
      <c r="B5" s="52">
        <v>0</v>
      </c>
      <c r="C5" s="52">
        <v>0</v>
      </c>
      <c r="D5" s="53">
        <v>0</v>
      </c>
      <c r="E5" s="47" t="s">
        <v>297</v>
      </c>
      <c r="F5" s="47" t="s">
        <v>297</v>
      </c>
      <c r="G5" s="47" t="s">
        <v>297</v>
      </c>
      <c r="H5" s="47" t="s">
        <v>297</v>
      </c>
      <c r="I5" s="47" t="s">
        <v>297</v>
      </c>
    </row>
    <row r="6" spans="1:15" x14ac:dyDescent="0.2">
      <c r="B6" s="52">
        <v>0</v>
      </c>
      <c r="C6" s="52">
        <v>0</v>
      </c>
      <c r="D6" s="53">
        <v>0</v>
      </c>
      <c r="E6" s="47" t="s">
        <v>299</v>
      </c>
      <c r="F6" s="47" t="s">
        <v>299</v>
      </c>
      <c r="G6" s="47" t="s">
        <v>299</v>
      </c>
      <c r="H6" s="47" t="s">
        <v>299</v>
      </c>
      <c r="I6" s="47" t="s">
        <v>299</v>
      </c>
      <c r="J6" s="47" t="s">
        <v>299</v>
      </c>
    </row>
    <row r="7" spans="1:15" x14ac:dyDescent="0.2">
      <c r="B7" s="52">
        <v>0</v>
      </c>
      <c r="C7" s="52">
        <v>0</v>
      </c>
      <c r="D7" s="53">
        <v>0</v>
      </c>
      <c r="E7" s="47" t="s">
        <v>300</v>
      </c>
      <c r="F7" s="47" t="s">
        <v>300</v>
      </c>
      <c r="G7" s="47" t="s">
        <v>300</v>
      </c>
      <c r="H7" s="47" t="s">
        <v>300</v>
      </c>
      <c r="I7" s="47" t="s">
        <v>300</v>
      </c>
      <c r="J7" s="47" t="s">
        <v>300</v>
      </c>
    </row>
    <row r="8" spans="1:15" x14ac:dyDescent="0.2">
      <c r="B8" s="52">
        <v>0</v>
      </c>
      <c r="C8" s="52">
        <v>0</v>
      </c>
      <c r="D8" s="53">
        <v>0</v>
      </c>
      <c r="E8" s="47" t="s">
        <v>302</v>
      </c>
      <c r="F8" s="47" t="s">
        <v>302</v>
      </c>
      <c r="G8" s="47" t="s">
        <v>302</v>
      </c>
      <c r="H8" s="47" t="s">
        <v>302</v>
      </c>
      <c r="I8" s="47" t="s">
        <v>302</v>
      </c>
      <c r="J8" s="47" t="s">
        <v>302</v>
      </c>
      <c r="K8" s="47" t="s">
        <v>302</v>
      </c>
      <c r="L8" s="47" t="s">
        <v>302</v>
      </c>
      <c r="M8" s="47" t="s">
        <v>302</v>
      </c>
      <c r="N8" s="47" t="s">
        <v>302</v>
      </c>
      <c r="O8" s="47" t="s">
        <v>302</v>
      </c>
    </row>
    <row r="9" spans="1:15" x14ac:dyDescent="0.2">
      <c r="B9" s="52">
        <v>0</v>
      </c>
      <c r="C9" s="52">
        <v>0</v>
      </c>
      <c r="D9" s="53">
        <v>0</v>
      </c>
      <c r="E9" s="47" t="s">
        <v>304</v>
      </c>
      <c r="F9" s="47" t="s">
        <v>304</v>
      </c>
      <c r="G9" s="47" t="s">
        <v>305</v>
      </c>
    </row>
    <row r="10" spans="1:15" x14ac:dyDescent="0.2">
      <c r="B10" s="52">
        <v>0</v>
      </c>
      <c r="C10" s="52">
        <v>0</v>
      </c>
      <c r="D10" s="53">
        <v>0</v>
      </c>
    </row>
    <row r="11" spans="1:15" x14ac:dyDescent="0.2">
      <c r="B11" s="52">
        <v>0</v>
      </c>
      <c r="C11" s="52">
        <v>0</v>
      </c>
      <c r="D11" s="53">
        <v>0</v>
      </c>
      <c r="E11" s="47" t="s">
        <v>309</v>
      </c>
      <c r="F11" s="47" t="s">
        <v>309</v>
      </c>
      <c r="G11" s="47" t="s">
        <v>309</v>
      </c>
      <c r="H11" s="47" t="s">
        <v>309</v>
      </c>
      <c r="I11" s="47" t="s">
        <v>309</v>
      </c>
      <c r="J11" s="47" t="s">
        <v>309</v>
      </c>
      <c r="K11" s="47" t="s">
        <v>309</v>
      </c>
      <c r="L11" s="47" t="s">
        <v>309</v>
      </c>
    </row>
    <row r="12" spans="1:15" x14ac:dyDescent="0.2">
      <c r="B12" s="52">
        <v>0</v>
      </c>
      <c r="C12" s="52">
        <v>0</v>
      </c>
      <c r="D12" s="53">
        <v>0</v>
      </c>
      <c r="E12" s="47" t="s">
        <v>310</v>
      </c>
    </row>
    <row r="13" spans="1:15" x14ac:dyDescent="0.2">
      <c r="B13" s="52">
        <v>0</v>
      </c>
      <c r="C13" s="52">
        <v>0</v>
      </c>
      <c r="D13" s="53">
        <v>0</v>
      </c>
      <c r="E13" s="47" t="s">
        <v>314</v>
      </c>
      <c r="F13" s="47" t="s">
        <v>314</v>
      </c>
      <c r="G13" s="47" t="s">
        <v>314</v>
      </c>
    </row>
    <row r="14" spans="1:15" x14ac:dyDescent="0.2">
      <c r="B14" s="52">
        <v>0</v>
      </c>
      <c r="C14" s="52">
        <v>0</v>
      </c>
      <c r="D14" s="53">
        <v>0</v>
      </c>
      <c r="E14" s="47" t="s">
        <v>316</v>
      </c>
      <c r="F14" s="47" t="s">
        <v>316</v>
      </c>
      <c r="G14" s="47" t="s">
        <v>316</v>
      </c>
      <c r="H14" s="47" t="s">
        <v>291</v>
      </c>
      <c r="I14" s="47" t="s">
        <v>291</v>
      </c>
      <c r="J14" s="47" t="s">
        <v>316</v>
      </c>
    </row>
    <row r="15" spans="1:15" x14ac:dyDescent="0.2">
      <c r="B15" s="52">
        <v>0</v>
      </c>
      <c r="C15" s="52">
        <v>0</v>
      </c>
      <c r="D15" s="53">
        <v>0</v>
      </c>
    </row>
    <row r="16" spans="1:15" x14ac:dyDescent="0.2">
      <c r="B16" s="52">
        <v>0</v>
      </c>
      <c r="C16" s="52">
        <v>0</v>
      </c>
      <c r="D16" s="53">
        <v>0</v>
      </c>
      <c r="E16" s="47" t="s">
        <v>319</v>
      </c>
      <c r="F16" s="47" t="s">
        <v>319</v>
      </c>
      <c r="G16" s="47" t="s">
        <v>319</v>
      </c>
    </row>
    <row r="17" spans="2:12" x14ac:dyDescent="0.2">
      <c r="B17" s="52">
        <v>0</v>
      </c>
      <c r="C17" s="52">
        <v>0</v>
      </c>
      <c r="D17" s="53">
        <v>0</v>
      </c>
    </row>
    <row r="18" spans="2:12" x14ac:dyDescent="0.2">
      <c r="B18" s="52">
        <v>0</v>
      </c>
      <c r="C18" s="52">
        <v>0</v>
      </c>
      <c r="D18" s="53">
        <v>0</v>
      </c>
      <c r="E18" s="47" t="s">
        <v>321</v>
      </c>
      <c r="F18" s="47" t="s">
        <v>321</v>
      </c>
      <c r="G18" s="47" t="s">
        <v>291</v>
      </c>
      <c r="H18" s="47" t="s">
        <v>321</v>
      </c>
    </row>
    <row r="19" spans="2:12" x14ac:dyDescent="0.2">
      <c r="B19" s="52">
        <v>0</v>
      </c>
      <c r="C19" s="52">
        <v>0</v>
      </c>
      <c r="D19" s="53">
        <v>0</v>
      </c>
      <c r="E19" s="47" t="s">
        <v>323</v>
      </c>
      <c r="F19" s="47" t="s">
        <v>323</v>
      </c>
      <c r="G19" s="47" t="s">
        <v>323</v>
      </c>
      <c r="H19" s="47" t="s">
        <v>323</v>
      </c>
      <c r="I19" s="47" t="s">
        <v>323</v>
      </c>
      <c r="J19" s="47" t="s">
        <v>323</v>
      </c>
    </row>
    <row r="20" spans="2:12" x14ac:dyDescent="0.2">
      <c r="B20" s="52">
        <v>0</v>
      </c>
      <c r="C20" s="52">
        <v>0</v>
      </c>
      <c r="D20" s="53">
        <v>0</v>
      </c>
    </row>
    <row r="21" spans="2:12" x14ac:dyDescent="0.2">
      <c r="B21" s="52">
        <v>0</v>
      </c>
      <c r="C21" s="52">
        <v>0</v>
      </c>
      <c r="D21" s="53">
        <v>0</v>
      </c>
      <c r="E21" s="47" t="s">
        <v>326</v>
      </c>
      <c r="F21" s="47" t="s">
        <v>326</v>
      </c>
      <c r="G21" s="47" t="s">
        <v>326</v>
      </c>
      <c r="H21" s="47" t="s">
        <v>326</v>
      </c>
      <c r="I21" s="47" t="s">
        <v>326</v>
      </c>
      <c r="J21" s="47" t="s">
        <v>326</v>
      </c>
    </row>
    <row r="22" spans="2:12" x14ac:dyDescent="0.2">
      <c r="B22" s="52">
        <v>0</v>
      </c>
      <c r="C22" s="52">
        <v>0</v>
      </c>
      <c r="D22" s="53">
        <v>0</v>
      </c>
      <c r="E22" s="47" t="s">
        <v>328</v>
      </c>
      <c r="F22" s="47" t="s">
        <v>329</v>
      </c>
    </row>
    <row r="23" spans="2:12" x14ac:dyDescent="0.2">
      <c r="B23" s="52">
        <v>0</v>
      </c>
      <c r="C23" s="52">
        <v>0</v>
      </c>
      <c r="D23" s="53">
        <v>0</v>
      </c>
      <c r="E23" s="47" t="s">
        <v>331</v>
      </c>
      <c r="F23" s="47" t="s">
        <v>331</v>
      </c>
      <c r="G23" s="47" t="s">
        <v>331</v>
      </c>
      <c r="H23" s="47" t="s">
        <v>331</v>
      </c>
      <c r="I23" s="47" t="s">
        <v>331</v>
      </c>
      <c r="J23" s="47" t="s">
        <v>331</v>
      </c>
      <c r="K23" s="47" t="s">
        <v>331</v>
      </c>
      <c r="L23" s="47" t="s">
        <v>331</v>
      </c>
    </row>
    <row r="24" spans="2:12" x14ac:dyDescent="0.2">
      <c r="B24" s="52">
        <v>0</v>
      </c>
      <c r="C24" s="52">
        <v>0</v>
      </c>
      <c r="D24" s="53">
        <v>0</v>
      </c>
      <c r="E24" s="47" t="s">
        <v>333</v>
      </c>
      <c r="F24" s="47" t="s">
        <v>333</v>
      </c>
      <c r="G24" s="47" t="s">
        <v>333</v>
      </c>
    </row>
    <row r="25" spans="2:12" x14ac:dyDescent="0.2">
      <c r="B25" s="52">
        <v>0</v>
      </c>
      <c r="C25" s="52">
        <v>0</v>
      </c>
      <c r="D25" s="53">
        <v>0</v>
      </c>
      <c r="E25" s="47" t="s">
        <v>334</v>
      </c>
      <c r="F25" s="47" t="s">
        <v>334</v>
      </c>
    </row>
    <row r="26" spans="2:12" x14ac:dyDescent="0.2">
      <c r="B26" s="52">
        <v>0</v>
      </c>
      <c r="C26" s="52">
        <v>0</v>
      </c>
      <c r="D26" s="53">
        <v>0</v>
      </c>
      <c r="E26" s="47" t="s">
        <v>336</v>
      </c>
    </row>
    <row r="27" spans="2:12" x14ac:dyDescent="0.2">
      <c r="B27" s="52">
        <v>0</v>
      </c>
      <c r="C27" s="52">
        <v>0</v>
      </c>
      <c r="D27" s="53">
        <v>0</v>
      </c>
      <c r="E27" s="47" t="s">
        <v>337</v>
      </c>
      <c r="F27" s="47" t="s">
        <v>337</v>
      </c>
      <c r="G27" s="47" t="s">
        <v>337</v>
      </c>
      <c r="H27" s="47" t="s">
        <v>337</v>
      </c>
      <c r="I27" s="47" t="s">
        <v>337</v>
      </c>
    </row>
    <row r="28" spans="2:12" x14ac:dyDescent="0.2">
      <c r="B28" s="52">
        <v>0</v>
      </c>
      <c r="C28" s="52">
        <v>0</v>
      </c>
      <c r="D28" s="53">
        <v>0</v>
      </c>
      <c r="E28" s="47" t="s">
        <v>304</v>
      </c>
      <c r="F28" s="47" t="s">
        <v>304</v>
      </c>
      <c r="G28" s="47" t="s">
        <v>339</v>
      </c>
    </row>
    <row r="29" spans="2:12" x14ac:dyDescent="0.2">
      <c r="B29" s="52">
        <v>0</v>
      </c>
      <c r="C29" s="52">
        <v>0</v>
      </c>
      <c r="D29" s="53">
        <v>0</v>
      </c>
      <c r="E29" s="47" t="s">
        <v>291</v>
      </c>
      <c r="F29" s="47" t="s">
        <v>291</v>
      </c>
      <c r="G29" s="47" t="s">
        <v>291</v>
      </c>
      <c r="H29" s="47" t="s">
        <v>291</v>
      </c>
      <c r="I29" s="47" t="s">
        <v>291</v>
      </c>
      <c r="J29" s="47" t="s">
        <v>291</v>
      </c>
    </row>
    <row r="30" spans="2:12" x14ac:dyDescent="0.2">
      <c r="B30" s="52">
        <v>0</v>
      </c>
      <c r="C30" s="52">
        <v>0</v>
      </c>
      <c r="D30" s="53">
        <v>0</v>
      </c>
      <c r="E30" s="47" t="s">
        <v>340</v>
      </c>
      <c r="F30" s="47" t="s">
        <v>340</v>
      </c>
      <c r="G30" s="47" t="s">
        <v>340</v>
      </c>
      <c r="H30" s="47" t="s">
        <v>340</v>
      </c>
      <c r="I30" s="47" t="s">
        <v>340</v>
      </c>
    </row>
    <row r="31" spans="2:12" x14ac:dyDescent="0.2">
      <c r="B31" s="52">
        <v>0</v>
      </c>
      <c r="C31" s="52">
        <v>0</v>
      </c>
      <c r="D31" s="53">
        <v>0</v>
      </c>
      <c r="E31" s="47" t="s">
        <v>340</v>
      </c>
      <c r="F31" s="47" t="s">
        <v>340</v>
      </c>
      <c r="G31" s="47" t="s">
        <v>340</v>
      </c>
      <c r="H31" s="47" t="s">
        <v>340</v>
      </c>
      <c r="I31" s="47" t="s">
        <v>340</v>
      </c>
    </row>
    <row r="32" spans="2:12" x14ac:dyDescent="0.2">
      <c r="B32" s="52">
        <v>0</v>
      </c>
      <c r="C32" s="52">
        <v>0</v>
      </c>
      <c r="D32" s="53">
        <v>0</v>
      </c>
      <c r="E32" s="47" t="s">
        <v>343</v>
      </c>
      <c r="F32" s="47" t="s">
        <v>343</v>
      </c>
    </row>
    <row r="33" spans="2:19" x14ac:dyDescent="0.2">
      <c r="B33" s="52">
        <v>0</v>
      </c>
      <c r="C33" s="52">
        <v>0</v>
      </c>
      <c r="D33" s="53">
        <v>0</v>
      </c>
    </row>
    <row r="34" spans="2:19" x14ac:dyDescent="0.2">
      <c r="B34" s="52">
        <v>0</v>
      </c>
      <c r="C34" s="52">
        <v>0</v>
      </c>
      <c r="D34" s="53">
        <v>0</v>
      </c>
      <c r="E34" s="47" t="s">
        <v>345</v>
      </c>
      <c r="F34" s="47" t="s">
        <v>345</v>
      </c>
    </row>
    <row r="35" spans="2:19" x14ac:dyDescent="0.2">
      <c r="B35" s="52">
        <v>0</v>
      </c>
      <c r="C35" s="52">
        <v>0</v>
      </c>
      <c r="D35" s="53">
        <v>0</v>
      </c>
    </row>
    <row r="36" spans="2:19" x14ac:dyDescent="0.2">
      <c r="B36" s="52">
        <v>0</v>
      </c>
      <c r="C36" s="52">
        <v>0</v>
      </c>
      <c r="D36" s="53">
        <v>0</v>
      </c>
      <c r="E36" s="47" t="s">
        <v>347</v>
      </c>
      <c r="F36" s="47" t="s">
        <v>347</v>
      </c>
      <c r="G36" s="47" t="s">
        <v>347</v>
      </c>
      <c r="H36" s="47" t="s">
        <v>347</v>
      </c>
      <c r="I36" s="47" t="s">
        <v>347</v>
      </c>
      <c r="J36" s="47" t="s">
        <v>347</v>
      </c>
      <c r="K36" s="47" t="s">
        <v>347</v>
      </c>
      <c r="L36" s="47" t="s">
        <v>347</v>
      </c>
      <c r="M36" s="47" t="s">
        <v>347</v>
      </c>
    </row>
    <row r="37" spans="2:19" x14ac:dyDescent="0.2">
      <c r="B37" s="52">
        <v>0</v>
      </c>
      <c r="C37" s="52">
        <v>0</v>
      </c>
      <c r="D37" s="53">
        <v>0</v>
      </c>
      <c r="E37" s="47" t="s">
        <v>304</v>
      </c>
      <c r="F37" s="47" t="s">
        <v>304</v>
      </c>
    </row>
    <row r="38" spans="2:19" x14ac:dyDescent="0.2">
      <c r="B38" s="52">
        <v>0</v>
      </c>
      <c r="C38" s="52">
        <v>0</v>
      </c>
      <c r="D38" s="53">
        <v>0</v>
      </c>
      <c r="E38" s="47" t="s">
        <v>350</v>
      </c>
      <c r="F38" s="47" t="s">
        <v>350</v>
      </c>
      <c r="G38" s="47" t="s">
        <v>350</v>
      </c>
      <c r="H38" s="47" t="s">
        <v>350</v>
      </c>
      <c r="I38" s="47" t="s">
        <v>350</v>
      </c>
      <c r="J38" s="47" t="s">
        <v>350</v>
      </c>
      <c r="K38" s="47" t="s">
        <v>350</v>
      </c>
      <c r="L38" s="47" t="s">
        <v>350</v>
      </c>
      <c r="M38" s="47" t="s">
        <v>350</v>
      </c>
      <c r="N38" s="47" t="s">
        <v>350</v>
      </c>
    </row>
    <row r="39" spans="2:19" x14ac:dyDescent="0.2">
      <c r="B39" s="52">
        <v>0</v>
      </c>
      <c r="C39" s="52">
        <v>0</v>
      </c>
      <c r="D39" s="53">
        <v>0</v>
      </c>
      <c r="E39" s="47" t="s">
        <v>352</v>
      </c>
      <c r="F39" s="47" t="s">
        <v>352</v>
      </c>
    </row>
    <row r="40" spans="2:19" x14ac:dyDescent="0.2">
      <c r="B40" s="52">
        <v>0</v>
      </c>
      <c r="C40" s="52">
        <v>0</v>
      </c>
      <c r="D40" s="53">
        <v>0</v>
      </c>
      <c r="E40" s="47" t="s">
        <v>354</v>
      </c>
      <c r="F40" s="47" t="s">
        <v>354</v>
      </c>
      <c r="G40" s="47" t="s">
        <v>354</v>
      </c>
      <c r="H40" s="47" t="s">
        <v>355</v>
      </c>
      <c r="I40" s="47" t="s">
        <v>355</v>
      </c>
      <c r="J40" s="47" t="s">
        <v>355</v>
      </c>
    </row>
    <row r="41" spans="2:19" x14ac:dyDescent="0.2">
      <c r="B41" s="52">
        <v>0</v>
      </c>
      <c r="C41" s="52">
        <v>0</v>
      </c>
      <c r="D41" s="53">
        <v>0</v>
      </c>
      <c r="E41" s="47" t="s">
        <v>357</v>
      </c>
      <c r="F41" s="47" t="s">
        <v>357</v>
      </c>
      <c r="G41" s="47" t="s">
        <v>357</v>
      </c>
      <c r="H41" s="47" t="s">
        <v>357</v>
      </c>
    </row>
    <row r="42" spans="2:19" x14ac:dyDescent="0.2">
      <c r="B42" s="52">
        <v>0</v>
      </c>
      <c r="C42" s="52">
        <v>0</v>
      </c>
      <c r="D42" s="53">
        <v>0</v>
      </c>
      <c r="E42" s="47" t="s">
        <v>359</v>
      </c>
      <c r="F42" s="47" t="s">
        <v>359</v>
      </c>
    </row>
    <row r="43" spans="2:19" x14ac:dyDescent="0.2">
      <c r="B43" s="52">
        <v>0</v>
      </c>
      <c r="C43" s="52">
        <v>0</v>
      </c>
      <c r="D43" s="53">
        <v>0</v>
      </c>
      <c r="E43" s="47" t="s">
        <v>360</v>
      </c>
      <c r="F43" s="47" t="s">
        <v>360</v>
      </c>
      <c r="G43" s="47" t="s">
        <v>360</v>
      </c>
      <c r="H43" s="47" t="s">
        <v>360</v>
      </c>
      <c r="I43" s="47" t="s">
        <v>360</v>
      </c>
    </row>
    <row r="44" spans="2:19" x14ac:dyDescent="0.2">
      <c r="B44" s="52">
        <v>0</v>
      </c>
      <c r="C44" s="52">
        <v>0</v>
      </c>
      <c r="D44" s="53">
        <v>0</v>
      </c>
      <c r="E44" s="47" t="s">
        <v>362</v>
      </c>
      <c r="F44" s="47" t="s">
        <v>362</v>
      </c>
    </row>
    <row r="45" spans="2:19" x14ac:dyDescent="0.2">
      <c r="B45" s="52">
        <v>0</v>
      </c>
      <c r="C45" s="52">
        <v>0</v>
      </c>
      <c r="D45" s="53">
        <v>0</v>
      </c>
      <c r="E45" s="47" t="s">
        <v>364</v>
      </c>
      <c r="F45" s="47" t="s">
        <v>291</v>
      </c>
      <c r="G45" s="47" t="s">
        <v>364</v>
      </c>
      <c r="H45" s="47" t="s">
        <v>364</v>
      </c>
    </row>
    <row r="46" spans="2:19" x14ac:dyDescent="0.2">
      <c r="B46" s="52">
        <v>0</v>
      </c>
      <c r="C46" s="52">
        <v>0</v>
      </c>
      <c r="D46" s="53">
        <v>0</v>
      </c>
      <c r="E46" s="47" t="s">
        <v>340</v>
      </c>
      <c r="F46" s="47" t="s">
        <v>340</v>
      </c>
      <c r="G46" s="47" t="s">
        <v>340</v>
      </c>
      <c r="H46" s="47" t="s">
        <v>340</v>
      </c>
      <c r="I46" s="47" t="s">
        <v>340</v>
      </c>
      <c r="J46" s="47" t="s">
        <v>340</v>
      </c>
      <c r="K46" s="47" t="s">
        <v>340</v>
      </c>
      <c r="L46" s="47" t="s">
        <v>340</v>
      </c>
      <c r="M46" s="47" t="s">
        <v>340</v>
      </c>
      <c r="N46" s="47" t="s">
        <v>340</v>
      </c>
      <c r="O46" s="47" t="s">
        <v>340</v>
      </c>
      <c r="P46" s="47" t="s">
        <v>340</v>
      </c>
      <c r="Q46" s="47" t="s">
        <v>340</v>
      </c>
      <c r="R46" s="47" t="s">
        <v>340</v>
      </c>
      <c r="S46" s="47" t="s">
        <v>340</v>
      </c>
    </row>
    <row r="47" spans="2:19" x14ac:dyDescent="0.2">
      <c r="B47" s="52">
        <v>0</v>
      </c>
      <c r="C47" s="52">
        <v>0</v>
      </c>
      <c r="D47" s="53">
        <v>0</v>
      </c>
      <c r="E47" s="47" t="s">
        <v>321</v>
      </c>
    </row>
    <row r="48" spans="2:19" x14ac:dyDescent="0.2">
      <c r="B48" s="52">
        <v>0</v>
      </c>
      <c r="C48" s="52">
        <v>0</v>
      </c>
      <c r="D48" s="53">
        <v>0</v>
      </c>
      <c r="E48" s="47" t="s">
        <v>367</v>
      </c>
      <c r="F48" s="47" t="s">
        <v>367</v>
      </c>
      <c r="G48" s="47" t="s">
        <v>367</v>
      </c>
      <c r="H48" s="47" t="s">
        <v>367</v>
      </c>
      <c r="I48" s="47" t="s">
        <v>367</v>
      </c>
      <c r="J48" s="47" t="s">
        <v>367</v>
      </c>
    </row>
    <row r="49" spans="2:11" x14ac:dyDescent="0.2">
      <c r="B49" s="52">
        <v>0</v>
      </c>
      <c r="C49" s="52">
        <v>0</v>
      </c>
      <c r="D49" s="53">
        <v>0</v>
      </c>
      <c r="E49" s="47" t="s">
        <v>354</v>
      </c>
      <c r="F49" s="47" t="s">
        <v>354</v>
      </c>
      <c r="G49" s="47" t="s">
        <v>354</v>
      </c>
    </row>
    <row r="50" spans="2:11" x14ac:dyDescent="0.2">
      <c r="B50" s="52">
        <v>0</v>
      </c>
      <c r="C50" s="52">
        <v>0</v>
      </c>
      <c r="D50" s="53">
        <v>0</v>
      </c>
      <c r="E50" s="47" t="s">
        <v>370</v>
      </c>
      <c r="F50" s="47" t="s">
        <v>370</v>
      </c>
      <c r="G50" s="47" t="s">
        <v>370</v>
      </c>
      <c r="H50" s="47" t="s">
        <v>370</v>
      </c>
    </row>
    <row r="51" spans="2:11" x14ac:dyDescent="0.2">
      <c r="B51" s="52">
        <v>0</v>
      </c>
      <c r="C51" s="52">
        <v>0</v>
      </c>
      <c r="D51" s="53">
        <v>0</v>
      </c>
      <c r="E51" s="47" t="s">
        <v>372</v>
      </c>
      <c r="F51" s="47" t="s">
        <v>372</v>
      </c>
    </row>
    <row r="52" spans="2:11" x14ac:dyDescent="0.2">
      <c r="B52" s="52">
        <v>0</v>
      </c>
      <c r="C52" s="52">
        <v>0</v>
      </c>
      <c r="D52" s="53">
        <v>0</v>
      </c>
      <c r="E52" s="47" t="s">
        <v>374</v>
      </c>
    </row>
    <row r="53" spans="2:11" x14ac:dyDescent="0.2">
      <c r="B53" s="52">
        <v>0</v>
      </c>
      <c r="C53" s="52">
        <v>0</v>
      </c>
      <c r="D53" s="53">
        <v>0</v>
      </c>
    </row>
    <row r="54" spans="2:11" x14ac:dyDescent="0.2">
      <c r="B54" s="52">
        <v>0</v>
      </c>
      <c r="C54" s="52">
        <v>0</v>
      </c>
      <c r="D54" s="53">
        <v>0</v>
      </c>
      <c r="E54" s="47" t="s">
        <v>354</v>
      </c>
      <c r="F54" s="47" t="s">
        <v>354</v>
      </c>
      <c r="G54" s="47" t="s">
        <v>354</v>
      </c>
      <c r="H54" s="47" t="s">
        <v>354</v>
      </c>
      <c r="I54" s="47" t="s">
        <v>354</v>
      </c>
      <c r="J54" s="47" t="s">
        <v>354</v>
      </c>
    </row>
    <row r="55" spans="2:11" x14ac:dyDescent="0.2">
      <c r="B55" s="52">
        <v>0</v>
      </c>
      <c r="C55" s="52">
        <v>0</v>
      </c>
      <c r="D55" s="53">
        <v>0</v>
      </c>
      <c r="E55" s="47" t="s">
        <v>291</v>
      </c>
      <c r="F55" s="47" t="s">
        <v>291</v>
      </c>
    </row>
    <row r="56" spans="2:11" x14ac:dyDescent="0.2">
      <c r="B56" s="52">
        <v>0</v>
      </c>
      <c r="C56" s="52">
        <v>0</v>
      </c>
      <c r="D56" s="53">
        <v>0</v>
      </c>
      <c r="E56" s="47" t="s">
        <v>378</v>
      </c>
      <c r="F56" s="47" t="s">
        <v>378</v>
      </c>
    </row>
    <row r="57" spans="2:11" x14ac:dyDescent="0.2">
      <c r="B57" s="52">
        <v>0</v>
      </c>
      <c r="C57" s="52">
        <v>0</v>
      </c>
      <c r="D57" s="53">
        <v>0</v>
      </c>
      <c r="E57" s="47" t="s">
        <v>379</v>
      </c>
      <c r="F57" s="47" t="s">
        <v>379</v>
      </c>
      <c r="G57" s="47" t="s">
        <v>379</v>
      </c>
      <c r="H57" s="47" t="s">
        <v>379</v>
      </c>
      <c r="I57" s="47" t="s">
        <v>379</v>
      </c>
      <c r="J57" s="47" t="s">
        <v>379</v>
      </c>
      <c r="K57" s="47" t="s">
        <v>379</v>
      </c>
    </row>
    <row r="58" spans="2:11" x14ac:dyDescent="0.2">
      <c r="B58" s="52">
        <v>0</v>
      </c>
      <c r="C58" s="52">
        <v>0</v>
      </c>
      <c r="D58" s="53">
        <v>0</v>
      </c>
      <c r="E58" s="47" t="s">
        <v>381</v>
      </c>
      <c r="F58" s="47" t="s">
        <v>381</v>
      </c>
      <c r="G58" s="47" t="s">
        <v>381</v>
      </c>
      <c r="H58" s="47" t="s">
        <v>381</v>
      </c>
      <c r="I58" s="47" t="s">
        <v>381</v>
      </c>
    </row>
    <row r="59" spans="2:11" x14ac:dyDescent="0.2">
      <c r="B59" s="52">
        <v>0</v>
      </c>
      <c r="C59" s="52">
        <v>0</v>
      </c>
      <c r="D59" s="53">
        <v>0</v>
      </c>
      <c r="E59" s="47" t="s">
        <v>383</v>
      </c>
      <c r="F59" s="47" t="s">
        <v>383</v>
      </c>
      <c r="G59" s="47" t="s">
        <v>383</v>
      </c>
      <c r="H59" s="47" t="s">
        <v>383</v>
      </c>
      <c r="I59" s="47" t="s">
        <v>383</v>
      </c>
      <c r="J59" s="47" t="s">
        <v>383</v>
      </c>
    </row>
    <row r="60" spans="2:11" x14ac:dyDescent="0.2">
      <c r="B60" s="52">
        <v>0</v>
      </c>
      <c r="C60" s="52">
        <v>0</v>
      </c>
      <c r="D60" s="53">
        <v>0</v>
      </c>
      <c r="E60" s="47" t="s">
        <v>385</v>
      </c>
      <c r="F60" s="47" t="s">
        <v>385</v>
      </c>
      <c r="G60" s="47" t="s">
        <v>385</v>
      </c>
      <c r="H60" s="47" t="s">
        <v>385</v>
      </c>
      <c r="I60" s="47" t="s">
        <v>385</v>
      </c>
      <c r="J60" s="47" t="s">
        <v>385</v>
      </c>
    </row>
    <row r="61" spans="2:11" x14ac:dyDescent="0.2">
      <c r="B61" s="52">
        <v>0</v>
      </c>
      <c r="C61" s="52">
        <v>0</v>
      </c>
      <c r="D61" s="53">
        <v>0</v>
      </c>
    </row>
    <row r="62" spans="2:11" x14ac:dyDescent="0.2">
      <c r="B62" s="52">
        <v>0</v>
      </c>
      <c r="C62" s="52">
        <v>0</v>
      </c>
      <c r="D62" s="53">
        <v>0</v>
      </c>
      <c r="E62" s="47" t="s">
        <v>388</v>
      </c>
      <c r="F62" s="47" t="s">
        <v>388</v>
      </c>
      <c r="G62" s="47" t="s">
        <v>388</v>
      </c>
      <c r="H62" s="47" t="s">
        <v>388</v>
      </c>
    </row>
    <row r="63" spans="2:11" x14ac:dyDescent="0.2">
      <c r="B63" s="52">
        <v>0</v>
      </c>
      <c r="C63" s="52">
        <v>0</v>
      </c>
      <c r="D63" s="53">
        <v>0</v>
      </c>
      <c r="E63" s="47" t="s">
        <v>389</v>
      </c>
    </row>
    <row r="64" spans="2:11" x14ac:dyDescent="0.2">
      <c r="B64" s="52">
        <v>0</v>
      </c>
      <c r="C64" s="52">
        <v>0</v>
      </c>
      <c r="D64" s="53">
        <v>0</v>
      </c>
    </row>
    <row r="65" spans="2:13" x14ac:dyDescent="0.2">
      <c r="B65" s="52">
        <v>0</v>
      </c>
      <c r="C65" s="52">
        <v>0</v>
      </c>
      <c r="D65" s="53">
        <v>0</v>
      </c>
      <c r="E65" s="47" t="s">
        <v>291</v>
      </c>
      <c r="F65" s="47" t="s">
        <v>291</v>
      </c>
      <c r="G65" s="47" t="s">
        <v>291</v>
      </c>
      <c r="H65" s="47" t="s">
        <v>291</v>
      </c>
      <c r="I65" s="47" t="s">
        <v>291</v>
      </c>
      <c r="J65" s="47" t="s">
        <v>291</v>
      </c>
      <c r="K65" s="47" t="s">
        <v>291</v>
      </c>
      <c r="L65" s="47" t="s">
        <v>291</v>
      </c>
    </row>
    <row r="66" spans="2:13" x14ac:dyDescent="0.2">
      <c r="B66" s="52">
        <v>0</v>
      </c>
      <c r="C66" s="52">
        <v>0</v>
      </c>
      <c r="D66" s="53">
        <v>0</v>
      </c>
      <c r="E66" s="47" t="s">
        <v>394</v>
      </c>
      <c r="F66" s="47" t="s">
        <v>394</v>
      </c>
      <c r="G66" s="47" t="s">
        <v>394</v>
      </c>
      <c r="H66" s="47" t="s">
        <v>394</v>
      </c>
      <c r="I66" s="47" t="s">
        <v>394</v>
      </c>
      <c r="J66" s="47" t="s">
        <v>394</v>
      </c>
      <c r="K66" s="47" t="s">
        <v>394</v>
      </c>
      <c r="L66" s="47" t="s">
        <v>394</v>
      </c>
      <c r="M66" s="47" t="s">
        <v>394</v>
      </c>
    </row>
    <row r="67" spans="2:13" x14ac:dyDescent="0.2">
      <c r="B67" s="52">
        <v>0</v>
      </c>
      <c r="C67" s="52">
        <v>0</v>
      </c>
      <c r="D67" s="53">
        <v>0</v>
      </c>
    </row>
    <row r="68" spans="2:13" x14ac:dyDescent="0.2">
      <c r="B68" s="52">
        <v>0</v>
      </c>
      <c r="C68" s="52">
        <v>0</v>
      </c>
      <c r="D68" s="53">
        <v>0</v>
      </c>
      <c r="E68" s="47" t="s">
        <v>398</v>
      </c>
      <c r="F68" s="47" t="s">
        <v>398</v>
      </c>
      <c r="G68" s="47" t="s">
        <v>398</v>
      </c>
      <c r="H68" s="47" t="s">
        <v>398</v>
      </c>
      <c r="I68" s="47" t="s">
        <v>398</v>
      </c>
    </row>
    <row r="69" spans="2:13" x14ac:dyDescent="0.2">
      <c r="B69" s="52">
        <v>0</v>
      </c>
      <c r="C69" s="52">
        <v>0</v>
      </c>
      <c r="D69" s="53">
        <v>0</v>
      </c>
      <c r="E69" s="47" t="s">
        <v>400</v>
      </c>
      <c r="F69" s="47" t="s">
        <v>400</v>
      </c>
      <c r="G69" s="47" t="s">
        <v>400</v>
      </c>
      <c r="H69" s="47" t="s">
        <v>400</v>
      </c>
    </row>
    <row r="70" spans="2:13" x14ac:dyDescent="0.2">
      <c r="B70" s="52">
        <v>0</v>
      </c>
      <c r="C70" s="52">
        <v>0</v>
      </c>
      <c r="D70" s="53">
        <v>0</v>
      </c>
    </row>
    <row r="71" spans="2:13" x14ac:dyDescent="0.2">
      <c r="B71" s="52">
        <v>0</v>
      </c>
      <c r="C71" s="52">
        <v>0</v>
      </c>
      <c r="D71" s="53">
        <v>0</v>
      </c>
    </row>
    <row r="72" spans="2:13" x14ac:dyDescent="0.2">
      <c r="B72" s="52">
        <v>0</v>
      </c>
      <c r="C72" s="52">
        <v>0</v>
      </c>
      <c r="D72" s="53">
        <v>0</v>
      </c>
      <c r="E72" s="47" t="s">
        <v>404</v>
      </c>
      <c r="F72" s="47" t="s">
        <v>405</v>
      </c>
      <c r="G72" s="47" t="s">
        <v>405</v>
      </c>
    </row>
    <row r="73" spans="2:13" x14ac:dyDescent="0.2">
      <c r="B73" s="52">
        <v>0</v>
      </c>
      <c r="C73" s="52">
        <v>0</v>
      </c>
      <c r="D73" s="53">
        <v>0</v>
      </c>
    </row>
    <row r="74" spans="2:13" x14ac:dyDescent="0.2">
      <c r="B74" s="52">
        <v>0</v>
      </c>
      <c r="C74" s="52">
        <v>0</v>
      </c>
      <c r="D74" s="53">
        <v>0</v>
      </c>
      <c r="E74" s="47" t="s">
        <v>408</v>
      </c>
      <c r="F74" s="47" t="s">
        <v>408</v>
      </c>
      <c r="G74" s="47" t="s">
        <v>409</v>
      </c>
      <c r="H74" s="47" t="s">
        <v>409</v>
      </c>
      <c r="I74" s="47" t="s">
        <v>408</v>
      </c>
      <c r="J74" s="47" t="s">
        <v>408</v>
      </c>
      <c r="K74" s="47" t="s">
        <v>408</v>
      </c>
    </row>
    <row r="75" spans="2:13" x14ac:dyDescent="0.2">
      <c r="B75" s="52">
        <v>0</v>
      </c>
      <c r="C75" s="52">
        <v>0</v>
      </c>
      <c r="D75" s="53">
        <v>0</v>
      </c>
      <c r="E75" s="47" t="s">
        <v>345</v>
      </c>
      <c r="F75" s="47" t="s">
        <v>345</v>
      </c>
      <c r="G75" s="47" t="s">
        <v>345</v>
      </c>
      <c r="H75" s="47" t="s">
        <v>345</v>
      </c>
    </row>
    <row r="76" spans="2:13" x14ac:dyDescent="0.2">
      <c r="B76" s="52">
        <v>0</v>
      </c>
      <c r="C76" s="52">
        <v>0</v>
      </c>
      <c r="D76" s="53">
        <v>0</v>
      </c>
      <c r="E76" s="47" t="s">
        <v>411</v>
      </c>
      <c r="F76" s="47" t="s">
        <v>411</v>
      </c>
      <c r="G76" s="47" t="s">
        <v>411</v>
      </c>
      <c r="H76" s="47" t="s">
        <v>411</v>
      </c>
      <c r="I76" s="47" t="s">
        <v>411</v>
      </c>
      <c r="J76" s="47" t="s">
        <v>411</v>
      </c>
      <c r="K76" s="47" t="s">
        <v>411</v>
      </c>
    </row>
    <row r="77" spans="2:13" x14ac:dyDescent="0.2">
      <c r="B77" s="52">
        <v>0</v>
      </c>
      <c r="C77" s="52">
        <v>0</v>
      </c>
      <c r="D77" s="53">
        <v>0</v>
      </c>
      <c r="E77" s="47" t="s">
        <v>412</v>
      </c>
      <c r="F77" s="47" t="s">
        <v>412</v>
      </c>
      <c r="G77" s="47" t="s">
        <v>412</v>
      </c>
      <c r="H77" s="47" t="s">
        <v>412</v>
      </c>
      <c r="I77" s="47" t="s">
        <v>412</v>
      </c>
      <c r="J77" s="47" t="s">
        <v>412</v>
      </c>
    </row>
    <row r="78" spans="2:13" x14ac:dyDescent="0.2">
      <c r="B78" s="52">
        <v>0</v>
      </c>
      <c r="C78" s="52">
        <v>0</v>
      </c>
      <c r="D78" s="53">
        <v>0</v>
      </c>
      <c r="E78" s="47" t="s">
        <v>414</v>
      </c>
      <c r="F78" s="47" t="s">
        <v>415</v>
      </c>
      <c r="G78" s="47" t="s">
        <v>415</v>
      </c>
      <c r="H78" s="47" t="s">
        <v>415</v>
      </c>
      <c r="I78" s="47" t="s">
        <v>415</v>
      </c>
    </row>
    <row r="79" spans="2:13" x14ac:dyDescent="0.2">
      <c r="B79" s="52">
        <v>0</v>
      </c>
      <c r="C79" s="52">
        <v>0</v>
      </c>
      <c r="D79" s="53">
        <v>0</v>
      </c>
    </row>
    <row r="80" spans="2:13" x14ac:dyDescent="0.2">
      <c r="B80" s="52">
        <v>0</v>
      </c>
      <c r="C80" s="52">
        <v>0</v>
      </c>
      <c r="D80" s="53">
        <v>0</v>
      </c>
      <c r="E80" s="47" t="s">
        <v>291</v>
      </c>
    </row>
    <row r="81" spans="2:13" x14ac:dyDescent="0.2">
      <c r="B81" s="52">
        <v>0</v>
      </c>
      <c r="C81" s="52">
        <v>0</v>
      </c>
      <c r="D81" s="53">
        <v>0</v>
      </c>
      <c r="E81" s="47" t="s">
        <v>354</v>
      </c>
      <c r="F81" s="47" t="s">
        <v>354</v>
      </c>
      <c r="G81" s="47" t="s">
        <v>354</v>
      </c>
    </row>
    <row r="82" spans="2:13" x14ac:dyDescent="0.2">
      <c r="B82" s="52">
        <v>0</v>
      </c>
      <c r="C82" s="52">
        <v>0</v>
      </c>
      <c r="D82" s="53">
        <v>0</v>
      </c>
      <c r="E82" s="47" t="s">
        <v>419</v>
      </c>
      <c r="F82" s="47" t="s">
        <v>419</v>
      </c>
      <c r="G82" s="47" t="s">
        <v>419</v>
      </c>
      <c r="H82" s="47" t="s">
        <v>419</v>
      </c>
      <c r="I82" s="47" t="s">
        <v>420</v>
      </c>
      <c r="J82" s="47" t="s">
        <v>420</v>
      </c>
      <c r="K82" s="47" t="s">
        <v>420</v>
      </c>
      <c r="L82" s="47" t="s">
        <v>420</v>
      </c>
      <c r="M82" s="47" t="s">
        <v>420</v>
      </c>
    </row>
    <row r="83" spans="2:13" x14ac:dyDescent="0.2">
      <c r="B83" s="52">
        <v>0</v>
      </c>
      <c r="C83" s="52">
        <v>0</v>
      </c>
      <c r="D83" s="53">
        <v>0</v>
      </c>
    </row>
    <row r="84" spans="2:13" x14ac:dyDescent="0.2">
      <c r="B84" s="52">
        <v>0</v>
      </c>
      <c r="C84" s="52">
        <v>0</v>
      </c>
      <c r="D84" s="53">
        <v>0</v>
      </c>
      <c r="E84" s="47" t="s">
        <v>421</v>
      </c>
      <c r="F84" s="47" t="s">
        <v>421</v>
      </c>
      <c r="G84" s="47" t="s">
        <v>421</v>
      </c>
    </row>
    <row r="85" spans="2:13" x14ac:dyDescent="0.2">
      <c r="B85" s="52">
        <v>0</v>
      </c>
      <c r="C85" s="52">
        <v>0</v>
      </c>
      <c r="D85" s="53">
        <v>0</v>
      </c>
    </row>
    <row r="86" spans="2:13" x14ac:dyDescent="0.2">
      <c r="B86" s="52">
        <v>0</v>
      </c>
      <c r="C86" s="52">
        <v>0</v>
      </c>
      <c r="D86" s="53">
        <v>0</v>
      </c>
    </row>
    <row r="87" spans="2:13" x14ac:dyDescent="0.2">
      <c r="B87" s="52">
        <v>0</v>
      </c>
      <c r="C87" s="52">
        <v>0</v>
      </c>
      <c r="D87" s="53">
        <v>0</v>
      </c>
    </row>
    <row r="88" spans="2:13" x14ac:dyDescent="0.2">
      <c r="B88" s="52">
        <v>0</v>
      </c>
      <c r="C88" s="52">
        <v>0</v>
      </c>
      <c r="D88" s="53">
        <v>0</v>
      </c>
      <c r="E88" s="47" t="s">
        <v>425</v>
      </c>
    </row>
    <row r="89" spans="2:13" x14ac:dyDescent="0.2">
      <c r="B89" s="52">
        <v>0</v>
      </c>
      <c r="C89" s="52">
        <v>0</v>
      </c>
      <c r="D89" s="53">
        <v>0</v>
      </c>
      <c r="E89" s="47" t="s">
        <v>427</v>
      </c>
    </row>
    <row r="90" spans="2:13" x14ac:dyDescent="0.2">
      <c r="B90" s="52">
        <v>0</v>
      </c>
      <c r="C90" s="52">
        <v>0</v>
      </c>
      <c r="D90" s="53">
        <v>0</v>
      </c>
      <c r="E90" s="47" t="s">
        <v>429</v>
      </c>
      <c r="F90" s="47" t="s">
        <v>429</v>
      </c>
      <c r="G90" s="47" t="s">
        <v>429</v>
      </c>
      <c r="H90" s="47" t="s">
        <v>429</v>
      </c>
      <c r="I90" s="47" t="s">
        <v>429</v>
      </c>
    </row>
    <row r="91" spans="2:13" x14ac:dyDescent="0.2">
      <c r="B91" s="52">
        <v>0</v>
      </c>
      <c r="C91" s="52">
        <v>0</v>
      </c>
      <c r="D91" s="53">
        <v>0</v>
      </c>
      <c r="E91" s="47" t="s">
        <v>431</v>
      </c>
      <c r="F91" s="47" t="s">
        <v>431</v>
      </c>
      <c r="G91" s="47" t="s">
        <v>431</v>
      </c>
      <c r="H91" s="47" t="s">
        <v>431</v>
      </c>
      <c r="I91" s="47" t="s">
        <v>431</v>
      </c>
      <c r="J91" s="47" t="s">
        <v>431</v>
      </c>
    </row>
    <row r="92" spans="2:13" x14ac:dyDescent="0.2">
      <c r="B92" s="52">
        <v>0</v>
      </c>
      <c r="C92" s="52">
        <v>0</v>
      </c>
      <c r="D92" s="53">
        <v>0</v>
      </c>
    </row>
    <row r="93" spans="2:13" x14ac:dyDescent="0.2">
      <c r="B93" s="52">
        <v>0</v>
      </c>
      <c r="C93" s="52">
        <v>0</v>
      </c>
      <c r="D93" s="53">
        <v>0</v>
      </c>
      <c r="E93" s="47" t="s">
        <v>434</v>
      </c>
      <c r="F93" s="47" t="s">
        <v>434</v>
      </c>
      <c r="G93" s="47" t="s">
        <v>434</v>
      </c>
      <c r="H93" s="47" t="s">
        <v>434</v>
      </c>
      <c r="I93" s="47" t="s">
        <v>434</v>
      </c>
      <c r="J93" s="47" t="s">
        <v>434</v>
      </c>
    </row>
    <row r="94" spans="2:13" x14ac:dyDescent="0.2">
      <c r="B94" s="52">
        <v>0</v>
      </c>
      <c r="C94" s="52">
        <v>0</v>
      </c>
      <c r="D94" s="53">
        <v>0</v>
      </c>
      <c r="E94" s="47" t="s">
        <v>436</v>
      </c>
    </row>
    <row r="95" spans="2:13" x14ac:dyDescent="0.2">
      <c r="B95" s="52">
        <v>0</v>
      </c>
      <c r="C95" s="52">
        <v>0</v>
      </c>
      <c r="D95" s="53">
        <v>0</v>
      </c>
      <c r="E95" s="47" t="s">
        <v>354</v>
      </c>
      <c r="F95" s="47" t="s">
        <v>354</v>
      </c>
      <c r="G95" s="47" t="s">
        <v>354</v>
      </c>
      <c r="H95" s="47" t="s">
        <v>354</v>
      </c>
      <c r="I95" s="47" t="s">
        <v>354</v>
      </c>
      <c r="J95" s="47" t="s">
        <v>354</v>
      </c>
      <c r="K95" s="47" t="s">
        <v>354</v>
      </c>
    </row>
    <row r="96" spans="2:13" x14ac:dyDescent="0.2">
      <c r="B96" s="52">
        <v>0</v>
      </c>
      <c r="C96" s="52">
        <v>0</v>
      </c>
      <c r="D96" s="53">
        <v>0</v>
      </c>
      <c r="E96" s="47" t="s">
        <v>439</v>
      </c>
      <c r="F96" s="47" t="s">
        <v>439</v>
      </c>
    </row>
    <row r="97" spans="2:9" x14ac:dyDescent="0.2">
      <c r="B97" s="52">
        <v>0</v>
      </c>
      <c r="C97" s="52">
        <v>0</v>
      </c>
      <c r="D97" s="53">
        <v>0</v>
      </c>
    </row>
    <row r="98" spans="2:9" x14ac:dyDescent="0.2">
      <c r="B98" s="52">
        <v>0</v>
      </c>
      <c r="C98" s="52">
        <v>0</v>
      </c>
      <c r="D98" s="53">
        <v>0</v>
      </c>
      <c r="E98" s="47" t="s">
        <v>442</v>
      </c>
      <c r="F98" s="47" t="s">
        <v>442</v>
      </c>
      <c r="G98" s="47" t="s">
        <v>442</v>
      </c>
    </row>
    <row r="99" spans="2:9" x14ac:dyDescent="0.2">
      <c r="B99" s="52">
        <v>0</v>
      </c>
      <c r="C99" s="52">
        <v>0</v>
      </c>
      <c r="D99" s="53">
        <v>0</v>
      </c>
      <c r="E99" s="47" t="s">
        <v>445</v>
      </c>
    </row>
    <row r="100" spans="2:9" x14ac:dyDescent="0.2">
      <c r="B100" s="52">
        <v>0</v>
      </c>
      <c r="C100" s="52">
        <v>0</v>
      </c>
      <c r="D100" s="53">
        <v>0</v>
      </c>
      <c r="E100" s="47" t="s">
        <v>446</v>
      </c>
      <c r="F100" s="47" t="s">
        <v>446</v>
      </c>
      <c r="G100" s="47" t="s">
        <v>446</v>
      </c>
      <c r="H100" s="47" t="s">
        <v>446</v>
      </c>
      <c r="I100" s="47" t="s">
        <v>446</v>
      </c>
    </row>
    <row r="101" spans="2:9" x14ac:dyDescent="0.2">
      <c r="B101" s="52">
        <v>0</v>
      </c>
      <c r="C101" s="52">
        <v>0</v>
      </c>
      <c r="D101" s="53">
        <v>0</v>
      </c>
      <c r="E101" s="47" t="s">
        <v>447</v>
      </c>
      <c r="F101" s="47" t="s">
        <v>447</v>
      </c>
      <c r="G101" s="47" t="s">
        <v>447</v>
      </c>
    </row>
    <row r="102" spans="2:9" x14ac:dyDescent="0.2">
      <c r="B102" s="52">
        <v>0</v>
      </c>
      <c r="C102" s="52">
        <v>0</v>
      </c>
      <c r="D102" s="53">
        <v>0</v>
      </c>
    </row>
    <row r="103" spans="2:9" x14ac:dyDescent="0.2">
      <c r="B103" s="52">
        <v>0</v>
      </c>
      <c r="C103" s="52">
        <v>0</v>
      </c>
      <c r="D103" s="53">
        <v>0</v>
      </c>
      <c r="E103" s="47" t="s">
        <v>323</v>
      </c>
      <c r="F103" s="47" t="s">
        <v>323</v>
      </c>
      <c r="G103" s="47" t="s">
        <v>323</v>
      </c>
      <c r="H103" s="47" t="s">
        <v>323</v>
      </c>
      <c r="I103" s="47" t="s">
        <v>323</v>
      </c>
    </row>
    <row r="104" spans="2:9" x14ac:dyDescent="0.2">
      <c r="B104" s="52">
        <v>0</v>
      </c>
      <c r="C104" s="52">
        <v>0</v>
      </c>
      <c r="D104" s="53">
        <v>0</v>
      </c>
      <c r="E104" s="47" t="s">
        <v>449</v>
      </c>
      <c r="F104" s="47" t="s">
        <v>449</v>
      </c>
    </row>
    <row r="105" spans="2:9" x14ac:dyDescent="0.2">
      <c r="B105" s="52">
        <v>0</v>
      </c>
      <c r="C105" s="52">
        <v>0</v>
      </c>
      <c r="D105" s="53">
        <v>0</v>
      </c>
      <c r="E105" s="47" t="s">
        <v>451</v>
      </c>
      <c r="F105" s="47" t="s">
        <v>451</v>
      </c>
      <c r="G105" s="47" t="s">
        <v>451</v>
      </c>
    </row>
    <row r="106" spans="2:9" x14ac:dyDescent="0.2">
      <c r="B106" s="52">
        <v>0</v>
      </c>
      <c r="C106" s="52">
        <v>0</v>
      </c>
      <c r="D106" s="53">
        <v>0</v>
      </c>
      <c r="E106" s="47" t="s">
        <v>452</v>
      </c>
      <c r="F106" s="47" t="s">
        <v>452</v>
      </c>
      <c r="G106" s="47" t="s">
        <v>452</v>
      </c>
      <c r="H106" s="47" t="s">
        <v>452</v>
      </c>
    </row>
    <row r="107" spans="2:9" x14ac:dyDescent="0.2">
      <c r="B107" s="52">
        <v>0</v>
      </c>
      <c r="C107" s="52">
        <v>0</v>
      </c>
      <c r="D107" s="53">
        <v>0</v>
      </c>
    </row>
    <row r="108" spans="2:9" x14ac:dyDescent="0.2">
      <c r="B108" s="52">
        <v>0</v>
      </c>
      <c r="C108" s="52">
        <v>0</v>
      </c>
      <c r="D108" s="53">
        <v>0</v>
      </c>
    </row>
    <row r="109" spans="2:9" x14ac:dyDescent="0.2">
      <c r="B109" s="52">
        <v>0</v>
      </c>
      <c r="C109" s="52">
        <v>0</v>
      </c>
      <c r="D109" s="53">
        <v>0</v>
      </c>
      <c r="E109" s="47" t="s">
        <v>460</v>
      </c>
    </row>
    <row r="110" spans="2:9" x14ac:dyDescent="0.2">
      <c r="B110" s="52">
        <v>0</v>
      </c>
      <c r="C110" s="52">
        <v>0</v>
      </c>
      <c r="D110" s="53">
        <v>0</v>
      </c>
    </row>
    <row r="111" spans="2:9" x14ac:dyDescent="0.2">
      <c r="B111" s="52">
        <v>0</v>
      </c>
      <c r="C111" s="52">
        <v>0</v>
      </c>
      <c r="D111" s="53">
        <v>0</v>
      </c>
    </row>
    <row r="112" spans="2:9" x14ac:dyDescent="0.2">
      <c r="B112" s="52">
        <v>0</v>
      </c>
      <c r="C112" s="52">
        <v>0</v>
      </c>
      <c r="D112" s="53">
        <v>0</v>
      </c>
    </row>
    <row r="113" spans="2:12" x14ac:dyDescent="0.2">
      <c r="B113" s="52">
        <v>0</v>
      </c>
      <c r="C113" s="52">
        <v>0</v>
      </c>
      <c r="D113" s="53">
        <v>0</v>
      </c>
    </row>
    <row r="114" spans="2:12" x14ac:dyDescent="0.2">
      <c r="B114" s="52">
        <v>0</v>
      </c>
      <c r="C114" s="52">
        <v>0</v>
      </c>
      <c r="D114" s="53">
        <v>0</v>
      </c>
      <c r="E114" s="47" t="s">
        <v>466</v>
      </c>
      <c r="F114" s="47" t="s">
        <v>466</v>
      </c>
    </row>
    <row r="115" spans="2:12" x14ac:dyDescent="0.2">
      <c r="B115" s="52">
        <v>0</v>
      </c>
      <c r="C115" s="52">
        <v>0</v>
      </c>
      <c r="D115" s="53">
        <v>0</v>
      </c>
      <c r="E115" s="47" t="s">
        <v>354</v>
      </c>
      <c r="F115" s="47" t="s">
        <v>354</v>
      </c>
    </row>
    <row r="116" spans="2:12" x14ac:dyDescent="0.2">
      <c r="B116" s="52">
        <v>0</v>
      </c>
      <c r="C116" s="52">
        <v>0</v>
      </c>
      <c r="D116" s="53">
        <v>0</v>
      </c>
      <c r="E116" s="47" t="s">
        <v>469</v>
      </c>
      <c r="F116" s="47" t="s">
        <v>469</v>
      </c>
      <c r="G116" s="47" t="s">
        <v>469</v>
      </c>
    </row>
    <row r="117" spans="2:12" x14ac:dyDescent="0.2">
      <c r="B117" s="52">
        <v>0</v>
      </c>
      <c r="C117" s="52">
        <v>0</v>
      </c>
      <c r="D117" s="53">
        <v>0</v>
      </c>
    </row>
    <row r="118" spans="2:12" x14ac:dyDescent="0.2">
      <c r="B118" s="52">
        <v>0</v>
      </c>
      <c r="C118" s="52">
        <v>0</v>
      </c>
      <c r="D118" s="53">
        <v>0</v>
      </c>
    </row>
    <row r="119" spans="2:12" x14ac:dyDescent="0.2">
      <c r="B119" s="52">
        <v>0</v>
      </c>
      <c r="C119" s="52">
        <v>0</v>
      </c>
      <c r="D119" s="53">
        <v>0</v>
      </c>
    </row>
    <row r="120" spans="2:12" x14ac:dyDescent="0.2">
      <c r="B120" s="52">
        <v>0</v>
      </c>
      <c r="C120" s="52">
        <v>0</v>
      </c>
      <c r="D120" s="53">
        <v>0</v>
      </c>
    </row>
    <row r="121" spans="2:12" x14ac:dyDescent="0.2">
      <c r="B121" s="52">
        <v>0</v>
      </c>
      <c r="C121" s="52">
        <v>0</v>
      </c>
      <c r="D121" s="53">
        <v>0</v>
      </c>
      <c r="E121" s="47" t="s">
        <v>472</v>
      </c>
      <c r="F121" s="47" t="s">
        <v>472</v>
      </c>
      <c r="G121" s="47" t="s">
        <v>472</v>
      </c>
    </row>
    <row r="122" spans="2:12" x14ac:dyDescent="0.2">
      <c r="B122" s="52">
        <v>0</v>
      </c>
      <c r="C122" s="52">
        <v>0</v>
      </c>
      <c r="D122" s="53">
        <v>0</v>
      </c>
      <c r="E122" s="47" t="s">
        <v>474</v>
      </c>
      <c r="F122" s="47" t="s">
        <v>474</v>
      </c>
      <c r="G122" s="47" t="s">
        <v>474</v>
      </c>
    </row>
    <row r="123" spans="2:12" x14ac:dyDescent="0.2">
      <c r="B123" s="52">
        <v>0</v>
      </c>
      <c r="C123" s="52">
        <v>0</v>
      </c>
      <c r="D123" s="53">
        <v>0</v>
      </c>
      <c r="E123" s="47" t="s">
        <v>476</v>
      </c>
      <c r="F123" s="47" t="s">
        <v>476</v>
      </c>
    </row>
    <row r="124" spans="2:12" x14ac:dyDescent="0.2">
      <c r="B124" s="52">
        <v>0</v>
      </c>
      <c r="C124" s="52">
        <v>0</v>
      </c>
      <c r="D124" s="53">
        <v>0</v>
      </c>
      <c r="E124" s="47" t="s">
        <v>477</v>
      </c>
      <c r="F124" s="47" t="s">
        <v>477</v>
      </c>
      <c r="G124" s="47" t="s">
        <v>477</v>
      </c>
    </row>
    <row r="125" spans="2:12" x14ac:dyDescent="0.2">
      <c r="B125" s="52">
        <v>0</v>
      </c>
      <c r="C125" s="52">
        <v>0</v>
      </c>
      <c r="D125" s="53">
        <v>0</v>
      </c>
      <c r="E125" s="47" t="s">
        <v>478</v>
      </c>
      <c r="F125" s="47" t="s">
        <v>478</v>
      </c>
      <c r="G125" s="47" t="s">
        <v>478</v>
      </c>
      <c r="H125" s="47" t="s">
        <v>478</v>
      </c>
      <c r="I125" s="47" t="s">
        <v>478</v>
      </c>
      <c r="J125" s="47" t="s">
        <v>479</v>
      </c>
    </row>
    <row r="126" spans="2:12" x14ac:dyDescent="0.2">
      <c r="B126" s="52">
        <v>0</v>
      </c>
      <c r="C126" s="52">
        <v>0</v>
      </c>
      <c r="D126" s="53">
        <v>0</v>
      </c>
      <c r="E126" s="47" t="s">
        <v>354</v>
      </c>
      <c r="F126" s="47" t="s">
        <v>354</v>
      </c>
    </row>
    <row r="127" spans="2:12" x14ac:dyDescent="0.2">
      <c r="B127" s="52">
        <v>0</v>
      </c>
      <c r="C127" s="52">
        <v>0</v>
      </c>
      <c r="D127" s="53">
        <v>0</v>
      </c>
    </row>
    <row r="128" spans="2:12" x14ac:dyDescent="0.2">
      <c r="B128" s="52">
        <v>0</v>
      </c>
      <c r="C128" s="52">
        <v>0</v>
      </c>
      <c r="D128" s="53">
        <v>0</v>
      </c>
      <c r="E128" s="47" t="s">
        <v>347</v>
      </c>
      <c r="F128" s="47" t="s">
        <v>347</v>
      </c>
      <c r="G128" s="47" t="s">
        <v>347</v>
      </c>
      <c r="H128" s="47" t="s">
        <v>347</v>
      </c>
      <c r="I128" s="47" t="s">
        <v>347</v>
      </c>
      <c r="J128" s="47" t="s">
        <v>483</v>
      </c>
      <c r="K128" s="47" t="s">
        <v>483</v>
      </c>
      <c r="L128" s="47" t="s">
        <v>483</v>
      </c>
    </row>
    <row r="129" spans="2:19" x14ac:dyDescent="0.2">
      <c r="B129" s="52">
        <v>0</v>
      </c>
      <c r="C129" s="52">
        <v>0</v>
      </c>
      <c r="D129" s="53">
        <v>0</v>
      </c>
      <c r="E129" s="47" t="s">
        <v>485</v>
      </c>
      <c r="F129" s="47" t="s">
        <v>485</v>
      </c>
    </row>
    <row r="130" spans="2:19" x14ac:dyDescent="0.2">
      <c r="B130" s="52">
        <v>0</v>
      </c>
      <c r="C130" s="52">
        <v>0</v>
      </c>
      <c r="D130" s="53">
        <v>0</v>
      </c>
      <c r="E130" s="47" t="s">
        <v>291</v>
      </c>
      <c r="F130" s="47" t="s">
        <v>291</v>
      </c>
      <c r="G130" s="47" t="s">
        <v>291</v>
      </c>
      <c r="H130" s="47" t="s">
        <v>291</v>
      </c>
      <c r="I130" s="47" t="s">
        <v>291</v>
      </c>
      <c r="J130" s="47" t="s">
        <v>291</v>
      </c>
      <c r="K130" s="47" t="s">
        <v>291</v>
      </c>
      <c r="L130" s="47" t="s">
        <v>291</v>
      </c>
      <c r="M130" s="47" t="s">
        <v>291</v>
      </c>
      <c r="N130" s="47" t="s">
        <v>291</v>
      </c>
    </row>
    <row r="131" spans="2:19" x14ac:dyDescent="0.2">
      <c r="B131" s="52">
        <v>0</v>
      </c>
      <c r="C131" s="52">
        <v>0</v>
      </c>
      <c r="D131" s="53">
        <v>0</v>
      </c>
    </row>
    <row r="132" spans="2:19" x14ac:dyDescent="0.2">
      <c r="B132" s="52">
        <v>0</v>
      </c>
      <c r="C132" s="52">
        <v>0</v>
      </c>
      <c r="D132" s="53">
        <v>0</v>
      </c>
      <c r="E132" s="47" t="s">
        <v>487</v>
      </c>
    </row>
    <row r="133" spans="2:19" x14ac:dyDescent="0.2">
      <c r="B133" s="52">
        <v>0</v>
      </c>
      <c r="C133" s="52">
        <v>0</v>
      </c>
      <c r="D133" s="53">
        <v>0</v>
      </c>
    </row>
    <row r="134" spans="2:19" x14ac:dyDescent="0.2">
      <c r="B134" s="52">
        <v>0</v>
      </c>
      <c r="C134" s="52">
        <v>0</v>
      </c>
      <c r="D134" s="53">
        <v>0</v>
      </c>
      <c r="E134" s="47" t="s">
        <v>488</v>
      </c>
    </row>
    <row r="135" spans="2:19" x14ac:dyDescent="0.2">
      <c r="B135" s="52">
        <v>0</v>
      </c>
      <c r="C135" s="52">
        <v>0</v>
      </c>
      <c r="D135" s="53">
        <v>0</v>
      </c>
    </row>
    <row r="136" spans="2:19" x14ac:dyDescent="0.2">
      <c r="B136" s="52">
        <v>0</v>
      </c>
      <c r="C136" s="52">
        <v>0</v>
      </c>
      <c r="D136" s="53">
        <v>0</v>
      </c>
    </row>
    <row r="137" spans="2:19" x14ac:dyDescent="0.2">
      <c r="B137" s="52">
        <v>0</v>
      </c>
      <c r="C137" s="52">
        <v>0</v>
      </c>
      <c r="D137" s="53">
        <v>0</v>
      </c>
    </row>
    <row r="138" spans="2:19" x14ac:dyDescent="0.2">
      <c r="B138" s="52">
        <v>0</v>
      </c>
      <c r="C138" s="52">
        <v>0</v>
      </c>
      <c r="D138" s="53">
        <v>0</v>
      </c>
      <c r="E138" s="47" t="s">
        <v>414</v>
      </c>
      <c r="F138" s="47" t="s">
        <v>414</v>
      </c>
    </row>
    <row r="139" spans="2:19" x14ac:dyDescent="0.2">
      <c r="B139" s="52">
        <v>0</v>
      </c>
      <c r="C139" s="52">
        <v>0</v>
      </c>
      <c r="D139" s="53">
        <v>0</v>
      </c>
      <c r="E139" s="47" t="s">
        <v>492</v>
      </c>
      <c r="F139" s="47" t="s">
        <v>492</v>
      </c>
      <c r="G139" s="47" t="s">
        <v>492</v>
      </c>
      <c r="H139" s="47" t="s">
        <v>492</v>
      </c>
    </row>
    <row r="140" spans="2:19" x14ac:dyDescent="0.2">
      <c r="B140" s="52">
        <v>0</v>
      </c>
      <c r="C140" s="52">
        <v>0</v>
      </c>
      <c r="D140" s="53">
        <v>0</v>
      </c>
    </row>
    <row r="141" spans="2:19" x14ac:dyDescent="0.2">
      <c r="B141" s="52">
        <v>0</v>
      </c>
      <c r="C141" s="52">
        <v>0</v>
      </c>
      <c r="D141" s="53">
        <v>0</v>
      </c>
      <c r="E141" s="47" t="s">
        <v>494</v>
      </c>
      <c r="F141" s="47" t="s">
        <v>494</v>
      </c>
      <c r="G141" s="47" t="s">
        <v>494</v>
      </c>
      <c r="H141" s="47" t="s">
        <v>494</v>
      </c>
      <c r="I141" s="47" t="s">
        <v>494</v>
      </c>
      <c r="J141" s="47" t="s">
        <v>494</v>
      </c>
      <c r="K141" s="47" t="s">
        <v>494</v>
      </c>
    </row>
    <row r="142" spans="2:19" x14ac:dyDescent="0.2">
      <c r="B142" s="52">
        <v>0</v>
      </c>
      <c r="C142" s="52">
        <v>0</v>
      </c>
      <c r="D142" s="53">
        <v>0</v>
      </c>
      <c r="E142" s="47" t="s">
        <v>496</v>
      </c>
      <c r="F142" s="47" t="s">
        <v>496</v>
      </c>
      <c r="G142" s="47" t="s">
        <v>496</v>
      </c>
      <c r="H142" s="47" t="s">
        <v>496</v>
      </c>
      <c r="I142" s="47" t="s">
        <v>496</v>
      </c>
      <c r="J142" s="47" t="s">
        <v>496</v>
      </c>
      <c r="K142" s="47" t="s">
        <v>496</v>
      </c>
      <c r="L142" s="47" t="s">
        <v>496</v>
      </c>
      <c r="M142" s="47" t="s">
        <v>496</v>
      </c>
      <c r="N142" s="47" t="s">
        <v>496</v>
      </c>
      <c r="O142" s="47" t="s">
        <v>496</v>
      </c>
      <c r="P142" s="47" t="s">
        <v>496</v>
      </c>
      <c r="Q142" s="47" t="s">
        <v>496</v>
      </c>
      <c r="R142" s="47" t="s">
        <v>496</v>
      </c>
      <c r="S142" s="47" t="s">
        <v>496</v>
      </c>
    </row>
    <row r="143" spans="2:19" x14ac:dyDescent="0.2">
      <c r="B143" s="52"/>
      <c r="C143" s="52"/>
      <c r="D143" s="53"/>
    </row>
    <row r="144" spans="2:19" x14ac:dyDescent="0.2">
      <c r="B144" s="52"/>
      <c r="C144" s="52"/>
      <c r="D144" s="53"/>
    </row>
    <row r="145" spans="2:4" x14ac:dyDescent="0.2">
      <c r="B145" s="52"/>
      <c r="C145" s="52"/>
      <c r="D145" s="53"/>
    </row>
    <row r="146" spans="2:4" x14ac:dyDescent="0.2">
      <c r="B146" s="52"/>
      <c r="C146" s="52"/>
      <c r="D146" s="53"/>
    </row>
    <row r="147" spans="2:4" x14ac:dyDescent="0.2">
      <c r="B147" s="52"/>
      <c r="C147" s="52"/>
      <c r="D147" s="53"/>
    </row>
    <row r="148" spans="2:4" x14ac:dyDescent="0.2">
      <c r="B148" s="52"/>
      <c r="C148" s="52"/>
      <c r="D148" s="53"/>
    </row>
    <row r="149" spans="2:4" x14ac:dyDescent="0.2">
      <c r="B149" s="52"/>
      <c r="C149" s="52"/>
      <c r="D149" s="53"/>
    </row>
    <row r="150" spans="2:4" x14ac:dyDescent="0.2">
      <c r="B150" s="52"/>
      <c r="C150" s="52"/>
      <c r="D150" s="53"/>
    </row>
    <row r="151" spans="2:4" x14ac:dyDescent="0.2">
      <c r="B151" s="52"/>
      <c r="C151" s="52"/>
      <c r="D151" s="53"/>
    </row>
    <row r="152" spans="2:4" x14ac:dyDescent="0.2">
      <c r="B152" s="52"/>
      <c r="C152" s="52"/>
      <c r="D152" s="53"/>
    </row>
    <row r="153" spans="2:4" x14ac:dyDescent="0.2">
      <c r="B153" s="52"/>
      <c r="C153" s="52"/>
      <c r="D153" s="53"/>
    </row>
    <row r="154" spans="2:4" x14ac:dyDescent="0.2">
      <c r="B154" s="52"/>
      <c r="C154" s="52"/>
      <c r="D154" s="53"/>
    </row>
    <row r="155" spans="2:4" x14ac:dyDescent="0.2">
      <c r="B155" s="52"/>
      <c r="C155" s="52"/>
      <c r="D155" s="53"/>
    </row>
    <row r="156" spans="2:4" x14ac:dyDescent="0.2">
      <c r="B156" s="52"/>
      <c r="C156" s="52"/>
      <c r="D156" s="53"/>
    </row>
    <row r="157" spans="2:4" x14ac:dyDescent="0.2">
      <c r="B157" s="52"/>
      <c r="C157" s="52"/>
      <c r="D157" s="53"/>
    </row>
    <row r="158" spans="2:4" x14ac:dyDescent="0.2">
      <c r="B158" s="52"/>
      <c r="C158" s="52"/>
      <c r="D158" s="53"/>
    </row>
    <row r="159" spans="2:4" x14ac:dyDescent="0.2">
      <c r="B159" s="52"/>
      <c r="C159" s="52"/>
      <c r="D159" s="53"/>
    </row>
    <row r="160" spans="2:4" x14ac:dyDescent="0.2">
      <c r="B160" s="52"/>
      <c r="C160" s="52"/>
      <c r="D160" s="53"/>
    </row>
    <row r="161" spans="2:4" x14ac:dyDescent="0.2">
      <c r="B161" s="52"/>
      <c r="C161" s="52"/>
      <c r="D161" s="53"/>
    </row>
    <row r="162" spans="2:4" x14ac:dyDescent="0.2">
      <c r="B162" s="52"/>
      <c r="C162" s="52"/>
      <c r="D162" s="53"/>
    </row>
    <row r="163" spans="2:4" x14ac:dyDescent="0.2">
      <c r="B163" s="52"/>
      <c r="C163" s="52"/>
      <c r="D163" s="53"/>
    </row>
    <row r="164" spans="2:4" x14ac:dyDescent="0.2">
      <c r="B164" s="52"/>
      <c r="C164" s="52"/>
      <c r="D164" s="53"/>
    </row>
    <row r="165" spans="2:4" x14ac:dyDescent="0.2">
      <c r="B165" s="52"/>
      <c r="C165" s="52"/>
      <c r="D165" s="53"/>
    </row>
    <row r="166" spans="2:4" x14ac:dyDescent="0.2">
      <c r="B166" s="52"/>
      <c r="C166" s="52"/>
      <c r="D166" s="53"/>
    </row>
    <row r="167" spans="2:4" x14ac:dyDescent="0.2">
      <c r="B167" s="52"/>
      <c r="C167" s="52"/>
      <c r="D167" s="53"/>
    </row>
    <row r="168" spans="2:4" x14ac:dyDescent="0.2">
      <c r="B168" s="52"/>
      <c r="C168" s="52"/>
      <c r="D168" s="53"/>
    </row>
    <row r="169" spans="2:4" x14ac:dyDescent="0.2">
      <c r="B169" s="52"/>
      <c r="C169" s="52"/>
      <c r="D169" s="53"/>
    </row>
    <row r="170" spans="2:4" x14ac:dyDescent="0.2">
      <c r="B170" s="52"/>
      <c r="C170" s="52"/>
      <c r="D170" s="53"/>
    </row>
    <row r="171" spans="2:4" x14ac:dyDescent="0.2">
      <c r="B171" s="52"/>
      <c r="C171" s="52"/>
      <c r="D171" s="53"/>
    </row>
    <row r="172" spans="2:4" x14ac:dyDescent="0.2">
      <c r="B172" s="52"/>
      <c r="C172" s="52"/>
      <c r="D172" s="53"/>
    </row>
    <row r="173" spans="2:4" x14ac:dyDescent="0.2">
      <c r="B173" s="52"/>
      <c r="C173" s="52"/>
      <c r="D173" s="53"/>
    </row>
    <row r="174" spans="2:4" x14ac:dyDescent="0.2">
      <c r="B174" s="52"/>
      <c r="C174" s="52"/>
      <c r="D174" s="53"/>
    </row>
    <row r="175" spans="2:4" x14ac:dyDescent="0.2">
      <c r="B175" s="52"/>
      <c r="C175" s="52"/>
      <c r="D175" s="53"/>
    </row>
    <row r="176" spans="2:4" x14ac:dyDescent="0.2">
      <c r="B176" s="52"/>
      <c r="C176" s="52"/>
      <c r="D176" s="53"/>
    </row>
    <row r="177" spans="2:4" x14ac:dyDescent="0.2">
      <c r="B177" s="52"/>
      <c r="C177" s="52"/>
      <c r="D177" s="53"/>
    </row>
    <row r="178" spans="2:4" x14ac:dyDescent="0.2">
      <c r="B178" s="52"/>
      <c r="C178" s="52"/>
      <c r="D178" s="53"/>
    </row>
    <row r="179" spans="2:4" x14ac:dyDescent="0.2">
      <c r="B179" s="52"/>
      <c r="C179" s="52"/>
      <c r="D179" s="53"/>
    </row>
    <row r="180" spans="2:4" x14ac:dyDescent="0.2">
      <c r="B180" s="52"/>
      <c r="C180" s="52"/>
      <c r="D180" s="53"/>
    </row>
    <row r="181" spans="2:4" x14ac:dyDescent="0.2">
      <c r="B181" s="52"/>
      <c r="C181" s="52"/>
      <c r="D181" s="53"/>
    </row>
    <row r="182" spans="2:4" x14ac:dyDescent="0.2">
      <c r="B182" s="52"/>
      <c r="C182" s="52"/>
      <c r="D182" s="53"/>
    </row>
    <row r="183" spans="2:4" x14ac:dyDescent="0.2">
      <c r="B183" s="52"/>
      <c r="C183" s="52"/>
      <c r="D183" s="53"/>
    </row>
    <row r="184" spans="2:4" x14ac:dyDescent="0.2">
      <c r="B184" s="52"/>
      <c r="C184" s="52"/>
      <c r="D184" s="53"/>
    </row>
    <row r="185" spans="2:4" x14ac:dyDescent="0.2">
      <c r="B185" s="52"/>
      <c r="C185" s="52"/>
      <c r="D185" s="53"/>
    </row>
    <row r="186" spans="2:4" x14ac:dyDescent="0.2">
      <c r="B186" s="52"/>
      <c r="C186" s="52"/>
      <c r="D186" s="53"/>
    </row>
    <row r="187" spans="2:4" x14ac:dyDescent="0.2">
      <c r="B187" s="52"/>
      <c r="C187" s="52"/>
      <c r="D187" s="53"/>
    </row>
    <row r="188" spans="2:4" x14ac:dyDescent="0.2">
      <c r="B188" s="52"/>
      <c r="C188" s="52"/>
      <c r="D188" s="53"/>
    </row>
    <row r="189" spans="2:4" x14ac:dyDescent="0.2">
      <c r="B189" s="52"/>
      <c r="C189" s="52"/>
      <c r="D189" s="53"/>
    </row>
    <row r="190" spans="2:4" x14ac:dyDescent="0.2">
      <c r="B190" s="52"/>
      <c r="C190" s="52"/>
      <c r="D190" s="53"/>
    </row>
    <row r="191" spans="2:4" x14ac:dyDescent="0.2">
      <c r="B191" s="52"/>
      <c r="C191" s="52"/>
      <c r="D191" s="53"/>
    </row>
    <row r="192" spans="2:4" x14ac:dyDescent="0.2">
      <c r="B192" s="52"/>
      <c r="C192" s="52"/>
      <c r="D192" s="53"/>
    </row>
    <row r="193" spans="2:4" x14ac:dyDescent="0.2">
      <c r="B193" s="52"/>
      <c r="C193" s="52"/>
      <c r="D193" s="53"/>
    </row>
    <row r="194" spans="2:4" x14ac:dyDescent="0.2">
      <c r="B194" s="52"/>
      <c r="C194" s="52"/>
      <c r="D194" s="53"/>
    </row>
    <row r="195" spans="2:4" x14ac:dyDescent="0.2">
      <c r="B195" s="52"/>
      <c r="C195" s="52"/>
      <c r="D195" s="53"/>
    </row>
    <row r="196" spans="2:4" x14ac:dyDescent="0.2">
      <c r="B196" s="52"/>
      <c r="C196" s="52"/>
      <c r="D196" s="53"/>
    </row>
    <row r="197" spans="2:4" x14ac:dyDescent="0.2">
      <c r="B197" s="52"/>
      <c r="C197" s="52"/>
      <c r="D197" s="5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C16"/>
  <sheetViews>
    <sheetView workbookViewId="0">
      <selection activeCell="D11" sqref="D11"/>
    </sheetView>
  </sheetViews>
  <sheetFormatPr defaultColWidth="8.85546875" defaultRowHeight="12.75" x14ac:dyDescent="0.2"/>
  <cols>
    <col min="1" max="1" width="8.85546875" style="47"/>
    <col min="2" max="3" width="15.42578125" style="47" bestFit="1" customWidth="1"/>
    <col min="4" max="4" width="13.85546875" style="47" customWidth="1"/>
    <col min="5" max="16384" width="8.85546875" style="47"/>
  </cols>
  <sheetData>
    <row r="1" spans="2:3" x14ac:dyDescent="0.2">
      <c r="B1" s="54"/>
      <c r="C1" s="54"/>
    </row>
    <row r="2" spans="2:3" x14ac:dyDescent="0.2">
      <c r="B2" s="54"/>
      <c r="C2" s="54"/>
    </row>
    <row r="3" spans="2:3" x14ac:dyDescent="0.2">
      <c r="B3" s="54"/>
      <c r="C3" s="54"/>
    </row>
    <row r="4" spans="2:3" x14ac:dyDescent="0.2">
      <c r="B4" s="54"/>
      <c r="C4" s="54"/>
    </row>
    <row r="5" spans="2:3" x14ac:dyDescent="0.2">
      <c r="B5" s="54"/>
      <c r="C5" s="54"/>
    </row>
    <row r="6" spans="2:3" x14ac:dyDescent="0.2">
      <c r="B6" s="54"/>
      <c r="C6" s="54"/>
    </row>
    <row r="7" spans="2:3" x14ac:dyDescent="0.2">
      <c r="B7" s="54"/>
      <c r="C7" s="54"/>
    </row>
    <row r="8" spans="2:3" x14ac:dyDescent="0.2">
      <c r="B8" s="54"/>
      <c r="C8" s="54"/>
    </row>
    <row r="9" spans="2:3" x14ac:dyDescent="0.2">
      <c r="B9" s="54"/>
      <c r="C9" s="54"/>
    </row>
    <row r="10" spans="2:3" x14ac:dyDescent="0.2">
      <c r="B10" s="54"/>
      <c r="C10" s="54"/>
    </row>
    <row r="11" spans="2:3" x14ac:dyDescent="0.2">
      <c r="B11" s="54"/>
      <c r="C11" s="54"/>
    </row>
    <row r="12" spans="2:3" x14ac:dyDescent="0.2">
      <c r="B12" s="54"/>
      <c r="C12" s="54"/>
    </row>
    <row r="13" spans="2:3" x14ac:dyDescent="0.2">
      <c r="B13" s="54"/>
      <c r="C13" s="54"/>
    </row>
    <row r="14" spans="2:3" x14ac:dyDescent="0.2">
      <c r="B14" s="54"/>
      <c r="C14" s="54"/>
    </row>
    <row r="15" spans="2:3" x14ac:dyDescent="0.2">
      <c r="B15" s="54"/>
      <c r="C15" s="54"/>
    </row>
    <row r="16" spans="2:3" x14ac:dyDescent="0.2">
      <c r="B16" s="54"/>
      <c r="C16" s="5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2"/>
  <sheetViews>
    <sheetView workbookViewId="0">
      <selection activeCell="F17" sqref="F17"/>
    </sheetView>
  </sheetViews>
  <sheetFormatPr defaultColWidth="8.85546875" defaultRowHeight="12.75" x14ac:dyDescent="0.2"/>
  <cols>
    <col min="1" max="1" width="67.7109375" style="47" bestFit="1" customWidth="1"/>
    <col min="2" max="16384" width="8.85546875" style="47"/>
  </cols>
  <sheetData>
    <row r="1" spans="1:4" x14ac:dyDescent="0.2">
      <c r="A1" s="45"/>
      <c r="B1" s="46"/>
      <c r="C1" s="45" t="s">
        <v>39</v>
      </c>
      <c r="D1" s="45" t="s">
        <v>40</v>
      </c>
    </row>
    <row r="2" spans="1:4" x14ac:dyDescent="0.2">
      <c r="A2" s="47" t="s">
        <v>146</v>
      </c>
      <c r="C2" s="106"/>
    </row>
    <row r="3" spans="1:4" x14ac:dyDescent="0.2">
      <c r="A3" s="47" t="s">
        <v>147</v>
      </c>
      <c r="C3" s="106"/>
    </row>
    <row r="4" spans="1:4" x14ac:dyDescent="0.2">
      <c r="A4" s="47" t="s">
        <v>148</v>
      </c>
      <c r="C4" s="106"/>
    </row>
    <row r="5" spans="1:4" x14ac:dyDescent="0.2">
      <c r="A5" s="47" t="s">
        <v>149</v>
      </c>
      <c r="C5" s="106"/>
    </row>
    <row r="6" spans="1:4" x14ac:dyDescent="0.2">
      <c r="A6" s="47" t="s">
        <v>150</v>
      </c>
      <c r="C6" s="106"/>
    </row>
    <row r="7" spans="1:4" x14ac:dyDescent="0.2">
      <c r="A7" s="47" t="s">
        <v>151</v>
      </c>
      <c r="C7" s="106"/>
    </row>
    <row r="8" spans="1:4" x14ac:dyDescent="0.2">
      <c r="A8" s="47" t="s">
        <v>152</v>
      </c>
      <c r="C8" s="106"/>
    </row>
    <row r="9" spans="1:4" x14ac:dyDescent="0.2">
      <c r="A9" s="47" t="s">
        <v>153</v>
      </c>
      <c r="C9" s="106"/>
    </row>
    <row r="10" spans="1:4" x14ac:dyDescent="0.2">
      <c r="A10" s="47" t="s">
        <v>154</v>
      </c>
      <c r="C10" s="106"/>
    </row>
    <row r="11" spans="1:4" x14ac:dyDescent="0.2">
      <c r="A11" s="47" t="s">
        <v>155</v>
      </c>
      <c r="C11" s="106"/>
    </row>
    <row r="12" spans="1:4" x14ac:dyDescent="0.2">
      <c r="A12" s="47" t="s">
        <v>156</v>
      </c>
      <c r="C12" s="106"/>
    </row>
    <row r="13" spans="1:4" x14ac:dyDescent="0.2">
      <c r="A13" s="47" t="s">
        <v>157</v>
      </c>
      <c r="C13" s="106"/>
    </row>
    <row r="14" spans="1:4" x14ac:dyDescent="0.2">
      <c r="A14" s="47" t="s">
        <v>158</v>
      </c>
      <c r="C14" s="106"/>
    </row>
    <row r="15" spans="1:4" x14ac:dyDescent="0.2">
      <c r="A15" s="47" t="s">
        <v>159</v>
      </c>
      <c r="C15" s="106"/>
    </row>
    <row r="16" spans="1:4" x14ac:dyDescent="0.2">
      <c r="A16" s="47" t="s">
        <v>160</v>
      </c>
      <c r="C16" s="106"/>
    </row>
    <row r="17" spans="1:3" x14ac:dyDescent="0.2">
      <c r="A17" s="47" t="s">
        <v>161</v>
      </c>
      <c r="C17" s="106"/>
    </row>
    <row r="18" spans="1:3" x14ac:dyDescent="0.2">
      <c r="A18" s="47" t="s">
        <v>162</v>
      </c>
      <c r="C18" s="106"/>
    </row>
    <row r="19" spans="1:3" x14ac:dyDescent="0.2">
      <c r="A19" s="47" t="s">
        <v>163</v>
      </c>
      <c r="C19" s="106"/>
    </row>
    <row r="20" spans="1:3" x14ac:dyDescent="0.2">
      <c r="A20" s="47" t="s">
        <v>164</v>
      </c>
      <c r="C20" s="106"/>
    </row>
    <row r="21" spans="1:3" x14ac:dyDescent="0.2">
      <c r="A21" s="47" t="s">
        <v>165</v>
      </c>
      <c r="C21" s="106"/>
    </row>
    <row r="22" spans="1:3" x14ac:dyDescent="0.2">
      <c r="A22" s="47" t="s">
        <v>166</v>
      </c>
      <c r="C22" s="106"/>
    </row>
    <row r="23" spans="1:3" x14ac:dyDescent="0.2">
      <c r="A23" s="47" t="s">
        <v>167</v>
      </c>
      <c r="C23" s="106"/>
    </row>
    <row r="24" spans="1:3" x14ac:dyDescent="0.2">
      <c r="A24" s="47" t="s">
        <v>168</v>
      </c>
      <c r="C24" s="106"/>
    </row>
    <row r="25" spans="1:3" x14ac:dyDescent="0.2">
      <c r="A25" s="47" t="s">
        <v>169</v>
      </c>
      <c r="C25" s="106"/>
    </row>
    <row r="26" spans="1:3" x14ac:dyDescent="0.2">
      <c r="A26" s="47" t="s">
        <v>170</v>
      </c>
      <c r="C26" s="106"/>
    </row>
    <row r="27" spans="1:3" x14ac:dyDescent="0.2">
      <c r="A27" s="47" t="s">
        <v>171</v>
      </c>
      <c r="C27" s="106"/>
    </row>
    <row r="28" spans="1:3" x14ac:dyDescent="0.2">
      <c r="A28" s="47" t="s">
        <v>172</v>
      </c>
      <c r="C28" s="106"/>
    </row>
    <row r="29" spans="1:3" x14ac:dyDescent="0.2">
      <c r="A29" s="47" t="s">
        <v>173</v>
      </c>
      <c r="C29" s="106"/>
    </row>
    <row r="30" spans="1:3" x14ac:dyDescent="0.2">
      <c r="A30" s="47" t="s">
        <v>174</v>
      </c>
      <c r="C30" s="106"/>
    </row>
    <row r="31" spans="1:3" x14ac:dyDescent="0.2">
      <c r="A31" s="47" t="s">
        <v>175</v>
      </c>
      <c r="C31" s="106"/>
    </row>
    <row r="32" spans="1:3" x14ac:dyDescent="0.2">
      <c r="A32" s="47" t="s">
        <v>176</v>
      </c>
      <c r="C32" s="106"/>
    </row>
    <row r="33" spans="1:3" x14ac:dyDescent="0.2">
      <c r="A33" s="47" t="s">
        <v>177</v>
      </c>
      <c r="C33" s="106"/>
    </row>
    <row r="34" spans="1:3" x14ac:dyDescent="0.2">
      <c r="A34" s="47" t="s">
        <v>178</v>
      </c>
      <c r="C34" s="106"/>
    </row>
    <row r="35" spans="1:3" x14ac:dyDescent="0.2">
      <c r="A35" s="47" t="s">
        <v>179</v>
      </c>
      <c r="C35" s="106"/>
    </row>
    <row r="36" spans="1:3" x14ac:dyDescent="0.2">
      <c r="A36" s="47" t="s">
        <v>180</v>
      </c>
      <c r="C36" s="106"/>
    </row>
    <row r="37" spans="1:3" x14ac:dyDescent="0.2">
      <c r="A37" s="47" t="s">
        <v>181</v>
      </c>
      <c r="C37" s="106"/>
    </row>
    <row r="38" spans="1:3" x14ac:dyDescent="0.2">
      <c r="A38" s="47" t="s">
        <v>182</v>
      </c>
      <c r="C38" s="106"/>
    </row>
    <row r="39" spans="1:3" x14ac:dyDescent="0.2">
      <c r="A39" s="47" t="s">
        <v>183</v>
      </c>
      <c r="C39" s="106"/>
    </row>
    <row r="40" spans="1:3" x14ac:dyDescent="0.2">
      <c r="A40" s="47" t="s">
        <v>184</v>
      </c>
      <c r="C40" s="106"/>
    </row>
    <row r="41" spans="1:3" x14ac:dyDescent="0.2">
      <c r="A41" s="47" t="s">
        <v>185</v>
      </c>
      <c r="C41" s="106"/>
    </row>
    <row r="42" spans="1:3" x14ac:dyDescent="0.2">
      <c r="A42" s="47" t="s">
        <v>186</v>
      </c>
      <c r="C42" s="106"/>
    </row>
    <row r="43" spans="1:3" x14ac:dyDescent="0.2">
      <c r="A43" s="47" t="s">
        <v>187</v>
      </c>
      <c r="C43" s="106"/>
    </row>
    <row r="44" spans="1:3" x14ac:dyDescent="0.2">
      <c r="A44" s="47" t="s">
        <v>188</v>
      </c>
      <c r="C44" s="106"/>
    </row>
    <row r="45" spans="1:3" x14ac:dyDescent="0.2">
      <c r="A45" s="47" t="s">
        <v>189</v>
      </c>
      <c r="C45" s="106"/>
    </row>
    <row r="46" spans="1:3" x14ac:dyDescent="0.2">
      <c r="A46" s="47" t="s">
        <v>190</v>
      </c>
      <c r="C46" s="106"/>
    </row>
    <row r="47" spans="1:3" x14ac:dyDescent="0.2">
      <c r="A47" s="47" t="s">
        <v>191</v>
      </c>
      <c r="C47" s="106"/>
    </row>
    <row r="48" spans="1:3" x14ac:dyDescent="0.2">
      <c r="A48" s="47" t="s">
        <v>192</v>
      </c>
      <c r="C48" s="106"/>
    </row>
    <row r="49" spans="1:3" x14ac:dyDescent="0.2">
      <c r="A49" s="47" t="s">
        <v>193</v>
      </c>
      <c r="C49" s="106"/>
    </row>
    <row r="50" spans="1:3" x14ac:dyDescent="0.2">
      <c r="A50" s="47" t="s">
        <v>194</v>
      </c>
      <c r="C50" s="106"/>
    </row>
    <row r="51" spans="1:3" x14ac:dyDescent="0.2">
      <c r="A51" s="47" t="s">
        <v>195</v>
      </c>
      <c r="C51" s="106"/>
    </row>
    <row r="52" spans="1:3" x14ac:dyDescent="0.2">
      <c r="A52" s="47" t="s">
        <v>196</v>
      </c>
      <c r="C52" s="106"/>
    </row>
    <row r="53" spans="1:3" x14ac:dyDescent="0.2">
      <c r="A53" s="47" t="s">
        <v>197</v>
      </c>
      <c r="C53" s="106"/>
    </row>
    <row r="54" spans="1:3" x14ac:dyDescent="0.2">
      <c r="A54" s="47" t="s">
        <v>198</v>
      </c>
      <c r="C54" s="106"/>
    </row>
    <row r="55" spans="1:3" x14ac:dyDescent="0.2">
      <c r="A55" s="47" t="s">
        <v>199</v>
      </c>
      <c r="C55" s="106"/>
    </row>
    <row r="56" spans="1:3" x14ac:dyDescent="0.2">
      <c r="A56" s="47" t="s">
        <v>200</v>
      </c>
      <c r="C56" s="106"/>
    </row>
    <row r="57" spans="1:3" x14ac:dyDescent="0.2">
      <c r="A57" s="47" t="s">
        <v>201</v>
      </c>
      <c r="C57" s="106"/>
    </row>
    <row r="58" spans="1:3" x14ac:dyDescent="0.2">
      <c r="A58" s="47" t="s">
        <v>202</v>
      </c>
      <c r="C58" s="106"/>
    </row>
    <row r="59" spans="1:3" x14ac:dyDescent="0.2">
      <c r="A59" s="47" t="s">
        <v>203</v>
      </c>
      <c r="C59" s="106"/>
    </row>
    <row r="60" spans="1:3" x14ac:dyDescent="0.2">
      <c r="A60" s="47" t="s">
        <v>204</v>
      </c>
      <c r="C60" s="106"/>
    </row>
    <row r="61" spans="1:3" x14ac:dyDescent="0.2">
      <c r="A61" s="47" t="s">
        <v>205</v>
      </c>
      <c r="C61" s="106"/>
    </row>
    <row r="62" spans="1:3" x14ac:dyDescent="0.2">
      <c r="A62" s="47" t="s">
        <v>206</v>
      </c>
      <c r="C62" s="106"/>
    </row>
    <row r="63" spans="1:3" x14ac:dyDescent="0.2">
      <c r="A63" s="47" t="s">
        <v>207</v>
      </c>
      <c r="C63" s="106"/>
    </row>
    <row r="64" spans="1:3" x14ac:dyDescent="0.2">
      <c r="A64" s="47" t="s">
        <v>208</v>
      </c>
      <c r="C64" s="106"/>
    </row>
    <row r="65" spans="1:3" x14ac:dyDescent="0.2">
      <c r="A65" s="47" t="s">
        <v>209</v>
      </c>
      <c r="C65" s="106"/>
    </row>
    <row r="66" spans="1:3" x14ac:dyDescent="0.2">
      <c r="A66" s="47" t="s">
        <v>210</v>
      </c>
      <c r="C66" s="106"/>
    </row>
    <row r="67" spans="1:3" x14ac:dyDescent="0.2">
      <c r="A67" s="47" t="s">
        <v>211</v>
      </c>
      <c r="C67" s="106"/>
    </row>
    <row r="68" spans="1:3" x14ac:dyDescent="0.2">
      <c r="A68" s="47" t="s">
        <v>212</v>
      </c>
      <c r="C68" s="106"/>
    </row>
    <row r="69" spans="1:3" x14ac:dyDescent="0.2">
      <c r="A69" s="47" t="s">
        <v>213</v>
      </c>
      <c r="C69" s="106"/>
    </row>
    <row r="70" spans="1:3" x14ac:dyDescent="0.2">
      <c r="A70" s="47" t="s">
        <v>214</v>
      </c>
      <c r="C70" s="106"/>
    </row>
    <row r="71" spans="1:3" x14ac:dyDescent="0.2">
      <c r="A71" s="47" t="s">
        <v>215</v>
      </c>
      <c r="C71" s="106"/>
    </row>
    <row r="72" spans="1:3" x14ac:dyDescent="0.2">
      <c r="A72" s="47" t="s">
        <v>216</v>
      </c>
      <c r="C72" s="106"/>
    </row>
    <row r="73" spans="1:3" x14ac:dyDescent="0.2">
      <c r="A73" s="47" t="s">
        <v>217</v>
      </c>
      <c r="C73" s="106"/>
    </row>
    <row r="74" spans="1:3" x14ac:dyDescent="0.2">
      <c r="A74" s="47" t="s">
        <v>218</v>
      </c>
      <c r="C74" s="106"/>
    </row>
    <row r="75" spans="1:3" x14ac:dyDescent="0.2">
      <c r="A75" s="47" t="s">
        <v>219</v>
      </c>
      <c r="C75" s="106"/>
    </row>
    <row r="76" spans="1:3" x14ac:dyDescent="0.2">
      <c r="A76" s="47" t="s">
        <v>220</v>
      </c>
      <c r="C76" s="106"/>
    </row>
    <row r="77" spans="1:3" x14ac:dyDescent="0.2">
      <c r="A77" s="47" t="s">
        <v>221</v>
      </c>
      <c r="C77" s="106"/>
    </row>
    <row r="78" spans="1:3" x14ac:dyDescent="0.2">
      <c r="A78" s="47" t="s">
        <v>222</v>
      </c>
      <c r="C78" s="106"/>
    </row>
    <row r="79" spans="1:3" x14ac:dyDescent="0.2">
      <c r="A79" s="47" t="s">
        <v>223</v>
      </c>
      <c r="C79" s="106"/>
    </row>
    <row r="80" spans="1:3" x14ac:dyDescent="0.2">
      <c r="A80" s="47" t="s">
        <v>224</v>
      </c>
      <c r="C80" s="106"/>
    </row>
    <row r="81" spans="1:3" x14ac:dyDescent="0.2">
      <c r="A81" s="47" t="s">
        <v>225</v>
      </c>
      <c r="C81" s="106"/>
    </row>
    <row r="82" spans="1:3" x14ac:dyDescent="0.2">
      <c r="A82" s="47" t="s">
        <v>226</v>
      </c>
      <c r="C82" s="106"/>
    </row>
    <row r="83" spans="1:3" x14ac:dyDescent="0.2">
      <c r="A83" s="47" t="s">
        <v>227</v>
      </c>
      <c r="C83" s="106"/>
    </row>
    <row r="84" spans="1:3" x14ac:dyDescent="0.2">
      <c r="A84" s="47" t="s">
        <v>228</v>
      </c>
      <c r="C84" s="106"/>
    </row>
    <row r="85" spans="1:3" x14ac:dyDescent="0.2">
      <c r="A85" s="47" t="s">
        <v>229</v>
      </c>
      <c r="C85" s="106"/>
    </row>
    <row r="86" spans="1:3" x14ac:dyDescent="0.2">
      <c r="A86" s="47" t="s">
        <v>230</v>
      </c>
      <c r="C86" s="106"/>
    </row>
    <row r="87" spans="1:3" x14ac:dyDescent="0.2">
      <c r="A87" s="47" t="s">
        <v>231</v>
      </c>
      <c r="C87" s="106"/>
    </row>
    <row r="88" spans="1:3" x14ac:dyDescent="0.2">
      <c r="A88" s="47" t="s">
        <v>232</v>
      </c>
      <c r="C88" s="106"/>
    </row>
    <row r="89" spans="1:3" x14ac:dyDescent="0.2">
      <c r="A89" s="47" t="s">
        <v>233</v>
      </c>
      <c r="C89" s="106"/>
    </row>
    <row r="90" spans="1:3" x14ac:dyDescent="0.2">
      <c r="A90" s="47" t="s">
        <v>234</v>
      </c>
      <c r="C90" s="106"/>
    </row>
    <row r="91" spans="1:3" x14ac:dyDescent="0.2">
      <c r="A91" s="47" t="s">
        <v>235</v>
      </c>
      <c r="C91" s="106"/>
    </row>
    <row r="92" spans="1:3" x14ac:dyDescent="0.2">
      <c r="A92" s="47" t="s">
        <v>236</v>
      </c>
      <c r="C92" s="106"/>
    </row>
    <row r="93" spans="1:3" x14ac:dyDescent="0.2">
      <c r="A93" s="47" t="s">
        <v>237</v>
      </c>
      <c r="C93" s="106"/>
    </row>
    <row r="94" spans="1:3" x14ac:dyDescent="0.2">
      <c r="A94" s="47" t="s">
        <v>238</v>
      </c>
      <c r="C94" s="106"/>
    </row>
    <row r="95" spans="1:3" x14ac:dyDescent="0.2">
      <c r="A95" s="47" t="s">
        <v>239</v>
      </c>
      <c r="C95" s="106"/>
    </row>
    <row r="96" spans="1:3" x14ac:dyDescent="0.2">
      <c r="A96" s="47" t="s">
        <v>240</v>
      </c>
      <c r="C96" s="106"/>
    </row>
    <row r="97" spans="1:3" x14ac:dyDescent="0.2">
      <c r="A97" s="47" t="s">
        <v>241</v>
      </c>
      <c r="C97" s="106"/>
    </row>
    <row r="98" spans="1:3" x14ac:dyDescent="0.2">
      <c r="A98" s="47" t="s">
        <v>242</v>
      </c>
      <c r="C98" s="106"/>
    </row>
    <row r="99" spans="1:3" x14ac:dyDescent="0.2">
      <c r="A99" s="47" t="s">
        <v>243</v>
      </c>
      <c r="C99" s="106"/>
    </row>
    <row r="100" spans="1:3" x14ac:dyDescent="0.2">
      <c r="A100" s="47" t="s">
        <v>244</v>
      </c>
      <c r="C100" s="106"/>
    </row>
    <row r="101" spans="1:3" x14ac:dyDescent="0.2">
      <c r="A101" s="47" t="s">
        <v>245</v>
      </c>
      <c r="C101" s="106"/>
    </row>
    <row r="102" spans="1:3" x14ac:dyDescent="0.2">
      <c r="A102" s="47" t="s">
        <v>246</v>
      </c>
      <c r="C102" s="106"/>
    </row>
    <row r="103" spans="1:3" x14ac:dyDescent="0.2">
      <c r="A103" s="47" t="s">
        <v>247</v>
      </c>
      <c r="C103" s="106"/>
    </row>
    <row r="104" spans="1:3" x14ac:dyDescent="0.2">
      <c r="A104" s="47" t="s">
        <v>248</v>
      </c>
      <c r="C104" s="106"/>
    </row>
    <row r="105" spans="1:3" x14ac:dyDescent="0.2">
      <c r="A105" s="47" t="s">
        <v>249</v>
      </c>
      <c r="C105" s="106"/>
    </row>
    <row r="106" spans="1:3" x14ac:dyDescent="0.2">
      <c r="A106" s="47" t="s">
        <v>250</v>
      </c>
      <c r="C106" s="106"/>
    </row>
    <row r="107" spans="1:3" x14ac:dyDescent="0.2">
      <c r="A107" s="47" t="s">
        <v>251</v>
      </c>
      <c r="C107" s="106"/>
    </row>
    <row r="108" spans="1:3" x14ac:dyDescent="0.2">
      <c r="A108" s="47" t="s">
        <v>252</v>
      </c>
      <c r="C108" s="106"/>
    </row>
    <row r="109" spans="1:3" x14ac:dyDescent="0.2">
      <c r="A109" s="47" t="s">
        <v>253</v>
      </c>
      <c r="C109" s="106"/>
    </row>
    <row r="110" spans="1:3" x14ac:dyDescent="0.2">
      <c r="A110" s="47" t="s">
        <v>254</v>
      </c>
      <c r="C110" s="106"/>
    </row>
    <row r="111" spans="1:3" x14ac:dyDescent="0.2">
      <c r="A111" s="47" t="s">
        <v>255</v>
      </c>
      <c r="C111" s="106"/>
    </row>
    <row r="112" spans="1:3" x14ac:dyDescent="0.2">
      <c r="A112" s="47" t="s">
        <v>256</v>
      </c>
      <c r="C112" s="106"/>
    </row>
    <row r="113" spans="1:3" x14ac:dyDescent="0.2">
      <c r="A113" s="47" t="s">
        <v>257</v>
      </c>
      <c r="C113" s="106"/>
    </row>
    <row r="114" spans="1:3" x14ac:dyDescent="0.2">
      <c r="A114" s="47" t="s">
        <v>258</v>
      </c>
      <c r="C114" s="106"/>
    </row>
    <row r="115" spans="1:3" x14ac:dyDescent="0.2">
      <c r="A115" s="47" t="s">
        <v>259</v>
      </c>
      <c r="C115" s="106"/>
    </row>
    <row r="116" spans="1:3" x14ac:dyDescent="0.2">
      <c r="A116" s="47" t="s">
        <v>260</v>
      </c>
      <c r="C116" s="106"/>
    </row>
    <row r="117" spans="1:3" x14ac:dyDescent="0.2">
      <c r="A117" s="47" t="s">
        <v>261</v>
      </c>
      <c r="C117" s="106"/>
    </row>
    <row r="118" spans="1:3" x14ac:dyDescent="0.2">
      <c r="A118" s="47" t="s">
        <v>262</v>
      </c>
      <c r="C118" s="106"/>
    </row>
    <row r="119" spans="1:3" x14ac:dyDescent="0.2">
      <c r="A119" s="47" t="s">
        <v>263</v>
      </c>
      <c r="C119" s="106"/>
    </row>
    <row r="120" spans="1:3" x14ac:dyDescent="0.2">
      <c r="A120" s="47" t="s">
        <v>264</v>
      </c>
      <c r="C120" s="106"/>
    </row>
    <row r="121" spans="1:3" x14ac:dyDescent="0.2">
      <c r="A121" s="47" t="s">
        <v>265</v>
      </c>
      <c r="C121" s="106"/>
    </row>
    <row r="122" spans="1:3" x14ac:dyDescent="0.2">
      <c r="A122" s="47" t="s">
        <v>266</v>
      </c>
      <c r="C122" s="106"/>
    </row>
    <row r="123" spans="1:3" x14ac:dyDescent="0.2">
      <c r="A123" s="47" t="s">
        <v>267</v>
      </c>
      <c r="C123" s="106"/>
    </row>
    <row r="124" spans="1:3" x14ac:dyDescent="0.2">
      <c r="A124" s="47" t="s">
        <v>268</v>
      </c>
      <c r="C124" s="106"/>
    </row>
    <row r="125" spans="1:3" x14ac:dyDescent="0.2">
      <c r="A125" s="47" t="s">
        <v>269</v>
      </c>
      <c r="C125" s="106"/>
    </row>
    <row r="126" spans="1:3" x14ac:dyDescent="0.2">
      <c r="A126" s="47" t="s">
        <v>270</v>
      </c>
      <c r="C126" s="106"/>
    </row>
    <row r="127" spans="1:3" x14ac:dyDescent="0.2">
      <c r="A127" s="47" t="s">
        <v>271</v>
      </c>
      <c r="C127" s="106"/>
    </row>
    <row r="128" spans="1:3" x14ac:dyDescent="0.2">
      <c r="A128" s="47" t="s">
        <v>272</v>
      </c>
      <c r="C128" s="106"/>
    </row>
    <row r="129" spans="1:3" x14ac:dyDescent="0.2">
      <c r="A129" s="47" t="s">
        <v>273</v>
      </c>
      <c r="C129" s="106"/>
    </row>
    <row r="130" spans="1:3" x14ac:dyDescent="0.2">
      <c r="A130" s="47" t="s">
        <v>274</v>
      </c>
      <c r="C130" s="106"/>
    </row>
    <row r="131" spans="1:3" x14ac:dyDescent="0.2">
      <c r="A131" s="47" t="s">
        <v>275</v>
      </c>
      <c r="C131" s="106"/>
    </row>
    <row r="132" spans="1:3" x14ac:dyDescent="0.2">
      <c r="A132" s="47" t="s">
        <v>276</v>
      </c>
      <c r="C132" s="106"/>
    </row>
    <row r="133" spans="1:3" x14ac:dyDescent="0.2">
      <c r="A133" s="47" t="s">
        <v>277</v>
      </c>
      <c r="C133" s="106"/>
    </row>
    <row r="134" spans="1:3" x14ac:dyDescent="0.2">
      <c r="A134" s="47" t="s">
        <v>278</v>
      </c>
      <c r="C134" s="106"/>
    </row>
    <row r="135" spans="1:3" x14ac:dyDescent="0.2">
      <c r="A135" s="47" t="s">
        <v>279</v>
      </c>
      <c r="C135" s="106"/>
    </row>
    <row r="136" spans="1:3" x14ac:dyDescent="0.2">
      <c r="A136" s="47" t="s">
        <v>280</v>
      </c>
      <c r="C136" s="106"/>
    </row>
    <row r="137" spans="1:3" x14ac:dyDescent="0.2">
      <c r="A137" s="47" t="s">
        <v>281</v>
      </c>
      <c r="C137" s="106"/>
    </row>
    <row r="138" spans="1:3" x14ac:dyDescent="0.2">
      <c r="A138" s="47" t="s">
        <v>282</v>
      </c>
      <c r="C138" s="106"/>
    </row>
    <row r="139" spans="1:3" x14ac:dyDescent="0.2">
      <c r="A139" s="47" t="s">
        <v>283</v>
      </c>
      <c r="C139" s="118"/>
    </row>
    <row r="140" spans="1:3" x14ac:dyDescent="0.2">
      <c r="A140" s="47" t="s">
        <v>284</v>
      </c>
      <c r="C140" s="118"/>
    </row>
    <row r="141" spans="1:3" x14ac:dyDescent="0.2">
      <c r="A141" s="47" t="s">
        <v>285</v>
      </c>
      <c r="C141" s="118"/>
    </row>
    <row r="142" spans="1:3" x14ac:dyDescent="0.2">
      <c r="A142" s="47" t="s">
        <v>286</v>
      </c>
      <c r="C142" s="118"/>
    </row>
    <row r="143" spans="1:3" x14ac:dyDescent="0.2">
      <c r="A143" s="47" t="s">
        <v>287</v>
      </c>
      <c r="C143" s="118"/>
    </row>
    <row r="144" spans="1:3" x14ac:dyDescent="0.2">
      <c r="C144" s="118"/>
    </row>
    <row r="145" spans="1:3" x14ac:dyDescent="0.2">
      <c r="C145" s="118"/>
    </row>
    <row r="146" spans="1:3" x14ac:dyDescent="0.2">
      <c r="C146" s="118"/>
    </row>
    <row r="147" spans="1:3" x14ac:dyDescent="0.2">
      <c r="C147" s="118"/>
    </row>
    <row r="148" spans="1:3" x14ac:dyDescent="0.2">
      <c r="C148" s="118"/>
    </row>
    <row r="149" spans="1:3" x14ac:dyDescent="0.2">
      <c r="C149" s="118"/>
    </row>
    <row r="150" spans="1:3" ht="15" x14ac:dyDescent="0.25">
      <c r="B150" s="97"/>
    </row>
    <row r="151" spans="1:3" ht="15" x14ac:dyDescent="0.25">
      <c r="B151" s="97"/>
    </row>
    <row r="152" spans="1:3" ht="15" x14ac:dyDescent="0.25">
      <c r="B152" s="97"/>
    </row>
    <row r="153" spans="1:3" ht="15" x14ac:dyDescent="0.25">
      <c r="B153" s="97"/>
    </row>
    <row r="154" spans="1:3" ht="15" x14ac:dyDescent="0.25">
      <c r="B154" s="97"/>
    </row>
    <row r="155" spans="1:3" ht="15" x14ac:dyDescent="0.25">
      <c r="B155" s="97"/>
    </row>
    <row r="156" spans="1:3" ht="15" x14ac:dyDescent="0.25">
      <c r="B156" s="97"/>
    </row>
    <row r="157" spans="1:3" ht="15" x14ac:dyDescent="0.25">
      <c r="B157" s="97"/>
    </row>
    <row r="158" spans="1:3" ht="15" x14ac:dyDescent="0.25">
      <c r="B158" s="97"/>
    </row>
    <row r="159" spans="1:3" ht="15" x14ac:dyDescent="0.25">
      <c r="B159" s="97"/>
    </row>
    <row r="160" spans="1:3" ht="15" x14ac:dyDescent="0.25">
      <c r="A160" s="80"/>
      <c r="B160" s="81"/>
    </row>
    <row r="161" spans="1:2" ht="15" x14ac:dyDescent="0.25">
      <c r="A161" s="82"/>
      <c r="B161" s="83"/>
    </row>
    <row r="162" spans="1:2" ht="15" x14ac:dyDescent="0.25">
      <c r="A162" s="84"/>
      <c r="B162" s="81"/>
    </row>
    <row r="163" spans="1:2" ht="15" x14ac:dyDescent="0.25">
      <c r="A163" s="80"/>
      <c r="B163" s="85"/>
    </row>
    <row r="164" spans="1:2" x14ac:dyDescent="0.2">
      <c r="A164" s="86"/>
      <c r="B164" s="85"/>
    </row>
    <row r="165" spans="1:2" ht="15" x14ac:dyDescent="0.25">
      <c r="A165" s="80"/>
      <c r="B165" s="81"/>
    </row>
    <row r="166" spans="1:2" ht="15" x14ac:dyDescent="0.25">
      <c r="A166" s="80"/>
      <c r="B166" s="81"/>
    </row>
    <row r="167" spans="1:2" x14ac:dyDescent="0.2">
      <c r="A167" s="82"/>
      <c r="B167" s="81"/>
    </row>
    <row r="168" spans="1:2" ht="15" x14ac:dyDescent="0.25">
      <c r="A168" s="80"/>
      <c r="B168" s="85"/>
    </row>
    <row r="169" spans="1:2" ht="15" x14ac:dyDescent="0.25">
      <c r="A169" s="84"/>
      <c r="B169" s="81"/>
    </row>
    <row r="170" spans="1:2" ht="15" x14ac:dyDescent="0.25">
      <c r="A170" s="80"/>
      <c r="B170" s="81"/>
    </row>
    <row r="171" spans="1:2" ht="15" x14ac:dyDescent="0.25">
      <c r="A171" s="80"/>
      <c r="B171" s="81"/>
    </row>
    <row r="172" spans="1:2" ht="15" x14ac:dyDescent="0.25">
      <c r="A172" s="80"/>
      <c r="B172" s="81"/>
    </row>
    <row r="173" spans="1:2" ht="15" x14ac:dyDescent="0.25">
      <c r="A173" s="80"/>
      <c r="B173" s="81"/>
    </row>
    <row r="174" spans="1:2" ht="15" x14ac:dyDescent="0.25">
      <c r="A174" s="80"/>
      <c r="B174" s="81"/>
    </row>
    <row r="175" spans="1:2" x14ac:dyDescent="0.2">
      <c r="A175" s="85"/>
      <c r="B175" s="81"/>
    </row>
    <row r="176" spans="1:2" x14ac:dyDescent="0.2">
      <c r="A176" s="86"/>
      <c r="B176" s="85"/>
    </row>
    <row r="177" spans="1:2" x14ac:dyDescent="0.2">
      <c r="A177" s="86"/>
      <c r="B177" s="85"/>
    </row>
    <row r="178" spans="1:2" ht="15" x14ac:dyDescent="0.25">
      <c r="A178" s="80"/>
      <c r="B178" s="81"/>
    </row>
    <row r="179" spans="1:2" x14ac:dyDescent="0.2">
      <c r="A179" s="86"/>
      <c r="B179" s="85"/>
    </row>
    <row r="180" spans="1:2" x14ac:dyDescent="0.2">
      <c r="A180" s="86"/>
      <c r="B180" s="85"/>
    </row>
    <row r="181" spans="1:2" x14ac:dyDescent="0.2">
      <c r="A181" s="86"/>
      <c r="B181" s="85"/>
    </row>
    <row r="182" spans="1:2" x14ac:dyDescent="0.2">
      <c r="A182" s="86"/>
      <c r="B182" s="8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Marks</vt:lpstr>
      <vt:lpstr>Answers</vt:lpstr>
      <vt:lpstr>written_answers</vt:lpstr>
      <vt:lpstr>FinalGrade</vt:lpstr>
      <vt:lpstr>Names</vt:lpstr>
      <vt:lpstr>temp</vt:lpstr>
      <vt:lpstr>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mannt-1</dc:creator>
  <cp:lastModifiedBy>Alp Tunçay</cp:lastModifiedBy>
  <cp:lastPrinted>2006-10-13T12:45:22Z</cp:lastPrinted>
  <dcterms:created xsi:type="dcterms:W3CDTF">2006-09-10T20:17:39Z</dcterms:created>
  <dcterms:modified xsi:type="dcterms:W3CDTF">2016-11-28T19:26:21Z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d92e5bc2-8c26-4312-9b23-8f990feadb8b</vt:lpwstr>
  </property>
</Properties>
</file>