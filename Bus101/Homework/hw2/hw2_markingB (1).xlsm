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customProperty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810" codeName="{33BBC38B-C2DA-FC69-06AC-9F67D96B632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naodabasi/Desktop/cs/Bus101/Homework/"/>
    </mc:Choice>
  </mc:AlternateContent>
  <bookViews>
    <workbookView xWindow="0" yWindow="460" windowWidth="16180" windowHeight="16260" activeTab="3"/>
  </bookViews>
  <sheets>
    <sheet name="Marks" sheetId="6" r:id="rId1"/>
    <sheet name="Sheet1" sheetId="46" r:id="rId2"/>
    <sheet name="Answers" sheetId="7" r:id="rId3"/>
    <sheet name="Final Grade" sheetId="40" r:id="rId4"/>
    <sheet name="Names" sheetId="41" r:id="rId5"/>
    <sheet name="temp" sheetId="44" r:id="rId6"/>
    <sheet name="List" sheetId="42" r:id="rId7"/>
    <sheet name="DV-IDENTITY-0" sheetId="45" state="veryHidden" r:id="rId8"/>
  </sheets>
  <definedNames>
    <definedName name="_xlnm._FilterDatabase" localSheetId="2" hidden="1">Answers!$A$1:$CG$1</definedName>
    <definedName name="_xlnm._FilterDatabase" localSheetId="0" hidden="1">Marks!#REF!</definedName>
    <definedName name="_Key1" hidden="1">#REF!</definedName>
    <definedName name="_Order1" hidden="1">255</definedName>
    <definedName name="_Sort" hidden="1">#REF!</definedName>
    <definedName name="_xlfn.IFERROR" hidden="1" function="1" xlm="1">#NAME?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S1" i="7" l="1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Q34" i="40"/>
  <c r="Q31" i="40"/>
  <c r="Q33" i="40"/>
  <c r="Q50" i="40"/>
  <c r="Q49" i="40"/>
  <c r="Q46" i="40"/>
  <c r="Q45" i="40"/>
  <c r="Q44" i="40"/>
  <c r="Q40" i="40"/>
  <c r="Q39" i="40"/>
  <c r="Q30" i="40"/>
  <c r="Q27" i="40"/>
  <c r="Q26" i="40"/>
  <c r="Q25" i="40"/>
  <c r="O9" i="40"/>
  <c r="P48" i="40"/>
  <c r="E46" i="40"/>
  <c r="E47" i="40"/>
  <c r="E48" i="40"/>
  <c r="E49" i="40"/>
  <c r="E50" i="40"/>
  <c r="E51" i="40"/>
  <c r="E52" i="40"/>
  <c r="E53" i="40"/>
  <c r="P10" i="40"/>
  <c r="C29" i="40"/>
  <c r="E42" i="40"/>
  <c r="P11" i="40"/>
  <c r="P12" i="40"/>
  <c r="O10" i="40"/>
  <c r="O11" i="40"/>
  <c r="O12" i="40"/>
  <c r="P9" i="40"/>
  <c r="P13" i="40"/>
  <c r="P50" i="40"/>
  <c r="P22" i="40"/>
  <c r="P51" i="40"/>
  <c r="P41" i="40"/>
  <c r="P42" i="40"/>
  <c r="P43" i="40"/>
  <c r="W49" i="40"/>
  <c r="P49" i="40"/>
  <c r="P38" i="40"/>
  <c r="P39" i="40"/>
  <c r="P40" i="40"/>
  <c r="P44" i="40"/>
  <c r="P29" i="40"/>
  <c r="P30" i="40"/>
  <c r="O13" i="40"/>
  <c r="P33" i="40"/>
  <c r="P32" i="40"/>
  <c r="P31" i="40"/>
  <c r="C5" i="40"/>
  <c r="C6" i="40"/>
  <c r="C10" i="40"/>
  <c r="C11" i="40"/>
  <c r="Q37" i="40"/>
  <c r="Q36" i="40"/>
  <c r="Q47" i="40"/>
  <c r="Q42" i="40"/>
  <c r="Q43" i="40"/>
  <c r="Q41" i="40"/>
  <c r="Q24" i="40"/>
  <c r="Q52" i="40"/>
  <c r="Q53" i="40"/>
  <c r="Q54" i="40"/>
  <c r="Q51" i="40"/>
  <c r="Q48" i="40"/>
  <c r="P47" i="40"/>
  <c r="Q38" i="40"/>
  <c r="Q35" i="40"/>
  <c r="Q32" i="40"/>
  <c r="Q29" i="40"/>
  <c r="Q28" i="40"/>
  <c r="Q23" i="40"/>
  <c r="Q22" i="40"/>
  <c r="Q21" i="40"/>
  <c r="Q20" i="40"/>
  <c r="Q19" i="40"/>
  <c r="Q18" i="40"/>
  <c r="Q17" i="40"/>
  <c r="Q16" i="40"/>
  <c r="Q55" i="40"/>
  <c r="L55" i="40"/>
  <c r="Q56" i="40"/>
  <c r="P25" i="40"/>
  <c r="P23" i="40"/>
  <c r="A115" i="45"/>
  <c r="B115" i="45"/>
  <c r="C115" i="45"/>
  <c r="D115" i="45"/>
  <c r="E115" i="45"/>
  <c r="F115" i="45"/>
  <c r="G115" i="45"/>
  <c r="H115" i="45"/>
  <c r="I115" i="45"/>
  <c r="J115" i="45"/>
  <c r="K115" i="45"/>
  <c r="L115" i="45"/>
  <c r="M115" i="45"/>
  <c r="N115" i="45"/>
  <c r="O115" i="45"/>
  <c r="P115" i="45"/>
  <c r="Q115" i="45"/>
  <c r="R115" i="45"/>
  <c r="S115" i="45"/>
  <c r="T115" i="45"/>
  <c r="U115" i="45"/>
  <c r="V115" i="45"/>
  <c r="W115" i="45"/>
  <c r="X115" i="45"/>
  <c r="Y115" i="45"/>
  <c r="Z115" i="45"/>
  <c r="AA115" i="45"/>
  <c r="AB115" i="45"/>
  <c r="AC115" i="45"/>
  <c r="AD115" i="45"/>
  <c r="AE115" i="45"/>
  <c r="AF115" i="45"/>
  <c r="AG115" i="45"/>
  <c r="AH115" i="45"/>
  <c r="AI115" i="45"/>
  <c r="AJ115" i="45"/>
  <c r="AK115" i="45"/>
  <c r="AL115" i="45"/>
  <c r="AM115" i="45"/>
  <c r="AN115" i="45"/>
  <c r="AO115" i="45"/>
  <c r="AP115" i="45"/>
  <c r="AQ115" i="45"/>
  <c r="AR115" i="45"/>
  <c r="AS115" i="45"/>
  <c r="AT115" i="45"/>
  <c r="AU115" i="45"/>
  <c r="AV115" i="45"/>
  <c r="AW115" i="45"/>
  <c r="AX115" i="45"/>
  <c r="AY115" i="45"/>
  <c r="AZ115" i="45"/>
  <c r="BA115" i="45"/>
  <c r="BB115" i="45"/>
  <c r="BC115" i="45"/>
  <c r="BD115" i="45"/>
  <c r="BE115" i="45"/>
  <c r="BF115" i="45"/>
  <c r="BG115" i="45"/>
  <c r="BH115" i="45"/>
  <c r="BI115" i="45"/>
  <c r="BJ115" i="45"/>
  <c r="BK115" i="45"/>
  <c r="BL115" i="45"/>
  <c r="BM115" i="45"/>
  <c r="BN115" i="45"/>
  <c r="BO115" i="45"/>
  <c r="BP115" i="45"/>
  <c r="BQ115" i="45"/>
  <c r="BR115" i="45"/>
  <c r="BS115" i="45"/>
  <c r="BT115" i="45"/>
  <c r="BU115" i="45"/>
  <c r="BV115" i="45"/>
  <c r="BW115" i="45"/>
  <c r="BX115" i="45"/>
  <c r="BY115" i="45"/>
  <c r="BZ115" i="45"/>
  <c r="CA115" i="45"/>
  <c r="CB115" i="45"/>
  <c r="CC115" i="45"/>
  <c r="CD115" i="45"/>
  <c r="CE115" i="45"/>
  <c r="CF115" i="45"/>
  <c r="CG115" i="45"/>
  <c r="CH115" i="45"/>
  <c r="CI115" i="45"/>
  <c r="CJ115" i="45"/>
  <c r="CK115" i="45"/>
  <c r="CL115" i="45"/>
  <c r="CM115" i="45"/>
  <c r="CN115" i="45"/>
  <c r="CO115" i="45"/>
  <c r="CP115" i="45"/>
  <c r="CQ115" i="45"/>
  <c r="CR115" i="45"/>
  <c r="CS115" i="45"/>
  <c r="CT115" i="45"/>
  <c r="CU115" i="45"/>
  <c r="CV115" i="45"/>
  <c r="CW115" i="45"/>
  <c r="CX115" i="45"/>
  <c r="CY115" i="45"/>
  <c r="CZ115" i="45"/>
  <c r="DA115" i="45"/>
  <c r="DB115" i="45"/>
  <c r="DC115" i="45"/>
  <c r="DD115" i="45"/>
  <c r="DE115" i="45"/>
  <c r="DF115" i="45"/>
  <c r="DG115" i="45"/>
  <c r="DH115" i="45"/>
  <c r="DI115" i="45"/>
  <c r="DJ115" i="45"/>
  <c r="DK115" i="45"/>
  <c r="DL115" i="45"/>
  <c r="DM115" i="45"/>
  <c r="DN115" i="45"/>
  <c r="DO115" i="45"/>
  <c r="DP115" i="45"/>
  <c r="DQ115" i="45"/>
  <c r="DR115" i="45"/>
  <c r="DS115" i="45"/>
  <c r="DT115" i="45"/>
  <c r="DU115" i="45"/>
  <c r="DV115" i="45"/>
  <c r="DW115" i="45"/>
  <c r="DX115" i="45"/>
  <c r="DY115" i="45"/>
  <c r="DZ115" i="45"/>
  <c r="EA115" i="45"/>
  <c r="EB115" i="45"/>
  <c r="EC115" i="45"/>
  <c r="ED115" i="45"/>
  <c r="EE115" i="45"/>
  <c r="EF115" i="45"/>
  <c r="EG115" i="45"/>
  <c r="EH115" i="45"/>
  <c r="EI115" i="45"/>
  <c r="EJ115" i="45"/>
  <c r="EK115" i="45"/>
  <c r="EL115" i="45"/>
  <c r="EM115" i="45"/>
  <c r="EN115" i="45"/>
  <c r="EO115" i="45"/>
  <c r="EP115" i="45"/>
  <c r="EQ115" i="45"/>
  <c r="ER115" i="45"/>
  <c r="ES115" i="45"/>
  <c r="ET115" i="45"/>
  <c r="EU115" i="45"/>
  <c r="EV115" i="45"/>
  <c r="EW115" i="45"/>
  <c r="EX115" i="45"/>
  <c r="EY115" i="45"/>
  <c r="EZ115" i="45"/>
  <c r="FA115" i="45"/>
  <c r="FB115" i="45"/>
  <c r="FC115" i="45"/>
  <c r="FD115" i="45"/>
  <c r="FE115" i="45"/>
  <c r="FF115" i="45"/>
  <c r="FG115" i="45"/>
  <c r="FH115" i="45"/>
  <c r="FI115" i="45"/>
  <c r="FJ115" i="45"/>
  <c r="FK115" i="45"/>
  <c r="FL115" i="45"/>
  <c r="FM115" i="45"/>
  <c r="FN115" i="45"/>
  <c r="FO115" i="45"/>
  <c r="FP115" i="45"/>
  <c r="FQ115" i="45"/>
  <c r="FR115" i="45"/>
  <c r="FS115" i="45"/>
  <c r="FT115" i="45"/>
  <c r="FU115" i="45"/>
  <c r="FV115" i="45"/>
  <c r="FW115" i="45"/>
  <c r="FX115" i="45"/>
  <c r="FY115" i="45"/>
  <c r="GK115" i="45"/>
  <c r="GL115" i="45"/>
  <c r="GM115" i="45"/>
  <c r="GN115" i="45"/>
  <c r="GO115" i="45"/>
  <c r="GP115" i="45"/>
  <c r="A114" i="45"/>
  <c r="B114" i="45"/>
  <c r="C114" i="45"/>
  <c r="D114" i="45"/>
  <c r="E114" i="45"/>
  <c r="F114" i="45"/>
  <c r="G114" i="45"/>
  <c r="H114" i="45"/>
  <c r="I114" i="45"/>
  <c r="J114" i="45"/>
  <c r="K114" i="45"/>
  <c r="L114" i="45"/>
  <c r="M114" i="45"/>
  <c r="N114" i="45"/>
  <c r="O114" i="45"/>
  <c r="P114" i="45"/>
  <c r="Q114" i="45"/>
  <c r="R114" i="45"/>
  <c r="S114" i="45"/>
  <c r="T114" i="45"/>
  <c r="U114" i="45"/>
  <c r="V114" i="45"/>
  <c r="W114" i="45"/>
  <c r="X114" i="45"/>
  <c r="Y114" i="45"/>
  <c r="Z114" i="45"/>
  <c r="AA114" i="45"/>
  <c r="AB114" i="45"/>
  <c r="AC114" i="45"/>
  <c r="AD114" i="45"/>
  <c r="AE114" i="45"/>
  <c r="AF114" i="45"/>
  <c r="AG114" i="45"/>
  <c r="AH114" i="45"/>
  <c r="AI114" i="45"/>
  <c r="AJ114" i="45"/>
  <c r="AK114" i="45"/>
  <c r="AL114" i="45"/>
  <c r="AM114" i="45"/>
  <c r="AN114" i="45"/>
  <c r="AO114" i="45"/>
  <c r="AP114" i="45"/>
  <c r="AQ114" i="45"/>
  <c r="AR114" i="45"/>
  <c r="AS114" i="45"/>
  <c r="AT114" i="45"/>
  <c r="AU114" i="45"/>
  <c r="AV114" i="45"/>
  <c r="AW114" i="45"/>
  <c r="AX114" i="45"/>
  <c r="AY114" i="45"/>
  <c r="AZ114" i="45"/>
  <c r="BA114" i="45"/>
  <c r="BB114" i="45"/>
  <c r="BC114" i="45"/>
  <c r="BD114" i="45"/>
  <c r="BE114" i="45"/>
  <c r="BF114" i="45"/>
  <c r="BG114" i="45"/>
  <c r="BH114" i="45"/>
  <c r="BI114" i="45"/>
  <c r="BJ114" i="45"/>
  <c r="BK114" i="45"/>
  <c r="BL114" i="45"/>
  <c r="BM114" i="45"/>
  <c r="BN114" i="45"/>
  <c r="BO114" i="45"/>
  <c r="BP114" i="45"/>
  <c r="BQ114" i="45"/>
  <c r="BR114" i="45"/>
  <c r="BS114" i="45"/>
  <c r="BT114" i="45"/>
  <c r="BU114" i="45"/>
  <c r="BV114" i="45"/>
  <c r="BW114" i="45"/>
  <c r="BX114" i="45"/>
  <c r="BY114" i="45"/>
  <c r="BZ114" i="45"/>
  <c r="CA114" i="45"/>
  <c r="CB114" i="45"/>
  <c r="CC114" i="45"/>
  <c r="CD114" i="45"/>
  <c r="CE114" i="45"/>
  <c r="CF114" i="45"/>
  <c r="CG114" i="45"/>
  <c r="CH114" i="45"/>
  <c r="CI114" i="45"/>
  <c r="CJ114" i="45"/>
  <c r="CK114" i="45"/>
  <c r="CL114" i="45"/>
  <c r="CM114" i="45"/>
  <c r="CN114" i="45"/>
  <c r="CO114" i="45"/>
  <c r="CP114" i="45"/>
  <c r="CQ114" i="45"/>
  <c r="CR114" i="45"/>
  <c r="CS114" i="45"/>
  <c r="CT114" i="45"/>
  <c r="CU114" i="45"/>
  <c r="CV114" i="45"/>
  <c r="CW114" i="45"/>
  <c r="CX114" i="45"/>
  <c r="CY114" i="45"/>
  <c r="CZ114" i="45"/>
  <c r="DA114" i="45"/>
  <c r="DB114" i="45"/>
  <c r="DC114" i="45"/>
  <c r="DD114" i="45"/>
  <c r="DE114" i="45"/>
  <c r="DF114" i="45"/>
  <c r="DG114" i="45"/>
  <c r="DH114" i="45"/>
  <c r="DI114" i="45"/>
  <c r="DJ114" i="45"/>
  <c r="DK114" i="45"/>
  <c r="DL114" i="45"/>
  <c r="DM114" i="45"/>
  <c r="DN114" i="45"/>
  <c r="DO114" i="45"/>
  <c r="DP114" i="45"/>
  <c r="DQ114" i="45"/>
  <c r="DR114" i="45"/>
  <c r="DS114" i="45"/>
  <c r="DT114" i="45"/>
  <c r="DU114" i="45"/>
  <c r="DV114" i="45"/>
  <c r="DW114" i="45"/>
  <c r="DX114" i="45"/>
  <c r="DY114" i="45"/>
  <c r="DZ114" i="45"/>
  <c r="EA114" i="45"/>
  <c r="EB114" i="45"/>
  <c r="EC114" i="45"/>
  <c r="ED114" i="45"/>
  <c r="EE114" i="45"/>
  <c r="EF114" i="45"/>
  <c r="EG114" i="45"/>
  <c r="EH114" i="45"/>
  <c r="EI114" i="45"/>
  <c r="EJ114" i="45"/>
  <c r="EK114" i="45"/>
  <c r="EL114" i="45"/>
  <c r="EM114" i="45"/>
  <c r="EN114" i="45"/>
  <c r="EO114" i="45"/>
  <c r="EP114" i="45"/>
  <c r="EQ114" i="45"/>
  <c r="ER114" i="45"/>
  <c r="ES114" i="45"/>
  <c r="ET114" i="45"/>
  <c r="EU114" i="45"/>
  <c r="EV114" i="45"/>
  <c r="EW114" i="45"/>
  <c r="EX114" i="45"/>
  <c r="EY114" i="45"/>
  <c r="EZ114" i="45"/>
  <c r="FA114" i="45"/>
  <c r="FB114" i="45"/>
  <c r="FC114" i="45"/>
  <c r="FD114" i="45"/>
  <c r="FE114" i="45"/>
  <c r="FF114" i="45"/>
  <c r="FG114" i="45"/>
  <c r="FH114" i="45"/>
  <c r="FI114" i="45"/>
  <c r="FJ114" i="45"/>
  <c r="FK114" i="45"/>
  <c r="FL114" i="45"/>
  <c r="FM114" i="45"/>
  <c r="FN114" i="45"/>
  <c r="FO114" i="45"/>
  <c r="FP114" i="45"/>
  <c r="FQ114" i="45"/>
  <c r="FR114" i="45"/>
  <c r="FS114" i="45"/>
  <c r="FT114" i="45"/>
  <c r="FU114" i="45"/>
  <c r="FV114" i="45"/>
  <c r="FW114" i="45"/>
  <c r="FX114" i="45"/>
  <c r="FY114" i="45"/>
  <c r="FZ114" i="45"/>
  <c r="GA114" i="45"/>
  <c r="GB114" i="45"/>
  <c r="GC114" i="45"/>
  <c r="GD114" i="45"/>
  <c r="GE114" i="45"/>
  <c r="GF114" i="45"/>
  <c r="GG114" i="45"/>
  <c r="GH114" i="45"/>
  <c r="GI114" i="45"/>
  <c r="GJ114" i="45"/>
  <c r="GK114" i="45"/>
  <c r="GL114" i="45"/>
  <c r="GM114" i="45"/>
  <c r="GN114" i="45"/>
  <c r="GO114" i="45"/>
  <c r="GP114" i="45"/>
  <c r="GQ114" i="45"/>
  <c r="GR114" i="45"/>
  <c r="GS114" i="45"/>
  <c r="GT114" i="45"/>
  <c r="GU114" i="45"/>
  <c r="GV114" i="45"/>
  <c r="GW114" i="45"/>
  <c r="GX114" i="45"/>
  <c r="GY114" i="45"/>
  <c r="GZ114" i="45"/>
  <c r="HA114" i="45"/>
  <c r="HB114" i="45"/>
  <c r="HC114" i="45"/>
  <c r="HD114" i="45"/>
  <c r="HE114" i="45"/>
  <c r="HF114" i="45"/>
  <c r="HG114" i="45"/>
  <c r="HH114" i="45"/>
  <c r="HI114" i="45"/>
  <c r="HJ114" i="45"/>
  <c r="HK114" i="45"/>
  <c r="HL114" i="45"/>
  <c r="HM114" i="45"/>
  <c r="HN114" i="45"/>
  <c r="HO114" i="45"/>
  <c r="HP114" i="45"/>
  <c r="HQ114" i="45"/>
  <c r="HR114" i="45"/>
  <c r="HS114" i="45"/>
  <c r="HT114" i="45"/>
  <c r="HU114" i="45"/>
  <c r="HV114" i="45"/>
  <c r="HW114" i="45"/>
  <c r="HX114" i="45"/>
  <c r="HY114" i="45"/>
  <c r="HZ114" i="45"/>
  <c r="IA114" i="45"/>
  <c r="IB114" i="45"/>
  <c r="IC114" i="45"/>
  <c r="ID114" i="45"/>
  <c r="IE114" i="45"/>
  <c r="IF114" i="45"/>
  <c r="IG114" i="45"/>
  <c r="IH114" i="45"/>
  <c r="II114" i="45"/>
  <c r="IJ114" i="45"/>
  <c r="IK114" i="45"/>
  <c r="IL114" i="45"/>
  <c r="IM114" i="45"/>
  <c r="IN114" i="45"/>
  <c r="IO114" i="45"/>
  <c r="IP114" i="45"/>
  <c r="IQ114" i="45"/>
  <c r="IR114" i="45"/>
  <c r="IS114" i="45"/>
  <c r="IT114" i="45"/>
  <c r="IU114" i="45"/>
  <c r="IV114" i="45"/>
  <c r="A113" i="45"/>
  <c r="B113" i="45"/>
  <c r="C113" i="45"/>
  <c r="D113" i="45"/>
  <c r="E113" i="45"/>
  <c r="F113" i="45"/>
  <c r="G113" i="45"/>
  <c r="H113" i="45"/>
  <c r="I113" i="45"/>
  <c r="J113" i="45"/>
  <c r="K113" i="45"/>
  <c r="L113" i="45"/>
  <c r="M113" i="45"/>
  <c r="N113" i="45"/>
  <c r="O113" i="45"/>
  <c r="P113" i="45"/>
  <c r="Q113" i="45"/>
  <c r="R113" i="45"/>
  <c r="S113" i="45"/>
  <c r="T113" i="45"/>
  <c r="U113" i="45"/>
  <c r="V113" i="45"/>
  <c r="W113" i="45"/>
  <c r="X113" i="45"/>
  <c r="Y113" i="45"/>
  <c r="Z113" i="45"/>
  <c r="AA113" i="45"/>
  <c r="AB113" i="45"/>
  <c r="AC113" i="45"/>
  <c r="AD113" i="45"/>
  <c r="AE113" i="45"/>
  <c r="AF113" i="45"/>
  <c r="AG113" i="45"/>
  <c r="AH113" i="45"/>
  <c r="AI113" i="45"/>
  <c r="AJ113" i="45"/>
  <c r="AK113" i="45"/>
  <c r="AL113" i="45"/>
  <c r="AM113" i="45"/>
  <c r="AN113" i="45"/>
  <c r="AO113" i="45"/>
  <c r="AP113" i="45"/>
  <c r="AQ113" i="45"/>
  <c r="AR113" i="45"/>
  <c r="AS113" i="45"/>
  <c r="AT113" i="45"/>
  <c r="AU113" i="45"/>
  <c r="AV113" i="45"/>
  <c r="AW113" i="45"/>
  <c r="AX113" i="45"/>
  <c r="AY113" i="45"/>
  <c r="AZ113" i="45"/>
  <c r="BA113" i="45"/>
  <c r="BB113" i="45"/>
  <c r="BC113" i="45"/>
  <c r="BD113" i="45"/>
  <c r="BE113" i="45"/>
  <c r="BF113" i="45"/>
  <c r="BG113" i="45"/>
  <c r="BH113" i="45"/>
  <c r="BI113" i="45"/>
  <c r="BJ113" i="45"/>
  <c r="BK113" i="45"/>
  <c r="BL113" i="45"/>
  <c r="BM113" i="45"/>
  <c r="BN113" i="45"/>
  <c r="BO113" i="45"/>
  <c r="BP113" i="45"/>
  <c r="BQ113" i="45"/>
  <c r="BR113" i="45"/>
  <c r="BS113" i="45"/>
  <c r="BT113" i="45"/>
  <c r="BU113" i="45"/>
  <c r="BV113" i="45"/>
  <c r="BW113" i="45"/>
  <c r="BX113" i="45"/>
  <c r="BY113" i="45"/>
  <c r="BZ113" i="45"/>
  <c r="CA113" i="45"/>
  <c r="CB113" i="45"/>
  <c r="CC113" i="45"/>
  <c r="CD113" i="45"/>
  <c r="CE113" i="45"/>
  <c r="CF113" i="45"/>
  <c r="CG113" i="45"/>
  <c r="CH113" i="45"/>
  <c r="CI113" i="45"/>
  <c r="CJ113" i="45"/>
  <c r="CK113" i="45"/>
  <c r="CL113" i="45"/>
  <c r="CM113" i="45"/>
  <c r="CN113" i="45"/>
  <c r="CO113" i="45"/>
  <c r="CP113" i="45"/>
  <c r="CQ113" i="45"/>
  <c r="CR113" i="45"/>
  <c r="CS113" i="45"/>
  <c r="CT113" i="45"/>
  <c r="CU113" i="45"/>
  <c r="CV113" i="45"/>
  <c r="CW113" i="45"/>
  <c r="CX113" i="45"/>
  <c r="CY113" i="45"/>
  <c r="CZ113" i="45"/>
  <c r="DA113" i="45"/>
  <c r="DB113" i="45"/>
  <c r="DC113" i="45"/>
  <c r="DD113" i="45"/>
  <c r="DE113" i="45"/>
  <c r="DF113" i="45"/>
  <c r="DG113" i="45"/>
  <c r="DH113" i="45"/>
  <c r="DI113" i="45"/>
  <c r="DJ113" i="45"/>
  <c r="DK113" i="45"/>
  <c r="DL113" i="45"/>
  <c r="DM113" i="45"/>
  <c r="DN113" i="45"/>
  <c r="DO113" i="45"/>
  <c r="DP113" i="45"/>
  <c r="DQ113" i="45"/>
  <c r="DR113" i="45"/>
  <c r="DS113" i="45"/>
  <c r="DT113" i="45"/>
  <c r="DU113" i="45"/>
  <c r="DV113" i="45"/>
  <c r="DW113" i="45"/>
  <c r="DX113" i="45"/>
  <c r="DY113" i="45"/>
  <c r="DZ113" i="45"/>
  <c r="EA113" i="45"/>
  <c r="EB113" i="45"/>
  <c r="EC113" i="45"/>
  <c r="ED113" i="45"/>
  <c r="EE113" i="45"/>
  <c r="EF113" i="45"/>
  <c r="EG113" i="45"/>
  <c r="EH113" i="45"/>
  <c r="EI113" i="45"/>
  <c r="EJ113" i="45"/>
  <c r="EK113" i="45"/>
  <c r="EL113" i="45"/>
  <c r="EM113" i="45"/>
  <c r="EN113" i="45"/>
  <c r="EO113" i="45"/>
  <c r="EP113" i="45"/>
  <c r="EQ113" i="45"/>
  <c r="ER113" i="45"/>
  <c r="ES113" i="45"/>
  <c r="ET113" i="45"/>
  <c r="EU113" i="45"/>
  <c r="EV113" i="45"/>
  <c r="EW113" i="45"/>
  <c r="EX113" i="45"/>
  <c r="EY113" i="45"/>
  <c r="EZ113" i="45"/>
  <c r="FA113" i="45"/>
  <c r="FB113" i="45"/>
  <c r="FC113" i="45"/>
  <c r="FD113" i="45"/>
  <c r="FE113" i="45"/>
  <c r="FF113" i="45"/>
  <c r="FG113" i="45"/>
  <c r="FH113" i="45"/>
  <c r="FI113" i="45"/>
  <c r="FJ113" i="45"/>
  <c r="FK113" i="45"/>
  <c r="FL113" i="45"/>
  <c r="FM113" i="45"/>
  <c r="FN113" i="45"/>
  <c r="FO113" i="45"/>
  <c r="FP113" i="45"/>
  <c r="FQ113" i="45"/>
  <c r="FR113" i="45"/>
  <c r="FS113" i="45"/>
  <c r="FT113" i="45"/>
  <c r="FU113" i="45"/>
  <c r="FV113" i="45"/>
  <c r="FW113" i="45"/>
  <c r="FX113" i="45"/>
  <c r="FY113" i="45"/>
  <c r="FZ113" i="45"/>
  <c r="GA113" i="45"/>
  <c r="GB113" i="45"/>
  <c r="GC113" i="45"/>
  <c r="GD113" i="45"/>
  <c r="GE113" i="45"/>
  <c r="GF113" i="45"/>
  <c r="GG113" i="45"/>
  <c r="GH113" i="45"/>
  <c r="GI113" i="45"/>
  <c r="GJ113" i="45"/>
  <c r="GK113" i="45"/>
  <c r="GL113" i="45"/>
  <c r="GM113" i="45"/>
  <c r="GN113" i="45"/>
  <c r="GO113" i="45"/>
  <c r="GP113" i="45"/>
  <c r="GQ113" i="45"/>
  <c r="GR113" i="45"/>
  <c r="GS113" i="45"/>
  <c r="GT113" i="45"/>
  <c r="GU113" i="45"/>
  <c r="GV113" i="45"/>
  <c r="GW113" i="45"/>
  <c r="GX113" i="45"/>
  <c r="GY113" i="45"/>
  <c r="GZ113" i="45"/>
  <c r="HA113" i="45"/>
  <c r="HB113" i="45"/>
  <c r="HC113" i="45"/>
  <c r="HD113" i="45"/>
  <c r="HE113" i="45"/>
  <c r="HF113" i="45"/>
  <c r="HG113" i="45"/>
  <c r="HH113" i="45"/>
  <c r="HI113" i="45"/>
  <c r="HJ113" i="45"/>
  <c r="HK113" i="45"/>
  <c r="HL113" i="45"/>
  <c r="HM113" i="45"/>
  <c r="HN113" i="45"/>
  <c r="HO113" i="45"/>
  <c r="HP113" i="45"/>
  <c r="HQ113" i="45"/>
  <c r="HR113" i="45"/>
  <c r="HS113" i="45"/>
  <c r="HT113" i="45"/>
  <c r="HU113" i="45"/>
  <c r="HV113" i="45"/>
  <c r="HW113" i="45"/>
  <c r="HX113" i="45"/>
  <c r="HY113" i="45"/>
  <c r="HZ113" i="45"/>
  <c r="IA113" i="45"/>
  <c r="IB113" i="45"/>
  <c r="IC113" i="45"/>
  <c r="ID113" i="45"/>
  <c r="IE113" i="45"/>
  <c r="IF113" i="45"/>
  <c r="IG113" i="45"/>
  <c r="IH113" i="45"/>
  <c r="II113" i="45"/>
  <c r="IJ113" i="45"/>
  <c r="IK113" i="45"/>
  <c r="IL113" i="45"/>
  <c r="IM113" i="45"/>
  <c r="IN113" i="45"/>
  <c r="IO113" i="45"/>
  <c r="IP113" i="45"/>
  <c r="IQ113" i="45"/>
  <c r="IR113" i="45"/>
  <c r="IS113" i="45"/>
  <c r="IT113" i="45"/>
  <c r="IU113" i="45"/>
  <c r="IV113" i="45"/>
  <c r="A112" i="45"/>
  <c r="B112" i="45"/>
  <c r="C112" i="45"/>
  <c r="D112" i="45"/>
  <c r="E112" i="45"/>
  <c r="F112" i="45"/>
  <c r="G112" i="45"/>
  <c r="H112" i="45"/>
  <c r="I112" i="45"/>
  <c r="J112" i="45"/>
  <c r="K112" i="45"/>
  <c r="L112" i="45"/>
  <c r="M112" i="45"/>
  <c r="N112" i="45"/>
  <c r="O112" i="45"/>
  <c r="P112" i="45"/>
  <c r="Q112" i="45"/>
  <c r="R112" i="45"/>
  <c r="S112" i="45"/>
  <c r="T112" i="45"/>
  <c r="U112" i="45"/>
  <c r="V112" i="45"/>
  <c r="W112" i="45"/>
  <c r="X112" i="45"/>
  <c r="Y112" i="45"/>
  <c r="Z112" i="45"/>
  <c r="AA112" i="45"/>
  <c r="AB112" i="45"/>
  <c r="AC112" i="45"/>
  <c r="AD112" i="45"/>
  <c r="AE112" i="45"/>
  <c r="AF112" i="45"/>
  <c r="AG112" i="45"/>
  <c r="AH112" i="45"/>
  <c r="AI112" i="45"/>
  <c r="AJ112" i="45"/>
  <c r="AK112" i="45"/>
  <c r="AL112" i="45"/>
  <c r="AM112" i="45"/>
  <c r="AN112" i="45"/>
  <c r="AO112" i="45"/>
  <c r="AP112" i="45"/>
  <c r="AQ112" i="45"/>
  <c r="AR112" i="45"/>
  <c r="AS112" i="45"/>
  <c r="AT112" i="45"/>
  <c r="AU112" i="45"/>
  <c r="AV112" i="45"/>
  <c r="AW112" i="45"/>
  <c r="AX112" i="45"/>
  <c r="AY112" i="45"/>
  <c r="AZ112" i="45"/>
  <c r="BA112" i="45"/>
  <c r="BB112" i="45"/>
  <c r="BC112" i="45"/>
  <c r="BD112" i="45"/>
  <c r="BE112" i="45"/>
  <c r="BF112" i="45"/>
  <c r="BG112" i="45"/>
  <c r="BH112" i="45"/>
  <c r="BI112" i="45"/>
  <c r="BJ112" i="45"/>
  <c r="BK112" i="45"/>
  <c r="BL112" i="45"/>
  <c r="BM112" i="45"/>
  <c r="BN112" i="45"/>
  <c r="BO112" i="45"/>
  <c r="BP112" i="45"/>
  <c r="BQ112" i="45"/>
  <c r="BR112" i="45"/>
  <c r="BS112" i="45"/>
  <c r="BT112" i="45"/>
  <c r="BU112" i="45"/>
  <c r="BV112" i="45"/>
  <c r="BW112" i="45"/>
  <c r="BX112" i="45"/>
  <c r="BY112" i="45"/>
  <c r="BZ112" i="45"/>
  <c r="CA112" i="45"/>
  <c r="CB112" i="45"/>
  <c r="CC112" i="45"/>
  <c r="CD112" i="45"/>
  <c r="CE112" i="45"/>
  <c r="CF112" i="45"/>
  <c r="CG112" i="45"/>
  <c r="CH112" i="45"/>
  <c r="CI112" i="45"/>
  <c r="CJ112" i="45"/>
  <c r="CK112" i="45"/>
  <c r="CL112" i="45"/>
  <c r="CM112" i="45"/>
  <c r="CN112" i="45"/>
  <c r="CO112" i="45"/>
  <c r="CP112" i="45"/>
  <c r="CQ112" i="45"/>
  <c r="CR112" i="45"/>
  <c r="CS112" i="45"/>
  <c r="CT112" i="45"/>
  <c r="CU112" i="45"/>
  <c r="CV112" i="45"/>
  <c r="CW112" i="45"/>
  <c r="CX112" i="45"/>
  <c r="CY112" i="45"/>
  <c r="CZ112" i="45"/>
  <c r="DA112" i="45"/>
  <c r="DB112" i="45"/>
  <c r="DC112" i="45"/>
  <c r="DD112" i="45"/>
  <c r="DE112" i="45"/>
  <c r="DF112" i="45"/>
  <c r="DG112" i="45"/>
  <c r="DH112" i="45"/>
  <c r="DI112" i="45"/>
  <c r="DJ112" i="45"/>
  <c r="DK112" i="45"/>
  <c r="DL112" i="45"/>
  <c r="DM112" i="45"/>
  <c r="DN112" i="45"/>
  <c r="DO112" i="45"/>
  <c r="DP112" i="45"/>
  <c r="DQ112" i="45"/>
  <c r="DR112" i="45"/>
  <c r="DS112" i="45"/>
  <c r="DT112" i="45"/>
  <c r="DU112" i="45"/>
  <c r="DV112" i="45"/>
  <c r="DW112" i="45"/>
  <c r="DX112" i="45"/>
  <c r="DY112" i="45"/>
  <c r="DZ112" i="45"/>
  <c r="EA112" i="45"/>
  <c r="EB112" i="45"/>
  <c r="EC112" i="45"/>
  <c r="ED112" i="45"/>
  <c r="EE112" i="45"/>
  <c r="EF112" i="45"/>
  <c r="EG112" i="45"/>
  <c r="EH112" i="45"/>
  <c r="EI112" i="45"/>
  <c r="EJ112" i="45"/>
  <c r="EK112" i="45"/>
  <c r="EL112" i="45"/>
  <c r="EM112" i="45"/>
  <c r="EN112" i="45"/>
  <c r="EO112" i="45"/>
  <c r="EP112" i="45"/>
  <c r="EQ112" i="45"/>
  <c r="ER112" i="45"/>
  <c r="ES112" i="45"/>
  <c r="ET112" i="45"/>
  <c r="EU112" i="45"/>
  <c r="EV112" i="45"/>
  <c r="EW112" i="45"/>
  <c r="EX112" i="45"/>
  <c r="EY112" i="45"/>
  <c r="EZ112" i="45"/>
  <c r="FA112" i="45"/>
  <c r="FB112" i="45"/>
  <c r="FC112" i="45"/>
  <c r="FD112" i="45"/>
  <c r="FE112" i="45"/>
  <c r="FF112" i="45"/>
  <c r="FG112" i="45"/>
  <c r="FH112" i="45"/>
  <c r="FI112" i="45"/>
  <c r="FJ112" i="45"/>
  <c r="FK112" i="45"/>
  <c r="FL112" i="45"/>
  <c r="FM112" i="45"/>
  <c r="FN112" i="45"/>
  <c r="FO112" i="45"/>
  <c r="FP112" i="45"/>
  <c r="FQ112" i="45"/>
  <c r="FR112" i="45"/>
  <c r="FS112" i="45"/>
  <c r="FT112" i="45"/>
  <c r="FU112" i="45"/>
  <c r="FV112" i="45"/>
  <c r="FW112" i="45"/>
  <c r="FX112" i="45"/>
  <c r="FY112" i="45"/>
  <c r="FZ112" i="45"/>
  <c r="GA112" i="45"/>
  <c r="GB112" i="45"/>
  <c r="GC112" i="45"/>
  <c r="GD112" i="45"/>
  <c r="GE112" i="45"/>
  <c r="GF112" i="45"/>
  <c r="GG112" i="45"/>
  <c r="GH112" i="45"/>
  <c r="GI112" i="45"/>
  <c r="GJ112" i="45"/>
  <c r="GK112" i="45"/>
  <c r="GL112" i="45"/>
  <c r="GM112" i="45"/>
  <c r="GN112" i="45"/>
  <c r="GO112" i="45"/>
  <c r="GP112" i="45"/>
  <c r="GQ112" i="45"/>
  <c r="GR112" i="45"/>
  <c r="GS112" i="45"/>
  <c r="GT112" i="45"/>
  <c r="GU112" i="45"/>
  <c r="GV112" i="45"/>
  <c r="GW112" i="45"/>
  <c r="GX112" i="45"/>
  <c r="GY112" i="45"/>
  <c r="GZ112" i="45"/>
  <c r="HA112" i="45"/>
  <c r="HB112" i="45"/>
  <c r="HC112" i="45"/>
  <c r="HD112" i="45"/>
  <c r="HE112" i="45"/>
  <c r="HF112" i="45"/>
  <c r="HG112" i="45"/>
  <c r="HH112" i="45"/>
  <c r="HI112" i="45"/>
  <c r="HJ112" i="45"/>
  <c r="HK112" i="45"/>
  <c r="HL112" i="45"/>
  <c r="HM112" i="45"/>
  <c r="HN112" i="45"/>
  <c r="HO112" i="45"/>
  <c r="HP112" i="45"/>
  <c r="HQ112" i="45"/>
  <c r="HR112" i="45"/>
  <c r="HS112" i="45"/>
  <c r="HT112" i="45"/>
  <c r="HU112" i="45"/>
  <c r="HV112" i="45"/>
  <c r="HW112" i="45"/>
  <c r="HX112" i="45"/>
  <c r="HY112" i="45"/>
  <c r="HZ112" i="45"/>
  <c r="IA112" i="45"/>
  <c r="IB112" i="45"/>
  <c r="IC112" i="45"/>
  <c r="ID112" i="45"/>
  <c r="IE112" i="45"/>
  <c r="IF112" i="45"/>
  <c r="IG112" i="45"/>
  <c r="IH112" i="45"/>
  <c r="II112" i="45"/>
  <c r="IJ112" i="45"/>
  <c r="IK112" i="45"/>
  <c r="IL112" i="45"/>
  <c r="IM112" i="45"/>
  <c r="IN112" i="45"/>
  <c r="IO112" i="45"/>
  <c r="IP112" i="45"/>
  <c r="IQ112" i="45"/>
  <c r="IR112" i="45"/>
  <c r="IS112" i="45"/>
  <c r="IT112" i="45"/>
  <c r="IU112" i="45"/>
  <c r="IV112" i="45"/>
  <c r="A111" i="45"/>
  <c r="B111" i="45"/>
  <c r="C111" i="45"/>
  <c r="D111" i="45"/>
  <c r="E111" i="45"/>
  <c r="F111" i="45"/>
  <c r="G111" i="45"/>
  <c r="H111" i="45"/>
  <c r="I111" i="45"/>
  <c r="J111" i="45"/>
  <c r="K111" i="45"/>
  <c r="L111" i="45"/>
  <c r="M111" i="45"/>
  <c r="N111" i="45"/>
  <c r="O111" i="45"/>
  <c r="P111" i="45"/>
  <c r="Q111" i="45"/>
  <c r="R111" i="45"/>
  <c r="S111" i="45"/>
  <c r="T111" i="45"/>
  <c r="U111" i="45"/>
  <c r="V111" i="45"/>
  <c r="W111" i="45"/>
  <c r="X111" i="45"/>
  <c r="Y111" i="45"/>
  <c r="Z111" i="45"/>
  <c r="AA111" i="45"/>
  <c r="AB111" i="45"/>
  <c r="AC111" i="45"/>
  <c r="AD111" i="45"/>
  <c r="AE111" i="45"/>
  <c r="AF111" i="45"/>
  <c r="AG111" i="45"/>
  <c r="AH111" i="45"/>
  <c r="AI111" i="45"/>
  <c r="AJ111" i="45"/>
  <c r="AK111" i="45"/>
  <c r="AL111" i="45"/>
  <c r="AM111" i="45"/>
  <c r="AN111" i="45"/>
  <c r="AO111" i="45"/>
  <c r="AP111" i="45"/>
  <c r="AQ111" i="45"/>
  <c r="AR111" i="45"/>
  <c r="AS111" i="45"/>
  <c r="AT111" i="45"/>
  <c r="AU111" i="45"/>
  <c r="AV111" i="45"/>
  <c r="AW111" i="45"/>
  <c r="AX111" i="45"/>
  <c r="AY111" i="45"/>
  <c r="AZ111" i="45"/>
  <c r="BA111" i="45"/>
  <c r="BB111" i="45"/>
  <c r="BC111" i="45"/>
  <c r="BD111" i="45"/>
  <c r="BE111" i="45"/>
  <c r="BF111" i="45"/>
  <c r="BG111" i="45"/>
  <c r="BH111" i="45"/>
  <c r="BI111" i="45"/>
  <c r="BJ111" i="45"/>
  <c r="BK111" i="45"/>
  <c r="BL111" i="45"/>
  <c r="BM111" i="45"/>
  <c r="BN111" i="45"/>
  <c r="BO111" i="45"/>
  <c r="BP111" i="45"/>
  <c r="BQ111" i="45"/>
  <c r="BR111" i="45"/>
  <c r="BS111" i="45"/>
  <c r="BT111" i="45"/>
  <c r="BU111" i="45"/>
  <c r="BV111" i="45"/>
  <c r="BW111" i="45"/>
  <c r="BX111" i="45"/>
  <c r="BY111" i="45"/>
  <c r="BZ111" i="45"/>
  <c r="CA111" i="45"/>
  <c r="CB111" i="45"/>
  <c r="CC111" i="45"/>
  <c r="CD111" i="45"/>
  <c r="CE111" i="45"/>
  <c r="CF111" i="45"/>
  <c r="CG111" i="45"/>
  <c r="CH111" i="45"/>
  <c r="CI111" i="45"/>
  <c r="CJ111" i="45"/>
  <c r="CK111" i="45"/>
  <c r="CL111" i="45"/>
  <c r="CM111" i="45"/>
  <c r="CN111" i="45"/>
  <c r="CO111" i="45"/>
  <c r="CP111" i="45"/>
  <c r="CQ111" i="45"/>
  <c r="CR111" i="45"/>
  <c r="CS111" i="45"/>
  <c r="CT111" i="45"/>
  <c r="CU111" i="45"/>
  <c r="CV111" i="45"/>
  <c r="CW111" i="45"/>
  <c r="CX111" i="45"/>
  <c r="CY111" i="45"/>
  <c r="CZ111" i="45"/>
  <c r="DA111" i="45"/>
  <c r="DB111" i="45"/>
  <c r="DC111" i="45"/>
  <c r="DD111" i="45"/>
  <c r="DE111" i="45"/>
  <c r="DF111" i="45"/>
  <c r="DG111" i="45"/>
  <c r="DH111" i="45"/>
  <c r="DI111" i="45"/>
  <c r="DJ111" i="45"/>
  <c r="DK111" i="45"/>
  <c r="DL111" i="45"/>
  <c r="DM111" i="45"/>
  <c r="DN111" i="45"/>
  <c r="DO111" i="45"/>
  <c r="DP111" i="45"/>
  <c r="DQ111" i="45"/>
  <c r="DR111" i="45"/>
  <c r="DS111" i="45"/>
  <c r="DT111" i="45"/>
  <c r="DU111" i="45"/>
  <c r="DV111" i="45"/>
  <c r="DW111" i="45"/>
  <c r="DX111" i="45"/>
  <c r="DY111" i="45"/>
  <c r="DZ111" i="45"/>
  <c r="EA111" i="45"/>
  <c r="EB111" i="45"/>
  <c r="EC111" i="45"/>
  <c r="ED111" i="45"/>
  <c r="EE111" i="45"/>
  <c r="EF111" i="45"/>
  <c r="EG111" i="45"/>
  <c r="EH111" i="45"/>
  <c r="EI111" i="45"/>
  <c r="EJ111" i="45"/>
  <c r="EK111" i="45"/>
  <c r="EL111" i="45"/>
  <c r="EM111" i="45"/>
  <c r="EN111" i="45"/>
  <c r="EO111" i="45"/>
  <c r="EP111" i="45"/>
  <c r="EQ111" i="45"/>
  <c r="ER111" i="45"/>
  <c r="ES111" i="45"/>
  <c r="ET111" i="45"/>
  <c r="EU111" i="45"/>
  <c r="EV111" i="45"/>
  <c r="EW111" i="45"/>
  <c r="EX111" i="45"/>
  <c r="EY111" i="45"/>
  <c r="EZ111" i="45"/>
  <c r="FA111" i="45"/>
  <c r="FB111" i="45"/>
  <c r="FC111" i="45"/>
  <c r="FD111" i="45"/>
  <c r="FE111" i="45"/>
  <c r="FF111" i="45"/>
  <c r="FG111" i="45"/>
  <c r="FH111" i="45"/>
  <c r="FI111" i="45"/>
  <c r="FJ111" i="45"/>
  <c r="FK111" i="45"/>
  <c r="FL111" i="45"/>
  <c r="FM111" i="45"/>
  <c r="FN111" i="45"/>
  <c r="FO111" i="45"/>
  <c r="FP111" i="45"/>
  <c r="FQ111" i="45"/>
  <c r="FR111" i="45"/>
  <c r="FS111" i="45"/>
  <c r="FT111" i="45"/>
  <c r="FU111" i="45"/>
  <c r="FV111" i="45"/>
  <c r="FW111" i="45"/>
  <c r="FX111" i="45"/>
  <c r="FY111" i="45"/>
  <c r="FZ111" i="45"/>
  <c r="GA111" i="45"/>
  <c r="GB111" i="45"/>
  <c r="GC111" i="45"/>
  <c r="GD111" i="45"/>
  <c r="GE111" i="45"/>
  <c r="GF111" i="45"/>
  <c r="GG111" i="45"/>
  <c r="GH111" i="45"/>
  <c r="GI111" i="45"/>
  <c r="GJ111" i="45"/>
  <c r="GK111" i="45"/>
  <c r="GL111" i="45"/>
  <c r="GM111" i="45"/>
  <c r="GN111" i="45"/>
  <c r="GO111" i="45"/>
  <c r="GP111" i="45"/>
  <c r="GQ111" i="45"/>
  <c r="GR111" i="45"/>
  <c r="GS111" i="45"/>
  <c r="GT111" i="45"/>
  <c r="GU111" i="45"/>
  <c r="GV111" i="45"/>
  <c r="GW111" i="45"/>
  <c r="GX111" i="45"/>
  <c r="GY111" i="45"/>
  <c r="GZ111" i="45"/>
  <c r="HA111" i="45"/>
  <c r="HB111" i="45"/>
  <c r="HC111" i="45"/>
  <c r="HD111" i="45"/>
  <c r="HE111" i="45"/>
  <c r="HF111" i="45"/>
  <c r="HG111" i="45"/>
  <c r="HH111" i="45"/>
  <c r="HI111" i="45"/>
  <c r="HJ111" i="45"/>
  <c r="HK111" i="45"/>
  <c r="HL111" i="45"/>
  <c r="HM111" i="45"/>
  <c r="HN111" i="45"/>
  <c r="HO111" i="45"/>
  <c r="HP111" i="45"/>
  <c r="HQ111" i="45"/>
  <c r="HR111" i="45"/>
  <c r="HS111" i="45"/>
  <c r="HT111" i="45"/>
  <c r="HU111" i="45"/>
  <c r="HV111" i="45"/>
  <c r="HW111" i="45"/>
  <c r="HX111" i="45"/>
  <c r="HY111" i="45"/>
  <c r="HZ111" i="45"/>
  <c r="IA111" i="45"/>
  <c r="IB111" i="45"/>
  <c r="IC111" i="45"/>
  <c r="ID111" i="45"/>
  <c r="IE111" i="45"/>
  <c r="IF111" i="45"/>
  <c r="IG111" i="45"/>
  <c r="IH111" i="45"/>
  <c r="II111" i="45"/>
  <c r="IJ111" i="45"/>
  <c r="IK111" i="45"/>
  <c r="IL111" i="45"/>
  <c r="IM111" i="45"/>
  <c r="IN111" i="45"/>
  <c r="IO111" i="45"/>
  <c r="IP111" i="45"/>
  <c r="IQ111" i="45"/>
  <c r="IR111" i="45"/>
  <c r="IS111" i="45"/>
  <c r="IT111" i="45"/>
  <c r="IU111" i="45"/>
  <c r="IV111" i="45"/>
  <c r="A110" i="45"/>
  <c r="B110" i="45"/>
  <c r="C110" i="45"/>
  <c r="D110" i="45"/>
  <c r="E110" i="45"/>
  <c r="F110" i="45"/>
  <c r="G110" i="45"/>
  <c r="H110" i="45"/>
  <c r="I110" i="45"/>
  <c r="J110" i="45"/>
  <c r="K110" i="45"/>
  <c r="L110" i="45"/>
  <c r="M110" i="45"/>
  <c r="N110" i="45"/>
  <c r="O110" i="45"/>
  <c r="P110" i="45"/>
  <c r="Q110" i="45"/>
  <c r="R110" i="45"/>
  <c r="S110" i="45"/>
  <c r="T110" i="45"/>
  <c r="U110" i="45"/>
  <c r="V110" i="45"/>
  <c r="W110" i="45"/>
  <c r="X110" i="45"/>
  <c r="Y110" i="45"/>
  <c r="Z110" i="45"/>
  <c r="AA110" i="45"/>
  <c r="AB110" i="45"/>
  <c r="AC110" i="45"/>
  <c r="AD110" i="45"/>
  <c r="AE110" i="45"/>
  <c r="AF110" i="45"/>
  <c r="AG110" i="45"/>
  <c r="AH110" i="45"/>
  <c r="AI110" i="45"/>
  <c r="AJ110" i="45"/>
  <c r="AK110" i="45"/>
  <c r="AL110" i="45"/>
  <c r="AM110" i="45"/>
  <c r="AN110" i="45"/>
  <c r="AO110" i="45"/>
  <c r="AP110" i="45"/>
  <c r="AQ110" i="45"/>
  <c r="AR110" i="45"/>
  <c r="AS110" i="45"/>
  <c r="AT110" i="45"/>
  <c r="AU110" i="45"/>
  <c r="AV110" i="45"/>
  <c r="AW110" i="45"/>
  <c r="AX110" i="45"/>
  <c r="AY110" i="45"/>
  <c r="AZ110" i="45"/>
  <c r="BA110" i="45"/>
  <c r="BB110" i="45"/>
  <c r="BC110" i="45"/>
  <c r="BD110" i="45"/>
  <c r="BE110" i="45"/>
  <c r="BF110" i="45"/>
  <c r="BG110" i="45"/>
  <c r="BH110" i="45"/>
  <c r="BI110" i="45"/>
  <c r="BJ110" i="45"/>
  <c r="BK110" i="45"/>
  <c r="BL110" i="45"/>
  <c r="BM110" i="45"/>
  <c r="BN110" i="45"/>
  <c r="BO110" i="45"/>
  <c r="BP110" i="45"/>
  <c r="BQ110" i="45"/>
  <c r="BR110" i="45"/>
  <c r="BS110" i="45"/>
  <c r="BT110" i="45"/>
  <c r="BU110" i="45"/>
  <c r="BV110" i="45"/>
  <c r="BW110" i="45"/>
  <c r="BX110" i="45"/>
  <c r="BY110" i="45"/>
  <c r="BZ110" i="45"/>
  <c r="CA110" i="45"/>
  <c r="CB110" i="45"/>
  <c r="CC110" i="45"/>
  <c r="CD110" i="45"/>
  <c r="CE110" i="45"/>
  <c r="CF110" i="45"/>
  <c r="CG110" i="45"/>
  <c r="CH110" i="45"/>
  <c r="CI110" i="45"/>
  <c r="CJ110" i="45"/>
  <c r="CK110" i="45"/>
  <c r="CL110" i="45"/>
  <c r="CM110" i="45"/>
  <c r="CN110" i="45"/>
  <c r="CO110" i="45"/>
  <c r="CP110" i="45"/>
  <c r="CQ110" i="45"/>
  <c r="CR110" i="45"/>
  <c r="CS110" i="45"/>
  <c r="CT110" i="45"/>
  <c r="CU110" i="45"/>
  <c r="CV110" i="45"/>
  <c r="CW110" i="45"/>
  <c r="CX110" i="45"/>
  <c r="CY110" i="45"/>
  <c r="CZ110" i="45"/>
  <c r="DA110" i="45"/>
  <c r="DB110" i="45"/>
  <c r="DC110" i="45"/>
  <c r="DD110" i="45"/>
  <c r="DE110" i="45"/>
  <c r="DF110" i="45"/>
  <c r="DG110" i="45"/>
  <c r="DH110" i="45"/>
  <c r="DI110" i="45"/>
  <c r="DJ110" i="45"/>
  <c r="DK110" i="45"/>
  <c r="DL110" i="45"/>
  <c r="DM110" i="45"/>
  <c r="DN110" i="45"/>
  <c r="DO110" i="45"/>
  <c r="DP110" i="45"/>
  <c r="DQ110" i="45"/>
  <c r="DR110" i="45"/>
  <c r="DS110" i="45"/>
  <c r="DT110" i="45"/>
  <c r="DU110" i="45"/>
  <c r="DV110" i="45"/>
  <c r="DW110" i="45"/>
  <c r="DX110" i="45"/>
  <c r="DY110" i="45"/>
  <c r="DZ110" i="45"/>
  <c r="EA110" i="45"/>
  <c r="EB110" i="45"/>
  <c r="EC110" i="45"/>
  <c r="ED110" i="45"/>
  <c r="EE110" i="45"/>
  <c r="EF110" i="45"/>
  <c r="EG110" i="45"/>
  <c r="EH110" i="45"/>
  <c r="EI110" i="45"/>
  <c r="EJ110" i="45"/>
  <c r="EK110" i="45"/>
  <c r="EL110" i="45"/>
  <c r="EM110" i="45"/>
  <c r="EN110" i="45"/>
  <c r="EO110" i="45"/>
  <c r="EP110" i="45"/>
  <c r="EQ110" i="45"/>
  <c r="ER110" i="45"/>
  <c r="ES110" i="45"/>
  <c r="ET110" i="45"/>
  <c r="EU110" i="45"/>
  <c r="EV110" i="45"/>
  <c r="EW110" i="45"/>
  <c r="EX110" i="45"/>
  <c r="EY110" i="45"/>
  <c r="EZ110" i="45"/>
  <c r="FA110" i="45"/>
  <c r="FB110" i="45"/>
  <c r="FC110" i="45"/>
  <c r="FD110" i="45"/>
  <c r="FE110" i="45"/>
  <c r="FF110" i="45"/>
  <c r="FG110" i="45"/>
  <c r="FH110" i="45"/>
  <c r="FI110" i="45"/>
  <c r="FJ110" i="45"/>
  <c r="FK110" i="45"/>
  <c r="FL110" i="45"/>
  <c r="FM110" i="45"/>
  <c r="FN110" i="45"/>
  <c r="FO110" i="45"/>
  <c r="FP110" i="45"/>
  <c r="FQ110" i="45"/>
  <c r="FR110" i="45"/>
  <c r="FS110" i="45"/>
  <c r="FT110" i="45"/>
  <c r="FU110" i="45"/>
  <c r="FV110" i="45"/>
  <c r="FW110" i="45"/>
  <c r="FX110" i="45"/>
  <c r="FY110" i="45"/>
  <c r="FZ110" i="45"/>
  <c r="GA110" i="45"/>
  <c r="GB110" i="45"/>
  <c r="GC110" i="45"/>
  <c r="GD110" i="45"/>
  <c r="GE110" i="45"/>
  <c r="GF110" i="45"/>
  <c r="GG110" i="45"/>
  <c r="GH110" i="45"/>
  <c r="GI110" i="45"/>
  <c r="GJ110" i="45"/>
  <c r="GK110" i="45"/>
  <c r="GL110" i="45"/>
  <c r="GM110" i="45"/>
  <c r="GN110" i="45"/>
  <c r="GO110" i="45"/>
  <c r="GP110" i="45"/>
  <c r="GQ110" i="45"/>
  <c r="GR110" i="45"/>
  <c r="GS110" i="45"/>
  <c r="GT110" i="45"/>
  <c r="GU110" i="45"/>
  <c r="GV110" i="45"/>
  <c r="GW110" i="45"/>
  <c r="GX110" i="45"/>
  <c r="GY110" i="45"/>
  <c r="GZ110" i="45"/>
  <c r="HA110" i="45"/>
  <c r="HB110" i="45"/>
  <c r="HC110" i="45"/>
  <c r="HD110" i="45"/>
  <c r="HE110" i="45"/>
  <c r="HF110" i="45"/>
  <c r="HG110" i="45"/>
  <c r="HH110" i="45"/>
  <c r="HI110" i="45"/>
  <c r="HJ110" i="45"/>
  <c r="HK110" i="45"/>
  <c r="HL110" i="45"/>
  <c r="HM110" i="45"/>
  <c r="HN110" i="45"/>
  <c r="HO110" i="45"/>
  <c r="HP110" i="45"/>
  <c r="HQ110" i="45"/>
  <c r="HR110" i="45"/>
  <c r="HS110" i="45"/>
  <c r="HT110" i="45"/>
  <c r="HU110" i="45"/>
  <c r="HV110" i="45"/>
  <c r="HW110" i="45"/>
  <c r="HX110" i="45"/>
  <c r="HY110" i="45"/>
  <c r="HZ110" i="45"/>
  <c r="IA110" i="45"/>
  <c r="IB110" i="45"/>
  <c r="IC110" i="45"/>
  <c r="ID110" i="45"/>
  <c r="IE110" i="45"/>
  <c r="IF110" i="45"/>
  <c r="IG110" i="45"/>
  <c r="IH110" i="45"/>
  <c r="II110" i="45"/>
  <c r="IJ110" i="45"/>
  <c r="IK110" i="45"/>
  <c r="IL110" i="45"/>
  <c r="IM110" i="45"/>
  <c r="IN110" i="45"/>
  <c r="IO110" i="45"/>
  <c r="IP110" i="45"/>
  <c r="IQ110" i="45"/>
  <c r="IR110" i="45"/>
  <c r="IS110" i="45"/>
  <c r="IT110" i="45"/>
  <c r="IU110" i="45"/>
  <c r="IV110" i="45"/>
  <c r="A109" i="45"/>
  <c r="B109" i="45"/>
  <c r="C109" i="45"/>
  <c r="E109" i="45"/>
  <c r="F109" i="45"/>
  <c r="G109" i="45"/>
  <c r="H109" i="45"/>
  <c r="I109" i="45"/>
  <c r="J109" i="45"/>
  <c r="K109" i="45"/>
  <c r="L109" i="45"/>
  <c r="M109" i="45"/>
  <c r="N109" i="45"/>
  <c r="O109" i="45"/>
  <c r="P109" i="45"/>
  <c r="Q109" i="45"/>
  <c r="R109" i="45"/>
  <c r="S109" i="45"/>
  <c r="T109" i="45"/>
  <c r="U109" i="45"/>
  <c r="V109" i="45"/>
  <c r="W109" i="45"/>
  <c r="X109" i="45"/>
  <c r="Y109" i="45"/>
  <c r="Z109" i="45"/>
  <c r="AA109" i="45"/>
  <c r="AB109" i="45"/>
  <c r="AC109" i="45"/>
  <c r="AD109" i="45"/>
  <c r="AE109" i="45"/>
  <c r="AF109" i="45"/>
  <c r="AG109" i="45"/>
  <c r="AH109" i="45"/>
  <c r="AI109" i="45"/>
  <c r="AJ109" i="45"/>
  <c r="AK109" i="45"/>
  <c r="AL109" i="45"/>
  <c r="AM109" i="45"/>
  <c r="AN109" i="45"/>
  <c r="AO109" i="45"/>
  <c r="AP109" i="45"/>
  <c r="AQ109" i="45"/>
  <c r="AR109" i="45"/>
  <c r="AS109" i="45"/>
  <c r="AT109" i="45"/>
  <c r="AU109" i="45"/>
  <c r="AV109" i="45"/>
  <c r="AW109" i="45"/>
  <c r="AX109" i="45"/>
  <c r="AY109" i="45"/>
  <c r="AZ109" i="45"/>
  <c r="BA109" i="45"/>
  <c r="BB109" i="45"/>
  <c r="BC109" i="45"/>
  <c r="BD109" i="45"/>
  <c r="BE109" i="45"/>
  <c r="BF109" i="45"/>
  <c r="BG109" i="45"/>
  <c r="BH109" i="45"/>
  <c r="BI109" i="45"/>
  <c r="BJ109" i="45"/>
  <c r="BK109" i="45"/>
  <c r="BL109" i="45"/>
  <c r="BM109" i="45"/>
  <c r="BN109" i="45"/>
  <c r="BO109" i="45"/>
  <c r="BP109" i="45"/>
  <c r="BQ109" i="45"/>
  <c r="BR109" i="45"/>
  <c r="BS109" i="45"/>
  <c r="BT109" i="45"/>
  <c r="BU109" i="45"/>
  <c r="BV109" i="45"/>
  <c r="BW109" i="45"/>
  <c r="BX109" i="45"/>
  <c r="BY109" i="45"/>
  <c r="BZ109" i="45"/>
  <c r="CA109" i="45"/>
  <c r="CB109" i="45"/>
  <c r="CC109" i="45"/>
  <c r="CD109" i="45"/>
  <c r="CE109" i="45"/>
  <c r="CF109" i="45"/>
  <c r="CG109" i="45"/>
  <c r="CH109" i="45"/>
  <c r="CI109" i="45"/>
  <c r="CJ109" i="45"/>
  <c r="CK109" i="45"/>
  <c r="CL109" i="45"/>
  <c r="CM109" i="45"/>
  <c r="CN109" i="45"/>
  <c r="CO109" i="45"/>
  <c r="CP109" i="45"/>
  <c r="CQ109" i="45"/>
  <c r="CR109" i="45"/>
  <c r="CS109" i="45"/>
  <c r="CT109" i="45"/>
  <c r="CU109" i="45"/>
  <c r="CV109" i="45"/>
  <c r="CW109" i="45"/>
  <c r="CX109" i="45"/>
  <c r="CY109" i="45"/>
  <c r="CZ109" i="45"/>
  <c r="DA109" i="45"/>
  <c r="DB109" i="45"/>
  <c r="DC109" i="45"/>
  <c r="DD109" i="45"/>
  <c r="DE109" i="45"/>
  <c r="DF109" i="45"/>
  <c r="DG109" i="45"/>
  <c r="DH109" i="45"/>
  <c r="DI109" i="45"/>
  <c r="DJ109" i="45"/>
  <c r="DK109" i="45"/>
  <c r="DL109" i="45"/>
  <c r="DM109" i="45"/>
  <c r="DN109" i="45"/>
  <c r="DO109" i="45"/>
  <c r="DP109" i="45"/>
  <c r="DQ109" i="45"/>
  <c r="DR109" i="45"/>
  <c r="DS109" i="45"/>
  <c r="DT109" i="45"/>
  <c r="DU109" i="45"/>
  <c r="DV109" i="45"/>
  <c r="DW109" i="45"/>
  <c r="DX109" i="45"/>
  <c r="DY109" i="45"/>
  <c r="DZ109" i="45"/>
  <c r="EA109" i="45"/>
  <c r="EB109" i="45"/>
  <c r="EC109" i="45"/>
  <c r="ED109" i="45"/>
  <c r="EE109" i="45"/>
  <c r="EF109" i="45"/>
  <c r="EG109" i="45"/>
  <c r="EH109" i="45"/>
  <c r="EI109" i="45"/>
  <c r="EJ109" i="45"/>
  <c r="EK109" i="45"/>
  <c r="EL109" i="45"/>
  <c r="EM109" i="45"/>
  <c r="EN109" i="45"/>
  <c r="EO109" i="45"/>
  <c r="EP109" i="45"/>
  <c r="EQ109" i="45"/>
  <c r="ER109" i="45"/>
  <c r="ES109" i="45"/>
  <c r="ET109" i="45"/>
  <c r="EU109" i="45"/>
  <c r="EV109" i="45"/>
  <c r="EW109" i="45"/>
  <c r="EX109" i="45"/>
  <c r="EY109" i="45"/>
  <c r="EZ109" i="45"/>
  <c r="FA109" i="45"/>
  <c r="FB109" i="45"/>
  <c r="FC109" i="45"/>
  <c r="FD109" i="45"/>
  <c r="FE109" i="45"/>
  <c r="FF109" i="45"/>
  <c r="FG109" i="45"/>
  <c r="FH109" i="45"/>
  <c r="FI109" i="45"/>
  <c r="FJ109" i="45"/>
  <c r="FK109" i="45"/>
  <c r="FL109" i="45"/>
  <c r="FM109" i="45"/>
  <c r="FN109" i="45"/>
  <c r="FO109" i="45"/>
  <c r="FP109" i="45"/>
  <c r="FQ109" i="45"/>
  <c r="FR109" i="45"/>
  <c r="FS109" i="45"/>
  <c r="FT109" i="45"/>
  <c r="FU109" i="45"/>
  <c r="FV109" i="45"/>
  <c r="FW109" i="45"/>
  <c r="FX109" i="45"/>
  <c r="FY109" i="45"/>
  <c r="FZ109" i="45"/>
  <c r="GA109" i="45"/>
  <c r="GB109" i="45"/>
  <c r="GC109" i="45"/>
  <c r="GD109" i="45"/>
  <c r="GE109" i="45"/>
  <c r="GF109" i="45"/>
  <c r="GG109" i="45"/>
  <c r="GH109" i="45"/>
  <c r="GI109" i="45"/>
  <c r="GJ109" i="45"/>
  <c r="GK109" i="45"/>
  <c r="GL109" i="45"/>
  <c r="GM109" i="45"/>
  <c r="GN109" i="45"/>
  <c r="GO109" i="45"/>
  <c r="GP109" i="45"/>
  <c r="GQ109" i="45"/>
  <c r="GR109" i="45"/>
  <c r="GS109" i="45"/>
  <c r="GT109" i="45"/>
  <c r="GU109" i="45"/>
  <c r="GV109" i="45"/>
  <c r="GW109" i="45"/>
  <c r="GX109" i="45"/>
  <c r="GY109" i="45"/>
  <c r="GZ109" i="45"/>
  <c r="HA109" i="45"/>
  <c r="HB109" i="45"/>
  <c r="HC109" i="45"/>
  <c r="HD109" i="45"/>
  <c r="HE109" i="45"/>
  <c r="HF109" i="45"/>
  <c r="HG109" i="45"/>
  <c r="HH109" i="45"/>
  <c r="HI109" i="45"/>
  <c r="HJ109" i="45"/>
  <c r="HK109" i="45"/>
  <c r="HL109" i="45"/>
  <c r="HM109" i="45"/>
  <c r="HN109" i="45"/>
  <c r="HO109" i="45"/>
  <c r="HP109" i="45"/>
  <c r="HQ109" i="45"/>
  <c r="HR109" i="45"/>
  <c r="HS109" i="45"/>
  <c r="HT109" i="45"/>
  <c r="HU109" i="45"/>
  <c r="HV109" i="45"/>
  <c r="HW109" i="45"/>
  <c r="HX109" i="45"/>
  <c r="HY109" i="45"/>
  <c r="HZ109" i="45"/>
  <c r="IA109" i="45"/>
  <c r="IB109" i="45"/>
  <c r="IC109" i="45"/>
  <c r="ID109" i="45"/>
  <c r="IE109" i="45"/>
  <c r="IF109" i="45"/>
  <c r="IG109" i="45"/>
  <c r="IH109" i="45"/>
  <c r="II109" i="45"/>
  <c r="IJ109" i="45"/>
  <c r="IK109" i="45"/>
  <c r="IL109" i="45"/>
  <c r="IM109" i="45"/>
  <c r="IN109" i="45"/>
  <c r="IO109" i="45"/>
  <c r="IP109" i="45"/>
  <c r="IQ109" i="45"/>
  <c r="IR109" i="45"/>
  <c r="IS109" i="45"/>
  <c r="IT109" i="45"/>
  <c r="IU109" i="45"/>
  <c r="IV109" i="45"/>
  <c r="A108" i="45"/>
  <c r="B108" i="45"/>
  <c r="C108" i="45"/>
  <c r="D108" i="45"/>
  <c r="E108" i="45"/>
  <c r="F108" i="45"/>
  <c r="G108" i="45"/>
  <c r="H108" i="45"/>
  <c r="I108" i="45"/>
  <c r="J108" i="45"/>
  <c r="K108" i="45"/>
  <c r="L108" i="45"/>
  <c r="M108" i="45"/>
  <c r="N108" i="45"/>
  <c r="O108" i="45"/>
  <c r="P108" i="45"/>
  <c r="Q108" i="45"/>
  <c r="R108" i="45"/>
  <c r="S108" i="45"/>
  <c r="T108" i="45"/>
  <c r="U108" i="45"/>
  <c r="V108" i="45"/>
  <c r="W108" i="45"/>
  <c r="X108" i="45"/>
  <c r="Y108" i="45"/>
  <c r="Z108" i="45"/>
  <c r="AA108" i="45"/>
  <c r="AB108" i="45"/>
  <c r="AC108" i="45"/>
  <c r="AD108" i="45"/>
  <c r="AE108" i="45"/>
  <c r="AF108" i="45"/>
  <c r="AG108" i="45"/>
  <c r="AH108" i="45"/>
  <c r="AI108" i="45"/>
  <c r="AJ108" i="45"/>
  <c r="AK108" i="45"/>
  <c r="AL108" i="45"/>
  <c r="AM108" i="45"/>
  <c r="AN108" i="45"/>
  <c r="AO108" i="45"/>
  <c r="AP108" i="45"/>
  <c r="AQ108" i="45"/>
  <c r="AR108" i="45"/>
  <c r="AS108" i="45"/>
  <c r="AT108" i="45"/>
  <c r="AU108" i="45"/>
  <c r="AV108" i="45"/>
  <c r="AW108" i="45"/>
  <c r="AX108" i="45"/>
  <c r="AY108" i="45"/>
  <c r="AZ108" i="45"/>
  <c r="BA108" i="45"/>
  <c r="BB108" i="45"/>
  <c r="BC108" i="45"/>
  <c r="BD108" i="45"/>
  <c r="BE108" i="45"/>
  <c r="BF108" i="45"/>
  <c r="BG108" i="45"/>
  <c r="BH108" i="45"/>
  <c r="BI108" i="45"/>
  <c r="BJ108" i="45"/>
  <c r="BK108" i="45"/>
  <c r="BL108" i="45"/>
  <c r="BM108" i="45"/>
  <c r="BN108" i="45"/>
  <c r="BO108" i="45"/>
  <c r="BP108" i="45"/>
  <c r="BQ108" i="45"/>
  <c r="BR108" i="45"/>
  <c r="BS108" i="45"/>
  <c r="BT108" i="45"/>
  <c r="BU108" i="45"/>
  <c r="BV108" i="45"/>
  <c r="BW108" i="45"/>
  <c r="BX108" i="45"/>
  <c r="BY108" i="45"/>
  <c r="BZ108" i="45"/>
  <c r="CA108" i="45"/>
  <c r="CB108" i="45"/>
  <c r="CC108" i="45"/>
  <c r="CD108" i="45"/>
  <c r="CE108" i="45"/>
  <c r="CF108" i="45"/>
  <c r="CG108" i="45"/>
  <c r="CH108" i="45"/>
  <c r="CI108" i="45"/>
  <c r="CJ108" i="45"/>
  <c r="CK108" i="45"/>
  <c r="CL108" i="45"/>
  <c r="CM108" i="45"/>
  <c r="CN108" i="45"/>
  <c r="CO108" i="45"/>
  <c r="CP108" i="45"/>
  <c r="CQ108" i="45"/>
  <c r="CR108" i="45"/>
  <c r="CS108" i="45"/>
  <c r="CT108" i="45"/>
  <c r="CU108" i="45"/>
  <c r="CV108" i="45"/>
  <c r="CW108" i="45"/>
  <c r="CX108" i="45"/>
  <c r="CY108" i="45"/>
  <c r="CZ108" i="45"/>
  <c r="DA108" i="45"/>
  <c r="DB108" i="45"/>
  <c r="DC108" i="45"/>
  <c r="DD108" i="45"/>
  <c r="DE108" i="45"/>
  <c r="DF108" i="45"/>
  <c r="DG108" i="45"/>
  <c r="DH108" i="45"/>
  <c r="DI108" i="45"/>
  <c r="DJ108" i="45"/>
  <c r="DK108" i="45"/>
  <c r="DL108" i="45"/>
  <c r="DM108" i="45"/>
  <c r="DN108" i="45"/>
  <c r="DO108" i="45"/>
  <c r="DP108" i="45"/>
  <c r="DQ108" i="45"/>
  <c r="DR108" i="45"/>
  <c r="DS108" i="45"/>
  <c r="DT108" i="45"/>
  <c r="DU108" i="45"/>
  <c r="DV108" i="45"/>
  <c r="DW108" i="45"/>
  <c r="DX108" i="45"/>
  <c r="DY108" i="45"/>
  <c r="DZ108" i="45"/>
  <c r="EA108" i="45"/>
  <c r="EB108" i="45"/>
  <c r="EC108" i="45"/>
  <c r="ED108" i="45"/>
  <c r="EE108" i="45"/>
  <c r="EF108" i="45"/>
  <c r="EG108" i="45"/>
  <c r="EH108" i="45"/>
  <c r="EI108" i="45"/>
  <c r="EJ108" i="45"/>
  <c r="EK108" i="45"/>
  <c r="EL108" i="45"/>
  <c r="EM108" i="45"/>
  <c r="EN108" i="45"/>
  <c r="EO108" i="45"/>
  <c r="EP108" i="45"/>
  <c r="EQ108" i="45"/>
  <c r="ER108" i="45"/>
  <c r="ES108" i="45"/>
  <c r="ET108" i="45"/>
  <c r="EU108" i="45"/>
  <c r="EV108" i="45"/>
  <c r="EW108" i="45"/>
  <c r="EX108" i="45"/>
  <c r="EY108" i="45"/>
  <c r="EZ108" i="45"/>
  <c r="FA108" i="45"/>
  <c r="FB108" i="45"/>
  <c r="FC108" i="45"/>
  <c r="FD108" i="45"/>
  <c r="FE108" i="45"/>
  <c r="FF108" i="45"/>
  <c r="FG108" i="45"/>
  <c r="FH108" i="45"/>
  <c r="FI108" i="45"/>
  <c r="FJ108" i="45"/>
  <c r="FK108" i="45"/>
  <c r="FL108" i="45"/>
  <c r="FM108" i="45"/>
  <c r="FN108" i="45"/>
  <c r="FO108" i="45"/>
  <c r="FP108" i="45"/>
  <c r="FQ108" i="45"/>
  <c r="FR108" i="45"/>
  <c r="FS108" i="45"/>
  <c r="FT108" i="45"/>
  <c r="FU108" i="45"/>
  <c r="FV108" i="45"/>
  <c r="FW108" i="45"/>
  <c r="FX108" i="45"/>
  <c r="FY108" i="45"/>
  <c r="FZ108" i="45"/>
  <c r="GA108" i="45"/>
  <c r="GB108" i="45"/>
  <c r="GC108" i="45"/>
  <c r="GD108" i="45"/>
  <c r="GE108" i="45"/>
  <c r="GF108" i="45"/>
  <c r="GG108" i="45"/>
  <c r="GH108" i="45"/>
  <c r="GI108" i="45"/>
  <c r="GJ108" i="45"/>
  <c r="GK108" i="45"/>
  <c r="GL108" i="45"/>
  <c r="GM108" i="45"/>
  <c r="GN108" i="45"/>
  <c r="GO108" i="45"/>
  <c r="GP108" i="45"/>
  <c r="GQ108" i="45"/>
  <c r="GR108" i="45"/>
  <c r="GS108" i="45"/>
  <c r="GT108" i="45"/>
  <c r="GU108" i="45"/>
  <c r="GV108" i="45"/>
  <c r="GW108" i="45"/>
  <c r="GX108" i="45"/>
  <c r="GY108" i="45"/>
  <c r="GZ108" i="45"/>
  <c r="HA108" i="45"/>
  <c r="HB108" i="45"/>
  <c r="HC108" i="45"/>
  <c r="HD108" i="45"/>
  <c r="HE108" i="45"/>
  <c r="HF108" i="45"/>
  <c r="HG108" i="45"/>
  <c r="HH108" i="45"/>
  <c r="HI108" i="45"/>
  <c r="HJ108" i="45"/>
  <c r="HK108" i="45"/>
  <c r="HL108" i="45"/>
  <c r="HM108" i="45"/>
  <c r="HN108" i="45"/>
  <c r="HO108" i="45"/>
  <c r="HP108" i="45"/>
  <c r="HQ108" i="45"/>
  <c r="HR108" i="45"/>
  <c r="HS108" i="45"/>
  <c r="HT108" i="45"/>
  <c r="HU108" i="45"/>
  <c r="HV108" i="45"/>
  <c r="HW108" i="45"/>
  <c r="HX108" i="45"/>
  <c r="HY108" i="45"/>
  <c r="HZ108" i="45"/>
  <c r="IA108" i="45"/>
  <c r="IB108" i="45"/>
  <c r="IC108" i="45"/>
  <c r="ID108" i="45"/>
  <c r="IE108" i="45"/>
  <c r="IF108" i="45"/>
  <c r="IG108" i="45"/>
  <c r="IH108" i="45"/>
  <c r="II108" i="45"/>
  <c r="IJ108" i="45"/>
  <c r="IK108" i="45"/>
  <c r="IL108" i="45"/>
  <c r="IM108" i="45"/>
  <c r="IN108" i="45"/>
  <c r="IO108" i="45"/>
  <c r="IP108" i="45"/>
  <c r="IQ108" i="45"/>
  <c r="IR108" i="45"/>
  <c r="IS108" i="45"/>
  <c r="IT108" i="45"/>
  <c r="IU108" i="45"/>
  <c r="IV108" i="45"/>
  <c r="A107" i="45"/>
  <c r="B107" i="45"/>
  <c r="C107" i="45"/>
  <c r="D107" i="45"/>
  <c r="E107" i="45"/>
  <c r="F107" i="45"/>
  <c r="G107" i="45"/>
  <c r="H107" i="45"/>
  <c r="I107" i="45"/>
  <c r="J107" i="45"/>
  <c r="K107" i="45"/>
  <c r="L107" i="45"/>
  <c r="M107" i="45"/>
  <c r="N107" i="45"/>
  <c r="O107" i="45"/>
  <c r="P107" i="45"/>
  <c r="Q107" i="45"/>
  <c r="R107" i="45"/>
  <c r="S107" i="45"/>
  <c r="T107" i="45"/>
  <c r="U107" i="45"/>
  <c r="V107" i="45"/>
  <c r="W107" i="45"/>
  <c r="X107" i="45"/>
  <c r="Y107" i="45"/>
  <c r="Z107" i="45"/>
  <c r="AA107" i="45"/>
  <c r="AB107" i="45"/>
  <c r="AC107" i="45"/>
  <c r="AD107" i="45"/>
  <c r="AE107" i="45"/>
  <c r="AF107" i="45"/>
  <c r="AG107" i="45"/>
  <c r="AH107" i="45"/>
  <c r="AI107" i="45"/>
  <c r="AJ107" i="45"/>
  <c r="AK107" i="45"/>
  <c r="AL107" i="45"/>
  <c r="AM107" i="45"/>
  <c r="AN107" i="45"/>
  <c r="AO107" i="45"/>
  <c r="AP107" i="45"/>
  <c r="AQ107" i="45"/>
  <c r="AR107" i="45"/>
  <c r="AS107" i="45"/>
  <c r="AT107" i="45"/>
  <c r="AU107" i="45"/>
  <c r="AV107" i="45"/>
  <c r="AW107" i="45"/>
  <c r="AX107" i="45"/>
  <c r="AY107" i="45"/>
  <c r="AZ107" i="45"/>
  <c r="BA107" i="45"/>
  <c r="BB107" i="45"/>
  <c r="BC107" i="45"/>
  <c r="BD107" i="45"/>
  <c r="BE107" i="45"/>
  <c r="BF107" i="45"/>
  <c r="BG107" i="45"/>
  <c r="BH107" i="45"/>
  <c r="BI107" i="45"/>
  <c r="BJ107" i="45"/>
  <c r="BK107" i="45"/>
  <c r="BL107" i="45"/>
  <c r="BM107" i="45"/>
  <c r="BN107" i="45"/>
  <c r="BO107" i="45"/>
  <c r="BP107" i="45"/>
  <c r="BQ107" i="45"/>
  <c r="BR107" i="45"/>
  <c r="BS107" i="45"/>
  <c r="BT107" i="45"/>
  <c r="BU107" i="45"/>
  <c r="BV107" i="45"/>
  <c r="BW107" i="45"/>
  <c r="BX107" i="45"/>
  <c r="BY107" i="45"/>
  <c r="BZ107" i="45"/>
  <c r="CA107" i="45"/>
  <c r="CB107" i="45"/>
  <c r="CC107" i="45"/>
  <c r="CD107" i="45"/>
  <c r="CE107" i="45"/>
  <c r="CF107" i="45"/>
  <c r="CG107" i="45"/>
  <c r="CH107" i="45"/>
  <c r="CI107" i="45"/>
  <c r="CJ107" i="45"/>
  <c r="CK107" i="45"/>
  <c r="CL107" i="45"/>
  <c r="CM107" i="45"/>
  <c r="CN107" i="45"/>
  <c r="CO107" i="45"/>
  <c r="CP107" i="45"/>
  <c r="CQ107" i="45"/>
  <c r="CR107" i="45"/>
  <c r="CS107" i="45"/>
  <c r="CT107" i="45"/>
  <c r="CU107" i="45"/>
  <c r="CV107" i="45"/>
  <c r="CW107" i="45"/>
  <c r="CX107" i="45"/>
  <c r="CY107" i="45"/>
  <c r="CZ107" i="45"/>
  <c r="DA107" i="45"/>
  <c r="DB107" i="45"/>
  <c r="DC107" i="45"/>
  <c r="DD107" i="45"/>
  <c r="DE107" i="45"/>
  <c r="DF107" i="45"/>
  <c r="DG107" i="45"/>
  <c r="DH107" i="45"/>
  <c r="DI107" i="45"/>
  <c r="DJ107" i="45"/>
  <c r="DK107" i="45"/>
  <c r="DL107" i="45"/>
  <c r="DM107" i="45"/>
  <c r="DN107" i="45"/>
  <c r="DO107" i="45"/>
  <c r="DP107" i="45"/>
  <c r="DQ107" i="45"/>
  <c r="DR107" i="45"/>
  <c r="DS107" i="45"/>
  <c r="DT107" i="45"/>
  <c r="DU107" i="45"/>
  <c r="DV107" i="45"/>
  <c r="DW107" i="45"/>
  <c r="DX107" i="45"/>
  <c r="DY107" i="45"/>
  <c r="DZ107" i="45"/>
  <c r="EA107" i="45"/>
  <c r="EB107" i="45"/>
  <c r="EC107" i="45"/>
  <c r="ED107" i="45"/>
  <c r="EE107" i="45"/>
  <c r="EF107" i="45"/>
  <c r="EG107" i="45"/>
  <c r="EH107" i="45"/>
  <c r="EI107" i="45"/>
  <c r="EJ107" i="45"/>
  <c r="EK107" i="45"/>
  <c r="EL107" i="45"/>
  <c r="EM107" i="45"/>
  <c r="EN107" i="45"/>
  <c r="EO107" i="45"/>
  <c r="EP107" i="45"/>
  <c r="EQ107" i="45"/>
  <c r="ER107" i="45"/>
  <c r="ES107" i="45"/>
  <c r="ET107" i="45"/>
  <c r="EU107" i="45"/>
  <c r="EV107" i="45"/>
  <c r="EW107" i="45"/>
  <c r="EX107" i="45"/>
  <c r="EY107" i="45"/>
  <c r="EZ107" i="45"/>
  <c r="FA107" i="45"/>
  <c r="FB107" i="45"/>
  <c r="FC107" i="45"/>
  <c r="FD107" i="45"/>
  <c r="FE107" i="45"/>
  <c r="FF107" i="45"/>
  <c r="FG107" i="45"/>
  <c r="FH107" i="45"/>
  <c r="FI107" i="45"/>
  <c r="FJ107" i="45"/>
  <c r="FK107" i="45"/>
  <c r="FL107" i="45"/>
  <c r="FM107" i="45"/>
  <c r="FN107" i="45"/>
  <c r="FO107" i="45"/>
  <c r="FP107" i="45"/>
  <c r="FQ107" i="45"/>
  <c r="FR107" i="45"/>
  <c r="FS107" i="45"/>
  <c r="FT107" i="45"/>
  <c r="FU107" i="45"/>
  <c r="FV107" i="45"/>
  <c r="FW107" i="45"/>
  <c r="FX107" i="45"/>
  <c r="FY107" i="45"/>
  <c r="FZ107" i="45"/>
  <c r="GA107" i="45"/>
  <c r="GB107" i="45"/>
  <c r="GC107" i="45"/>
  <c r="GD107" i="45"/>
  <c r="GE107" i="45"/>
  <c r="GF107" i="45"/>
  <c r="GG107" i="45"/>
  <c r="GH107" i="45"/>
  <c r="GI107" i="45"/>
  <c r="GJ107" i="45"/>
  <c r="GK107" i="45"/>
  <c r="GL107" i="45"/>
  <c r="GM107" i="45"/>
  <c r="GN107" i="45"/>
  <c r="GO107" i="45"/>
  <c r="GP107" i="45"/>
  <c r="GQ107" i="45"/>
  <c r="GR107" i="45"/>
  <c r="GS107" i="45"/>
  <c r="GT107" i="45"/>
  <c r="GU107" i="45"/>
  <c r="GV107" i="45"/>
  <c r="GW107" i="45"/>
  <c r="GX107" i="45"/>
  <c r="GY107" i="45"/>
  <c r="GZ107" i="45"/>
  <c r="HA107" i="45"/>
  <c r="HB107" i="45"/>
  <c r="HC107" i="45"/>
  <c r="HD107" i="45"/>
  <c r="HE107" i="45"/>
  <c r="HF107" i="45"/>
  <c r="HG107" i="45"/>
  <c r="HH107" i="45"/>
  <c r="HI107" i="45"/>
  <c r="HJ107" i="45"/>
  <c r="HK107" i="45"/>
  <c r="HL107" i="45"/>
  <c r="HM107" i="45"/>
  <c r="HN107" i="45"/>
  <c r="HO107" i="45"/>
  <c r="HP107" i="45"/>
  <c r="HQ107" i="45"/>
  <c r="HR107" i="45"/>
  <c r="HS107" i="45"/>
  <c r="HT107" i="45"/>
  <c r="HU107" i="45"/>
  <c r="HV107" i="45"/>
  <c r="HW107" i="45"/>
  <c r="HX107" i="45"/>
  <c r="HY107" i="45"/>
  <c r="HZ107" i="45"/>
  <c r="IA107" i="45"/>
  <c r="IB107" i="45"/>
  <c r="IC107" i="45"/>
  <c r="ID107" i="45"/>
  <c r="IE107" i="45"/>
  <c r="IF107" i="45"/>
  <c r="IG107" i="45"/>
  <c r="IH107" i="45"/>
  <c r="II107" i="45"/>
  <c r="IJ107" i="45"/>
  <c r="IK107" i="45"/>
  <c r="IL107" i="45"/>
  <c r="IM107" i="45"/>
  <c r="IN107" i="45"/>
  <c r="IO107" i="45"/>
  <c r="IP107" i="45"/>
  <c r="IQ107" i="45"/>
  <c r="IR107" i="45"/>
  <c r="IS107" i="45"/>
  <c r="IT107" i="45"/>
  <c r="IU107" i="45"/>
  <c r="IV107" i="45"/>
  <c r="A106" i="45"/>
  <c r="B106" i="45"/>
  <c r="C106" i="45"/>
  <c r="D106" i="45"/>
  <c r="E106" i="45"/>
  <c r="F106" i="45"/>
  <c r="G106" i="45"/>
  <c r="H106" i="45"/>
  <c r="I106" i="45"/>
  <c r="J106" i="45"/>
  <c r="K106" i="45"/>
  <c r="L106" i="45"/>
  <c r="M106" i="45"/>
  <c r="N106" i="45"/>
  <c r="O106" i="45"/>
  <c r="P106" i="45"/>
  <c r="Q106" i="45"/>
  <c r="R106" i="45"/>
  <c r="S106" i="45"/>
  <c r="T106" i="45"/>
  <c r="U106" i="45"/>
  <c r="V106" i="45"/>
  <c r="W106" i="45"/>
  <c r="X106" i="45"/>
  <c r="Y106" i="45"/>
  <c r="Z106" i="45"/>
  <c r="AA106" i="45"/>
  <c r="AB106" i="45"/>
  <c r="AC106" i="45"/>
  <c r="AD106" i="45"/>
  <c r="AE106" i="45"/>
  <c r="AF106" i="45"/>
  <c r="AG106" i="45"/>
  <c r="AH106" i="45"/>
  <c r="AI106" i="45"/>
  <c r="AJ106" i="45"/>
  <c r="AK106" i="45"/>
  <c r="AL106" i="45"/>
  <c r="AM106" i="45"/>
  <c r="AN106" i="45"/>
  <c r="AO106" i="45"/>
  <c r="AP106" i="45"/>
  <c r="AQ106" i="45"/>
  <c r="AR106" i="45"/>
  <c r="AS106" i="45"/>
  <c r="AT106" i="45"/>
  <c r="AU106" i="45"/>
  <c r="AV106" i="45"/>
  <c r="AW106" i="45"/>
  <c r="AX106" i="45"/>
  <c r="AY106" i="45"/>
  <c r="AZ106" i="45"/>
  <c r="BA106" i="45"/>
  <c r="BB106" i="45"/>
  <c r="BC106" i="45"/>
  <c r="BD106" i="45"/>
  <c r="BE106" i="45"/>
  <c r="BF106" i="45"/>
  <c r="BG106" i="45"/>
  <c r="BH106" i="45"/>
  <c r="BI106" i="45"/>
  <c r="BJ106" i="45"/>
  <c r="BK106" i="45"/>
  <c r="BL106" i="45"/>
  <c r="BM106" i="45"/>
  <c r="BN106" i="45"/>
  <c r="BO106" i="45"/>
  <c r="BP106" i="45"/>
  <c r="BQ106" i="45"/>
  <c r="BR106" i="45"/>
  <c r="BS106" i="45"/>
  <c r="BT106" i="45"/>
  <c r="BU106" i="45"/>
  <c r="BV106" i="45"/>
  <c r="BW106" i="45"/>
  <c r="BX106" i="45"/>
  <c r="BY106" i="45"/>
  <c r="BZ106" i="45"/>
  <c r="CA106" i="45"/>
  <c r="CB106" i="45"/>
  <c r="CC106" i="45"/>
  <c r="CD106" i="45"/>
  <c r="CE106" i="45"/>
  <c r="CF106" i="45"/>
  <c r="CG106" i="45"/>
  <c r="CH106" i="45"/>
  <c r="CI106" i="45"/>
  <c r="CJ106" i="45"/>
  <c r="CK106" i="45"/>
  <c r="CL106" i="45"/>
  <c r="CM106" i="45"/>
  <c r="CN106" i="45"/>
  <c r="CO106" i="45"/>
  <c r="CP106" i="45"/>
  <c r="CQ106" i="45"/>
  <c r="CR106" i="45"/>
  <c r="CS106" i="45"/>
  <c r="CT106" i="45"/>
  <c r="CU106" i="45"/>
  <c r="CV106" i="45"/>
  <c r="CW106" i="45"/>
  <c r="CX106" i="45"/>
  <c r="CY106" i="45"/>
  <c r="CZ106" i="45"/>
  <c r="DA106" i="45"/>
  <c r="DB106" i="45"/>
  <c r="DC106" i="45"/>
  <c r="DD106" i="45"/>
  <c r="DE106" i="45"/>
  <c r="DF106" i="45"/>
  <c r="DG106" i="45"/>
  <c r="DH106" i="45"/>
  <c r="DI106" i="45"/>
  <c r="DJ106" i="45"/>
  <c r="DK106" i="45"/>
  <c r="DL106" i="45"/>
  <c r="DM106" i="45"/>
  <c r="DN106" i="45"/>
  <c r="DO106" i="45"/>
  <c r="DP106" i="45"/>
  <c r="DQ106" i="45"/>
  <c r="DR106" i="45"/>
  <c r="DS106" i="45"/>
  <c r="DT106" i="45"/>
  <c r="DU106" i="45"/>
  <c r="DV106" i="45"/>
  <c r="DW106" i="45"/>
  <c r="DX106" i="45"/>
  <c r="DY106" i="45"/>
  <c r="DZ106" i="45"/>
  <c r="EA106" i="45"/>
  <c r="EB106" i="45"/>
  <c r="EC106" i="45"/>
  <c r="ED106" i="45"/>
  <c r="EE106" i="45"/>
  <c r="EF106" i="45"/>
  <c r="EG106" i="45"/>
  <c r="EH106" i="45"/>
  <c r="EI106" i="45"/>
  <c r="EJ106" i="45"/>
  <c r="EK106" i="45"/>
  <c r="EL106" i="45"/>
  <c r="EM106" i="45"/>
  <c r="EN106" i="45"/>
  <c r="EO106" i="45"/>
  <c r="EP106" i="45"/>
  <c r="EQ106" i="45"/>
  <c r="ER106" i="45"/>
  <c r="ES106" i="45"/>
  <c r="ET106" i="45"/>
  <c r="EU106" i="45"/>
  <c r="EV106" i="45"/>
  <c r="EW106" i="45"/>
  <c r="EX106" i="45"/>
  <c r="EY106" i="45"/>
  <c r="EZ106" i="45"/>
  <c r="FA106" i="45"/>
  <c r="FB106" i="45"/>
  <c r="FC106" i="45"/>
  <c r="FD106" i="45"/>
  <c r="FE106" i="45"/>
  <c r="FF106" i="45"/>
  <c r="FG106" i="45"/>
  <c r="FH106" i="45"/>
  <c r="FI106" i="45"/>
  <c r="FJ106" i="45"/>
  <c r="FK106" i="45"/>
  <c r="FL106" i="45"/>
  <c r="FM106" i="45"/>
  <c r="FN106" i="45"/>
  <c r="FO106" i="45"/>
  <c r="FP106" i="45"/>
  <c r="FQ106" i="45"/>
  <c r="FR106" i="45"/>
  <c r="FS106" i="45"/>
  <c r="FT106" i="45"/>
  <c r="FU106" i="45"/>
  <c r="FV106" i="45"/>
  <c r="FW106" i="45"/>
  <c r="FX106" i="45"/>
  <c r="FY106" i="45"/>
  <c r="FZ106" i="45"/>
  <c r="GA106" i="45"/>
  <c r="GB106" i="45"/>
  <c r="GC106" i="45"/>
  <c r="GD106" i="45"/>
  <c r="GE106" i="45"/>
  <c r="GF106" i="45"/>
  <c r="GG106" i="45"/>
  <c r="GH106" i="45"/>
  <c r="GI106" i="45"/>
  <c r="GJ106" i="45"/>
  <c r="GK106" i="45"/>
  <c r="GL106" i="45"/>
  <c r="GM106" i="45"/>
  <c r="GN106" i="45"/>
  <c r="GO106" i="45"/>
  <c r="GP106" i="45"/>
  <c r="GQ106" i="45"/>
  <c r="GR106" i="45"/>
  <c r="GS106" i="45"/>
  <c r="GT106" i="45"/>
  <c r="GU106" i="45"/>
  <c r="GV106" i="45"/>
  <c r="GW106" i="45"/>
  <c r="GX106" i="45"/>
  <c r="GY106" i="45"/>
  <c r="GZ106" i="45"/>
  <c r="HA106" i="45"/>
  <c r="HB106" i="45"/>
  <c r="HC106" i="45"/>
  <c r="HD106" i="45"/>
  <c r="HE106" i="45"/>
  <c r="HF106" i="45"/>
  <c r="HG106" i="45"/>
  <c r="HH106" i="45"/>
  <c r="HI106" i="45"/>
  <c r="HJ106" i="45"/>
  <c r="HK106" i="45"/>
  <c r="HL106" i="45"/>
  <c r="HM106" i="45"/>
  <c r="HN106" i="45"/>
  <c r="HO106" i="45"/>
  <c r="HP106" i="45"/>
  <c r="HQ106" i="45"/>
  <c r="HR106" i="45"/>
  <c r="HS106" i="45"/>
  <c r="HT106" i="45"/>
  <c r="HU106" i="45"/>
  <c r="HV106" i="45"/>
  <c r="HW106" i="45"/>
  <c r="HX106" i="45"/>
  <c r="HY106" i="45"/>
  <c r="HZ106" i="45"/>
  <c r="IA106" i="45"/>
  <c r="IB106" i="45"/>
  <c r="IC106" i="45"/>
  <c r="ID106" i="45"/>
  <c r="IE106" i="45"/>
  <c r="IF106" i="45"/>
  <c r="IG106" i="45"/>
  <c r="IH106" i="45"/>
  <c r="II106" i="45"/>
  <c r="IJ106" i="45"/>
  <c r="IK106" i="45"/>
  <c r="IL106" i="45"/>
  <c r="IM106" i="45"/>
  <c r="IN106" i="45"/>
  <c r="IO106" i="45"/>
  <c r="IP106" i="45"/>
  <c r="IQ106" i="45"/>
  <c r="IR106" i="45"/>
  <c r="IS106" i="45"/>
  <c r="IT106" i="45"/>
  <c r="IU106" i="45"/>
  <c r="IV106" i="45"/>
  <c r="A105" i="45"/>
  <c r="B105" i="45"/>
  <c r="C105" i="45"/>
  <c r="D105" i="45"/>
  <c r="E105" i="45"/>
  <c r="F105" i="45"/>
  <c r="G105" i="45"/>
  <c r="H105" i="45"/>
  <c r="I105" i="45"/>
  <c r="J105" i="45"/>
  <c r="K105" i="45"/>
  <c r="L105" i="45"/>
  <c r="M105" i="45"/>
  <c r="N105" i="45"/>
  <c r="O105" i="45"/>
  <c r="P105" i="45"/>
  <c r="Q105" i="45"/>
  <c r="R105" i="45"/>
  <c r="S105" i="45"/>
  <c r="T105" i="45"/>
  <c r="U105" i="45"/>
  <c r="V105" i="45"/>
  <c r="W105" i="45"/>
  <c r="X105" i="45"/>
  <c r="Y105" i="45"/>
  <c r="Z105" i="45"/>
  <c r="AA105" i="45"/>
  <c r="AB105" i="45"/>
  <c r="AC105" i="45"/>
  <c r="AD105" i="45"/>
  <c r="AE105" i="45"/>
  <c r="AF105" i="45"/>
  <c r="AG105" i="45"/>
  <c r="AH105" i="45"/>
  <c r="AI105" i="45"/>
  <c r="AJ105" i="45"/>
  <c r="AK105" i="45"/>
  <c r="AL105" i="45"/>
  <c r="AM105" i="45"/>
  <c r="AN105" i="45"/>
  <c r="AO105" i="45"/>
  <c r="AP105" i="45"/>
  <c r="AQ105" i="45"/>
  <c r="AR105" i="45"/>
  <c r="AS105" i="45"/>
  <c r="AT105" i="45"/>
  <c r="AU105" i="45"/>
  <c r="AV105" i="45"/>
  <c r="AW105" i="45"/>
  <c r="AX105" i="45"/>
  <c r="AY105" i="45"/>
  <c r="AZ105" i="45"/>
  <c r="BA105" i="45"/>
  <c r="BB105" i="45"/>
  <c r="BC105" i="45"/>
  <c r="BD105" i="45"/>
  <c r="BE105" i="45"/>
  <c r="BF105" i="45"/>
  <c r="BG105" i="45"/>
  <c r="BH105" i="45"/>
  <c r="BI105" i="45"/>
  <c r="BJ105" i="45"/>
  <c r="BK105" i="45"/>
  <c r="BL105" i="45"/>
  <c r="BM105" i="45"/>
  <c r="BN105" i="45"/>
  <c r="BO105" i="45"/>
  <c r="BP105" i="45"/>
  <c r="BQ105" i="45"/>
  <c r="BR105" i="45"/>
  <c r="BS105" i="45"/>
  <c r="BT105" i="45"/>
  <c r="BU105" i="45"/>
  <c r="BV105" i="45"/>
  <c r="BW105" i="45"/>
  <c r="BX105" i="45"/>
  <c r="BY105" i="45"/>
  <c r="BZ105" i="45"/>
  <c r="CA105" i="45"/>
  <c r="CB105" i="45"/>
  <c r="CC105" i="45"/>
  <c r="CD105" i="45"/>
  <c r="CE105" i="45"/>
  <c r="CF105" i="45"/>
  <c r="CG105" i="45"/>
  <c r="CH105" i="45"/>
  <c r="CI105" i="45"/>
  <c r="CJ105" i="45"/>
  <c r="CK105" i="45"/>
  <c r="CL105" i="45"/>
  <c r="CM105" i="45"/>
  <c r="CN105" i="45"/>
  <c r="CO105" i="45"/>
  <c r="CP105" i="45"/>
  <c r="CQ105" i="45"/>
  <c r="CR105" i="45"/>
  <c r="CS105" i="45"/>
  <c r="CT105" i="45"/>
  <c r="CU105" i="45"/>
  <c r="CV105" i="45"/>
  <c r="CW105" i="45"/>
  <c r="CX105" i="45"/>
  <c r="CY105" i="45"/>
  <c r="CZ105" i="45"/>
  <c r="DA105" i="45"/>
  <c r="DB105" i="45"/>
  <c r="DC105" i="45"/>
  <c r="DD105" i="45"/>
  <c r="DE105" i="45"/>
  <c r="DF105" i="45"/>
  <c r="DG105" i="45"/>
  <c r="DH105" i="45"/>
  <c r="DI105" i="45"/>
  <c r="DJ105" i="45"/>
  <c r="DK105" i="45"/>
  <c r="DL105" i="45"/>
  <c r="DM105" i="45"/>
  <c r="DN105" i="45"/>
  <c r="DO105" i="45"/>
  <c r="DP105" i="45"/>
  <c r="DQ105" i="45"/>
  <c r="DR105" i="45"/>
  <c r="DS105" i="45"/>
  <c r="DT105" i="45"/>
  <c r="DU105" i="45"/>
  <c r="DV105" i="45"/>
  <c r="DW105" i="45"/>
  <c r="DX105" i="45"/>
  <c r="DY105" i="45"/>
  <c r="DZ105" i="45"/>
  <c r="EA105" i="45"/>
  <c r="EB105" i="45"/>
  <c r="EC105" i="45"/>
  <c r="ED105" i="45"/>
  <c r="EE105" i="45"/>
  <c r="EF105" i="45"/>
  <c r="EG105" i="45"/>
  <c r="EH105" i="45"/>
  <c r="EI105" i="45"/>
  <c r="EJ105" i="45"/>
  <c r="EK105" i="45"/>
  <c r="EL105" i="45"/>
  <c r="EM105" i="45"/>
  <c r="EN105" i="45"/>
  <c r="EO105" i="45"/>
  <c r="EP105" i="45"/>
  <c r="EQ105" i="45"/>
  <c r="ER105" i="45"/>
  <c r="ES105" i="45"/>
  <c r="ET105" i="45"/>
  <c r="EU105" i="45"/>
  <c r="EV105" i="45"/>
  <c r="EW105" i="45"/>
  <c r="EX105" i="45"/>
  <c r="EY105" i="45"/>
  <c r="EZ105" i="45"/>
  <c r="FA105" i="45"/>
  <c r="FB105" i="45"/>
  <c r="FC105" i="45"/>
  <c r="FD105" i="45"/>
  <c r="FE105" i="45"/>
  <c r="FF105" i="45"/>
  <c r="FG105" i="45"/>
  <c r="FH105" i="45"/>
  <c r="FI105" i="45"/>
  <c r="FJ105" i="45"/>
  <c r="FK105" i="45"/>
  <c r="FL105" i="45"/>
  <c r="FM105" i="45"/>
  <c r="FN105" i="45"/>
  <c r="FO105" i="45"/>
  <c r="FP105" i="45"/>
  <c r="FQ105" i="45"/>
  <c r="FR105" i="45"/>
  <c r="FS105" i="45"/>
  <c r="FT105" i="45"/>
  <c r="FU105" i="45"/>
  <c r="FV105" i="45"/>
  <c r="FW105" i="45"/>
  <c r="FX105" i="45"/>
  <c r="FY105" i="45"/>
  <c r="FZ105" i="45"/>
  <c r="GA105" i="45"/>
  <c r="GB105" i="45"/>
  <c r="GC105" i="45"/>
  <c r="GD105" i="45"/>
  <c r="GE105" i="45"/>
  <c r="GF105" i="45"/>
  <c r="GG105" i="45"/>
  <c r="GH105" i="45"/>
  <c r="GI105" i="45"/>
  <c r="GJ105" i="45"/>
  <c r="GK105" i="45"/>
  <c r="GL105" i="45"/>
  <c r="GM105" i="45"/>
  <c r="GN105" i="45"/>
  <c r="GO105" i="45"/>
  <c r="GP105" i="45"/>
  <c r="GQ105" i="45"/>
  <c r="GR105" i="45"/>
  <c r="GS105" i="45"/>
  <c r="GT105" i="45"/>
  <c r="GU105" i="45"/>
  <c r="GV105" i="45"/>
  <c r="GW105" i="45"/>
  <c r="GX105" i="45"/>
  <c r="GY105" i="45"/>
  <c r="GZ105" i="45"/>
  <c r="HA105" i="45"/>
  <c r="HB105" i="45"/>
  <c r="HC105" i="45"/>
  <c r="HD105" i="45"/>
  <c r="HE105" i="45"/>
  <c r="HF105" i="45"/>
  <c r="HG105" i="45"/>
  <c r="HH105" i="45"/>
  <c r="HI105" i="45"/>
  <c r="HJ105" i="45"/>
  <c r="HK105" i="45"/>
  <c r="HL105" i="45"/>
  <c r="HM105" i="45"/>
  <c r="HN105" i="45"/>
  <c r="HO105" i="45"/>
  <c r="HP105" i="45"/>
  <c r="HQ105" i="45"/>
  <c r="HR105" i="45"/>
  <c r="HS105" i="45"/>
  <c r="HT105" i="45"/>
  <c r="HU105" i="45"/>
  <c r="HV105" i="45"/>
  <c r="HW105" i="45"/>
  <c r="HX105" i="45"/>
  <c r="HY105" i="45"/>
  <c r="HZ105" i="45"/>
  <c r="IA105" i="45"/>
  <c r="IB105" i="45"/>
  <c r="IC105" i="45"/>
  <c r="ID105" i="45"/>
  <c r="IE105" i="45"/>
  <c r="IF105" i="45"/>
  <c r="IG105" i="45"/>
  <c r="IH105" i="45"/>
  <c r="II105" i="45"/>
  <c r="IJ105" i="45"/>
  <c r="IK105" i="45"/>
  <c r="IL105" i="45"/>
  <c r="IM105" i="45"/>
  <c r="IN105" i="45"/>
  <c r="IO105" i="45"/>
  <c r="IP105" i="45"/>
  <c r="IQ105" i="45"/>
  <c r="IR105" i="45"/>
  <c r="IS105" i="45"/>
  <c r="IT105" i="45"/>
  <c r="IU105" i="45"/>
  <c r="IV105" i="45"/>
  <c r="A104" i="45"/>
  <c r="B104" i="45"/>
  <c r="C104" i="45"/>
  <c r="D104" i="45"/>
  <c r="E104" i="45"/>
  <c r="F104" i="45"/>
  <c r="G104" i="45"/>
  <c r="H104" i="45"/>
  <c r="I104" i="45"/>
  <c r="J104" i="45"/>
  <c r="K104" i="45"/>
  <c r="L104" i="45"/>
  <c r="M104" i="45"/>
  <c r="N104" i="45"/>
  <c r="O104" i="45"/>
  <c r="P104" i="45"/>
  <c r="Q104" i="45"/>
  <c r="R104" i="45"/>
  <c r="S104" i="45"/>
  <c r="T104" i="45"/>
  <c r="U104" i="45"/>
  <c r="V104" i="45"/>
  <c r="W104" i="45"/>
  <c r="X104" i="45"/>
  <c r="Y104" i="45"/>
  <c r="Z104" i="45"/>
  <c r="AA104" i="45"/>
  <c r="AB104" i="45"/>
  <c r="AC104" i="45"/>
  <c r="AD104" i="45"/>
  <c r="AE104" i="45"/>
  <c r="AF104" i="45"/>
  <c r="AG104" i="45"/>
  <c r="AH104" i="45"/>
  <c r="AI104" i="45"/>
  <c r="AJ104" i="45"/>
  <c r="AK104" i="45"/>
  <c r="AL104" i="45"/>
  <c r="AM104" i="45"/>
  <c r="AN104" i="45"/>
  <c r="AO104" i="45"/>
  <c r="AP104" i="45"/>
  <c r="AQ104" i="45"/>
  <c r="AR104" i="45"/>
  <c r="AS104" i="45"/>
  <c r="AT104" i="45"/>
  <c r="AU104" i="45"/>
  <c r="AV104" i="45"/>
  <c r="AW104" i="45"/>
  <c r="AX104" i="45"/>
  <c r="AY104" i="45"/>
  <c r="AZ104" i="45"/>
  <c r="BA104" i="45"/>
  <c r="BB104" i="45"/>
  <c r="BC104" i="45"/>
  <c r="BD104" i="45"/>
  <c r="BE104" i="45"/>
  <c r="BF104" i="45"/>
  <c r="BG104" i="45"/>
  <c r="BH104" i="45"/>
  <c r="BI104" i="45"/>
  <c r="BJ104" i="45"/>
  <c r="BK104" i="45"/>
  <c r="BL104" i="45"/>
  <c r="BM104" i="45"/>
  <c r="BN104" i="45"/>
  <c r="BO104" i="45"/>
  <c r="BP104" i="45"/>
  <c r="BQ104" i="45"/>
  <c r="BR104" i="45"/>
  <c r="BS104" i="45"/>
  <c r="BT104" i="45"/>
  <c r="BU104" i="45"/>
  <c r="BV104" i="45"/>
  <c r="BW104" i="45"/>
  <c r="BX104" i="45"/>
  <c r="BY104" i="45"/>
  <c r="BZ104" i="45"/>
  <c r="CA104" i="45"/>
  <c r="CB104" i="45"/>
  <c r="CC104" i="45"/>
  <c r="CD104" i="45"/>
  <c r="CE104" i="45"/>
  <c r="CF104" i="45"/>
  <c r="CG104" i="45"/>
  <c r="CH104" i="45"/>
  <c r="CI104" i="45"/>
  <c r="CJ104" i="45"/>
  <c r="CK104" i="45"/>
  <c r="CL104" i="45"/>
  <c r="CM104" i="45"/>
  <c r="CN104" i="45"/>
  <c r="CO104" i="45"/>
  <c r="CP104" i="45"/>
  <c r="CQ104" i="45"/>
  <c r="CR104" i="45"/>
  <c r="CS104" i="45"/>
  <c r="CT104" i="45"/>
  <c r="CU104" i="45"/>
  <c r="CV104" i="45"/>
  <c r="CW104" i="45"/>
  <c r="CX104" i="45"/>
  <c r="CY104" i="45"/>
  <c r="CZ104" i="45"/>
  <c r="DA104" i="45"/>
  <c r="DB104" i="45"/>
  <c r="DC104" i="45"/>
  <c r="DD104" i="45"/>
  <c r="DE104" i="45"/>
  <c r="DF104" i="45"/>
  <c r="DG104" i="45"/>
  <c r="DH104" i="45"/>
  <c r="DI104" i="45"/>
  <c r="DJ104" i="45"/>
  <c r="DK104" i="45"/>
  <c r="DL104" i="45"/>
  <c r="DM104" i="45"/>
  <c r="DN104" i="45"/>
  <c r="DO104" i="45"/>
  <c r="DP104" i="45"/>
  <c r="DQ104" i="45"/>
  <c r="DR104" i="45"/>
  <c r="DS104" i="45"/>
  <c r="DT104" i="45"/>
  <c r="DU104" i="45"/>
  <c r="DV104" i="45"/>
  <c r="DW104" i="45"/>
  <c r="DX104" i="45"/>
  <c r="DY104" i="45"/>
  <c r="DZ104" i="45"/>
  <c r="EA104" i="45"/>
  <c r="EB104" i="45"/>
  <c r="EC104" i="45"/>
  <c r="ED104" i="45"/>
  <c r="EE104" i="45"/>
  <c r="EF104" i="45"/>
  <c r="EG104" i="45"/>
  <c r="EH104" i="45"/>
  <c r="EI104" i="45"/>
  <c r="EJ104" i="45"/>
  <c r="EK104" i="45"/>
  <c r="EL104" i="45"/>
  <c r="EM104" i="45"/>
  <c r="EN104" i="45"/>
  <c r="EO104" i="45"/>
  <c r="EP104" i="45"/>
  <c r="EQ104" i="45"/>
  <c r="ER104" i="45"/>
  <c r="ES104" i="45"/>
  <c r="ET104" i="45"/>
  <c r="EU104" i="45"/>
  <c r="EV104" i="45"/>
  <c r="EW104" i="45"/>
  <c r="EX104" i="45"/>
  <c r="EY104" i="45"/>
  <c r="EZ104" i="45"/>
  <c r="FA104" i="45"/>
  <c r="FB104" i="45"/>
  <c r="FC104" i="45"/>
  <c r="FD104" i="45"/>
  <c r="FE104" i="45"/>
  <c r="FF104" i="45"/>
  <c r="FG104" i="45"/>
  <c r="FH104" i="45"/>
  <c r="FI104" i="45"/>
  <c r="FJ104" i="45"/>
  <c r="FK104" i="45"/>
  <c r="FL104" i="45"/>
  <c r="FM104" i="45"/>
  <c r="FN104" i="45"/>
  <c r="FO104" i="45"/>
  <c r="FP104" i="45"/>
  <c r="FQ104" i="45"/>
  <c r="FR104" i="45"/>
  <c r="FS104" i="45"/>
  <c r="FT104" i="45"/>
  <c r="FU104" i="45"/>
  <c r="FV104" i="45"/>
  <c r="FW104" i="45"/>
  <c r="FX104" i="45"/>
  <c r="FY104" i="45"/>
  <c r="FZ104" i="45"/>
  <c r="GA104" i="45"/>
  <c r="GB104" i="45"/>
  <c r="GC104" i="45"/>
  <c r="GD104" i="45"/>
  <c r="GE104" i="45"/>
  <c r="GF104" i="45"/>
  <c r="GG104" i="45"/>
  <c r="GH104" i="45"/>
  <c r="GI104" i="45"/>
  <c r="GJ104" i="45"/>
  <c r="GK104" i="45"/>
  <c r="GL104" i="45"/>
  <c r="GM104" i="45"/>
  <c r="GN104" i="45"/>
  <c r="GO104" i="45"/>
  <c r="GP104" i="45"/>
  <c r="GQ104" i="45"/>
  <c r="GR104" i="45"/>
  <c r="GS104" i="45"/>
  <c r="GT104" i="45"/>
  <c r="GU104" i="45"/>
  <c r="GV104" i="45"/>
  <c r="GW104" i="45"/>
  <c r="GX104" i="45"/>
  <c r="GY104" i="45"/>
  <c r="GZ104" i="45"/>
  <c r="HA104" i="45"/>
  <c r="HB104" i="45"/>
  <c r="HC104" i="45"/>
  <c r="HD104" i="45"/>
  <c r="HE104" i="45"/>
  <c r="HF104" i="45"/>
  <c r="HG104" i="45"/>
  <c r="HH104" i="45"/>
  <c r="HI104" i="45"/>
  <c r="HJ104" i="45"/>
  <c r="HK104" i="45"/>
  <c r="HL104" i="45"/>
  <c r="HM104" i="45"/>
  <c r="HN104" i="45"/>
  <c r="HO104" i="45"/>
  <c r="HP104" i="45"/>
  <c r="HQ104" i="45"/>
  <c r="HR104" i="45"/>
  <c r="HS104" i="45"/>
  <c r="HT104" i="45"/>
  <c r="HU104" i="45"/>
  <c r="HV104" i="45"/>
  <c r="HW104" i="45"/>
  <c r="HX104" i="45"/>
  <c r="HY104" i="45"/>
  <c r="HZ104" i="45"/>
  <c r="IA104" i="45"/>
  <c r="IB104" i="45"/>
  <c r="IC104" i="45"/>
  <c r="ID104" i="45"/>
  <c r="IE104" i="45"/>
  <c r="IF104" i="45"/>
  <c r="IG104" i="45"/>
  <c r="IH104" i="45"/>
  <c r="II104" i="45"/>
  <c r="IJ104" i="45"/>
  <c r="IK104" i="45"/>
  <c r="IL104" i="45"/>
  <c r="IM104" i="45"/>
  <c r="IN104" i="45"/>
  <c r="IO104" i="45"/>
  <c r="IP104" i="45"/>
  <c r="IQ104" i="45"/>
  <c r="IR104" i="45"/>
  <c r="IS104" i="45"/>
  <c r="IT104" i="45"/>
  <c r="IU104" i="45"/>
  <c r="IV104" i="45"/>
  <c r="A103" i="45"/>
  <c r="B103" i="45"/>
  <c r="C103" i="45"/>
  <c r="D103" i="45"/>
  <c r="E103" i="45"/>
  <c r="F103" i="45"/>
  <c r="G103" i="45"/>
  <c r="H103" i="45"/>
  <c r="I103" i="45"/>
  <c r="J103" i="45"/>
  <c r="K103" i="45"/>
  <c r="L103" i="45"/>
  <c r="M103" i="45"/>
  <c r="N103" i="45"/>
  <c r="O103" i="45"/>
  <c r="P103" i="45"/>
  <c r="Q103" i="45"/>
  <c r="R103" i="45"/>
  <c r="S103" i="45"/>
  <c r="T103" i="45"/>
  <c r="U103" i="45"/>
  <c r="V103" i="45"/>
  <c r="W103" i="45"/>
  <c r="X103" i="45"/>
  <c r="Y103" i="45"/>
  <c r="Z103" i="45"/>
  <c r="AA103" i="45"/>
  <c r="AB103" i="45"/>
  <c r="AC103" i="45"/>
  <c r="AD103" i="45"/>
  <c r="AE103" i="45"/>
  <c r="AF103" i="45"/>
  <c r="AG103" i="45"/>
  <c r="AH103" i="45"/>
  <c r="AI103" i="45"/>
  <c r="AJ103" i="45"/>
  <c r="AK103" i="45"/>
  <c r="AL103" i="45"/>
  <c r="AM103" i="45"/>
  <c r="AN103" i="45"/>
  <c r="AO103" i="45"/>
  <c r="AP103" i="45"/>
  <c r="AQ103" i="45"/>
  <c r="AR103" i="45"/>
  <c r="AS103" i="45"/>
  <c r="AT103" i="45"/>
  <c r="AU103" i="45"/>
  <c r="AV103" i="45"/>
  <c r="AW103" i="45"/>
  <c r="AX103" i="45"/>
  <c r="AY103" i="45"/>
  <c r="AZ103" i="45"/>
  <c r="BA103" i="45"/>
  <c r="BB103" i="45"/>
  <c r="BC103" i="45"/>
  <c r="BD103" i="45"/>
  <c r="BE103" i="45"/>
  <c r="BF103" i="45"/>
  <c r="BG103" i="45"/>
  <c r="BH103" i="45"/>
  <c r="BI103" i="45"/>
  <c r="BJ103" i="45"/>
  <c r="BK103" i="45"/>
  <c r="BL103" i="45"/>
  <c r="BM103" i="45"/>
  <c r="BN103" i="45"/>
  <c r="BO103" i="45"/>
  <c r="BP103" i="45"/>
  <c r="BQ103" i="45"/>
  <c r="BR103" i="45"/>
  <c r="BS103" i="45"/>
  <c r="BT103" i="45"/>
  <c r="BU103" i="45"/>
  <c r="BV103" i="45"/>
  <c r="BW103" i="45"/>
  <c r="BX103" i="45"/>
  <c r="BY103" i="45"/>
  <c r="BZ103" i="45"/>
  <c r="CA103" i="45"/>
  <c r="CB103" i="45"/>
  <c r="CC103" i="45"/>
  <c r="CD103" i="45"/>
  <c r="CE103" i="45"/>
  <c r="CF103" i="45"/>
  <c r="CG103" i="45"/>
  <c r="CH103" i="45"/>
  <c r="CI103" i="45"/>
  <c r="CJ103" i="45"/>
  <c r="CK103" i="45"/>
  <c r="CL103" i="45"/>
  <c r="CM103" i="45"/>
  <c r="CN103" i="45"/>
  <c r="CO103" i="45"/>
  <c r="CP103" i="45"/>
  <c r="CQ103" i="45"/>
  <c r="CR103" i="45"/>
  <c r="CS103" i="45"/>
  <c r="CT103" i="45"/>
  <c r="CU103" i="45"/>
  <c r="CV103" i="45"/>
  <c r="CW103" i="45"/>
  <c r="CX103" i="45"/>
  <c r="CY103" i="45"/>
  <c r="CZ103" i="45"/>
  <c r="DA103" i="45"/>
  <c r="DB103" i="45"/>
  <c r="DC103" i="45"/>
  <c r="DD103" i="45"/>
  <c r="DE103" i="45"/>
  <c r="DF103" i="45"/>
  <c r="DG103" i="45"/>
  <c r="DH103" i="45"/>
  <c r="DI103" i="45"/>
  <c r="DJ103" i="45"/>
  <c r="DK103" i="45"/>
  <c r="DL103" i="45"/>
  <c r="DM103" i="45"/>
  <c r="DN103" i="45"/>
  <c r="DO103" i="45"/>
  <c r="DP103" i="45"/>
  <c r="DQ103" i="45"/>
  <c r="DR103" i="45"/>
  <c r="DS103" i="45"/>
  <c r="DT103" i="45"/>
  <c r="DU103" i="45"/>
  <c r="DV103" i="45"/>
  <c r="DW103" i="45"/>
  <c r="DX103" i="45"/>
  <c r="DY103" i="45"/>
  <c r="DZ103" i="45"/>
  <c r="EA103" i="45"/>
  <c r="EB103" i="45"/>
  <c r="EC103" i="45"/>
  <c r="ED103" i="45"/>
  <c r="EE103" i="45"/>
  <c r="EF103" i="45"/>
  <c r="EG103" i="45"/>
  <c r="EH103" i="45"/>
  <c r="EI103" i="45"/>
  <c r="EJ103" i="45"/>
  <c r="EK103" i="45"/>
  <c r="EL103" i="45"/>
  <c r="EM103" i="45"/>
  <c r="EN103" i="45"/>
  <c r="EO103" i="45"/>
  <c r="EP103" i="45"/>
  <c r="EQ103" i="45"/>
  <c r="ER103" i="45"/>
  <c r="ES103" i="45"/>
  <c r="ET103" i="45"/>
  <c r="EU103" i="45"/>
  <c r="EV103" i="45"/>
  <c r="EW103" i="45"/>
  <c r="EX103" i="45"/>
  <c r="EY103" i="45"/>
  <c r="EZ103" i="45"/>
  <c r="FA103" i="45"/>
  <c r="FB103" i="45"/>
  <c r="FC103" i="45"/>
  <c r="FD103" i="45"/>
  <c r="FE103" i="45"/>
  <c r="FF103" i="45"/>
  <c r="FG103" i="45"/>
  <c r="FH103" i="45"/>
  <c r="FI103" i="45"/>
  <c r="FJ103" i="45"/>
  <c r="FK103" i="45"/>
  <c r="FL103" i="45"/>
  <c r="FM103" i="45"/>
  <c r="FN103" i="45"/>
  <c r="FO103" i="45"/>
  <c r="FP103" i="45"/>
  <c r="FQ103" i="45"/>
  <c r="FR103" i="45"/>
  <c r="FS103" i="45"/>
  <c r="FT103" i="45"/>
  <c r="FU103" i="45"/>
  <c r="FV103" i="45"/>
  <c r="FW103" i="45"/>
  <c r="FX103" i="45"/>
  <c r="FY103" i="45"/>
  <c r="FZ103" i="45"/>
  <c r="GA103" i="45"/>
  <c r="GB103" i="45"/>
  <c r="GC103" i="45"/>
  <c r="GD103" i="45"/>
  <c r="GE103" i="45"/>
  <c r="GF103" i="45"/>
  <c r="GG103" i="45"/>
  <c r="GH103" i="45"/>
  <c r="GI103" i="45"/>
  <c r="GJ103" i="45"/>
  <c r="GK103" i="45"/>
  <c r="GL103" i="45"/>
  <c r="GM103" i="45"/>
  <c r="GN103" i="45"/>
  <c r="GO103" i="45"/>
  <c r="GP103" i="45"/>
  <c r="GQ103" i="45"/>
  <c r="GR103" i="45"/>
  <c r="GS103" i="45"/>
  <c r="GT103" i="45"/>
  <c r="GU103" i="45"/>
  <c r="GV103" i="45"/>
  <c r="GW103" i="45"/>
  <c r="GX103" i="45"/>
  <c r="GY103" i="45"/>
  <c r="GZ103" i="45"/>
  <c r="HA103" i="45"/>
  <c r="HB103" i="45"/>
  <c r="HC103" i="45"/>
  <c r="HD103" i="45"/>
  <c r="HE103" i="45"/>
  <c r="HF103" i="45"/>
  <c r="HG103" i="45"/>
  <c r="HH103" i="45"/>
  <c r="HI103" i="45"/>
  <c r="HJ103" i="45"/>
  <c r="HK103" i="45"/>
  <c r="HL103" i="45"/>
  <c r="HM103" i="45"/>
  <c r="HN103" i="45"/>
  <c r="HO103" i="45"/>
  <c r="HP103" i="45"/>
  <c r="HQ103" i="45"/>
  <c r="HR103" i="45"/>
  <c r="HS103" i="45"/>
  <c r="HT103" i="45"/>
  <c r="HU103" i="45"/>
  <c r="HV103" i="45"/>
  <c r="HW103" i="45"/>
  <c r="HX103" i="45"/>
  <c r="HY103" i="45"/>
  <c r="HZ103" i="45"/>
  <c r="IA103" i="45"/>
  <c r="IB103" i="45"/>
  <c r="IC103" i="45"/>
  <c r="ID103" i="45"/>
  <c r="IE103" i="45"/>
  <c r="IF103" i="45"/>
  <c r="IG103" i="45"/>
  <c r="IH103" i="45"/>
  <c r="II103" i="45"/>
  <c r="IJ103" i="45"/>
  <c r="IK103" i="45"/>
  <c r="IL103" i="45"/>
  <c r="IM103" i="45"/>
  <c r="IN103" i="45"/>
  <c r="IO103" i="45"/>
  <c r="IP103" i="45"/>
  <c r="IQ103" i="45"/>
  <c r="IR103" i="45"/>
  <c r="IS103" i="45"/>
  <c r="IT103" i="45"/>
  <c r="IU103" i="45"/>
  <c r="IV103" i="45"/>
  <c r="A102" i="45"/>
  <c r="B102" i="45"/>
  <c r="C102" i="45"/>
  <c r="D102" i="45"/>
  <c r="E102" i="45"/>
  <c r="F102" i="45"/>
  <c r="G102" i="45"/>
  <c r="H102" i="45"/>
  <c r="I102" i="45"/>
  <c r="J102" i="45"/>
  <c r="K102" i="45"/>
  <c r="L102" i="45"/>
  <c r="M102" i="45"/>
  <c r="N102" i="45"/>
  <c r="O102" i="45"/>
  <c r="P102" i="45"/>
  <c r="Q102" i="45"/>
  <c r="R102" i="45"/>
  <c r="S102" i="45"/>
  <c r="T102" i="45"/>
  <c r="U102" i="45"/>
  <c r="V102" i="45"/>
  <c r="W102" i="45"/>
  <c r="X102" i="45"/>
  <c r="Y102" i="45"/>
  <c r="Z102" i="45"/>
  <c r="AA102" i="45"/>
  <c r="AB102" i="45"/>
  <c r="AC102" i="45"/>
  <c r="AD102" i="45"/>
  <c r="AE102" i="45"/>
  <c r="AF102" i="45"/>
  <c r="AG102" i="45"/>
  <c r="AH102" i="45"/>
  <c r="AI102" i="45"/>
  <c r="AJ102" i="45"/>
  <c r="AK102" i="45"/>
  <c r="AL102" i="45"/>
  <c r="AM102" i="45"/>
  <c r="AN102" i="45"/>
  <c r="AO102" i="45"/>
  <c r="AP102" i="45"/>
  <c r="AQ102" i="45"/>
  <c r="AR102" i="45"/>
  <c r="AS102" i="45"/>
  <c r="AT102" i="45"/>
  <c r="AU102" i="45"/>
  <c r="AV102" i="45"/>
  <c r="AW102" i="45"/>
  <c r="AX102" i="45"/>
  <c r="AY102" i="45"/>
  <c r="AZ102" i="45"/>
  <c r="BA102" i="45"/>
  <c r="BB102" i="45"/>
  <c r="BC102" i="45"/>
  <c r="BD102" i="45"/>
  <c r="BE102" i="45"/>
  <c r="BF102" i="45"/>
  <c r="BG102" i="45"/>
  <c r="BH102" i="45"/>
  <c r="BI102" i="45"/>
  <c r="BJ102" i="45"/>
  <c r="BK102" i="45"/>
  <c r="BL102" i="45"/>
  <c r="BM102" i="45"/>
  <c r="BN102" i="45"/>
  <c r="BO102" i="45"/>
  <c r="BP102" i="45"/>
  <c r="BQ102" i="45"/>
  <c r="BR102" i="45"/>
  <c r="BS102" i="45"/>
  <c r="BT102" i="45"/>
  <c r="BU102" i="45"/>
  <c r="BV102" i="45"/>
  <c r="BW102" i="45"/>
  <c r="BX102" i="45"/>
  <c r="BY102" i="45"/>
  <c r="BZ102" i="45"/>
  <c r="CA102" i="45"/>
  <c r="CB102" i="45"/>
  <c r="CC102" i="45"/>
  <c r="CD102" i="45"/>
  <c r="CE102" i="45"/>
  <c r="CF102" i="45"/>
  <c r="CG102" i="45"/>
  <c r="CH102" i="45"/>
  <c r="CI102" i="45"/>
  <c r="CJ102" i="45"/>
  <c r="CK102" i="45"/>
  <c r="CL102" i="45"/>
  <c r="CM102" i="45"/>
  <c r="CN102" i="45"/>
  <c r="CO102" i="45"/>
  <c r="CP102" i="45"/>
  <c r="CQ102" i="45"/>
  <c r="CR102" i="45"/>
  <c r="CS102" i="45"/>
  <c r="CT102" i="45"/>
  <c r="CU102" i="45"/>
  <c r="CV102" i="45"/>
  <c r="CW102" i="45"/>
  <c r="CX102" i="45"/>
  <c r="CY102" i="45"/>
  <c r="CZ102" i="45"/>
  <c r="DA102" i="45"/>
  <c r="DB102" i="45"/>
  <c r="DC102" i="45"/>
  <c r="DD102" i="45"/>
  <c r="DE102" i="45"/>
  <c r="DF102" i="45"/>
  <c r="DG102" i="45"/>
  <c r="DH102" i="45"/>
  <c r="DI102" i="45"/>
  <c r="DJ102" i="45"/>
  <c r="DK102" i="45"/>
  <c r="DL102" i="45"/>
  <c r="DM102" i="45"/>
  <c r="DN102" i="45"/>
  <c r="DO102" i="45"/>
  <c r="DP102" i="45"/>
  <c r="DQ102" i="45"/>
  <c r="DR102" i="45"/>
  <c r="DS102" i="45"/>
  <c r="DT102" i="45"/>
  <c r="DU102" i="45"/>
  <c r="DV102" i="45"/>
  <c r="DW102" i="45"/>
  <c r="DX102" i="45"/>
  <c r="DY102" i="45"/>
  <c r="DZ102" i="45"/>
  <c r="EA102" i="45"/>
  <c r="EB102" i="45"/>
  <c r="EC102" i="45"/>
  <c r="ED102" i="45"/>
  <c r="EE102" i="45"/>
  <c r="EF102" i="45"/>
  <c r="EG102" i="45"/>
  <c r="EH102" i="45"/>
  <c r="EI102" i="45"/>
  <c r="EJ102" i="45"/>
  <c r="EK102" i="45"/>
  <c r="EL102" i="45"/>
  <c r="EM102" i="45"/>
  <c r="EN102" i="45"/>
  <c r="EO102" i="45"/>
  <c r="EP102" i="45"/>
  <c r="EQ102" i="45"/>
  <c r="ER102" i="45"/>
  <c r="ES102" i="45"/>
  <c r="ET102" i="45"/>
  <c r="EU102" i="45"/>
  <c r="EV102" i="45"/>
  <c r="EW102" i="45"/>
  <c r="EX102" i="45"/>
  <c r="EY102" i="45"/>
  <c r="EZ102" i="45"/>
  <c r="FA102" i="45"/>
  <c r="FB102" i="45"/>
  <c r="FC102" i="45"/>
  <c r="FD102" i="45"/>
  <c r="FE102" i="45"/>
  <c r="FF102" i="45"/>
  <c r="FG102" i="45"/>
  <c r="FH102" i="45"/>
  <c r="FI102" i="45"/>
  <c r="FJ102" i="45"/>
  <c r="FK102" i="45"/>
  <c r="FL102" i="45"/>
  <c r="FM102" i="45"/>
  <c r="FN102" i="45"/>
  <c r="FO102" i="45"/>
  <c r="FP102" i="45"/>
  <c r="FQ102" i="45"/>
  <c r="FR102" i="45"/>
  <c r="FS102" i="45"/>
  <c r="FT102" i="45"/>
  <c r="FU102" i="45"/>
  <c r="FV102" i="45"/>
  <c r="FW102" i="45"/>
  <c r="FX102" i="45"/>
  <c r="FY102" i="45"/>
  <c r="FZ102" i="45"/>
  <c r="GA102" i="45"/>
  <c r="GB102" i="45"/>
  <c r="GC102" i="45"/>
  <c r="GD102" i="45"/>
  <c r="GE102" i="45"/>
  <c r="GF102" i="45"/>
  <c r="GG102" i="45"/>
  <c r="GH102" i="45"/>
  <c r="GI102" i="45"/>
  <c r="GJ102" i="45"/>
  <c r="GK102" i="45"/>
  <c r="GL102" i="45"/>
  <c r="GM102" i="45"/>
  <c r="GN102" i="45"/>
  <c r="GO102" i="45"/>
  <c r="GP102" i="45"/>
  <c r="GQ102" i="45"/>
  <c r="GR102" i="45"/>
  <c r="GS102" i="45"/>
  <c r="GT102" i="45"/>
  <c r="GU102" i="45"/>
  <c r="GV102" i="45"/>
  <c r="GW102" i="45"/>
  <c r="GX102" i="45"/>
  <c r="GY102" i="45"/>
  <c r="GZ102" i="45"/>
  <c r="HA102" i="45"/>
  <c r="HB102" i="45"/>
  <c r="HC102" i="45"/>
  <c r="HD102" i="45"/>
  <c r="HE102" i="45"/>
  <c r="HF102" i="45"/>
  <c r="HG102" i="45"/>
  <c r="HH102" i="45"/>
  <c r="HI102" i="45"/>
  <c r="HJ102" i="45"/>
  <c r="HK102" i="45"/>
  <c r="HL102" i="45"/>
  <c r="HM102" i="45"/>
  <c r="HN102" i="45"/>
  <c r="HO102" i="45"/>
  <c r="HP102" i="45"/>
  <c r="HQ102" i="45"/>
  <c r="HR102" i="45"/>
  <c r="HS102" i="45"/>
  <c r="HT102" i="45"/>
  <c r="HU102" i="45"/>
  <c r="HV102" i="45"/>
  <c r="HW102" i="45"/>
  <c r="HX102" i="45"/>
  <c r="HY102" i="45"/>
  <c r="HZ102" i="45"/>
  <c r="IA102" i="45"/>
  <c r="IB102" i="45"/>
  <c r="IC102" i="45"/>
  <c r="ID102" i="45"/>
  <c r="IE102" i="45"/>
  <c r="IF102" i="45"/>
  <c r="IG102" i="45"/>
  <c r="IH102" i="45"/>
  <c r="II102" i="45"/>
  <c r="IJ102" i="45"/>
  <c r="IK102" i="45"/>
  <c r="IL102" i="45"/>
  <c r="IM102" i="45"/>
  <c r="IN102" i="45"/>
  <c r="IO102" i="45"/>
  <c r="IP102" i="45"/>
  <c r="IQ102" i="45"/>
  <c r="IR102" i="45"/>
  <c r="IS102" i="45"/>
  <c r="IT102" i="45"/>
  <c r="IU102" i="45"/>
  <c r="IV102" i="45"/>
  <c r="A101" i="45"/>
  <c r="B101" i="45"/>
  <c r="C101" i="45"/>
  <c r="D101" i="45"/>
  <c r="E101" i="45"/>
  <c r="F101" i="45"/>
  <c r="G101" i="45"/>
  <c r="H101" i="45"/>
  <c r="I101" i="45"/>
  <c r="J101" i="45"/>
  <c r="K101" i="45"/>
  <c r="L101" i="45"/>
  <c r="M101" i="45"/>
  <c r="N101" i="45"/>
  <c r="O101" i="45"/>
  <c r="P101" i="45"/>
  <c r="Q101" i="45"/>
  <c r="R101" i="45"/>
  <c r="S101" i="45"/>
  <c r="T101" i="45"/>
  <c r="U101" i="45"/>
  <c r="V101" i="45"/>
  <c r="W101" i="45"/>
  <c r="X101" i="45"/>
  <c r="Y101" i="45"/>
  <c r="Z101" i="45"/>
  <c r="AA101" i="45"/>
  <c r="AB101" i="45"/>
  <c r="AC101" i="45"/>
  <c r="AD101" i="45"/>
  <c r="AE101" i="45"/>
  <c r="AF101" i="45"/>
  <c r="AG101" i="45"/>
  <c r="AH101" i="45"/>
  <c r="AI101" i="45"/>
  <c r="AJ101" i="45"/>
  <c r="AK101" i="45"/>
  <c r="AL101" i="45"/>
  <c r="AM101" i="45"/>
  <c r="AN101" i="45"/>
  <c r="AO101" i="45"/>
  <c r="AP101" i="45"/>
  <c r="AQ101" i="45"/>
  <c r="AR101" i="45"/>
  <c r="AS101" i="45"/>
  <c r="AT101" i="45"/>
  <c r="AU101" i="45"/>
  <c r="AV101" i="45"/>
  <c r="AW101" i="45"/>
  <c r="AX101" i="45"/>
  <c r="AY101" i="45"/>
  <c r="AZ101" i="45"/>
  <c r="BA101" i="45"/>
  <c r="BB101" i="45"/>
  <c r="BC101" i="45"/>
  <c r="BD101" i="45"/>
  <c r="BE101" i="45"/>
  <c r="BF101" i="45"/>
  <c r="BG101" i="45"/>
  <c r="BH101" i="45"/>
  <c r="BI101" i="45"/>
  <c r="BJ101" i="45"/>
  <c r="BK101" i="45"/>
  <c r="BL101" i="45"/>
  <c r="BM101" i="45"/>
  <c r="BN101" i="45"/>
  <c r="BO101" i="45"/>
  <c r="BP101" i="45"/>
  <c r="BQ101" i="45"/>
  <c r="BR101" i="45"/>
  <c r="BS101" i="45"/>
  <c r="BT101" i="45"/>
  <c r="BU101" i="45"/>
  <c r="BV101" i="45"/>
  <c r="BW101" i="45"/>
  <c r="BX101" i="45"/>
  <c r="BY101" i="45"/>
  <c r="BZ101" i="45"/>
  <c r="CA101" i="45"/>
  <c r="CB101" i="45"/>
  <c r="CC101" i="45"/>
  <c r="CD101" i="45"/>
  <c r="CE101" i="45"/>
  <c r="CF101" i="45"/>
  <c r="CG101" i="45"/>
  <c r="CH101" i="45"/>
  <c r="CI101" i="45"/>
  <c r="CJ101" i="45"/>
  <c r="CK101" i="45"/>
  <c r="CL101" i="45"/>
  <c r="CM101" i="45"/>
  <c r="CN101" i="45"/>
  <c r="CO101" i="45"/>
  <c r="CP101" i="45"/>
  <c r="CQ101" i="45"/>
  <c r="CR101" i="45"/>
  <c r="CS101" i="45"/>
  <c r="CT101" i="45"/>
  <c r="CU101" i="45"/>
  <c r="CV101" i="45"/>
  <c r="CW101" i="45"/>
  <c r="CX101" i="45"/>
  <c r="CY101" i="45"/>
  <c r="CZ101" i="45"/>
  <c r="DA101" i="45"/>
  <c r="DB101" i="45"/>
  <c r="DC101" i="45"/>
  <c r="DD101" i="45"/>
  <c r="DE101" i="45"/>
  <c r="DF101" i="45"/>
  <c r="DG101" i="45"/>
  <c r="DH101" i="45"/>
  <c r="DI101" i="45"/>
  <c r="DJ101" i="45"/>
  <c r="DK101" i="45"/>
  <c r="DL101" i="45"/>
  <c r="DM101" i="45"/>
  <c r="DN101" i="45"/>
  <c r="DO101" i="45"/>
  <c r="DP101" i="45"/>
  <c r="DQ101" i="45"/>
  <c r="DR101" i="45"/>
  <c r="DS101" i="45"/>
  <c r="DT101" i="45"/>
  <c r="DU101" i="45"/>
  <c r="DV101" i="45"/>
  <c r="DW101" i="45"/>
  <c r="DX101" i="45"/>
  <c r="DY101" i="45"/>
  <c r="DZ101" i="45"/>
  <c r="EA101" i="45"/>
  <c r="EB101" i="45"/>
  <c r="EC101" i="45"/>
  <c r="ED101" i="45"/>
  <c r="EE101" i="45"/>
  <c r="EF101" i="45"/>
  <c r="EG101" i="45"/>
  <c r="EH101" i="45"/>
  <c r="EI101" i="45"/>
  <c r="EJ101" i="45"/>
  <c r="EK101" i="45"/>
  <c r="EL101" i="45"/>
  <c r="EM101" i="45"/>
  <c r="EN101" i="45"/>
  <c r="EO101" i="45"/>
  <c r="EP101" i="45"/>
  <c r="EQ101" i="45"/>
  <c r="ER101" i="45"/>
  <c r="ES101" i="45"/>
  <c r="ET101" i="45"/>
  <c r="EU101" i="45"/>
  <c r="EV101" i="45"/>
  <c r="EW101" i="45"/>
  <c r="EX101" i="45"/>
  <c r="EY101" i="45"/>
  <c r="EZ101" i="45"/>
  <c r="FA101" i="45"/>
  <c r="FB101" i="45"/>
  <c r="FC101" i="45"/>
  <c r="FD101" i="45"/>
  <c r="FE101" i="45"/>
  <c r="FF101" i="45"/>
  <c r="FG101" i="45"/>
  <c r="FH101" i="45"/>
  <c r="FI101" i="45"/>
  <c r="FJ101" i="45"/>
  <c r="FK101" i="45"/>
  <c r="FL101" i="45"/>
  <c r="FM101" i="45"/>
  <c r="FN101" i="45"/>
  <c r="FO101" i="45"/>
  <c r="FP101" i="45"/>
  <c r="FQ101" i="45"/>
  <c r="FR101" i="45"/>
  <c r="FS101" i="45"/>
  <c r="FT101" i="45"/>
  <c r="FU101" i="45"/>
  <c r="FV101" i="45"/>
  <c r="FW101" i="45"/>
  <c r="FX101" i="45"/>
  <c r="FY101" i="45"/>
  <c r="FZ101" i="45"/>
  <c r="GA101" i="45"/>
  <c r="GB101" i="45"/>
  <c r="GC101" i="45"/>
  <c r="GD101" i="45"/>
  <c r="GE101" i="45"/>
  <c r="GF101" i="45"/>
  <c r="GG101" i="45"/>
  <c r="GH101" i="45"/>
  <c r="GI101" i="45"/>
  <c r="GJ101" i="45"/>
  <c r="GK101" i="45"/>
  <c r="GL101" i="45"/>
  <c r="GM101" i="45"/>
  <c r="GN101" i="45"/>
  <c r="GO101" i="45"/>
  <c r="GP101" i="45"/>
  <c r="GQ101" i="45"/>
  <c r="GR101" i="45"/>
  <c r="GS101" i="45"/>
  <c r="GT101" i="45"/>
  <c r="GU101" i="45"/>
  <c r="GV101" i="45"/>
  <c r="GW101" i="45"/>
  <c r="GX101" i="45"/>
  <c r="GY101" i="45"/>
  <c r="GZ101" i="45"/>
  <c r="HA101" i="45"/>
  <c r="HB101" i="45"/>
  <c r="HC101" i="45"/>
  <c r="HD101" i="45"/>
  <c r="HE101" i="45"/>
  <c r="HF101" i="45"/>
  <c r="HG101" i="45"/>
  <c r="HH101" i="45"/>
  <c r="HI101" i="45"/>
  <c r="HJ101" i="45"/>
  <c r="HK101" i="45"/>
  <c r="HL101" i="45"/>
  <c r="HM101" i="45"/>
  <c r="HN101" i="45"/>
  <c r="HO101" i="45"/>
  <c r="HP101" i="45"/>
  <c r="HQ101" i="45"/>
  <c r="HR101" i="45"/>
  <c r="HS101" i="45"/>
  <c r="HT101" i="45"/>
  <c r="HU101" i="45"/>
  <c r="HV101" i="45"/>
  <c r="HW101" i="45"/>
  <c r="HX101" i="45"/>
  <c r="HY101" i="45"/>
  <c r="HZ101" i="45"/>
  <c r="IA101" i="45"/>
  <c r="IB101" i="45"/>
  <c r="IC101" i="45"/>
  <c r="ID101" i="45"/>
  <c r="IE101" i="45"/>
  <c r="IF101" i="45"/>
  <c r="IG101" i="45"/>
  <c r="IH101" i="45"/>
  <c r="II101" i="45"/>
  <c r="IJ101" i="45"/>
  <c r="IK101" i="45"/>
  <c r="IL101" i="45"/>
  <c r="IM101" i="45"/>
  <c r="IN101" i="45"/>
  <c r="IO101" i="45"/>
  <c r="IP101" i="45"/>
  <c r="IQ101" i="45"/>
  <c r="IR101" i="45"/>
  <c r="IS101" i="45"/>
  <c r="IT101" i="45"/>
  <c r="IU101" i="45"/>
  <c r="IV101" i="45"/>
  <c r="A100" i="45"/>
  <c r="B100" i="45"/>
  <c r="C100" i="45"/>
  <c r="D100" i="45"/>
  <c r="E100" i="45"/>
  <c r="F100" i="45"/>
  <c r="G100" i="45"/>
  <c r="H100" i="45"/>
  <c r="I100" i="45"/>
  <c r="J100" i="45"/>
  <c r="K100" i="45"/>
  <c r="L100" i="45"/>
  <c r="M100" i="45"/>
  <c r="N100" i="45"/>
  <c r="O100" i="45"/>
  <c r="P100" i="45"/>
  <c r="Q100" i="45"/>
  <c r="R100" i="45"/>
  <c r="S100" i="45"/>
  <c r="T100" i="45"/>
  <c r="U100" i="45"/>
  <c r="V100" i="45"/>
  <c r="W100" i="45"/>
  <c r="X100" i="45"/>
  <c r="Y100" i="45"/>
  <c r="Z100" i="45"/>
  <c r="AA100" i="45"/>
  <c r="AB100" i="45"/>
  <c r="AC100" i="45"/>
  <c r="AD100" i="45"/>
  <c r="AE100" i="45"/>
  <c r="AF100" i="45"/>
  <c r="AG100" i="45"/>
  <c r="AH100" i="45"/>
  <c r="AI100" i="45"/>
  <c r="AJ100" i="45"/>
  <c r="AK100" i="45"/>
  <c r="AL100" i="45"/>
  <c r="AM100" i="45"/>
  <c r="AN100" i="45"/>
  <c r="AO100" i="45"/>
  <c r="AP100" i="45"/>
  <c r="AQ100" i="45"/>
  <c r="AR100" i="45"/>
  <c r="AS100" i="45"/>
  <c r="AT100" i="45"/>
  <c r="AU100" i="45"/>
  <c r="AV100" i="45"/>
  <c r="AW100" i="45"/>
  <c r="AX100" i="45"/>
  <c r="AY100" i="45"/>
  <c r="AZ100" i="45"/>
  <c r="BA100" i="45"/>
  <c r="BB100" i="45"/>
  <c r="BC100" i="45"/>
  <c r="BD100" i="45"/>
  <c r="BE100" i="45"/>
  <c r="BF100" i="45"/>
  <c r="BG100" i="45"/>
  <c r="BH100" i="45"/>
  <c r="BI100" i="45"/>
  <c r="BJ100" i="45"/>
  <c r="BK100" i="45"/>
  <c r="BL100" i="45"/>
  <c r="BM100" i="45"/>
  <c r="BN100" i="45"/>
  <c r="BO100" i="45"/>
  <c r="BP100" i="45"/>
  <c r="BQ100" i="45"/>
  <c r="BR100" i="45"/>
  <c r="BS100" i="45"/>
  <c r="BT100" i="45"/>
  <c r="BU100" i="45"/>
  <c r="BV100" i="45"/>
  <c r="BW100" i="45"/>
  <c r="BX100" i="45"/>
  <c r="BY100" i="45"/>
  <c r="BZ100" i="45"/>
  <c r="CA100" i="45"/>
  <c r="CB100" i="45"/>
  <c r="CC100" i="45"/>
  <c r="CD100" i="45"/>
  <c r="CE100" i="45"/>
  <c r="CF100" i="45"/>
  <c r="CG100" i="45"/>
  <c r="CH100" i="45"/>
  <c r="CI100" i="45"/>
  <c r="CJ100" i="45"/>
  <c r="CK100" i="45"/>
  <c r="CL100" i="45"/>
  <c r="CM100" i="45"/>
  <c r="CN100" i="45"/>
  <c r="CO100" i="45"/>
  <c r="CP100" i="45"/>
  <c r="CQ100" i="45"/>
  <c r="CR100" i="45"/>
  <c r="CS100" i="45"/>
  <c r="CT100" i="45"/>
  <c r="CU100" i="45"/>
  <c r="CV100" i="45"/>
  <c r="CW100" i="45"/>
  <c r="CX100" i="45"/>
  <c r="CY100" i="45"/>
  <c r="CZ100" i="45"/>
  <c r="DA100" i="45"/>
  <c r="DB100" i="45"/>
  <c r="DC100" i="45"/>
  <c r="DD100" i="45"/>
  <c r="DE100" i="45"/>
  <c r="DF100" i="45"/>
  <c r="DG100" i="45"/>
  <c r="DH100" i="45"/>
  <c r="DI100" i="45"/>
  <c r="DJ100" i="45"/>
  <c r="DK100" i="45"/>
  <c r="DL100" i="45"/>
  <c r="DM100" i="45"/>
  <c r="DN100" i="45"/>
  <c r="DO100" i="45"/>
  <c r="DP100" i="45"/>
  <c r="DQ100" i="45"/>
  <c r="DR100" i="45"/>
  <c r="DS100" i="45"/>
  <c r="DT100" i="45"/>
  <c r="DU100" i="45"/>
  <c r="DV100" i="45"/>
  <c r="DW100" i="45"/>
  <c r="DX100" i="45"/>
  <c r="DY100" i="45"/>
  <c r="DZ100" i="45"/>
  <c r="EA100" i="45"/>
  <c r="EB100" i="45"/>
  <c r="EC100" i="45"/>
  <c r="ED100" i="45"/>
  <c r="EE100" i="45"/>
  <c r="EF100" i="45"/>
  <c r="EG100" i="45"/>
  <c r="EH100" i="45"/>
  <c r="EI100" i="45"/>
  <c r="EJ100" i="45"/>
  <c r="EK100" i="45"/>
  <c r="EL100" i="45"/>
  <c r="EM100" i="45"/>
  <c r="EN100" i="45"/>
  <c r="EO100" i="45"/>
  <c r="EP100" i="45"/>
  <c r="EQ100" i="45"/>
  <c r="ER100" i="45"/>
  <c r="ES100" i="45"/>
  <c r="ET100" i="45"/>
  <c r="EU100" i="45"/>
  <c r="EV100" i="45"/>
  <c r="EW100" i="45"/>
  <c r="EX100" i="45"/>
  <c r="EY100" i="45"/>
  <c r="EZ100" i="45"/>
  <c r="FA100" i="45"/>
  <c r="FB100" i="45"/>
  <c r="FC100" i="45"/>
  <c r="FD100" i="45"/>
  <c r="FE100" i="45"/>
  <c r="FF100" i="45"/>
  <c r="FG100" i="45"/>
  <c r="FH100" i="45"/>
  <c r="FI100" i="45"/>
  <c r="FJ100" i="45"/>
  <c r="FK100" i="45"/>
  <c r="FL100" i="45"/>
  <c r="FM100" i="45"/>
  <c r="FN100" i="45"/>
  <c r="FO100" i="45"/>
  <c r="FP100" i="45"/>
  <c r="FQ100" i="45"/>
  <c r="FR100" i="45"/>
  <c r="FS100" i="45"/>
  <c r="FT100" i="45"/>
  <c r="FU100" i="45"/>
  <c r="FV100" i="45"/>
  <c r="FW100" i="45"/>
  <c r="FX100" i="45"/>
  <c r="FY100" i="45"/>
  <c r="FZ100" i="45"/>
  <c r="GA100" i="45"/>
  <c r="GB100" i="45"/>
  <c r="GC100" i="45"/>
  <c r="GD100" i="45"/>
  <c r="GE100" i="45"/>
  <c r="GF100" i="45"/>
  <c r="GG100" i="45"/>
  <c r="GH100" i="45"/>
  <c r="GI100" i="45"/>
  <c r="GJ100" i="45"/>
  <c r="GK100" i="45"/>
  <c r="GL100" i="45"/>
  <c r="GM100" i="45"/>
  <c r="GN100" i="45"/>
  <c r="GO100" i="45"/>
  <c r="GP100" i="45"/>
  <c r="GQ100" i="45"/>
  <c r="GR100" i="45"/>
  <c r="GS100" i="45"/>
  <c r="GT100" i="45"/>
  <c r="GU100" i="45"/>
  <c r="GV100" i="45"/>
  <c r="GW100" i="45"/>
  <c r="GX100" i="45"/>
  <c r="GY100" i="45"/>
  <c r="GZ100" i="45"/>
  <c r="HA100" i="45"/>
  <c r="HB100" i="45"/>
  <c r="HC100" i="45"/>
  <c r="HD100" i="45"/>
  <c r="HE100" i="45"/>
  <c r="HF100" i="45"/>
  <c r="HG100" i="45"/>
  <c r="HH100" i="45"/>
  <c r="HI100" i="45"/>
  <c r="HJ100" i="45"/>
  <c r="HK100" i="45"/>
  <c r="HL100" i="45"/>
  <c r="HM100" i="45"/>
  <c r="HN100" i="45"/>
  <c r="HO100" i="45"/>
  <c r="HP100" i="45"/>
  <c r="HQ100" i="45"/>
  <c r="HR100" i="45"/>
  <c r="HS100" i="45"/>
  <c r="HT100" i="45"/>
  <c r="HU100" i="45"/>
  <c r="HV100" i="45"/>
  <c r="HW100" i="45"/>
  <c r="HX100" i="45"/>
  <c r="HY100" i="45"/>
  <c r="HZ100" i="45"/>
  <c r="IA100" i="45"/>
  <c r="IB100" i="45"/>
  <c r="IC100" i="45"/>
  <c r="ID100" i="45"/>
  <c r="IE100" i="45"/>
  <c r="IF100" i="45"/>
  <c r="IG100" i="45"/>
  <c r="IH100" i="45"/>
  <c r="II100" i="45"/>
  <c r="IJ100" i="45"/>
  <c r="IK100" i="45"/>
  <c r="IL100" i="45"/>
  <c r="IM100" i="45"/>
  <c r="IN100" i="45"/>
  <c r="IO100" i="45"/>
  <c r="IP100" i="45"/>
  <c r="IQ100" i="45"/>
  <c r="IR100" i="45"/>
  <c r="IS100" i="45"/>
  <c r="IT100" i="45"/>
  <c r="IU100" i="45"/>
  <c r="IV100" i="45"/>
  <c r="A99" i="45"/>
  <c r="B99" i="45"/>
  <c r="C99" i="45"/>
  <c r="D99" i="45"/>
  <c r="E99" i="45"/>
  <c r="F99" i="45"/>
  <c r="G99" i="45"/>
  <c r="H99" i="45"/>
  <c r="I99" i="45"/>
  <c r="J99" i="45"/>
  <c r="K99" i="45"/>
  <c r="L99" i="45"/>
  <c r="M99" i="45"/>
  <c r="N99" i="45"/>
  <c r="O99" i="45"/>
  <c r="P99" i="45"/>
  <c r="Q99" i="45"/>
  <c r="R99" i="45"/>
  <c r="S99" i="45"/>
  <c r="T99" i="45"/>
  <c r="U99" i="45"/>
  <c r="V99" i="45"/>
  <c r="W99" i="45"/>
  <c r="X99" i="45"/>
  <c r="Y99" i="45"/>
  <c r="Z99" i="45"/>
  <c r="AA99" i="45"/>
  <c r="AB99" i="45"/>
  <c r="AC99" i="45"/>
  <c r="AD99" i="45"/>
  <c r="AE99" i="45"/>
  <c r="AF99" i="45"/>
  <c r="AG99" i="45"/>
  <c r="AH99" i="45"/>
  <c r="AI99" i="45"/>
  <c r="AJ99" i="45"/>
  <c r="AK99" i="45"/>
  <c r="AL99" i="45"/>
  <c r="AM99" i="45"/>
  <c r="AN99" i="45"/>
  <c r="AO99" i="45"/>
  <c r="AP99" i="45"/>
  <c r="AQ99" i="45"/>
  <c r="AR99" i="45"/>
  <c r="AS99" i="45"/>
  <c r="AT99" i="45"/>
  <c r="AU99" i="45"/>
  <c r="AV99" i="45"/>
  <c r="AW99" i="45"/>
  <c r="AX99" i="45"/>
  <c r="AY99" i="45"/>
  <c r="AZ99" i="45"/>
  <c r="BA99" i="45"/>
  <c r="BB99" i="45"/>
  <c r="BC99" i="45"/>
  <c r="BD99" i="45"/>
  <c r="BE99" i="45"/>
  <c r="BF99" i="45"/>
  <c r="BG99" i="45"/>
  <c r="BH99" i="45"/>
  <c r="BI99" i="45"/>
  <c r="BJ99" i="45"/>
  <c r="BK99" i="45"/>
  <c r="BL99" i="45"/>
  <c r="BM99" i="45"/>
  <c r="BN99" i="45"/>
  <c r="BO99" i="45"/>
  <c r="BP99" i="45"/>
  <c r="BQ99" i="45"/>
  <c r="BR99" i="45"/>
  <c r="BS99" i="45"/>
  <c r="BT99" i="45"/>
  <c r="BU99" i="45"/>
  <c r="BV99" i="45"/>
  <c r="BW99" i="45"/>
  <c r="BX99" i="45"/>
  <c r="BY99" i="45"/>
  <c r="BZ99" i="45"/>
  <c r="CA99" i="45"/>
  <c r="CB99" i="45"/>
  <c r="CC99" i="45"/>
  <c r="CD99" i="45"/>
  <c r="CE99" i="45"/>
  <c r="CF99" i="45"/>
  <c r="CG99" i="45"/>
  <c r="CH99" i="45"/>
  <c r="CI99" i="45"/>
  <c r="CJ99" i="45"/>
  <c r="CK99" i="45"/>
  <c r="CL99" i="45"/>
  <c r="CM99" i="45"/>
  <c r="CN99" i="45"/>
  <c r="CO99" i="45"/>
  <c r="CP99" i="45"/>
  <c r="CQ99" i="45"/>
  <c r="CR99" i="45"/>
  <c r="CS99" i="45"/>
  <c r="CT99" i="45"/>
  <c r="CU99" i="45"/>
  <c r="CV99" i="45"/>
  <c r="CW99" i="45"/>
  <c r="CX99" i="45"/>
  <c r="CY99" i="45"/>
  <c r="CZ99" i="45"/>
  <c r="DA99" i="45"/>
  <c r="DB99" i="45"/>
  <c r="DC99" i="45"/>
  <c r="DD99" i="45"/>
  <c r="DE99" i="45"/>
  <c r="DF99" i="45"/>
  <c r="DG99" i="45"/>
  <c r="DH99" i="45"/>
  <c r="DI99" i="45"/>
  <c r="DJ99" i="45"/>
  <c r="DK99" i="45"/>
  <c r="DL99" i="45"/>
  <c r="DM99" i="45"/>
  <c r="DN99" i="45"/>
  <c r="DO99" i="45"/>
  <c r="DP99" i="45"/>
  <c r="DQ99" i="45"/>
  <c r="DR99" i="45"/>
  <c r="DS99" i="45"/>
  <c r="DT99" i="45"/>
  <c r="DU99" i="45"/>
  <c r="DV99" i="45"/>
  <c r="DW99" i="45"/>
  <c r="DX99" i="45"/>
  <c r="DY99" i="45"/>
  <c r="DZ99" i="45"/>
  <c r="EA99" i="45"/>
  <c r="EB99" i="45"/>
  <c r="EC99" i="45"/>
  <c r="ED99" i="45"/>
  <c r="EE99" i="45"/>
  <c r="EF99" i="45"/>
  <c r="EG99" i="45"/>
  <c r="EH99" i="45"/>
  <c r="EI99" i="45"/>
  <c r="EJ99" i="45"/>
  <c r="EK99" i="45"/>
  <c r="EL99" i="45"/>
  <c r="EM99" i="45"/>
  <c r="EN99" i="45"/>
  <c r="EO99" i="45"/>
  <c r="EP99" i="45"/>
  <c r="EQ99" i="45"/>
  <c r="ER99" i="45"/>
  <c r="ES99" i="45"/>
  <c r="ET99" i="45"/>
  <c r="EU99" i="45"/>
  <c r="EV99" i="45"/>
  <c r="EW99" i="45"/>
  <c r="EX99" i="45"/>
  <c r="EY99" i="45"/>
  <c r="EZ99" i="45"/>
  <c r="FA99" i="45"/>
  <c r="FB99" i="45"/>
  <c r="FC99" i="45"/>
  <c r="FD99" i="45"/>
  <c r="FE99" i="45"/>
  <c r="FF99" i="45"/>
  <c r="FG99" i="45"/>
  <c r="FH99" i="45"/>
  <c r="FI99" i="45"/>
  <c r="FJ99" i="45"/>
  <c r="FK99" i="45"/>
  <c r="FL99" i="45"/>
  <c r="FM99" i="45"/>
  <c r="FN99" i="45"/>
  <c r="FO99" i="45"/>
  <c r="FP99" i="45"/>
  <c r="FQ99" i="45"/>
  <c r="FR99" i="45"/>
  <c r="FS99" i="45"/>
  <c r="FT99" i="45"/>
  <c r="FU99" i="45"/>
  <c r="FV99" i="45"/>
  <c r="FW99" i="45"/>
  <c r="FX99" i="45"/>
  <c r="FY99" i="45"/>
  <c r="FZ99" i="45"/>
  <c r="GA99" i="45"/>
  <c r="GB99" i="45"/>
  <c r="GC99" i="45"/>
  <c r="GD99" i="45"/>
  <c r="GE99" i="45"/>
  <c r="GF99" i="45"/>
  <c r="GG99" i="45"/>
  <c r="GH99" i="45"/>
  <c r="GI99" i="45"/>
  <c r="GJ99" i="45"/>
  <c r="GK99" i="45"/>
  <c r="GL99" i="45"/>
  <c r="GM99" i="45"/>
  <c r="GN99" i="45"/>
  <c r="GO99" i="45"/>
  <c r="GP99" i="45"/>
  <c r="GQ99" i="45"/>
  <c r="GR99" i="45"/>
  <c r="GS99" i="45"/>
  <c r="GT99" i="45"/>
  <c r="GU99" i="45"/>
  <c r="GV99" i="45"/>
  <c r="GW99" i="45"/>
  <c r="GX99" i="45"/>
  <c r="GY99" i="45"/>
  <c r="GZ99" i="45"/>
  <c r="HA99" i="45"/>
  <c r="HB99" i="45"/>
  <c r="HC99" i="45"/>
  <c r="HD99" i="45"/>
  <c r="HE99" i="45"/>
  <c r="HF99" i="45"/>
  <c r="HG99" i="45"/>
  <c r="HH99" i="45"/>
  <c r="HI99" i="45"/>
  <c r="HJ99" i="45"/>
  <c r="HK99" i="45"/>
  <c r="HL99" i="45"/>
  <c r="HM99" i="45"/>
  <c r="HN99" i="45"/>
  <c r="HO99" i="45"/>
  <c r="HP99" i="45"/>
  <c r="HQ99" i="45"/>
  <c r="HR99" i="45"/>
  <c r="HS99" i="45"/>
  <c r="HT99" i="45"/>
  <c r="HU99" i="45"/>
  <c r="HV99" i="45"/>
  <c r="HW99" i="45"/>
  <c r="HX99" i="45"/>
  <c r="HY99" i="45"/>
  <c r="HZ99" i="45"/>
  <c r="IA99" i="45"/>
  <c r="IB99" i="45"/>
  <c r="IC99" i="45"/>
  <c r="ID99" i="45"/>
  <c r="IE99" i="45"/>
  <c r="IF99" i="45"/>
  <c r="IG99" i="45"/>
  <c r="IH99" i="45"/>
  <c r="II99" i="45"/>
  <c r="IJ99" i="45"/>
  <c r="IK99" i="45"/>
  <c r="IL99" i="45"/>
  <c r="IM99" i="45"/>
  <c r="IN99" i="45"/>
  <c r="IO99" i="45"/>
  <c r="IP99" i="45"/>
  <c r="IQ99" i="45"/>
  <c r="IR99" i="45"/>
  <c r="IS99" i="45"/>
  <c r="IT99" i="45"/>
  <c r="IU99" i="45"/>
  <c r="IV99" i="45"/>
  <c r="A98" i="45"/>
  <c r="B98" i="45"/>
  <c r="C98" i="45"/>
  <c r="D98" i="45"/>
  <c r="E98" i="45"/>
  <c r="F98" i="45"/>
  <c r="G98" i="45"/>
  <c r="H98" i="45"/>
  <c r="I98" i="45"/>
  <c r="J98" i="45"/>
  <c r="K98" i="45"/>
  <c r="L98" i="45"/>
  <c r="M98" i="45"/>
  <c r="N98" i="45"/>
  <c r="O98" i="45"/>
  <c r="P98" i="45"/>
  <c r="Q98" i="45"/>
  <c r="R98" i="45"/>
  <c r="S98" i="45"/>
  <c r="T98" i="45"/>
  <c r="U98" i="45"/>
  <c r="V98" i="45"/>
  <c r="W98" i="45"/>
  <c r="X98" i="45"/>
  <c r="Y98" i="45"/>
  <c r="Z98" i="45"/>
  <c r="AA98" i="45"/>
  <c r="AB98" i="45"/>
  <c r="AC98" i="45"/>
  <c r="AD98" i="45"/>
  <c r="AE98" i="45"/>
  <c r="AF98" i="45"/>
  <c r="AG98" i="45"/>
  <c r="AH98" i="45"/>
  <c r="AI98" i="45"/>
  <c r="AJ98" i="45"/>
  <c r="AK98" i="45"/>
  <c r="AL98" i="45"/>
  <c r="AM98" i="45"/>
  <c r="AN98" i="45"/>
  <c r="AO98" i="45"/>
  <c r="AP98" i="45"/>
  <c r="AQ98" i="45"/>
  <c r="AR98" i="45"/>
  <c r="AS98" i="45"/>
  <c r="AT98" i="45"/>
  <c r="AU98" i="45"/>
  <c r="AV98" i="45"/>
  <c r="AW98" i="45"/>
  <c r="AX98" i="45"/>
  <c r="AY98" i="45"/>
  <c r="AZ98" i="45"/>
  <c r="BA98" i="45"/>
  <c r="BB98" i="45"/>
  <c r="BC98" i="45"/>
  <c r="BD98" i="45"/>
  <c r="BE98" i="45"/>
  <c r="BF98" i="45"/>
  <c r="BG98" i="45"/>
  <c r="BH98" i="45"/>
  <c r="BI98" i="45"/>
  <c r="BJ98" i="45"/>
  <c r="BK98" i="45"/>
  <c r="BL98" i="45"/>
  <c r="BM98" i="45"/>
  <c r="BN98" i="45"/>
  <c r="BO98" i="45"/>
  <c r="BP98" i="45"/>
  <c r="BQ98" i="45"/>
  <c r="BR98" i="45"/>
  <c r="BS98" i="45"/>
  <c r="BT98" i="45"/>
  <c r="BU98" i="45"/>
  <c r="BV98" i="45"/>
  <c r="BW98" i="45"/>
  <c r="BX98" i="45"/>
  <c r="BY98" i="45"/>
  <c r="BZ98" i="45"/>
  <c r="CA98" i="45"/>
  <c r="CB98" i="45"/>
  <c r="CC98" i="45"/>
  <c r="CD98" i="45"/>
  <c r="CE98" i="45"/>
  <c r="CF98" i="45"/>
  <c r="CG98" i="45"/>
  <c r="CH98" i="45"/>
  <c r="CI98" i="45"/>
  <c r="CJ98" i="45"/>
  <c r="CK98" i="45"/>
  <c r="CL98" i="45"/>
  <c r="CM98" i="45"/>
  <c r="CN98" i="45"/>
  <c r="CO98" i="45"/>
  <c r="CP98" i="45"/>
  <c r="CQ98" i="45"/>
  <c r="CR98" i="45"/>
  <c r="CS98" i="45"/>
  <c r="CT98" i="45"/>
  <c r="CU98" i="45"/>
  <c r="CV98" i="45"/>
  <c r="CW98" i="45"/>
  <c r="CX98" i="45"/>
  <c r="CY98" i="45"/>
  <c r="CZ98" i="45"/>
  <c r="DA98" i="45"/>
  <c r="DB98" i="45"/>
  <c r="DC98" i="45"/>
  <c r="DD98" i="45"/>
  <c r="DE98" i="45"/>
  <c r="DF98" i="45"/>
  <c r="DG98" i="45"/>
  <c r="DH98" i="45"/>
  <c r="DI98" i="45"/>
  <c r="DJ98" i="45"/>
  <c r="DK98" i="45"/>
  <c r="DL98" i="45"/>
  <c r="DM98" i="45"/>
  <c r="DN98" i="45"/>
  <c r="DO98" i="45"/>
  <c r="DP98" i="45"/>
  <c r="DQ98" i="45"/>
  <c r="DR98" i="45"/>
  <c r="DS98" i="45"/>
  <c r="DT98" i="45"/>
  <c r="DU98" i="45"/>
  <c r="DV98" i="45"/>
  <c r="DW98" i="45"/>
  <c r="DX98" i="45"/>
  <c r="DY98" i="45"/>
  <c r="DZ98" i="45"/>
  <c r="EA98" i="45"/>
  <c r="EB98" i="45"/>
  <c r="EC98" i="45"/>
  <c r="ED98" i="45"/>
  <c r="EE98" i="45"/>
  <c r="EF98" i="45"/>
  <c r="EG98" i="45"/>
  <c r="EH98" i="45"/>
  <c r="EI98" i="45"/>
  <c r="EJ98" i="45"/>
  <c r="EK98" i="45"/>
  <c r="EL98" i="45"/>
  <c r="EM98" i="45"/>
  <c r="EN98" i="45"/>
  <c r="EO98" i="45"/>
  <c r="EP98" i="45"/>
  <c r="EQ98" i="45"/>
  <c r="ER98" i="45"/>
  <c r="ES98" i="45"/>
  <c r="ET98" i="45"/>
  <c r="EU98" i="45"/>
  <c r="EV98" i="45"/>
  <c r="EW98" i="45"/>
  <c r="EX98" i="45"/>
  <c r="EY98" i="45"/>
  <c r="EZ98" i="45"/>
  <c r="FA98" i="45"/>
  <c r="FB98" i="45"/>
  <c r="FC98" i="45"/>
  <c r="FD98" i="45"/>
  <c r="FE98" i="45"/>
  <c r="FF98" i="45"/>
  <c r="FG98" i="45"/>
  <c r="FH98" i="45"/>
  <c r="FI98" i="45"/>
  <c r="FJ98" i="45"/>
  <c r="FK98" i="45"/>
  <c r="FL98" i="45"/>
  <c r="FM98" i="45"/>
  <c r="FN98" i="45"/>
  <c r="FO98" i="45"/>
  <c r="FP98" i="45"/>
  <c r="FQ98" i="45"/>
  <c r="FR98" i="45"/>
  <c r="FS98" i="45"/>
  <c r="FT98" i="45"/>
  <c r="FU98" i="45"/>
  <c r="FV98" i="45"/>
  <c r="FW98" i="45"/>
  <c r="FX98" i="45"/>
  <c r="FY98" i="45"/>
  <c r="FZ98" i="45"/>
  <c r="GA98" i="45"/>
  <c r="GB98" i="45"/>
  <c r="GC98" i="45"/>
  <c r="GD98" i="45"/>
  <c r="GE98" i="45"/>
  <c r="GF98" i="45"/>
  <c r="GG98" i="45"/>
  <c r="GH98" i="45"/>
  <c r="GI98" i="45"/>
  <c r="GJ98" i="45"/>
  <c r="GK98" i="45"/>
  <c r="GL98" i="45"/>
  <c r="GM98" i="45"/>
  <c r="GN98" i="45"/>
  <c r="GO98" i="45"/>
  <c r="GP98" i="45"/>
  <c r="GQ98" i="45"/>
  <c r="GR98" i="45"/>
  <c r="GS98" i="45"/>
  <c r="GT98" i="45"/>
  <c r="GU98" i="45"/>
  <c r="GV98" i="45"/>
  <c r="GW98" i="45"/>
  <c r="GX98" i="45"/>
  <c r="GY98" i="45"/>
  <c r="GZ98" i="45"/>
  <c r="HA98" i="45"/>
  <c r="HB98" i="45"/>
  <c r="HC98" i="45"/>
  <c r="HD98" i="45"/>
  <c r="HE98" i="45"/>
  <c r="HF98" i="45"/>
  <c r="HG98" i="45"/>
  <c r="HH98" i="45"/>
  <c r="HI98" i="45"/>
  <c r="HJ98" i="45"/>
  <c r="HK98" i="45"/>
  <c r="HL98" i="45"/>
  <c r="HM98" i="45"/>
  <c r="HN98" i="45"/>
  <c r="HO98" i="45"/>
  <c r="HP98" i="45"/>
  <c r="HQ98" i="45"/>
  <c r="HR98" i="45"/>
  <c r="HS98" i="45"/>
  <c r="HT98" i="45"/>
  <c r="HU98" i="45"/>
  <c r="HV98" i="45"/>
  <c r="HW98" i="45"/>
  <c r="HX98" i="45"/>
  <c r="HY98" i="45"/>
  <c r="HZ98" i="45"/>
  <c r="IA98" i="45"/>
  <c r="IB98" i="45"/>
  <c r="IC98" i="45"/>
  <c r="ID98" i="45"/>
  <c r="IE98" i="45"/>
  <c r="IF98" i="45"/>
  <c r="IG98" i="45"/>
  <c r="IH98" i="45"/>
  <c r="II98" i="45"/>
  <c r="IJ98" i="45"/>
  <c r="IK98" i="45"/>
  <c r="IL98" i="45"/>
  <c r="IM98" i="45"/>
  <c r="IN98" i="45"/>
  <c r="IO98" i="45"/>
  <c r="IP98" i="45"/>
  <c r="IQ98" i="45"/>
  <c r="IR98" i="45"/>
  <c r="IS98" i="45"/>
  <c r="IT98" i="45"/>
  <c r="IU98" i="45"/>
  <c r="IV98" i="45"/>
  <c r="A97" i="45"/>
  <c r="B97" i="45"/>
  <c r="C97" i="45"/>
  <c r="D97" i="45"/>
  <c r="E97" i="45"/>
  <c r="F97" i="45"/>
  <c r="G97" i="45"/>
  <c r="H97" i="45"/>
  <c r="I97" i="45"/>
  <c r="J97" i="45"/>
  <c r="K97" i="45"/>
  <c r="L97" i="45"/>
  <c r="M97" i="45"/>
  <c r="N97" i="45"/>
  <c r="O97" i="45"/>
  <c r="P97" i="45"/>
  <c r="Q97" i="45"/>
  <c r="R97" i="45"/>
  <c r="S97" i="45"/>
  <c r="T97" i="45"/>
  <c r="U97" i="45"/>
  <c r="V97" i="45"/>
  <c r="W97" i="45"/>
  <c r="X97" i="45"/>
  <c r="Y97" i="45"/>
  <c r="Z97" i="45"/>
  <c r="AA97" i="45"/>
  <c r="AB97" i="45"/>
  <c r="AC97" i="45"/>
  <c r="AD97" i="45"/>
  <c r="AE97" i="45"/>
  <c r="AF97" i="45"/>
  <c r="AG97" i="45"/>
  <c r="AH97" i="45"/>
  <c r="AI97" i="45"/>
  <c r="AJ97" i="45"/>
  <c r="AK97" i="45"/>
  <c r="AL97" i="45"/>
  <c r="AM97" i="45"/>
  <c r="AN97" i="45"/>
  <c r="AO97" i="45"/>
  <c r="AP97" i="45"/>
  <c r="AQ97" i="45"/>
  <c r="AR97" i="45"/>
  <c r="AS97" i="45"/>
  <c r="AT97" i="45"/>
  <c r="AU97" i="45"/>
  <c r="AV97" i="45"/>
  <c r="AW97" i="45"/>
  <c r="AX97" i="45"/>
  <c r="AY97" i="45"/>
  <c r="AZ97" i="45"/>
  <c r="BA97" i="45"/>
  <c r="BB97" i="45"/>
  <c r="BC97" i="45"/>
  <c r="BD97" i="45"/>
  <c r="BE97" i="45"/>
  <c r="BF97" i="45"/>
  <c r="BG97" i="45"/>
  <c r="BH97" i="45"/>
  <c r="BI97" i="45"/>
  <c r="BJ97" i="45"/>
  <c r="BK97" i="45"/>
  <c r="BL97" i="45"/>
  <c r="BM97" i="45"/>
  <c r="BN97" i="45"/>
  <c r="BO97" i="45"/>
  <c r="BP97" i="45"/>
  <c r="BQ97" i="45"/>
  <c r="BR97" i="45"/>
  <c r="BS97" i="45"/>
  <c r="BT97" i="45"/>
  <c r="BU97" i="45"/>
  <c r="BV97" i="45"/>
  <c r="BW97" i="45"/>
  <c r="BX97" i="45"/>
  <c r="BY97" i="45"/>
  <c r="BZ97" i="45"/>
  <c r="CA97" i="45"/>
  <c r="CB97" i="45"/>
  <c r="CC97" i="45"/>
  <c r="CD97" i="45"/>
  <c r="CE97" i="45"/>
  <c r="CF97" i="45"/>
  <c r="CG97" i="45"/>
  <c r="CH97" i="45"/>
  <c r="CI97" i="45"/>
  <c r="CJ97" i="45"/>
  <c r="CK97" i="45"/>
  <c r="CL97" i="45"/>
  <c r="CM97" i="45"/>
  <c r="CN97" i="45"/>
  <c r="CO97" i="45"/>
  <c r="CP97" i="45"/>
  <c r="CQ97" i="45"/>
  <c r="CR97" i="45"/>
  <c r="CS97" i="45"/>
  <c r="CT97" i="45"/>
  <c r="CU97" i="45"/>
  <c r="CV97" i="45"/>
  <c r="CW97" i="45"/>
  <c r="CX97" i="45"/>
  <c r="CY97" i="45"/>
  <c r="CZ97" i="45"/>
  <c r="DA97" i="45"/>
  <c r="DB97" i="45"/>
  <c r="DC97" i="45"/>
  <c r="DD97" i="45"/>
  <c r="DE97" i="45"/>
  <c r="DF97" i="45"/>
  <c r="DG97" i="45"/>
  <c r="DH97" i="45"/>
  <c r="DI97" i="45"/>
  <c r="DJ97" i="45"/>
  <c r="DK97" i="45"/>
  <c r="DL97" i="45"/>
  <c r="DM97" i="45"/>
  <c r="DN97" i="45"/>
  <c r="DO97" i="45"/>
  <c r="DP97" i="45"/>
  <c r="DQ97" i="45"/>
  <c r="DR97" i="45"/>
  <c r="DS97" i="45"/>
  <c r="DT97" i="45"/>
  <c r="DU97" i="45"/>
  <c r="DV97" i="45"/>
  <c r="DW97" i="45"/>
  <c r="DX97" i="45"/>
  <c r="DY97" i="45"/>
  <c r="DZ97" i="45"/>
  <c r="EA97" i="45"/>
  <c r="EB97" i="45"/>
  <c r="EC97" i="45"/>
  <c r="ED97" i="45"/>
  <c r="EE97" i="45"/>
  <c r="EF97" i="45"/>
  <c r="EG97" i="45"/>
  <c r="EH97" i="45"/>
  <c r="EI97" i="45"/>
  <c r="EJ97" i="45"/>
  <c r="EK97" i="45"/>
  <c r="EL97" i="45"/>
  <c r="EM97" i="45"/>
  <c r="EN97" i="45"/>
  <c r="EO97" i="45"/>
  <c r="EP97" i="45"/>
  <c r="EQ97" i="45"/>
  <c r="ER97" i="45"/>
  <c r="ES97" i="45"/>
  <c r="ET97" i="45"/>
  <c r="EU97" i="45"/>
  <c r="EV97" i="45"/>
  <c r="EW97" i="45"/>
  <c r="EX97" i="45"/>
  <c r="EY97" i="45"/>
  <c r="EZ97" i="45"/>
  <c r="FA97" i="45"/>
  <c r="FB97" i="45"/>
  <c r="FC97" i="45"/>
  <c r="FD97" i="45"/>
  <c r="FE97" i="45"/>
  <c r="FF97" i="45"/>
  <c r="FG97" i="45"/>
  <c r="FH97" i="45"/>
  <c r="FI97" i="45"/>
  <c r="FJ97" i="45"/>
  <c r="FK97" i="45"/>
  <c r="FL97" i="45"/>
  <c r="FM97" i="45"/>
  <c r="FN97" i="45"/>
  <c r="FO97" i="45"/>
  <c r="FP97" i="45"/>
  <c r="FQ97" i="45"/>
  <c r="FR97" i="45"/>
  <c r="FS97" i="45"/>
  <c r="FT97" i="45"/>
  <c r="FU97" i="45"/>
  <c r="FV97" i="45"/>
  <c r="FW97" i="45"/>
  <c r="FX97" i="45"/>
  <c r="FY97" i="45"/>
  <c r="FZ97" i="45"/>
  <c r="GA97" i="45"/>
  <c r="GB97" i="45"/>
  <c r="GC97" i="45"/>
  <c r="GD97" i="45"/>
  <c r="GE97" i="45"/>
  <c r="GF97" i="45"/>
  <c r="GG97" i="45"/>
  <c r="GH97" i="45"/>
  <c r="GI97" i="45"/>
  <c r="GJ97" i="45"/>
  <c r="GK97" i="45"/>
  <c r="GL97" i="45"/>
  <c r="GM97" i="45"/>
  <c r="GN97" i="45"/>
  <c r="GO97" i="45"/>
  <c r="GP97" i="45"/>
  <c r="GQ97" i="45"/>
  <c r="GR97" i="45"/>
  <c r="GS97" i="45"/>
  <c r="GT97" i="45"/>
  <c r="GU97" i="45"/>
  <c r="GV97" i="45"/>
  <c r="GW97" i="45"/>
  <c r="GX97" i="45"/>
  <c r="GY97" i="45"/>
  <c r="GZ97" i="45"/>
  <c r="HA97" i="45"/>
  <c r="HB97" i="45"/>
  <c r="HC97" i="45"/>
  <c r="HD97" i="45"/>
  <c r="HE97" i="45"/>
  <c r="HF97" i="45"/>
  <c r="HG97" i="45"/>
  <c r="HH97" i="45"/>
  <c r="HI97" i="45"/>
  <c r="HJ97" i="45"/>
  <c r="HK97" i="45"/>
  <c r="HL97" i="45"/>
  <c r="HM97" i="45"/>
  <c r="HN97" i="45"/>
  <c r="HO97" i="45"/>
  <c r="HP97" i="45"/>
  <c r="HQ97" i="45"/>
  <c r="HR97" i="45"/>
  <c r="HS97" i="45"/>
  <c r="HT97" i="45"/>
  <c r="HU97" i="45"/>
  <c r="HV97" i="45"/>
  <c r="HW97" i="45"/>
  <c r="HX97" i="45"/>
  <c r="HY97" i="45"/>
  <c r="HZ97" i="45"/>
  <c r="IA97" i="45"/>
  <c r="IB97" i="45"/>
  <c r="IC97" i="45"/>
  <c r="ID97" i="45"/>
  <c r="IE97" i="45"/>
  <c r="IF97" i="45"/>
  <c r="IG97" i="45"/>
  <c r="IH97" i="45"/>
  <c r="II97" i="45"/>
  <c r="IJ97" i="45"/>
  <c r="IK97" i="45"/>
  <c r="IL97" i="45"/>
  <c r="IM97" i="45"/>
  <c r="IN97" i="45"/>
  <c r="IO97" i="45"/>
  <c r="IP97" i="45"/>
  <c r="IQ97" i="45"/>
  <c r="IR97" i="45"/>
  <c r="IS97" i="45"/>
  <c r="IT97" i="45"/>
  <c r="IU97" i="45"/>
  <c r="IV97" i="45"/>
  <c r="A96" i="45"/>
  <c r="B96" i="45"/>
  <c r="C96" i="45"/>
  <c r="D96" i="45"/>
  <c r="E96" i="45"/>
  <c r="F96" i="45"/>
  <c r="G96" i="45"/>
  <c r="H96" i="45"/>
  <c r="I96" i="45"/>
  <c r="J96" i="45"/>
  <c r="K96" i="45"/>
  <c r="L96" i="45"/>
  <c r="M96" i="45"/>
  <c r="N96" i="45"/>
  <c r="O96" i="45"/>
  <c r="P96" i="45"/>
  <c r="Q96" i="45"/>
  <c r="R96" i="45"/>
  <c r="S96" i="45"/>
  <c r="T96" i="45"/>
  <c r="U96" i="45"/>
  <c r="V96" i="45"/>
  <c r="W96" i="45"/>
  <c r="X96" i="45"/>
  <c r="Y96" i="45"/>
  <c r="Z96" i="45"/>
  <c r="AA96" i="45"/>
  <c r="AB96" i="45"/>
  <c r="AC96" i="45"/>
  <c r="AD96" i="45"/>
  <c r="AE96" i="45"/>
  <c r="AF96" i="45"/>
  <c r="AG96" i="45"/>
  <c r="AH96" i="45"/>
  <c r="AI96" i="45"/>
  <c r="AJ96" i="45"/>
  <c r="AK96" i="45"/>
  <c r="AL96" i="45"/>
  <c r="AM96" i="45"/>
  <c r="AN96" i="45"/>
  <c r="AO96" i="45"/>
  <c r="AP96" i="45"/>
  <c r="AQ96" i="45"/>
  <c r="AR96" i="45"/>
  <c r="AS96" i="45"/>
  <c r="AT96" i="45"/>
  <c r="AU96" i="45"/>
  <c r="AV96" i="45"/>
  <c r="AW96" i="45"/>
  <c r="AX96" i="45"/>
  <c r="AY96" i="45"/>
  <c r="AZ96" i="45"/>
  <c r="BA96" i="45"/>
  <c r="BB96" i="45"/>
  <c r="BC96" i="45"/>
  <c r="BD96" i="45"/>
  <c r="BE96" i="45"/>
  <c r="BF96" i="45"/>
  <c r="BG96" i="45"/>
  <c r="BH96" i="45"/>
  <c r="BI96" i="45"/>
  <c r="BJ96" i="45"/>
  <c r="BK96" i="45"/>
  <c r="BL96" i="45"/>
  <c r="BM96" i="45"/>
  <c r="BN96" i="45"/>
  <c r="BO96" i="45"/>
  <c r="BP96" i="45"/>
  <c r="BQ96" i="45"/>
  <c r="BR96" i="45"/>
  <c r="BS96" i="45"/>
  <c r="BT96" i="45"/>
  <c r="BU96" i="45"/>
  <c r="BV96" i="45"/>
  <c r="BW96" i="45"/>
  <c r="BX96" i="45"/>
  <c r="BY96" i="45"/>
  <c r="BZ96" i="45"/>
  <c r="CA96" i="45"/>
  <c r="CB96" i="45"/>
  <c r="CC96" i="45"/>
  <c r="CD96" i="45"/>
  <c r="CE96" i="45"/>
  <c r="CF96" i="45"/>
  <c r="CG96" i="45"/>
  <c r="CH96" i="45"/>
  <c r="CI96" i="45"/>
  <c r="CJ96" i="45"/>
  <c r="CK96" i="45"/>
  <c r="CL96" i="45"/>
  <c r="CM96" i="45"/>
  <c r="CN96" i="45"/>
  <c r="CO96" i="45"/>
  <c r="CP96" i="45"/>
  <c r="CQ96" i="45"/>
  <c r="CR96" i="45"/>
  <c r="CS96" i="45"/>
  <c r="CT96" i="45"/>
  <c r="CU96" i="45"/>
  <c r="CV96" i="45"/>
  <c r="CW96" i="45"/>
  <c r="CX96" i="45"/>
  <c r="CY96" i="45"/>
  <c r="CZ96" i="45"/>
  <c r="DA96" i="45"/>
  <c r="DB96" i="45"/>
  <c r="DC96" i="45"/>
  <c r="DD96" i="45"/>
  <c r="DE96" i="45"/>
  <c r="DF96" i="45"/>
  <c r="DG96" i="45"/>
  <c r="DH96" i="45"/>
  <c r="DI96" i="45"/>
  <c r="DJ96" i="45"/>
  <c r="DK96" i="45"/>
  <c r="DL96" i="45"/>
  <c r="DM96" i="45"/>
  <c r="DN96" i="45"/>
  <c r="DO96" i="45"/>
  <c r="DP96" i="45"/>
  <c r="DQ96" i="45"/>
  <c r="DR96" i="45"/>
  <c r="DS96" i="45"/>
  <c r="DT96" i="45"/>
  <c r="DU96" i="45"/>
  <c r="DV96" i="45"/>
  <c r="DW96" i="45"/>
  <c r="DX96" i="45"/>
  <c r="DY96" i="45"/>
  <c r="DZ96" i="45"/>
  <c r="EA96" i="45"/>
  <c r="EB96" i="45"/>
  <c r="EC96" i="45"/>
  <c r="ED96" i="45"/>
  <c r="EE96" i="45"/>
  <c r="EF96" i="45"/>
  <c r="EG96" i="45"/>
  <c r="EH96" i="45"/>
  <c r="EI96" i="45"/>
  <c r="EJ96" i="45"/>
  <c r="EK96" i="45"/>
  <c r="EL96" i="45"/>
  <c r="EM96" i="45"/>
  <c r="EN96" i="45"/>
  <c r="EO96" i="45"/>
  <c r="EP96" i="45"/>
  <c r="EQ96" i="45"/>
  <c r="ER96" i="45"/>
  <c r="ES96" i="45"/>
  <c r="ET96" i="45"/>
  <c r="EU96" i="45"/>
  <c r="EV96" i="45"/>
  <c r="EW96" i="45"/>
  <c r="EX96" i="45"/>
  <c r="EY96" i="45"/>
  <c r="EZ96" i="45"/>
  <c r="FA96" i="45"/>
  <c r="FB96" i="45"/>
  <c r="FC96" i="45"/>
  <c r="FD96" i="45"/>
  <c r="FE96" i="45"/>
  <c r="FF96" i="45"/>
  <c r="FG96" i="45"/>
  <c r="FH96" i="45"/>
  <c r="FI96" i="45"/>
  <c r="FJ96" i="45"/>
  <c r="FK96" i="45"/>
  <c r="FL96" i="45"/>
  <c r="FM96" i="45"/>
  <c r="FN96" i="45"/>
  <c r="FO96" i="45"/>
  <c r="FP96" i="45"/>
  <c r="FQ96" i="45"/>
  <c r="FR96" i="45"/>
  <c r="FS96" i="45"/>
  <c r="FT96" i="45"/>
  <c r="FU96" i="45"/>
  <c r="FV96" i="45"/>
  <c r="FW96" i="45"/>
  <c r="FX96" i="45"/>
  <c r="FY96" i="45"/>
  <c r="FZ96" i="45"/>
  <c r="GA96" i="45"/>
  <c r="GB96" i="45"/>
  <c r="GC96" i="45"/>
  <c r="GD96" i="45"/>
  <c r="GE96" i="45"/>
  <c r="GF96" i="45"/>
  <c r="GG96" i="45"/>
  <c r="GH96" i="45"/>
  <c r="GI96" i="45"/>
  <c r="GJ96" i="45"/>
  <c r="GK96" i="45"/>
  <c r="GL96" i="45"/>
  <c r="GM96" i="45"/>
  <c r="GN96" i="45"/>
  <c r="GO96" i="45"/>
  <c r="GP96" i="45"/>
  <c r="GQ96" i="45"/>
  <c r="GR96" i="45"/>
  <c r="GS96" i="45"/>
  <c r="GT96" i="45"/>
  <c r="GU96" i="45"/>
  <c r="GV96" i="45"/>
  <c r="GW96" i="45"/>
  <c r="GX96" i="45"/>
  <c r="GY96" i="45"/>
  <c r="GZ96" i="45"/>
  <c r="HA96" i="45"/>
  <c r="HB96" i="45"/>
  <c r="HC96" i="45"/>
  <c r="HD96" i="45"/>
  <c r="HE96" i="45"/>
  <c r="HF96" i="45"/>
  <c r="HG96" i="45"/>
  <c r="HH96" i="45"/>
  <c r="HI96" i="45"/>
  <c r="HJ96" i="45"/>
  <c r="HK96" i="45"/>
  <c r="HL96" i="45"/>
  <c r="HM96" i="45"/>
  <c r="HN96" i="45"/>
  <c r="HO96" i="45"/>
  <c r="HP96" i="45"/>
  <c r="HQ96" i="45"/>
  <c r="HR96" i="45"/>
  <c r="HS96" i="45"/>
  <c r="HT96" i="45"/>
  <c r="HU96" i="45"/>
  <c r="HV96" i="45"/>
  <c r="HW96" i="45"/>
  <c r="HX96" i="45"/>
  <c r="HY96" i="45"/>
  <c r="HZ96" i="45"/>
  <c r="IA96" i="45"/>
  <c r="IB96" i="45"/>
  <c r="IC96" i="45"/>
  <c r="ID96" i="45"/>
  <c r="IE96" i="45"/>
  <c r="IF96" i="45"/>
  <c r="IG96" i="45"/>
  <c r="IH96" i="45"/>
  <c r="II96" i="45"/>
  <c r="IJ96" i="45"/>
  <c r="IK96" i="45"/>
  <c r="IL96" i="45"/>
  <c r="IM96" i="45"/>
  <c r="IN96" i="45"/>
  <c r="IO96" i="45"/>
  <c r="IP96" i="45"/>
  <c r="IQ96" i="45"/>
  <c r="IR96" i="45"/>
  <c r="IS96" i="45"/>
  <c r="IT96" i="45"/>
  <c r="IU96" i="45"/>
  <c r="IV96" i="45"/>
  <c r="A95" i="45"/>
  <c r="B95" i="45"/>
  <c r="C95" i="45"/>
  <c r="D95" i="45"/>
  <c r="E95" i="45"/>
  <c r="F95" i="45"/>
  <c r="G95" i="45"/>
  <c r="H95" i="45"/>
  <c r="I95" i="45"/>
  <c r="J95" i="45"/>
  <c r="K95" i="45"/>
  <c r="L95" i="45"/>
  <c r="M95" i="45"/>
  <c r="N95" i="45"/>
  <c r="O95" i="45"/>
  <c r="P95" i="45"/>
  <c r="Q95" i="45"/>
  <c r="R95" i="45"/>
  <c r="S95" i="45"/>
  <c r="T95" i="45"/>
  <c r="U95" i="45"/>
  <c r="V95" i="45"/>
  <c r="W95" i="45"/>
  <c r="X95" i="45"/>
  <c r="Y95" i="45"/>
  <c r="Z95" i="45"/>
  <c r="AA95" i="45"/>
  <c r="AB95" i="45"/>
  <c r="AC95" i="45"/>
  <c r="AD95" i="45"/>
  <c r="AE95" i="45"/>
  <c r="AF95" i="45"/>
  <c r="AG95" i="45"/>
  <c r="AH95" i="45"/>
  <c r="AI95" i="45"/>
  <c r="AJ95" i="45"/>
  <c r="AK95" i="45"/>
  <c r="AL95" i="45"/>
  <c r="AM95" i="45"/>
  <c r="AN95" i="45"/>
  <c r="AO95" i="45"/>
  <c r="AP95" i="45"/>
  <c r="AQ95" i="45"/>
  <c r="AR95" i="45"/>
  <c r="AS95" i="45"/>
  <c r="AT95" i="45"/>
  <c r="AU95" i="45"/>
  <c r="AV95" i="45"/>
  <c r="AW95" i="45"/>
  <c r="AX95" i="45"/>
  <c r="AY95" i="45"/>
  <c r="AZ95" i="45"/>
  <c r="BA95" i="45"/>
  <c r="BB95" i="45"/>
  <c r="BC95" i="45"/>
  <c r="BD95" i="45"/>
  <c r="BE95" i="45"/>
  <c r="BF95" i="45"/>
  <c r="BG95" i="45"/>
  <c r="BH95" i="45"/>
  <c r="BI95" i="45"/>
  <c r="BJ95" i="45"/>
  <c r="BK95" i="45"/>
  <c r="BL95" i="45"/>
  <c r="BM95" i="45"/>
  <c r="BN95" i="45"/>
  <c r="BO95" i="45"/>
  <c r="BP95" i="45"/>
  <c r="BQ95" i="45"/>
  <c r="BR95" i="45"/>
  <c r="BS95" i="45"/>
  <c r="BT95" i="45"/>
  <c r="BU95" i="45"/>
  <c r="BV95" i="45"/>
  <c r="BW95" i="45"/>
  <c r="BX95" i="45"/>
  <c r="BY95" i="45"/>
  <c r="BZ95" i="45"/>
  <c r="CA95" i="45"/>
  <c r="CB95" i="45"/>
  <c r="CC95" i="45"/>
  <c r="CD95" i="45"/>
  <c r="CE95" i="45"/>
  <c r="CF95" i="45"/>
  <c r="CG95" i="45"/>
  <c r="CH95" i="45"/>
  <c r="CI95" i="45"/>
  <c r="CJ95" i="45"/>
  <c r="CK95" i="45"/>
  <c r="CL95" i="45"/>
  <c r="CM95" i="45"/>
  <c r="CN95" i="45"/>
  <c r="CO95" i="45"/>
  <c r="CP95" i="45"/>
  <c r="CQ95" i="45"/>
  <c r="CR95" i="45"/>
  <c r="CS95" i="45"/>
  <c r="CT95" i="45"/>
  <c r="CU95" i="45"/>
  <c r="CV95" i="45"/>
  <c r="CW95" i="45"/>
  <c r="CX95" i="45"/>
  <c r="CY95" i="45"/>
  <c r="CZ95" i="45"/>
  <c r="DA95" i="45"/>
  <c r="DB95" i="45"/>
  <c r="DC95" i="45"/>
  <c r="DD95" i="45"/>
  <c r="DE95" i="45"/>
  <c r="DF95" i="45"/>
  <c r="DG95" i="45"/>
  <c r="DH95" i="45"/>
  <c r="DI95" i="45"/>
  <c r="DJ95" i="45"/>
  <c r="DK95" i="45"/>
  <c r="DL95" i="45"/>
  <c r="DM95" i="45"/>
  <c r="DN95" i="45"/>
  <c r="DO95" i="45"/>
  <c r="DP95" i="45"/>
  <c r="DQ95" i="45"/>
  <c r="DR95" i="45"/>
  <c r="DS95" i="45"/>
  <c r="DT95" i="45"/>
  <c r="DU95" i="45"/>
  <c r="DV95" i="45"/>
  <c r="DW95" i="45"/>
  <c r="DX95" i="45"/>
  <c r="DY95" i="45"/>
  <c r="DZ95" i="45"/>
  <c r="EA95" i="45"/>
  <c r="EB95" i="45"/>
  <c r="EC95" i="45"/>
  <c r="ED95" i="45"/>
  <c r="EE95" i="45"/>
  <c r="EF95" i="45"/>
  <c r="EG95" i="45"/>
  <c r="EH95" i="45"/>
  <c r="EI95" i="45"/>
  <c r="EJ95" i="45"/>
  <c r="EK95" i="45"/>
  <c r="EL95" i="45"/>
  <c r="EM95" i="45"/>
  <c r="EN95" i="45"/>
  <c r="EO95" i="45"/>
  <c r="EP95" i="45"/>
  <c r="EQ95" i="45"/>
  <c r="ER95" i="45"/>
  <c r="ES95" i="45"/>
  <c r="ET95" i="45"/>
  <c r="EU95" i="45"/>
  <c r="EV95" i="45"/>
  <c r="EW95" i="45"/>
  <c r="EX95" i="45"/>
  <c r="EY95" i="45"/>
  <c r="EZ95" i="45"/>
  <c r="FA95" i="45"/>
  <c r="FB95" i="45"/>
  <c r="FC95" i="45"/>
  <c r="FD95" i="45"/>
  <c r="FE95" i="45"/>
  <c r="FF95" i="45"/>
  <c r="FG95" i="45"/>
  <c r="FH95" i="45"/>
  <c r="FI95" i="45"/>
  <c r="FJ95" i="45"/>
  <c r="FK95" i="45"/>
  <c r="FL95" i="45"/>
  <c r="FM95" i="45"/>
  <c r="FN95" i="45"/>
  <c r="FO95" i="45"/>
  <c r="FP95" i="45"/>
  <c r="FQ95" i="45"/>
  <c r="FR95" i="45"/>
  <c r="FS95" i="45"/>
  <c r="FT95" i="45"/>
  <c r="FU95" i="45"/>
  <c r="FV95" i="45"/>
  <c r="FW95" i="45"/>
  <c r="FX95" i="45"/>
  <c r="FY95" i="45"/>
  <c r="FZ95" i="45"/>
  <c r="GA95" i="45"/>
  <c r="GB95" i="45"/>
  <c r="GC95" i="45"/>
  <c r="GD95" i="45"/>
  <c r="GE95" i="45"/>
  <c r="GF95" i="45"/>
  <c r="GG95" i="45"/>
  <c r="GH95" i="45"/>
  <c r="GI95" i="45"/>
  <c r="GJ95" i="45"/>
  <c r="GK95" i="45"/>
  <c r="GL95" i="45"/>
  <c r="GM95" i="45"/>
  <c r="GN95" i="45"/>
  <c r="GO95" i="45"/>
  <c r="GP95" i="45"/>
  <c r="GQ95" i="45"/>
  <c r="GR95" i="45"/>
  <c r="GS95" i="45"/>
  <c r="GT95" i="45"/>
  <c r="GU95" i="45"/>
  <c r="GV95" i="45"/>
  <c r="GW95" i="45"/>
  <c r="GX95" i="45"/>
  <c r="GY95" i="45"/>
  <c r="GZ95" i="45"/>
  <c r="HA95" i="45"/>
  <c r="HB95" i="45"/>
  <c r="HC95" i="45"/>
  <c r="HD95" i="45"/>
  <c r="HE95" i="45"/>
  <c r="HF95" i="45"/>
  <c r="HG95" i="45"/>
  <c r="HH95" i="45"/>
  <c r="HI95" i="45"/>
  <c r="HJ95" i="45"/>
  <c r="HK95" i="45"/>
  <c r="HL95" i="45"/>
  <c r="HM95" i="45"/>
  <c r="HN95" i="45"/>
  <c r="HO95" i="45"/>
  <c r="HP95" i="45"/>
  <c r="HQ95" i="45"/>
  <c r="HR95" i="45"/>
  <c r="HS95" i="45"/>
  <c r="HT95" i="45"/>
  <c r="HU95" i="45"/>
  <c r="HV95" i="45"/>
  <c r="HW95" i="45"/>
  <c r="HX95" i="45"/>
  <c r="HY95" i="45"/>
  <c r="HZ95" i="45"/>
  <c r="IA95" i="45"/>
  <c r="IB95" i="45"/>
  <c r="IC95" i="45"/>
  <c r="ID95" i="45"/>
  <c r="IE95" i="45"/>
  <c r="IF95" i="45"/>
  <c r="IG95" i="45"/>
  <c r="IH95" i="45"/>
  <c r="II95" i="45"/>
  <c r="IJ95" i="45"/>
  <c r="IK95" i="45"/>
  <c r="IL95" i="45"/>
  <c r="IM95" i="45"/>
  <c r="IN95" i="45"/>
  <c r="IO95" i="45"/>
  <c r="IP95" i="45"/>
  <c r="IQ95" i="45"/>
  <c r="IR95" i="45"/>
  <c r="IS95" i="45"/>
  <c r="IT95" i="45"/>
  <c r="IU95" i="45"/>
  <c r="IV95" i="45"/>
  <c r="A94" i="45"/>
  <c r="B94" i="45"/>
  <c r="C94" i="45"/>
  <c r="D94" i="45"/>
  <c r="E94" i="45"/>
  <c r="F94" i="45"/>
  <c r="G94" i="45"/>
  <c r="H94" i="45"/>
  <c r="I94" i="45"/>
  <c r="J94" i="45"/>
  <c r="K94" i="45"/>
  <c r="L94" i="45"/>
  <c r="M94" i="45"/>
  <c r="N94" i="45"/>
  <c r="O94" i="45"/>
  <c r="P94" i="45"/>
  <c r="Q94" i="45"/>
  <c r="R94" i="45"/>
  <c r="S94" i="45"/>
  <c r="T94" i="45"/>
  <c r="U94" i="45"/>
  <c r="V94" i="45"/>
  <c r="W94" i="45"/>
  <c r="X94" i="45"/>
  <c r="Y94" i="45"/>
  <c r="Z94" i="45"/>
  <c r="AA94" i="45"/>
  <c r="AB94" i="45"/>
  <c r="AC94" i="45"/>
  <c r="AD94" i="45"/>
  <c r="AE94" i="45"/>
  <c r="AF94" i="45"/>
  <c r="AG94" i="45"/>
  <c r="AH94" i="45"/>
  <c r="AI94" i="45"/>
  <c r="AJ94" i="45"/>
  <c r="AK94" i="45"/>
  <c r="AL94" i="45"/>
  <c r="AM94" i="45"/>
  <c r="AN94" i="45"/>
  <c r="AO94" i="45"/>
  <c r="AP94" i="45"/>
  <c r="AQ94" i="45"/>
  <c r="AR94" i="45"/>
  <c r="AS94" i="45"/>
  <c r="AT94" i="45"/>
  <c r="AU94" i="45"/>
  <c r="AV94" i="45"/>
  <c r="AW94" i="45"/>
  <c r="AX94" i="45"/>
  <c r="AY94" i="45"/>
  <c r="AZ94" i="45"/>
  <c r="BA94" i="45"/>
  <c r="BB94" i="45"/>
  <c r="BC94" i="45"/>
  <c r="BD94" i="45"/>
  <c r="BE94" i="45"/>
  <c r="BF94" i="45"/>
  <c r="BG94" i="45"/>
  <c r="BH94" i="45"/>
  <c r="BI94" i="45"/>
  <c r="BJ94" i="45"/>
  <c r="BK94" i="45"/>
  <c r="BL94" i="45"/>
  <c r="BM94" i="45"/>
  <c r="BN94" i="45"/>
  <c r="BO94" i="45"/>
  <c r="BP94" i="45"/>
  <c r="BQ94" i="45"/>
  <c r="BR94" i="45"/>
  <c r="BS94" i="45"/>
  <c r="BT94" i="45"/>
  <c r="BU94" i="45"/>
  <c r="BV94" i="45"/>
  <c r="BW94" i="45"/>
  <c r="BX94" i="45"/>
  <c r="BY94" i="45"/>
  <c r="BZ94" i="45"/>
  <c r="CA94" i="45"/>
  <c r="CB94" i="45"/>
  <c r="CC94" i="45"/>
  <c r="CD94" i="45"/>
  <c r="CE94" i="45"/>
  <c r="CF94" i="45"/>
  <c r="CG94" i="45"/>
  <c r="CH94" i="45"/>
  <c r="CI94" i="45"/>
  <c r="CJ94" i="45"/>
  <c r="CK94" i="45"/>
  <c r="CL94" i="45"/>
  <c r="CM94" i="45"/>
  <c r="CN94" i="45"/>
  <c r="CO94" i="45"/>
  <c r="CP94" i="45"/>
  <c r="CQ94" i="45"/>
  <c r="CR94" i="45"/>
  <c r="CS94" i="45"/>
  <c r="CT94" i="45"/>
  <c r="CU94" i="45"/>
  <c r="CV94" i="45"/>
  <c r="CW94" i="45"/>
  <c r="CX94" i="45"/>
  <c r="CY94" i="45"/>
  <c r="CZ94" i="45"/>
  <c r="DA94" i="45"/>
  <c r="DB94" i="45"/>
  <c r="DC94" i="45"/>
  <c r="DD94" i="45"/>
  <c r="DE94" i="45"/>
  <c r="DF94" i="45"/>
  <c r="DG94" i="45"/>
  <c r="DH94" i="45"/>
  <c r="DI94" i="45"/>
  <c r="DJ94" i="45"/>
  <c r="DK94" i="45"/>
  <c r="DL94" i="45"/>
  <c r="DM94" i="45"/>
  <c r="DN94" i="45"/>
  <c r="DO94" i="45"/>
  <c r="DP94" i="45"/>
  <c r="DQ94" i="45"/>
  <c r="DR94" i="45"/>
  <c r="DS94" i="45"/>
  <c r="DT94" i="45"/>
  <c r="DU94" i="45"/>
  <c r="DV94" i="45"/>
  <c r="DW94" i="45"/>
  <c r="DX94" i="45"/>
  <c r="DY94" i="45"/>
  <c r="DZ94" i="45"/>
  <c r="EA94" i="45"/>
  <c r="EB94" i="45"/>
  <c r="EC94" i="45"/>
  <c r="ED94" i="45"/>
  <c r="EE94" i="45"/>
  <c r="EF94" i="45"/>
  <c r="EG94" i="45"/>
  <c r="EH94" i="45"/>
  <c r="EI94" i="45"/>
  <c r="EJ94" i="45"/>
  <c r="EK94" i="45"/>
  <c r="EL94" i="45"/>
  <c r="EM94" i="45"/>
  <c r="EN94" i="45"/>
  <c r="EO94" i="45"/>
  <c r="EP94" i="45"/>
  <c r="EQ94" i="45"/>
  <c r="ER94" i="45"/>
  <c r="ES94" i="45"/>
  <c r="ET94" i="45"/>
  <c r="EU94" i="45"/>
  <c r="EV94" i="45"/>
  <c r="EW94" i="45"/>
  <c r="EX94" i="45"/>
  <c r="EY94" i="45"/>
  <c r="EZ94" i="45"/>
  <c r="FA94" i="45"/>
  <c r="FB94" i="45"/>
  <c r="FC94" i="45"/>
  <c r="FD94" i="45"/>
  <c r="FE94" i="45"/>
  <c r="FF94" i="45"/>
  <c r="FG94" i="45"/>
  <c r="FH94" i="45"/>
  <c r="FI94" i="45"/>
  <c r="FJ94" i="45"/>
  <c r="FK94" i="45"/>
  <c r="FL94" i="45"/>
  <c r="FM94" i="45"/>
  <c r="FN94" i="45"/>
  <c r="FO94" i="45"/>
  <c r="FP94" i="45"/>
  <c r="FQ94" i="45"/>
  <c r="FR94" i="45"/>
  <c r="FS94" i="45"/>
  <c r="FT94" i="45"/>
  <c r="FU94" i="45"/>
  <c r="FV94" i="45"/>
  <c r="FW94" i="45"/>
  <c r="FX94" i="45"/>
  <c r="FY94" i="45"/>
  <c r="FZ94" i="45"/>
  <c r="GA94" i="45"/>
  <c r="GB94" i="45"/>
  <c r="GC94" i="45"/>
  <c r="GD94" i="45"/>
  <c r="GE94" i="45"/>
  <c r="GF94" i="45"/>
  <c r="GG94" i="45"/>
  <c r="GH94" i="45"/>
  <c r="GI94" i="45"/>
  <c r="GJ94" i="45"/>
  <c r="GK94" i="45"/>
  <c r="GL94" i="45"/>
  <c r="GM94" i="45"/>
  <c r="GN94" i="45"/>
  <c r="GO94" i="45"/>
  <c r="GP94" i="45"/>
  <c r="GQ94" i="45"/>
  <c r="GR94" i="45"/>
  <c r="GS94" i="45"/>
  <c r="GT94" i="45"/>
  <c r="GU94" i="45"/>
  <c r="GV94" i="45"/>
  <c r="GW94" i="45"/>
  <c r="GX94" i="45"/>
  <c r="GY94" i="45"/>
  <c r="GZ94" i="45"/>
  <c r="HA94" i="45"/>
  <c r="HB94" i="45"/>
  <c r="HC94" i="45"/>
  <c r="HD94" i="45"/>
  <c r="HE94" i="45"/>
  <c r="HF94" i="45"/>
  <c r="HG94" i="45"/>
  <c r="HH94" i="45"/>
  <c r="HI94" i="45"/>
  <c r="HJ94" i="45"/>
  <c r="HK94" i="45"/>
  <c r="HL94" i="45"/>
  <c r="HM94" i="45"/>
  <c r="HN94" i="45"/>
  <c r="HO94" i="45"/>
  <c r="HP94" i="45"/>
  <c r="HQ94" i="45"/>
  <c r="HR94" i="45"/>
  <c r="HS94" i="45"/>
  <c r="HT94" i="45"/>
  <c r="HU94" i="45"/>
  <c r="HV94" i="45"/>
  <c r="HW94" i="45"/>
  <c r="HX94" i="45"/>
  <c r="HY94" i="45"/>
  <c r="HZ94" i="45"/>
  <c r="IA94" i="45"/>
  <c r="IB94" i="45"/>
  <c r="IC94" i="45"/>
  <c r="ID94" i="45"/>
  <c r="IE94" i="45"/>
  <c r="IF94" i="45"/>
  <c r="IG94" i="45"/>
  <c r="IH94" i="45"/>
  <c r="II94" i="45"/>
  <c r="IJ94" i="45"/>
  <c r="IK94" i="45"/>
  <c r="IL94" i="45"/>
  <c r="IM94" i="45"/>
  <c r="IN94" i="45"/>
  <c r="IO94" i="45"/>
  <c r="IP94" i="45"/>
  <c r="IQ94" i="45"/>
  <c r="IR94" i="45"/>
  <c r="IS94" i="45"/>
  <c r="IT94" i="45"/>
  <c r="IU94" i="45"/>
  <c r="IV94" i="45"/>
  <c r="A93" i="45"/>
  <c r="B93" i="45"/>
  <c r="C93" i="45"/>
  <c r="D93" i="45"/>
  <c r="E93" i="45"/>
  <c r="F93" i="45"/>
  <c r="G93" i="45"/>
  <c r="H93" i="45"/>
  <c r="I93" i="45"/>
  <c r="J93" i="45"/>
  <c r="K93" i="45"/>
  <c r="L93" i="45"/>
  <c r="M93" i="45"/>
  <c r="N93" i="45"/>
  <c r="O93" i="45"/>
  <c r="P93" i="45"/>
  <c r="Q93" i="45"/>
  <c r="R93" i="45"/>
  <c r="S93" i="45"/>
  <c r="T93" i="45"/>
  <c r="U93" i="45"/>
  <c r="V93" i="45"/>
  <c r="W93" i="45"/>
  <c r="X93" i="45"/>
  <c r="Y93" i="45"/>
  <c r="Z93" i="45"/>
  <c r="AA93" i="45"/>
  <c r="AB93" i="45"/>
  <c r="AC93" i="45"/>
  <c r="AD93" i="45"/>
  <c r="AE93" i="45"/>
  <c r="AF93" i="45"/>
  <c r="AG93" i="45"/>
  <c r="AH93" i="45"/>
  <c r="AI93" i="45"/>
  <c r="AJ93" i="45"/>
  <c r="AK93" i="45"/>
  <c r="AL93" i="45"/>
  <c r="AM93" i="45"/>
  <c r="AN93" i="45"/>
  <c r="AO93" i="45"/>
  <c r="AP93" i="45"/>
  <c r="AQ93" i="45"/>
  <c r="AR93" i="45"/>
  <c r="AS93" i="45"/>
  <c r="AT93" i="45"/>
  <c r="AU93" i="45"/>
  <c r="AV93" i="45"/>
  <c r="AW93" i="45"/>
  <c r="AX93" i="45"/>
  <c r="AY93" i="45"/>
  <c r="AZ93" i="45"/>
  <c r="BA93" i="45"/>
  <c r="BB93" i="45"/>
  <c r="BC93" i="45"/>
  <c r="BD93" i="45"/>
  <c r="BE93" i="45"/>
  <c r="BF93" i="45"/>
  <c r="BG93" i="45"/>
  <c r="BH93" i="45"/>
  <c r="BI93" i="45"/>
  <c r="BJ93" i="45"/>
  <c r="BK93" i="45"/>
  <c r="BL93" i="45"/>
  <c r="BM93" i="45"/>
  <c r="BN93" i="45"/>
  <c r="BO93" i="45"/>
  <c r="BP93" i="45"/>
  <c r="BQ93" i="45"/>
  <c r="BR93" i="45"/>
  <c r="BS93" i="45"/>
  <c r="BT93" i="45"/>
  <c r="BU93" i="45"/>
  <c r="BV93" i="45"/>
  <c r="BW93" i="45"/>
  <c r="BX93" i="45"/>
  <c r="BY93" i="45"/>
  <c r="BZ93" i="45"/>
  <c r="CA93" i="45"/>
  <c r="CB93" i="45"/>
  <c r="CC93" i="45"/>
  <c r="CD93" i="45"/>
  <c r="CE93" i="45"/>
  <c r="CF93" i="45"/>
  <c r="CG93" i="45"/>
  <c r="CH93" i="45"/>
  <c r="CI93" i="45"/>
  <c r="CJ93" i="45"/>
  <c r="CK93" i="45"/>
  <c r="CL93" i="45"/>
  <c r="CM93" i="45"/>
  <c r="CN93" i="45"/>
  <c r="CO93" i="45"/>
  <c r="CP93" i="45"/>
  <c r="CQ93" i="45"/>
  <c r="CR93" i="45"/>
  <c r="CS93" i="45"/>
  <c r="CT93" i="45"/>
  <c r="CU93" i="45"/>
  <c r="CV93" i="45"/>
  <c r="CW93" i="45"/>
  <c r="CX93" i="45"/>
  <c r="CY93" i="45"/>
  <c r="CZ93" i="45"/>
  <c r="DA93" i="45"/>
  <c r="DB93" i="45"/>
  <c r="DC93" i="45"/>
  <c r="DD93" i="45"/>
  <c r="DE93" i="45"/>
  <c r="DF93" i="45"/>
  <c r="DG93" i="45"/>
  <c r="DH93" i="45"/>
  <c r="DI93" i="45"/>
  <c r="DJ93" i="45"/>
  <c r="DK93" i="45"/>
  <c r="DL93" i="45"/>
  <c r="DM93" i="45"/>
  <c r="DN93" i="45"/>
  <c r="DO93" i="45"/>
  <c r="DP93" i="45"/>
  <c r="DQ93" i="45"/>
  <c r="DR93" i="45"/>
  <c r="DS93" i="45"/>
  <c r="DT93" i="45"/>
  <c r="DU93" i="45"/>
  <c r="DV93" i="45"/>
  <c r="DW93" i="45"/>
  <c r="DX93" i="45"/>
  <c r="DY93" i="45"/>
  <c r="DZ93" i="45"/>
  <c r="EA93" i="45"/>
  <c r="EB93" i="45"/>
  <c r="EC93" i="45"/>
  <c r="ED93" i="45"/>
  <c r="EE93" i="45"/>
  <c r="EF93" i="45"/>
  <c r="EG93" i="45"/>
  <c r="EH93" i="45"/>
  <c r="EI93" i="45"/>
  <c r="EJ93" i="45"/>
  <c r="EK93" i="45"/>
  <c r="EL93" i="45"/>
  <c r="EM93" i="45"/>
  <c r="EN93" i="45"/>
  <c r="EO93" i="45"/>
  <c r="EP93" i="45"/>
  <c r="EQ93" i="45"/>
  <c r="ER93" i="45"/>
  <c r="ES93" i="45"/>
  <c r="ET93" i="45"/>
  <c r="EU93" i="45"/>
  <c r="EV93" i="45"/>
  <c r="EW93" i="45"/>
  <c r="EX93" i="45"/>
  <c r="EY93" i="45"/>
  <c r="EZ93" i="45"/>
  <c r="FA93" i="45"/>
  <c r="FB93" i="45"/>
  <c r="FC93" i="45"/>
  <c r="FD93" i="45"/>
  <c r="FE93" i="45"/>
  <c r="FF93" i="45"/>
  <c r="FG93" i="45"/>
  <c r="FH93" i="45"/>
  <c r="FI93" i="45"/>
  <c r="FJ93" i="45"/>
  <c r="FK93" i="45"/>
  <c r="FL93" i="45"/>
  <c r="FM93" i="45"/>
  <c r="FN93" i="45"/>
  <c r="FO93" i="45"/>
  <c r="FP93" i="45"/>
  <c r="FQ93" i="45"/>
  <c r="FR93" i="45"/>
  <c r="FS93" i="45"/>
  <c r="FT93" i="45"/>
  <c r="FU93" i="45"/>
  <c r="FV93" i="45"/>
  <c r="FW93" i="45"/>
  <c r="FX93" i="45"/>
  <c r="FY93" i="45"/>
  <c r="FZ93" i="45"/>
  <c r="GA93" i="45"/>
  <c r="GB93" i="45"/>
  <c r="GC93" i="45"/>
  <c r="GD93" i="45"/>
  <c r="GE93" i="45"/>
  <c r="GF93" i="45"/>
  <c r="GG93" i="45"/>
  <c r="GH93" i="45"/>
  <c r="GI93" i="45"/>
  <c r="GJ93" i="45"/>
  <c r="GK93" i="45"/>
  <c r="GL93" i="45"/>
  <c r="GM93" i="45"/>
  <c r="GN93" i="45"/>
  <c r="GO93" i="45"/>
  <c r="GP93" i="45"/>
  <c r="GQ93" i="45"/>
  <c r="GR93" i="45"/>
  <c r="GS93" i="45"/>
  <c r="GT93" i="45"/>
  <c r="GU93" i="45"/>
  <c r="GV93" i="45"/>
  <c r="GW93" i="45"/>
  <c r="GX93" i="45"/>
  <c r="GY93" i="45"/>
  <c r="GZ93" i="45"/>
  <c r="HA93" i="45"/>
  <c r="HB93" i="45"/>
  <c r="HC93" i="45"/>
  <c r="HD93" i="45"/>
  <c r="HE93" i="45"/>
  <c r="HF93" i="45"/>
  <c r="HG93" i="45"/>
  <c r="HH93" i="45"/>
  <c r="HI93" i="45"/>
  <c r="HJ93" i="45"/>
  <c r="HK93" i="45"/>
  <c r="HL93" i="45"/>
  <c r="HM93" i="45"/>
  <c r="HN93" i="45"/>
  <c r="HO93" i="45"/>
  <c r="HP93" i="45"/>
  <c r="HQ93" i="45"/>
  <c r="HR93" i="45"/>
  <c r="HS93" i="45"/>
  <c r="HT93" i="45"/>
  <c r="HU93" i="45"/>
  <c r="HV93" i="45"/>
  <c r="HW93" i="45"/>
  <c r="HX93" i="45"/>
  <c r="HY93" i="45"/>
  <c r="HZ93" i="45"/>
  <c r="IA93" i="45"/>
  <c r="IB93" i="45"/>
  <c r="IC93" i="45"/>
  <c r="ID93" i="45"/>
  <c r="IE93" i="45"/>
  <c r="IF93" i="45"/>
  <c r="IG93" i="45"/>
  <c r="IH93" i="45"/>
  <c r="II93" i="45"/>
  <c r="IJ93" i="45"/>
  <c r="IK93" i="45"/>
  <c r="IL93" i="45"/>
  <c r="IM93" i="45"/>
  <c r="IN93" i="45"/>
  <c r="IO93" i="45"/>
  <c r="IP93" i="45"/>
  <c r="IQ93" i="45"/>
  <c r="IR93" i="45"/>
  <c r="IS93" i="45"/>
  <c r="IT93" i="45"/>
  <c r="IU93" i="45"/>
  <c r="IV93" i="45"/>
  <c r="A92" i="45"/>
  <c r="B92" i="45"/>
  <c r="C92" i="45"/>
  <c r="D92" i="45"/>
  <c r="E92" i="45"/>
  <c r="F92" i="45"/>
  <c r="G92" i="45"/>
  <c r="H92" i="45"/>
  <c r="I92" i="45"/>
  <c r="J92" i="45"/>
  <c r="K92" i="45"/>
  <c r="L92" i="45"/>
  <c r="M92" i="45"/>
  <c r="N92" i="45"/>
  <c r="O92" i="45"/>
  <c r="P92" i="45"/>
  <c r="Q92" i="45"/>
  <c r="R92" i="45"/>
  <c r="S92" i="45"/>
  <c r="T92" i="45"/>
  <c r="U92" i="45"/>
  <c r="V92" i="45"/>
  <c r="W92" i="45"/>
  <c r="X92" i="45"/>
  <c r="Y92" i="45"/>
  <c r="Z92" i="45"/>
  <c r="AA92" i="45"/>
  <c r="AB92" i="45"/>
  <c r="AC92" i="45"/>
  <c r="AD92" i="45"/>
  <c r="AE92" i="45"/>
  <c r="AF92" i="45"/>
  <c r="AG92" i="45"/>
  <c r="AH92" i="45"/>
  <c r="AI92" i="45"/>
  <c r="AJ92" i="45"/>
  <c r="AK92" i="45"/>
  <c r="AL92" i="45"/>
  <c r="AM92" i="45"/>
  <c r="AN92" i="45"/>
  <c r="AO92" i="45"/>
  <c r="AP92" i="45"/>
  <c r="AQ92" i="45"/>
  <c r="AR92" i="45"/>
  <c r="AS92" i="45"/>
  <c r="AT92" i="45"/>
  <c r="AU92" i="45"/>
  <c r="AV92" i="45"/>
  <c r="AW92" i="45"/>
  <c r="AX92" i="45"/>
  <c r="AY92" i="45"/>
  <c r="AZ92" i="45"/>
  <c r="BA92" i="45"/>
  <c r="BB92" i="45"/>
  <c r="BC92" i="45"/>
  <c r="BD92" i="45"/>
  <c r="BE92" i="45"/>
  <c r="BF92" i="45"/>
  <c r="BG92" i="45"/>
  <c r="BH92" i="45"/>
  <c r="BI92" i="45"/>
  <c r="BJ92" i="45"/>
  <c r="BK92" i="45"/>
  <c r="BL92" i="45"/>
  <c r="BM92" i="45"/>
  <c r="BN92" i="45"/>
  <c r="BO92" i="45"/>
  <c r="BP92" i="45"/>
  <c r="BQ92" i="45"/>
  <c r="BR92" i="45"/>
  <c r="BS92" i="45"/>
  <c r="BT92" i="45"/>
  <c r="BU92" i="45"/>
  <c r="BV92" i="45"/>
  <c r="BW92" i="45"/>
  <c r="BX92" i="45"/>
  <c r="BY92" i="45"/>
  <c r="BZ92" i="45"/>
  <c r="CA92" i="45"/>
  <c r="CB92" i="45"/>
  <c r="CC92" i="45"/>
  <c r="CD92" i="45"/>
  <c r="CE92" i="45"/>
  <c r="CF92" i="45"/>
  <c r="CG92" i="45"/>
  <c r="CH92" i="45"/>
  <c r="CI92" i="45"/>
  <c r="CJ92" i="45"/>
  <c r="CK92" i="45"/>
  <c r="CL92" i="45"/>
  <c r="CM92" i="45"/>
  <c r="CN92" i="45"/>
  <c r="CO92" i="45"/>
  <c r="CP92" i="45"/>
  <c r="CQ92" i="45"/>
  <c r="CR92" i="45"/>
  <c r="CS92" i="45"/>
  <c r="CT92" i="45"/>
  <c r="CU92" i="45"/>
  <c r="CV92" i="45"/>
  <c r="CW92" i="45"/>
  <c r="CX92" i="45"/>
  <c r="CY92" i="45"/>
  <c r="CZ92" i="45"/>
  <c r="DA92" i="45"/>
  <c r="DB92" i="45"/>
  <c r="DC92" i="45"/>
  <c r="DD92" i="45"/>
  <c r="DE92" i="45"/>
  <c r="DF92" i="45"/>
  <c r="DG92" i="45"/>
  <c r="DH92" i="45"/>
  <c r="DI92" i="45"/>
  <c r="DJ92" i="45"/>
  <c r="DK92" i="45"/>
  <c r="DL92" i="45"/>
  <c r="DM92" i="45"/>
  <c r="DN92" i="45"/>
  <c r="DO92" i="45"/>
  <c r="DP92" i="45"/>
  <c r="DQ92" i="45"/>
  <c r="DR92" i="45"/>
  <c r="DS92" i="45"/>
  <c r="DT92" i="45"/>
  <c r="DU92" i="45"/>
  <c r="DV92" i="45"/>
  <c r="DW92" i="45"/>
  <c r="DX92" i="45"/>
  <c r="DY92" i="45"/>
  <c r="DZ92" i="45"/>
  <c r="EA92" i="45"/>
  <c r="EB92" i="45"/>
  <c r="EC92" i="45"/>
  <c r="ED92" i="45"/>
  <c r="EE92" i="45"/>
  <c r="EF92" i="45"/>
  <c r="EG92" i="45"/>
  <c r="EH92" i="45"/>
  <c r="EI92" i="45"/>
  <c r="EJ92" i="45"/>
  <c r="EK92" i="45"/>
  <c r="EL92" i="45"/>
  <c r="EM92" i="45"/>
  <c r="EN92" i="45"/>
  <c r="EO92" i="45"/>
  <c r="EP92" i="45"/>
  <c r="EQ92" i="45"/>
  <c r="ER92" i="45"/>
  <c r="ES92" i="45"/>
  <c r="ET92" i="45"/>
  <c r="EU92" i="45"/>
  <c r="EV92" i="45"/>
  <c r="EW92" i="45"/>
  <c r="EX92" i="45"/>
  <c r="EY92" i="45"/>
  <c r="EZ92" i="45"/>
  <c r="FA92" i="45"/>
  <c r="FB92" i="45"/>
  <c r="FC92" i="45"/>
  <c r="FD92" i="45"/>
  <c r="FE92" i="45"/>
  <c r="FF92" i="45"/>
  <c r="FG92" i="45"/>
  <c r="FH92" i="45"/>
  <c r="FI92" i="45"/>
  <c r="FJ92" i="45"/>
  <c r="FK92" i="45"/>
  <c r="FL92" i="45"/>
  <c r="FM92" i="45"/>
  <c r="FN92" i="45"/>
  <c r="FO92" i="45"/>
  <c r="FP92" i="45"/>
  <c r="FQ92" i="45"/>
  <c r="FR92" i="45"/>
  <c r="FS92" i="45"/>
  <c r="FT92" i="45"/>
  <c r="FU92" i="45"/>
  <c r="FV92" i="45"/>
  <c r="FW92" i="45"/>
  <c r="FX92" i="45"/>
  <c r="FY92" i="45"/>
  <c r="FZ92" i="45"/>
  <c r="GA92" i="45"/>
  <c r="GB92" i="45"/>
  <c r="GC92" i="45"/>
  <c r="GD92" i="45"/>
  <c r="GE92" i="45"/>
  <c r="GF92" i="45"/>
  <c r="GG92" i="45"/>
  <c r="GH92" i="45"/>
  <c r="GI92" i="45"/>
  <c r="GJ92" i="45"/>
  <c r="GK92" i="45"/>
  <c r="GL92" i="45"/>
  <c r="GM92" i="45"/>
  <c r="GN92" i="45"/>
  <c r="GO92" i="45"/>
  <c r="GP92" i="45"/>
  <c r="GQ92" i="45"/>
  <c r="GR92" i="45"/>
  <c r="GS92" i="45"/>
  <c r="GT92" i="45"/>
  <c r="GU92" i="45"/>
  <c r="GV92" i="45"/>
  <c r="GW92" i="45"/>
  <c r="GX92" i="45"/>
  <c r="GY92" i="45"/>
  <c r="GZ92" i="45"/>
  <c r="HA92" i="45"/>
  <c r="HB92" i="45"/>
  <c r="HC92" i="45"/>
  <c r="HD92" i="45"/>
  <c r="HE92" i="45"/>
  <c r="HF92" i="45"/>
  <c r="HG92" i="45"/>
  <c r="HH92" i="45"/>
  <c r="HI92" i="45"/>
  <c r="HJ92" i="45"/>
  <c r="HK92" i="45"/>
  <c r="HL92" i="45"/>
  <c r="HM92" i="45"/>
  <c r="HN92" i="45"/>
  <c r="HO92" i="45"/>
  <c r="HP92" i="45"/>
  <c r="HQ92" i="45"/>
  <c r="HR92" i="45"/>
  <c r="HS92" i="45"/>
  <c r="HT92" i="45"/>
  <c r="HU92" i="45"/>
  <c r="HV92" i="45"/>
  <c r="HW92" i="45"/>
  <c r="HX92" i="45"/>
  <c r="HY92" i="45"/>
  <c r="HZ92" i="45"/>
  <c r="IA92" i="45"/>
  <c r="IB92" i="45"/>
  <c r="IC92" i="45"/>
  <c r="ID92" i="45"/>
  <c r="IE92" i="45"/>
  <c r="IF92" i="45"/>
  <c r="IG92" i="45"/>
  <c r="IH92" i="45"/>
  <c r="II92" i="45"/>
  <c r="IJ92" i="45"/>
  <c r="IK92" i="45"/>
  <c r="IL92" i="45"/>
  <c r="IM92" i="45"/>
  <c r="IN92" i="45"/>
  <c r="IO92" i="45"/>
  <c r="IP92" i="45"/>
  <c r="IQ92" i="45"/>
  <c r="IR92" i="45"/>
  <c r="IS92" i="45"/>
  <c r="IT92" i="45"/>
  <c r="IU92" i="45"/>
  <c r="IV92" i="45"/>
  <c r="A91" i="45"/>
  <c r="B91" i="45"/>
  <c r="C91" i="45"/>
  <c r="D91" i="45"/>
  <c r="E91" i="45"/>
  <c r="F91" i="45"/>
  <c r="G91" i="45"/>
  <c r="H91" i="45"/>
  <c r="I91" i="45"/>
  <c r="J91" i="45"/>
  <c r="K91" i="45"/>
  <c r="L91" i="45"/>
  <c r="M91" i="45"/>
  <c r="N91" i="45"/>
  <c r="O91" i="45"/>
  <c r="P91" i="45"/>
  <c r="Q91" i="45"/>
  <c r="R91" i="45"/>
  <c r="S91" i="45"/>
  <c r="T91" i="45"/>
  <c r="U91" i="45"/>
  <c r="V91" i="45"/>
  <c r="W91" i="45"/>
  <c r="X91" i="45"/>
  <c r="Y91" i="45"/>
  <c r="Z91" i="45"/>
  <c r="AA91" i="45"/>
  <c r="AB91" i="45"/>
  <c r="AC91" i="45"/>
  <c r="AD91" i="45"/>
  <c r="AE91" i="45"/>
  <c r="AF91" i="45"/>
  <c r="AG91" i="45"/>
  <c r="AH91" i="45"/>
  <c r="AI91" i="45"/>
  <c r="AJ91" i="45"/>
  <c r="AK91" i="45"/>
  <c r="AL91" i="45"/>
  <c r="AM91" i="45"/>
  <c r="AN91" i="45"/>
  <c r="AO91" i="45"/>
  <c r="AP91" i="45"/>
  <c r="AQ91" i="45"/>
  <c r="AR91" i="45"/>
  <c r="AS91" i="45"/>
  <c r="AT91" i="45"/>
  <c r="AU91" i="45"/>
  <c r="AV91" i="45"/>
  <c r="AW91" i="45"/>
  <c r="AX91" i="45"/>
  <c r="AY91" i="45"/>
  <c r="AZ91" i="45"/>
  <c r="BA91" i="45"/>
  <c r="BB91" i="45"/>
  <c r="BC91" i="45"/>
  <c r="BD91" i="45"/>
  <c r="BE91" i="45"/>
  <c r="BF91" i="45"/>
  <c r="BG91" i="45"/>
  <c r="BH91" i="45"/>
  <c r="BI91" i="45"/>
  <c r="BJ91" i="45"/>
  <c r="BK91" i="45"/>
  <c r="BL91" i="45"/>
  <c r="BM91" i="45"/>
  <c r="BN91" i="45"/>
  <c r="BO91" i="45"/>
  <c r="BP91" i="45"/>
  <c r="BQ91" i="45"/>
  <c r="BR91" i="45"/>
  <c r="BS91" i="45"/>
  <c r="BT91" i="45"/>
  <c r="BU91" i="45"/>
  <c r="BV91" i="45"/>
  <c r="BW91" i="45"/>
  <c r="BX91" i="45"/>
  <c r="BY91" i="45"/>
  <c r="BZ91" i="45"/>
  <c r="CA91" i="45"/>
  <c r="CB91" i="45"/>
  <c r="CC91" i="45"/>
  <c r="CD91" i="45"/>
  <c r="CE91" i="45"/>
  <c r="CF91" i="45"/>
  <c r="CG91" i="45"/>
  <c r="CH91" i="45"/>
  <c r="CI91" i="45"/>
  <c r="CJ91" i="45"/>
  <c r="CK91" i="45"/>
  <c r="CL91" i="45"/>
  <c r="CM91" i="45"/>
  <c r="CN91" i="45"/>
  <c r="CO91" i="45"/>
  <c r="CP91" i="45"/>
  <c r="CQ91" i="45"/>
  <c r="CR91" i="45"/>
  <c r="CS91" i="45"/>
  <c r="CT91" i="45"/>
  <c r="CU91" i="45"/>
  <c r="CV91" i="45"/>
  <c r="CW91" i="45"/>
  <c r="CX91" i="45"/>
  <c r="CY91" i="45"/>
  <c r="CZ91" i="45"/>
  <c r="DA91" i="45"/>
  <c r="DB91" i="45"/>
  <c r="DC91" i="45"/>
  <c r="DD91" i="45"/>
  <c r="DE91" i="45"/>
  <c r="DF91" i="45"/>
  <c r="DG91" i="45"/>
  <c r="DH91" i="45"/>
  <c r="DI91" i="45"/>
  <c r="DJ91" i="45"/>
  <c r="DK91" i="45"/>
  <c r="DL91" i="45"/>
  <c r="DM91" i="45"/>
  <c r="DN91" i="45"/>
  <c r="DO91" i="45"/>
  <c r="DP91" i="45"/>
  <c r="DQ91" i="45"/>
  <c r="DR91" i="45"/>
  <c r="DS91" i="45"/>
  <c r="DT91" i="45"/>
  <c r="DU91" i="45"/>
  <c r="DV91" i="45"/>
  <c r="DW91" i="45"/>
  <c r="DX91" i="45"/>
  <c r="DY91" i="45"/>
  <c r="DZ91" i="45"/>
  <c r="EA91" i="45"/>
  <c r="EB91" i="45"/>
  <c r="EC91" i="45"/>
  <c r="ED91" i="45"/>
  <c r="EE91" i="45"/>
  <c r="EF91" i="45"/>
  <c r="EG91" i="45"/>
  <c r="EH91" i="45"/>
  <c r="EI91" i="45"/>
  <c r="EJ91" i="45"/>
  <c r="EK91" i="45"/>
  <c r="EL91" i="45"/>
  <c r="EM91" i="45"/>
  <c r="EN91" i="45"/>
  <c r="EO91" i="45"/>
  <c r="EP91" i="45"/>
  <c r="EQ91" i="45"/>
  <c r="ER91" i="45"/>
  <c r="ES91" i="45"/>
  <c r="ET91" i="45"/>
  <c r="EU91" i="45"/>
  <c r="EV91" i="45"/>
  <c r="EW91" i="45"/>
  <c r="EX91" i="45"/>
  <c r="EY91" i="45"/>
  <c r="EZ91" i="45"/>
  <c r="FA91" i="45"/>
  <c r="FB91" i="45"/>
  <c r="FC91" i="45"/>
  <c r="FD91" i="45"/>
  <c r="FE91" i="45"/>
  <c r="FF91" i="45"/>
  <c r="FG91" i="45"/>
  <c r="FH91" i="45"/>
  <c r="FI91" i="45"/>
  <c r="FJ91" i="45"/>
  <c r="FK91" i="45"/>
  <c r="FL91" i="45"/>
  <c r="FM91" i="45"/>
  <c r="FN91" i="45"/>
  <c r="FO91" i="45"/>
  <c r="FP91" i="45"/>
  <c r="FQ91" i="45"/>
  <c r="FR91" i="45"/>
  <c r="FS91" i="45"/>
  <c r="FT91" i="45"/>
  <c r="FU91" i="45"/>
  <c r="FV91" i="45"/>
  <c r="FW91" i="45"/>
  <c r="FX91" i="45"/>
  <c r="FY91" i="45"/>
  <c r="FZ91" i="45"/>
  <c r="GA91" i="45"/>
  <c r="GB91" i="45"/>
  <c r="GC91" i="45"/>
  <c r="GD91" i="45"/>
  <c r="GE91" i="45"/>
  <c r="GF91" i="45"/>
  <c r="GG91" i="45"/>
  <c r="GH91" i="45"/>
  <c r="GI91" i="45"/>
  <c r="GJ91" i="45"/>
  <c r="GK91" i="45"/>
  <c r="GL91" i="45"/>
  <c r="GM91" i="45"/>
  <c r="GN91" i="45"/>
  <c r="GO91" i="45"/>
  <c r="GP91" i="45"/>
  <c r="GQ91" i="45"/>
  <c r="GR91" i="45"/>
  <c r="GS91" i="45"/>
  <c r="GT91" i="45"/>
  <c r="GU91" i="45"/>
  <c r="GV91" i="45"/>
  <c r="GW91" i="45"/>
  <c r="GX91" i="45"/>
  <c r="GY91" i="45"/>
  <c r="GZ91" i="45"/>
  <c r="HA91" i="45"/>
  <c r="HB91" i="45"/>
  <c r="HC91" i="45"/>
  <c r="HD91" i="45"/>
  <c r="HE91" i="45"/>
  <c r="HF91" i="45"/>
  <c r="HG91" i="45"/>
  <c r="HH91" i="45"/>
  <c r="HI91" i="45"/>
  <c r="HJ91" i="45"/>
  <c r="HK91" i="45"/>
  <c r="HL91" i="45"/>
  <c r="HM91" i="45"/>
  <c r="HN91" i="45"/>
  <c r="HO91" i="45"/>
  <c r="HP91" i="45"/>
  <c r="HQ91" i="45"/>
  <c r="HR91" i="45"/>
  <c r="HS91" i="45"/>
  <c r="HT91" i="45"/>
  <c r="HU91" i="45"/>
  <c r="HV91" i="45"/>
  <c r="HW91" i="45"/>
  <c r="HX91" i="45"/>
  <c r="HY91" i="45"/>
  <c r="HZ91" i="45"/>
  <c r="IA91" i="45"/>
  <c r="IB91" i="45"/>
  <c r="IC91" i="45"/>
  <c r="ID91" i="45"/>
  <c r="IE91" i="45"/>
  <c r="IF91" i="45"/>
  <c r="IG91" i="45"/>
  <c r="IH91" i="45"/>
  <c r="II91" i="45"/>
  <c r="IJ91" i="45"/>
  <c r="IK91" i="45"/>
  <c r="IL91" i="45"/>
  <c r="IM91" i="45"/>
  <c r="IN91" i="45"/>
  <c r="IO91" i="45"/>
  <c r="IP91" i="45"/>
  <c r="IQ91" i="45"/>
  <c r="IR91" i="45"/>
  <c r="IS91" i="45"/>
  <c r="IT91" i="45"/>
  <c r="IU91" i="45"/>
  <c r="IV91" i="45"/>
  <c r="A90" i="45"/>
  <c r="B90" i="45"/>
  <c r="C90" i="45"/>
  <c r="D90" i="45"/>
  <c r="E90" i="45"/>
  <c r="F90" i="45"/>
  <c r="G90" i="45"/>
  <c r="H90" i="45"/>
  <c r="I90" i="45"/>
  <c r="J90" i="45"/>
  <c r="K90" i="45"/>
  <c r="L90" i="45"/>
  <c r="M90" i="45"/>
  <c r="N90" i="45"/>
  <c r="O90" i="45"/>
  <c r="P90" i="45"/>
  <c r="Q90" i="45"/>
  <c r="R90" i="45"/>
  <c r="S90" i="45"/>
  <c r="T90" i="45"/>
  <c r="U90" i="45"/>
  <c r="V90" i="45"/>
  <c r="W90" i="45"/>
  <c r="X90" i="45"/>
  <c r="Y90" i="45"/>
  <c r="Z90" i="45"/>
  <c r="AA90" i="45"/>
  <c r="AB90" i="45"/>
  <c r="AC90" i="45"/>
  <c r="AD90" i="45"/>
  <c r="AE90" i="45"/>
  <c r="AF90" i="45"/>
  <c r="AG90" i="45"/>
  <c r="AH90" i="45"/>
  <c r="AI90" i="45"/>
  <c r="AJ90" i="45"/>
  <c r="AK90" i="45"/>
  <c r="AL90" i="45"/>
  <c r="AM90" i="45"/>
  <c r="AN90" i="45"/>
  <c r="AO90" i="45"/>
  <c r="AP90" i="45"/>
  <c r="AQ90" i="45"/>
  <c r="AR90" i="45"/>
  <c r="AS90" i="45"/>
  <c r="AT90" i="45"/>
  <c r="AU90" i="45"/>
  <c r="AV90" i="45"/>
  <c r="AW90" i="45"/>
  <c r="AX90" i="45"/>
  <c r="AY90" i="45"/>
  <c r="AZ90" i="45"/>
  <c r="BA90" i="45"/>
  <c r="BB90" i="45"/>
  <c r="BC90" i="45"/>
  <c r="BD90" i="45"/>
  <c r="BE90" i="45"/>
  <c r="BF90" i="45"/>
  <c r="BG90" i="45"/>
  <c r="BH90" i="45"/>
  <c r="BI90" i="45"/>
  <c r="BJ90" i="45"/>
  <c r="BK90" i="45"/>
  <c r="BL90" i="45"/>
  <c r="BM90" i="45"/>
  <c r="BN90" i="45"/>
  <c r="BO90" i="45"/>
  <c r="BP90" i="45"/>
  <c r="BQ90" i="45"/>
  <c r="BR90" i="45"/>
  <c r="BS90" i="45"/>
  <c r="BT90" i="45"/>
  <c r="BU90" i="45"/>
  <c r="BV90" i="45"/>
  <c r="BW90" i="45"/>
  <c r="BX90" i="45"/>
  <c r="BY90" i="45"/>
  <c r="BZ90" i="45"/>
  <c r="CA90" i="45"/>
  <c r="CB90" i="45"/>
  <c r="CC90" i="45"/>
  <c r="CD90" i="45"/>
  <c r="CE90" i="45"/>
  <c r="CF90" i="45"/>
  <c r="CG90" i="45"/>
  <c r="CH90" i="45"/>
  <c r="CI90" i="45"/>
  <c r="CJ90" i="45"/>
  <c r="CK90" i="45"/>
  <c r="CL90" i="45"/>
  <c r="CM90" i="45"/>
  <c r="CN90" i="45"/>
  <c r="CO90" i="45"/>
  <c r="CP90" i="45"/>
  <c r="CQ90" i="45"/>
  <c r="CR90" i="45"/>
  <c r="CS90" i="45"/>
  <c r="CT90" i="45"/>
  <c r="CU90" i="45"/>
  <c r="CV90" i="45"/>
  <c r="CW90" i="45"/>
  <c r="CX90" i="45"/>
  <c r="CY90" i="45"/>
  <c r="CZ90" i="45"/>
  <c r="DA90" i="45"/>
  <c r="DB90" i="45"/>
  <c r="DC90" i="45"/>
  <c r="DD90" i="45"/>
  <c r="DE90" i="45"/>
  <c r="DF90" i="45"/>
  <c r="DG90" i="45"/>
  <c r="DH90" i="45"/>
  <c r="DI90" i="45"/>
  <c r="DJ90" i="45"/>
  <c r="DK90" i="45"/>
  <c r="DL90" i="45"/>
  <c r="DM90" i="45"/>
  <c r="DN90" i="45"/>
  <c r="DO90" i="45"/>
  <c r="DP90" i="45"/>
  <c r="DQ90" i="45"/>
  <c r="DR90" i="45"/>
  <c r="DS90" i="45"/>
  <c r="DT90" i="45"/>
  <c r="DU90" i="45"/>
  <c r="DV90" i="45"/>
  <c r="DW90" i="45"/>
  <c r="DX90" i="45"/>
  <c r="DY90" i="45"/>
  <c r="DZ90" i="45"/>
  <c r="EA90" i="45"/>
  <c r="EB90" i="45"/>
  <c r="EC90" i="45"/>
  <c r="ED90" i="45"/>
  <c r="EE90" i="45"/>
  <c r="EF90" i="45"/>
  <c r="EG90" i="45"/>
  <c r="EH90" i="45"/>
  <c r="EI90" i="45"/>
  <c r="EJ90" i="45"/>
  <c r="EK90" i="45"/>
  <c r="EL90" i="45"/>
  <c r="EM90" i="45"/>
  <c r="EN90" i="45"/>
  <c r="EO90" i="45"/>
  <c r="EP90" i="45"/>
  <c r="EQ90" i="45"/>
  <c r="ER90" i="45"/>
  <c r="ES90" i="45"/>
  <c r="ET90" i="45"/>
  <c r="EU90" i="45"/>
  <c r="EV90" i="45"/>
  <c r="EW90" i="45"/>
  <c r="EX90" i="45"/>
  <c r="EY90" i="45"/>
  <c r="EZ90" i="45"/>
  <c r="FA90" i="45"/>
  <c r="FB90" i="45"/>
  <c r="FC90" i="45"/>
  <c r="FD90" i="45"/>
  <c r="FE90" i="45"/>
  <c r="FF90" i="45"/>
  <c r="FG90" i="45"/>
  <c r="FH90" i="45"/>
  <c r="FI90" i="45"/>
  <c r="FJ90" i="45"/>
  <c r="FK90" i="45"/>
  <c r="FL90" i="45"/>
  <c r="FM90" i="45"/>
  <c r="FN90" i="45"/>
  <c r="FO90" i="45"/>
  <c r="FP90" i="45"/>
  <c r="FQ90" i="45"/>
  <c r="FR90" i="45"/>
  <c r="FS90" i="45"/>
  <c r="FT90" i="45"/>
  <c r="FU90" i="45"/>
  <c r="FV90" i="45"/>
  <c r="FW90" i="45"/>
  <c r="FX90" i="45"/>
  <c r="FY90" i="45"/>
  <c r="FZ90" i="45"/>
  <c r="GA90" i="45"/>
  <c r="GB90" i="45"/>
  <c r="GC90" i="45"/>
  <c r="GD90" i="45"/>
  <c r="GE90" i="45"/>
  <c r="GF90" i="45"/>
  <c r="GG90" i="45"/>
  <c r="GH90" i="45"/>
  <c r="GI90" i="45"/>
  <c r="GJ90" i="45"/>
  <c r="GK90" i="45"/>
  <c r="GL90" i="45"/>
  <c r="GM90" i="45"/>
  <c r="GN90" i="45"/>
  <c r="GO90" i="45"/>
  <c r="GP90" i="45"/>
  <c r="GQ90" i="45"/>
  <c r="GR90" i="45"/>
  <c r="GS90" i="45"/>
  <c r="GT90" i="45"/>
  <c r="GU90" i="45"/>
  <c r="GV90" i="45"/>
  <c r="GW90" i="45"/>
  <c r="GX90" i="45"/>
  <c r="GY90" i="45"/>
  <c r="GZ90" i="45"/>
  <c r="HA90" i="45"/>
  <c r="HB90" i="45"/>
  <c r="HC90" i="45"/>
  <c r="HD90" i="45"/>
  <c r="HE90" i="45"/>
  <c r="HF90" i="45"/>
  <c r="HG90" i="45"/>
  <c r="HH90" i="45"/>
  <c r="HI90" i="45"/>
  <c r="HJ90" i="45"/>
  <c r="HK90" i="45"/>
  <c r="HL90" i="45"/>
  <c r="HM90" i="45"/>
  <c r="HN90" i="45"/>
  <c r="HO90" i="45"/>
  <c r="HP90" i="45"/>
  <c r="HQ90" i="45"/>
  <c r="HR90" i="45"/>
  <c r="HS90" i="45"/>
  <c r="HT90" i="45"/>
  <c r="HU90" i="45"/>
  <c r="HV90" i="45"/>
  <c r="HW90" i="45"/>
  <c r="HX90" i="45"/>
  <c r="HY90" i="45"/>
  <c r="HZ90" i="45"/>
  <c r="IA90" i="45"/>
  <c r="IB90" i="45"/>
  <c r="IC90" i="45"/>
  <c r="ID90" i="45"/>
  <c r="IE90" i="45"/>
  <c r="IF90" i="45"/>
  <c r="IG90" i="45"/>
  <c r="IH90" i="45"/>
  <c r="II90" i="45"/>
  <c r="IJ90" i="45"/>
  <c r="IK90" i="45"/>
  <c r="IL90" i="45"/>
  <c r="IM90" i="45"/>
  <c r="IN90" i="45"/>
  <c r="IO90" i="45"/>
  <c r="IP90" i="45"/>
  <c r="IQ90" i="45"/>
  <c r="IR90" i="45"/>
  <c r="IS90" i="45"/>
  <c r="IT90" i="45"/>
  <c r="IU90" i="45"/>
  <c r="IV90" i="45"/>
  <c r="A89" i="45"/>
  <c r="B89" i="45"/>
  <c r="C89" i="45"/>
  <c r="D89" i="45"/>
  <c r="E89" i="45"/>
  <c r="F89" i="45"/>
  <c r="G89" i="45"/>
  <c r="H89" i="45"/>
  <c r="I89" i="45"/>
  <c r="J89" i="45"/>
  <c r="K89" i="45"/>
  <c r="L89" i="45"/>
  <c r="M89" i="45"/>
  <c r="N89" i="45"/>
  <c r="O89" i="45"/>
  <c r="P89" i="45"/>
  <c r="Q89" i="45"/>
  <c r="R89" i="45"/>
  <c r="S89" i="45"/>
  <c r="T89" i="45"/>
  <c r="U89" i="45"/>
  <c r="V89" i="45"/>
  <c r="W89" i="45"/>
  <c r="X89" i="45"/>
  <c r="Y89" i="45"/>
  <c r="Z89" i="45"/>
  <c r="AA89" i="45"/>
  <c r="AB89" i="45"/>
  <c r="AC89" i="45"/>
  <c r="AD89" i="45"/>
  <c r="AE89" i="45"/>
  <c r="AF89" i="45"/>
  <c r="AG89" i="45"/>
  <c r="AH89" i="45"/>
  <c r="AI89" i="45"/>
  <c r="AJ89" i="45"/>
  <c r="AK89" i="45"/>
  <c r="AL89" i="45"/>
  <c r="AM89" i="45"/>
  <c r="AN89" i="45"/>
  <c r="AO89" i="45"/>
  <c r="AP89" i="45"/>
  <c r="AQ89" i="45"/>
  <c r="AR89" i="45"/>
  <c r="AS89" i="45"/>
  <c r="AT89" i="45"/>
  <c r="AU89" i="45"/>
  <c r="AV89" i="45"/>
  <c r="AW89" i="45"/>
  <c r="AX89" i="45"/>
  <c r="AY89" i="45"/>
  <c r="AZ89" i="45"/>
  <c r="BA89" i="45"/>
  <c r="BB89" i="45"/>
  <c r="BC89" i="45"/>
  <c r="BD89" i="45"/>
  <c r="BE89" i="45"/>
  <c r="BF89" i="45"/>
  <c r="BG89" i="45"/>
  <c r="BH89" i="45"/>
  <c r="BI89" i="45"/>
  <c r="BJ89" i="45"/>
  <c r="BK89" i="45"/>
  <c r="BL89" i="45"/>
  <c r="BM89" i="45"/>
  <c r="BN89" i="45"/>
  <c r="BO89" i="45"/>
  <c r="BP89" i="45"/>
  <c r="BQ89" i="45"/>
  <c r="BR89" i="45"/>
  <c r="BS89" i="45"/>
  <c r="BT89" i="45"/>
  <c r="BU89" i="45"/>
  <c r="BV89" i="45"/>
  <c r="BW89" i="45"/>
  <c r="BX89" i="45"/>
  <c r="BY89" i="45"/>
  <c r="BZ89" i="45"/>
  <c r="CA89" i="45"/>
  <c r="CB89" i="45"/>
  <c r="CC89" i="45"/>
  <c r="CD89" i="45"/>
  <c r="CE89" i="45"/>
  <c r="CF89" i="45"/>
  <c r="CG89" i="45"/>
  <c r="CH89" i="45"/>
  <c r="CI89" i="45"/>
  <c r="CJ89" i="45"/>
  <c r="CK89" i="45"/>
  <c r="CL89" i="45"/>
  <c r="CM89" i="45"/>
  <c r="CN89" i="45"/>
  <c r="CO89" i="45"/>
  <c r="CP89" i="45"/>
  <c r="CQ89" i="45"/>
  <c r="CR89" i="45"/>
  <c r="CS89" i="45"/>
  <c r="CT89" i="45"/>
  <c r="CU89" i="45"/>
  <c r="CV89" i="45"/>
  <c r="CW89" i="45"/>
  <c r="CX89" i="45"/>
  <c r="CY89" i="45"/>
  <c r="CZ89" i="45"/>
  <c r="DA89" i="45"/>
  <c r="DB89" i="45"/>
  <c r="DC89" i="45"/>
  <c r="DD89" i="45"/>
  <c r="DE89" i="45"/>
  <c r="DF89" i="45"/>
  <c r="DG89" i="45"/>
  <c r="DH89" i="45"/>
  <c r="DI89" i="45"/>
  <c r="DJ89" i="45"/>
  <c r="DK89" i="45"/>
  <c r="DL89" i="45"/>
  <c r="DM89" i="45"/>
  <c r="DN89" i="45"/>
  <c r="DO89" i="45"/>
  <c r="DP89" i="45"/>
  <c r="DQ89" i="45"/>
  <c r="DR89" i="45"/>
  <c r="DS89" i="45"/>
  <c r="DT89" i="45"/>
  <c r="DU89" i="45"/>
  <c r="DV89" i="45"/>
  <c r="DW89" i="45"/>
  <c r="DX89" i="45"/>
  <c r="DY89" i="45"/>
  <c r="DZ89" i="45"/>
  <c r="EA89" i="45"/>
  <c r="EB89" i="45"/>
  <c r="EC89" i="45"/>
  <c r="ED89" i="45"/>
  <c r="EE89" i="45"/>
  <c r="EF89" i="45"/>
  <c r="EG89" i="45"/>
  <c r="EH89" i="45"/>
  <c r="EI89" i="45"/>
  <c r="EJ89" i="45"/>
  <c r="EK89" i="45"/>
  <c r="EL89" i="45"/>
  <c r="EM89" i="45"/>
  <c r="EN89" i="45"/>
  <c r="EO89" i="45"/>
  <c r="EP89" i="45"/>
  <c r="EQ89" i="45"/>
  <c r="ER89" i="45"/>
  <c r="ES89" i="45"/>
  <c r="ET89" i="45"/>
  <c r="EU89" i="45"/>
  <c r="EV89" i="45"/>
  <c r="EW89" i="45"/>
  <c r="EX89" i="45"/>
  <c r="EY89" i="45"/>
  <c r="EZ89" i="45"/>
  <c r="FA89" i="45"/>
  <c r="FB89" i="45"/>
  <c r="FC89" i="45"/>
  <c r="FD89" i="45"/>
  <c r="FE89" i="45"/>
  <c r="FF89" i="45"/>
  <c r="FG89" i="45"/>
  <c r="FH89" i="45"/>
  <c r="FI89" i="45"/>
  <c r="FJ89" i="45"/>
  <c r="FK89" i="45"/>
  <c r="FL89" i="45"/>
  <c r="FM89" i="45"/>
  <c r="FN89" i="45"/>
  <c r="FO89" i="45"/>
  <c r="FP89" i="45"/>
  <c r="FQ89" i="45"/>
  <c r="FR89" i="45"/>
  <c r="FS89" i="45"/>
  <c r="FT89" i="45"/>
  <c r="FU89" i="45"/>
  <c r="FV89" i="45"/>
  <c r="FW89" i="45"/>
  <c r="FX89" i="45"/>
  <c r="FY89" i="45"/>
  <c r="FZ89" i="45"/>
  <c r="GA89" i="45"/>
  <c r="GB89" i="45"/>
  <c r="GC89" i="45"/>
  <c r="GD89" i="45"/>
  <c r="GE89" i="45"/>
  <c r="GF89" i="45"/>
  <c r="GG89" i="45"/>
  <c r="GH89" i="45"/>
  <c r="GI89" i="45"/>
  <c r="GJ89" i="45"/>
  <c r="GK89" i="45"/>
  <c r="GL89" i="45"/>
  <c r="GM89" i="45"/>
  <c r="GN89" i="45"/>
  <c r="GO89" i="45"/>
  <c r="GP89" i="45"/>
  <c r="GQ89" i="45"/>
  <c r="GR89" i="45"/>
  <c r="GS89" i="45"/>
  <c r="GT89" i="45"/>
  <c r="GU89" i="45"/>
  <c r="GV89" i="45"/>
  <c r="GW89" i="45"/>
  <c r="GX89" i="45"/>
  <c r="GY89" i="45"/>
  <c r="GZ89" i="45"/>
  <c r="HA89" i="45"/>
  <c r="HB89" i="45"/>
  <c r="HC89" i="45"/>
  <c r="HD89" i="45"/>
  <c r="HE89" i="45"/>
  <c r="HF89" i="45"/>
  <c r="HG89" i="45"/>
  <c r="HH89" i="45"/>
  <c r="HI89" i="45"/>
  <c r="HJ89" i="45"/>
  <c r="HK89" i="45"/>
  <c r="HL89" i="45"/>
  <c r="HM89" i="45"/>
  <c r="HN89" i="45"/>
  <c r="HO89" i="45"/>
  <c r="HP89" i="45"/>
  <c r="HQ89" i="45"/>
  <c r="HR89" i="45"/>
  <c r="HS89" i="45"/>
  <c r="HT89" i="45"/>
  <c r="HU89" i="45"/>
  <c r="HV89" i="45"/>
  <c r="HW89" i="45"/>
  <c r="HX89" i="45"/>
  <c r="HY89" i="45"/>
  <c r="HZ89" i="45"/>
  <c r="IA89" i="45"/>
  <c r="IB89" i="45"/>
  <c r="IC89" i="45"/>
  <c r="ID89" i="45"/>
  <c r="IE89" i="45"/>
  <c r="IF89" i="45"/>
  <c r="IG89" i="45"/>
  <c r="IH89" i="45"/>
  <c r="II89" i="45"/>
  <c r="IJ89" i="45"/>
  <c r="IK89" i="45"/>
  <c r="IL89" i="45"/>
  <c r="IM89" i="45"/>
  <c r="IN89" i="45"/>
  <c r="IO89" i="45"/>
  <c r="IP89" i="45"/>
  <c r="IQ89" i="45"/>
  <c r="IR89" i="45"/>
  <c r="IS89" i="45"/>
  <c r="IT89" i="45"/>
  <c r="IU89" i="45"/>
  <c r="IV89" i="45"/>
  <c r="A88" i="45"/>
  <c r="B88" i="45"/>
  <c r="C88" i="45"/>
  <c r="D88" i="45"/>
  <c r="E88" i="45"/>
  <c r="F88" i="45"/>
  <c r="G88" i="45"/>
  <c r="H88" i="45"/>
  <c r="I88" i="45"/>
  <c r="J88" i="45"/>
  <c r="K88" i="45"/>
  <c r="L88" i="45"/>
  <c r="M88" i="45"/>
  <c r="N88" i="45"/>
  <c r="O88" i="45"/>
  <c r="P88" i="45"/>
  <c r="Q88" i="45"/>
  <c r="R88" i="45"/>
  <c r="S88" i="45"/>
  <c r="T88" i="45"/>
  <c r="U88" i="45"/>
  <c r="V88" i="45"/>
  <c r="W88" i="45"/>
  <c r="X88" i="45"/>
  <c r="Y88" i="45"/>
  <c r="Z88" i="45"/>
  <c r="AA88" i="45"/>
  <c r="AB88" i="45"/>
  <c r="AC88" i="45"/>
  <c r="AD88" i="45"/>
  <c r="AE88" i="45"/>
  <c r="AF88" i="45"/>
  <c r="AG88" i="45"/>
  <c r="AH88" i="45"/>
  <c r="AI88" i="45"/>
  <c r="AJ88" i="45"/>
  <c r="AK88" i="45"/>
  <c r="AL88" i="45"/>
  <c r="AM88" i="45"/>
  <c r="AN88" i="45"/>
  <c r="AO88" i="45"/>
  <c r="AP88" i="45"/>
  <c r="AQ88" i="45"/>
  <c r="AR88" i="45"/>
  <c r="AS88" i="45"/>
  <c r="AT88" i="45"/>
  <c r="AU88" i="45"/>
  <c r="AV88" i="45"/>
  <c r="AW88" i="45"/>
  <c r="AX88" i="45"/>
  <c r="AY88" i="45"/>
  <c r="AZ88" i="45"/>
  <c r="BA88" i="45"/>
  <c r="BB88" i="45"/>
  <c r="BC88" i="45"/>
  <c r="BD88" i="45"/>
  <c r="BE88" i="45"/>
  <c r="BF88" i="45"/>
  <c r="BG88" i="45"/>
  <c r="BH88" i="45"/>
  <c r="BI88" i="45"/>
  <c r="BJ88" i="45"/>
  <c r="BK88" i="45"/>
  <c r="BL88" i="45"/>
  <c r="BM88" i="45"/>
  <c r="BN88" i="45"/>
  <c r="BO88" i="45"/>
  <c r="BP88" i="45"/>
  <c r="BQ88" i="45"/>
  <c r="BR88" i="45"/>
  <c r="BS88" i="45"/>
  <c r="BT88" i="45"/>
  <c r="BU88" i="45"/>
  <c r="BV88" i="45"/>
  <c r="BW88" i="45"/>
  <c r="BX88" i="45"/>
  <c r="BY88" i="45"/>
  <c r="BZ88" i="45"/>
  <c r="CA88" i="45"/>
  <c r="CB88" i="45"/>
  <c r="CC88" i="45"/>
  <c r="CD88" i="45"/>
  <c r="CE88" i="45"/>
  <c r="CF88" i="45"/>
  <c r="CG88" i="45"/>
  <c r="CH88" i="45"/>
  <c r="CI88" i="45"/>
  <c r="CJ88" i="45"/>
  <c r="CK88" i="45"/>
  <c r="CL88" i="45"/>
  <c r="CM88" i="45"/>
  <c r="CN88" i="45"/>
  <c r="CO88" i="45"/>
  <c r="CP88" i="45"/>
  <c r="CQ88" i="45"/>
  <c r="CR88" i="45"/>
  <c r="CS88" i="45"/>
  <c r="CT88" i="45"/>
  <c r="CU88" i="45"/>
  <c r="CV88" i="45"/>
  <c r="CW88" i="45"/>
  <c r="CX88" i="45"/>
  <c r="CY88" i="45"/>
  <c r="CZ88" i="45"/>
  <c r="DA88" i="45"/>
  <c r="DB88" i="45"/>
  <c r="DC88" i="45"/>
  <c r="DD88" i="45"/>
  <c r="DE88" i="45"/>
  <c r="DF88" i="45"/>
  <c r="DG88" i="45"/>
  <c r="DH88" i="45"/>
  <c r="DI88" i="45"/>
  <c r="DJ88" i="45"/>
  <c r="DK88" i="45"/>
  <c r="DL88" i="45"/>
  <c r="DM88" i="45"/>
  <c r="DN88" i="45"/>
  <c r="DO88" i="45"/>
  <c r="DP88" i="45"/>
  <c r="DQ88" i="45"/>
  <c r="DR88" i="45"/>
  <c r="DS88" i="45"/>
  <c r="DT88" i="45"/>
  <c r="DU88" i="45"/>
  <c r="DV88" i="45"/>
  <c r="DW88" i="45"/>
  <c r="DX88" i="45"/>
  <c r="DY88" i="45"/>
  <c r="DZ88" i="45"/>
  <c r="EA88" i="45"/>
  <c r="EB88" i="45"/>
  <c r="EC88" i="45"/>
  <c r="ED88" i="45"/>
  <c r="EE88" i="45"/>
  <c r="EF88" i="45"/>
  <c r="EG88" i="45"/>
  <c r="EH88" i="45"/>
  <c r="EI88" i="45"/>
  <c r="EJ88" i="45"/>
  <c r="EK88" i="45"/>
  <c r="EL88" i="45"/>
  <c r="EM88" i="45"/>
  <c r="EN88" i="45"/>
  <c r="EO88" i="45"/>
  <c r="EP88" i="45"/>
  <c r="EQ88" i="45"/>
  <c r="ER88" i="45"/>
  <c r="ES88" i="45"/>
  <c r="ET88" i="45"/>
  <c r="EU88" i="45"/>
  <c r="EV88" i="45"/>
  <c r="EW88" i="45"/>
  <c r="EX88" i="45"/>
  <c r="EY88" i="45"/>
  <c r="EZ88" i="45"/>
  <c r="FA88" i="45"/>
  <c r="FB88" i="45"/>
  <c r="FC88" i="45"/>
  <c r="FD88" i="45"/>
  <c r="FE88" i="45"/>
  <c r="FF88" i="45"/>
  <c r="FG88" i="45"/>
  <c r="FH88" i="45"/>
  <c r="FI88" i="45"/>
  <c r="FJ88" i="45"/>
  <c r="FK88" i="45"/>
  <c r="FL88" i="45"/>
  <c r="FM88" i="45"/>
  <c r="FN88" i="45"/>
  <c r="FO88" i="45"/>
  <c r="FP88" i="45"/>
  <c r="FQ88" i="45"/>
  <c r="FR88" i="45"/>
  <c r="FS88" i="45"/>
  <c r="FT88" i="45"/>
  <c r="FU88" i="45"/>
  <c r="FV88" i="45"/>
  <c r="FW88" i="45"/>
  <c r="FX88" i="45"/>
  <c r="FY88" i="45"/>
  <c r="FZ88" i="45"/>
  <c r="GA88" i="45"/>
  <c r="GB88" i="45"/>
  <c r="GC88" i="45"/>
  <c r="GD88" i="45"/>
  <c r="GE88" i="45"/>
  <c r="GF88" i="45"/>
  <c r="GG88" i="45"/>
  <c r="GH88" i="45"/>
  <c r="GI88" i="45"/>
  <c r="GJ88" i="45"/>
  <c r="GK88" i="45"/>
  <c r="GL88" i="45"/>
  <c r="GM88" i="45"/>
  <c r="GN88" i="45"/>
  <c r="GO88" i="45"/>
  <c r="GP88" i="45"/>
  <c r="GQ88" i="45"/>
  <c r="GR88" i="45"/>
  <c r="GS88" i="45"/>
  <c r="GT88" i="45"/>
  <c r="GU88" i="45"/>
  <c r="GV88" i="45"/>
  <c r="GW88" i="45"/>
  <c r="GX88" i="45"/>
  <c r="GY88" i="45"/>
  <c r="GZ88" i="45"/>
  <c r="HA88" i="45"/>
  <c r="HB88" i="45"/>
  <c r="HC88" i="45"/>
  <c r="HD88" i="45"/>
  <c r="HE88" i="45"/>
  <c r="HF88" i="45"/>
  <c r="HG88" i="45"/>
  <c r="HH88" i="45"/>
  <c r="HI88" i="45"/>
  <c r="HJ88" i="45"/>
  <c r="HK88" i="45"/>
  <c r="HL88" i="45"/>
  <c r="HM88" i="45"/>
  <c r="HN88" i="45"/>
  <c r="HO88" i="45"/>
  <c r="HP88" i="45"/>
  <c r="HQ88" i="45"/>
  <c r="HR88" i="45"/>
  <c r="HS88" i="45"/>
  <c r="HT88" i="45"/>
  <c r="HU88" i="45"/>
  <c r="HV88" i="45"/>
  <c r="HW88" i="45"/>
  <c r="HX88" i="45"/>
  <c r="HY88" i="45"/>
  <c r="HZ88" i="45"/>
  <c r="IA88" i="45"/>
  <c r="IB88" i="45"/>
  <c r="IC88" i="45"/>
  <c r="ID88" i="45"/>
  <c r="IE88" i="45"/>
  <c r="IF88" i="45"/>
  <c r="IG88" i="45"/>
  <c r="IH88" i="45"/>
  <c r="II88" i="45"/>
  <c r="IJ88" i="45"/>
  <c r="IK88" i="45"/>
  <c r="IL88" i="45"/>
  <c r="IM88" i="45"/>
  <c r="IN88" i="45"/>
  <c r="IO88" i="45"/>
  <c r="IP88" i="45"/>
  <c r="IQ88" i="45"/>
  <c r="IR88" i="45"/>
  <c r="IS88" i="45"/>
  <c r="IT88" i="45"/>
  <c r="IU88" i="45"/>
  <c r="IV88" i="45"/>
  <c r="A87" i="45"/>
  <c r="B87" i="45"/>
  <c r="C87" i="45"/>
  <c r="D87" i="45"/>
  <c r="E87" i="45"/>
  <c r="F87" i="45"/>
  <c r="G87" i="45"/>
  <c r="H87" i="45"/>
  <c r="I87" i="45"/>
  <c r="J87" i="45"/>
  <c r="K87" i="45"/>
  <c r="L87" i="45"/>
  <c r="M87" i="45"/>
  <c r="N87" i="45"/>
  <c r="O87" i="45"/>
  <c r="P87" i="45"/>
  <c r="Q87" i="45"/>
  <c r="R87" i="45"/>
  <c r="S87" i="45"/>
  <c r="T87" i="45"/>
  <c r="U87" i="45"/>
  <c r="V87" i="45"/>
  <c r="W87" i="45"/>
  <c r="X87" i="45"/>
  <c r="Y87" i="45"/>
  <c r="Z87" i="45"/>
  <c r="AA87" i="45"/>
  <c r="AB87" i="45"/>
  <c r="AC87" i="45"/>
  <c r="AD87" i="45"/>
  <c r="AE87" i="45"/>
  <c r="AF87" i="45"/>
  <c r="AG87" i="45"/>
  <c r="AH87" i="45"/>
  <c r="AI87" i="45"/>
  <c r="AJ87" i="45"/>
  <c r="AK87" i="45"/>
  <c r="AL87" i="45"/>
  <c r="AM87" i="45"/>
  <c r="AN87" i="45"/>
  <c r="AO87" i="45"/>
  <c r="AP87" i="45"/>
  <c r="AQ87" i="45"/>
  <c r="AR87" i="45"/>
  <c r="AS87" i="45"/>
  <c r="AT87" i="45"/>
  <c r="AU87" i="45"/>
  <c r="AV87" i="45"/>
  <c r="AW87" i="45"/>
  <c r="AX87" i="45"/>
  <c r="AY87" i="45"/>
  <c r="AZ87" i="45"/>
  <c r="BA87" i="45"/>
  <c r="BB87" i="45"/>
  <c r="BC87" i="45"/>
  <c r="BD87" i="45"/>
  <c r="BE87" i="45"/>
  <c r="BF87" i="45"/>
  <c r="BG87" i="45"/>
  <c r="BH87" i="45"/>
  <c r="BI87" i="45"/>
  <c r="BJ87" i="45"/>
  <c r="BK87" i="45"/>
  <c r="BL87" i="45"/>
  <c r="BM87" i="45"/>
  <c r="BN87" i="45"/>
  <c r="BO87" i="45"/>
  <c r="BP87" i="45"/>
  <c r="BQ87" i="45"/>
  <c r="BR87" i="45"/>
  <c r="BS87" i="45"/>
  <c r="BT87" i="45"/>
  <c r="BU87" i="45"/>
  <c r="BV87" i="45"/>
  <c r="BW87" i="45"/>
  <c r="BX87" i="45"/>
  <c r="BY87" i="45"/>
  <c r="BZ87" i="45"/>
  <c r="CA87" i="45"/>
  <c r="CB87" i="45"/>
  <c r="CC87" i="45"/>
  <c r="CD87" i="45"/>
  <c r="CE87" i="45"/>
  <c r="CF87" i="45"/>
  <c r="CG87" i="45"/>
  <c r="CH87" i="45"/>
  <c r="CI87" i="45"/>
  <c r="CJ87" i="45"/>
  <c r="CK87" i="45"/>
  <c r="CL87" i="45"/>
  <c r="CM87" i="45"/>
  <c r="CN87" i="45"/>
  <c r="CO87" i="45"/>
  <c r="CP87" i="45"/>
  <c r="CQ87" i="45"/>
  <c r="CR87" i="45"/>
  <c r="CS87" i="45"/>
  <c r="CT87" i="45"/>
  <c r="CU87" i="45"/>
  <c r="CV87" i="45"/>
  <c r="CW87" i="45"/>
  <c r="CX87" i="45"/>
  <c r="CY87" i="45"/>
  <c r="CZ87" i="45"/>
  <c r="DA87" i="45"/>
  <c r="DB87" i="45"/>
  <c r="DC87" i="45"/>
  <c r="DD87" i="45"/>
  <c r="DE87" i="45"/>
  <c r="DF87" i="45"/>
  <c r="DG87" i="45"/>
  <c r="DH87" i="45"/>
  <c r="DI87" i="45"/>
  <c r="DJ87" i="45"/>
  <c r="DK87" i="45"/>
  <c r="DL87" i="45"/>
  <c r="DM87" i="45"/>
  <c r="DN87" i="45"/>
  <c r="DO87" i="45"/>
  <c r="DP87" i="45"/>
  <c r="DQ87" i="45"/>
  <c r="DR87" i="45"/>
  <c r="DS87" i="45"/>
  <c r="DT87" i="45"/>
  <c r="DU87" i="45"/>
  <c r="DV87" i="45"/>
  <c r="DW87" i="45"/>
  <c r="DX87" i="45"/>
  <c r="DY87" i="45"/>
  <c r="DZ87" i="45"/>
  <c r="EA87" i="45"/>
  <c r="EB87" i="45"/>
  <c r="EC87" i="45"/>
  <c r="ED87" i="45"/>
  <c r="EE87" i="45"/>
  <c r="EF87" i="45"/>
  <c r="EG87" i="45"/>
  <c r="EH87" i="45"/>
  <c r="EI87" i="45"/>
  <c r="EJ87" i="45"/>
  <c r="EK87" i="45"/>
  <c r="EL87" i="45"/>
  <c r="EM87" i="45"/>
  <c r="EN87" i="45"/>
  <c r="EO87" i="45"/>
  <c r="EP87" i="45"/>
  <c r="EQ87" i="45"/>
  <c r="ER87" i="45"/>
  <c r="ES87" i="45"/>
  <c r="ET87" i="45"/>
  <c r="EU87" i="45"/>
  <c r="EV87" i="45"/>
  <c r="EW87" i="45"/>
  <c r="EX87" i="45"/>
  <c r="EY87" i="45"/>
  <c r="EZ87" i="45"/>
  <c r="FA87" i="45"/>
  <c r="FB87" i="45"/>
  <c r="FC87" i="45"/>
  <c r="FD87" i="45"/>
  <c r="FE87" i="45"/>
  <c r="FF87" i="45"/>
  <c r="FG87" i="45"/>
  <c r="FH87" i="45"/>
  <c r="FI87" i="45"/>
  <c r="FJ87" i="45"/>
  <c r="FK87" i="45"/>
  <c r="FL87" i="45"/>
  <c r="FM87" i="45"/>
  <c r="FN87" i="45"/>
  <c r="FO87" i="45"/>
  <c r="FP87" i="45"/>
  <c r="FQ87" i="45"/>
  <c r="FR87" i="45"/>
  <c r="FS87" i="45"/>
  <c r="FT87" i="45"/>
  <c r="FU87" i="45"/>
  <c r="FV87" i="45"/>
  <c r="FW87" i="45"/>
  <c r="FX87" i="45"/>
  <c r="FY87" i="45"/>
  <c r="FZ87" i="45"/>
  <c r="GA87" i="45"/>
  <c r="GB87" i="45"/>
  <c r="GC87" i="45"/>
  <c r="GD87" i="45"/>
  <c r="GE87" i="45"/>
  <c r="GF87" i="45"/>
  <c r="GG87" i="45"/>
  <c r="GH87" i="45"/>
  <c r="GI87" i="45"/>
  <c r="GJ87" i="45"/>
  <c r="GK87" i="45"/>
  <c r="GL87" i="45"/>
  <c r="GM87" i="45"/>
  <c r="GN87" i="45"/>
  <c r="GO87" i="45"/>
  <c r="GP87" i="45"/>
  <c r="GQ87" i="45"/>
  <c r="GR87" i="45"/>
  <c r="GS87" i="45"/>
  <c r="GT87" i="45"/>
  <c r="GU87" i="45"/>
  <c r="GV87" i="45"/>
  <c r="GW87" i="45"/>
  <c r="GX87" i="45"/>
  <c r="GY87" i="45"/>
  <c r="GZ87" i="45"/>
  <c r="HA87" i="45"/>
  <c r="HB87" i="45"/>
  <c r="HC87" i="45"/>
  <c r="HD87" i="45"/>
  <c r="HE87" i="45"/>
  <c r="HF87" i="45"/>
  <c r="HG87" i="45"/>
  <c r="HH87" i="45"/>
  <c r="HI87" i="45"/>
  <c r="HJ87" i="45"/>
  <c r="HK87" i="45"/>
  <c r="HL87" i="45"/>
  <c r="HM87" i="45"/>
  <c r="HN87" i="45"/>
  <c r="HO87" i="45"/>
  <c r="HP87" i="45"/>
  <c r="HQ87" i="45"/>
  <c r="HR87" i="45"/>
  <c r="HS87" i="45"/>
  <c r="HT87" i="45"/>
  <c r="HU87" i="45"/>
  <c r="HV87" i="45"/>
  <c r="HW87" i="45"/>
  <c r="HX87" i="45"/>
  <c r="HY87" i="45"/>
  <c r="HZ87" i="45"/>
  <c r="IA87" i="45"/>
  <c r="IB87" i="45"/>
  <c r="IC87" i="45"/>
  <c r="ID87" i="45"/>
  <c r="IE87" i="45"/>
  <c r="IF87" i="45"/>
  <c r="IG87" i="45"/>
  <c r="IH87" i="45"/>
  <c r="II87" i="45"/>
  <c r="IJ87" i="45"/>
  <c r="IK87" i="45"/>
  <c r="IL87" i="45"/>
  <c r="IM87" i="45"/>
  <c r="IN87" i="45"/>
  <c r="IO87" i="45"/>
  <c r="IP87" i="45"/>
  <c r="IQ87" i="45"/>
  <c r="IR87" i="45"/>
  <c r="IS87" i="45"/>
  <c r="IT87" i="45"/>
  <c r="IU87" i="45"/>
  <c r="IV87" i="45"/>
  <c r="A86" i="45"/>
  <c r="B86" i="45"/>
  <c r="C86" i="45"/>
  <c r="D86" i="45"/>
  <c r="E86" i="45"/>
  <c r="F86" i="45"/>
  <c r="G86" i="45"/>
  <c r="H86" i="45"/>
  <c r="I86" i="45"/>
  <c r="J86" i="45"/>
  <c r="K86" i="45"/>
  <c r="L86" i="45"/>
  <c r="M86" i="45"/>
  <c r="N86" i="45"/>
  <c r="O86" i="45"/>
  <c r="P86" i="45"/>
  <c r="Q86" i="45"/>
  <c r="R86" i="45"/>
  <c r="S86" i="45"/>
  <c r="T86" i="45"/>
  <c r="U86" i="45"/>
  <c r="V86" i="45"/>
  <c r="W86" i="45"/>
  <c r="X86" i="45"/>
  <c r="Y86" i="45"/>
  <c r="Z86" i="45"/>
  <c r="AA86" i="45"/>
  <c r="AB86" i="45"/>
  <c r="AC86" i="45"/>
  <c r="AD86" i="45"/>
  <c r="AE86" i="45"/>
  <c r="AF86" i="45"/>
  <c r="AG86" i="45"/>
  <c r="AH86" i="45"/>
  <c r="AI86" i="45"/>
  <c r="AJ86" i="45"/>
  <c r="AK86" i="45"/>
  <c r="AL86" i="45"/>
  <c r="AM86" i="45"/>
  <c r="AN86" i="45"/>
  <c r="AO86" i="45"/>
  <c r="AP86" i="45"/>
  <c r="AQ86" i="45"/>
  <c r="AR86" i="45"/>
  <c r="AS86" i="45"/>
  <c r="AT86" i="45"/>
  <c r="AU86" i="45"/>
  <c r="AV86" i="45"/>
  <c r="AW86" i="45"/>
  <c r="AX86" i="45"/>
  <c r="AY86" i="45"/>
  <c r="AZ86" i="45"/>
  <c r="BA86" i="45"/>
  <c r="BB86" i="45"/>
  <c r="BC86" i="45"/>
  <c r="BD86" i="45"/>
  <c r="BE86" i="45"/>
  <c r="BF86" i="45"/>
  <c r="BG86" i="45"/>
  <c r="BH86" i="45"/>
  <c r="BI86" i="45"/>
  <c r="BJ86" i="45"/>
  <c r="BK86" i="45"/>
  <c r="BL86" i="45"/>
  <c r="BM86" i="45"/>
  <c r="BN86" i="45"/>
  <c r="BO86" i="45"/>
  <c r="BP86" i="45"/>
  <c r="BQ86" i="45"/>
  <c r="BR86" i="45"/>
  <c r="BS86" i="45"/>
  <c r="BT86" i="45"/>
  <c r="BU86" i="45"/>
  <c r="BV86" i="45"/>
  <c r="BW86" i="45"/>
  <c r="BX86" i="45"/>
  <c r="BY86" i="45"/>
  <c r="BZ86" i="45"/>
  <c r="CA86" i="45"/>
  <c r="CB86" i="45"/>
  <c r="CC86" i="45"/>
  <c r="CD86" i="45"/>
  <c r="CE86" i="45"/>
  <c r="CF86" i="45"/>
  <c r="CG86" i="45"/>
  <c r="CH86" i="45"/>
  <c r="CI86" i="45"/>
  <c r="CJ86" i="45"/>
  <c r="CK86" i="45"/>
  <c r="CL86" i="45"/>
  <c r="CM86" i="45"/>
  <c r="CN86" i="45"/>
  <c r="CO86" i="45"/>
  <c r="CP86" i="45"/>
  <c r="CQ86" i="45"/>
  <c r="CR86" i="45"/>
  <c r="CS86" i="45"/>
  <c r="CT86" i="45"/>
  <c r="CU86" i="45"/>
  <c r="CV86" i="45"/>
  <c r="CW86" i="45"/>
  <c r="CX86" i="45"/>
  <c r="CY86" i="45"/>
  <c r="CZ86" i="45"/>
  <c r="DA86" i="45"/>
  <c r="DB86" i="45"/>
  <c r="DC86" i="45"/>
  <c r="DD86" i="45"/>
  <c r="DE86" i="45"/>
  <c r="DF86" i="45"/>
  <c r="DG86" i="45"/>
  <c r="DH86" i="45"/>
  <c r="DI86" i="45"/>
  <c r="DJ86" i="45"/>
  <c r="DK86" i="45"/>
  <c r="DL86" i="45"/>
  <c r="DM86" i="45"/>
  <c r="DN86" i="45"/>
  <c r="DO86" i="45"/>
  <c r="DP86" i="45"/>
  <c r="DQ86" i="45"/>
  <c r="DR86" i="45"/>
  <c r="DS86" i="45"/>
  <c r="DT86" i="45"/>
  <c r="DU86" i="45"/>
  <c r="DV86" i="45"/>
  <c r="DW86" i="45"/>
  <c r="DX86" i="45"/>
  <c r="DY86" i="45"/>
  <c r="DZ86" i="45"/>
  <c r="EA86" i="45"/>
  <c r="EB86" i="45"/>
  <c r="EC86" i="45"/>
  <c r="ED86" i="45"/>
  <c r="EE86" i="45"/>
  <c r="EF86" i="45"/>
  <c r="EG86" i="45"/>
  <c r="EH86" i="45"/>
  <c r="EI86" i="45"/>
  <c r="EJ86" i="45"/>
  <c r="EK86" i="45"/>
  <c r="EL86" i="45"/>
  <c r="EM86" i="45"/>
  <c r="EN86" i="45"/>
  <c r="EO86" i="45"/>
  <c r="EP86" i="45"/>
  <c r="EQ86" i="45"/>
  <c r="ER86" i="45"/>
  <c r="ES86" i="45"/>
  <c r="ET86" i="45"/>
  <c r="EU86" i="45"/>
  <c r="EV86" i="45"/>
  <c r="EW86" i="45"/>
  <c r="EX86" i="45"/>
  <c r="EY86" i="45"/>
  <c r="EZ86" i="45"/>
  <c r="FA86" i="45"/>
  <c r="FB86" i="45"/>
  <c r="FC86" i="45"/>
  <c r="FD86" i="45"/>
  <c r="FE86" i="45"/>
  <c r="FF86" i="45"/>
  <c r="FG86" i="45"/>
  <c r="FH86" i="45"/>
  <c r="FI86" i="45"/>
  <c r="FJ86" i="45"/>
  <c r="FK86" i="45"/>
  <c r="FL86" i="45"/>
  <c r="FM86" i="45"/>
  <c r="FN86" i="45"/>
  <c r="FO86" i="45"/>
  <c r="FP86" i="45"/>
  <c r="FQ86" i="45"/>
  <c r="FR86" i="45"/>
  <c r="FS86" i="45"/>
  <c r="FT86" i="45"/>
  <c r="FU86" i="45"/>
  <c r="FV86" i="45"/>
  <c r="FW86" i="45"/>
  <c r="FX86" i="45"/>
  <c r="FY86" i="45"/>
  <c r="FZ86" i="45"/>
  <c r="GA86" i="45"/>
  <c r="GB86" i="45"/>
  <c r="GC86" i="45"/>
  <c r="GD86" i="45"/>
  <c r="GE86" i="45"/>
  <c r="GF86" i="45"/>
  <c r="GG86" i="45"/>
  <c r="GH86" i="45"/>
  <c r="GI86" i="45"/>
  <c r="GJ86" i="45"/>
  <c r="GK86" i="45"/>
  <c r="GL86" i="45"/>
  <c r="GM86" i="45"/>
  <c r="GN86" i="45"/>
  <c r="GO86" i="45"/>
  <c r="GP86" i="45"/>
  <c r="GQ86" i="45"/>
  <c r="GR86" i="45"/>
  <c r="GS86" i="45"/>
  <c r="GT86" i="45"/>
  <c r="GU86" i="45"/>
  <c r="GV86" i="45"/>
  <c r="GW86" i="45"/>
  <c r="GX86" i="45"/>
  <c r="GY86" i="45"/>
  <c r="GZ86" i="45"/>
  <c r="HA86" i="45"/>
  <c r="HB86" i="45"/>
  <c r="HC86" i="45"/>
  <c r="HD86" i="45"/>
  <c r="HE86" i="45"/>
  <c r="HF86" i="45"/>
  <c r="HG86" i="45"/>
  <c r="HH86" i="45"/>
  <c r="HI86" i="45"/>
  <c r="HJ86" i="45"/>
  <c r="HK86" i="45"/>
  <c r="HL86" i="45"/>
  <c r="HM86" i="45"/>
  <c r="HN86" i="45"/>
  <c r="HO86" i="45"/>
  <c r="HP86" i="45"/>
  <c r="HQ86" i="45"/>
  <c r="HR86" i="45"/>
  <c r="HS86" i="45"/>
  <c r="HT86" i="45"/>
  <c r="HU86" i="45"/>
  <c r="HV86" i="45"/>
  <c r="HW86" i="45"/>
  <c r="HX86" i="45"/>
  <c r="HY86" i="45"/>
  <c r="HZ86" i="45"/>
  <c r="IA86" i="45"/>
  <c r="IB86" i="45"/>
  <c r="IC86" i="45"/>
  <c r="ID86" i="45"/>
  <c r="IE86" i="45"/>
  <c r="IF86" i="45"/>
  <c r="IG86" i="45"/>
  <c r="IH86" i="45"/>
  <c r="II86" i="45"/>
  <c r="IJ86" i="45"/>
  <c r="IK86" i="45"/>
  <c r="IL86" i="45"/>
  <c r="IM86" i="45"/>
  <c r="IN86" i="45"/>
  <c r="IO86" i="45"/>
  <c r="IP86" i="45"/>
  <c r="IQ86" i="45"/>
  <c r="IR86" i="45"/>
  <c r="IS86" i="45"/>
  <c r="IT86" i="45"/>
  <c r="IU86" i="45"/>
  <c r="IV86" i="45"/>
  <c r="A85" i="45"/>
  <c r="B85" i="45"/>
  <c r="C85" i="45"/>
  <c r="D85" i="45"/>
  <c r="E85" i="45"/>
  <c r="F85" i="45"/>
  <c r="G85" i="45"/>
  <c r="H85" i="45"/>
  <c r="I85" i="45"/>
  <c r="J85" i="45"/>
  <c r="K85" i="45"/>
  <c r="L85" i="45"/>
  <c r="M85" i="45"/>
  <c r="N85" i="45"/>
  <c r="O85" i="45"/>
  <c r="P85" i="45"/>
  <c r="Q85" i="45"/>
  <c r="R85" i="45"/>
  <c r="S85" i="45"/>
  <c r="T85" i="45"/>
  <c r="U85" i="45"/>
  <c r="V85" i="45"/>
  <c r="W85" i="45"/>
  <c r="X85" i="45"/>
  <c r="Y85" i="45"/>
  <c r="Z85" i="45"/>
  <c r="AA85" i="45"/>
  <c r="AB85" i="45"/>
  <c r="AC85" i="45"/>
  <c r="AD85" i="45"/>
  <c r="AE85" i="45"/>
  <c r="AF85" i="45"/>
  <c r="AG85" i="45"/>
  <c r="AH85" i="45"/>
  <c r="AI85" i="45"/>
  <c r="AJ85" i="45"/>
  <c r="AK85" i="45"/>
  <c r="AL85" i="45"/>
  <c r="AM85" i="45"/>
  <c r="AN85" i="45"/>
  <c r="AO85" i="45"/>
  <c r="AP85" i="45"/>
  <c r="AQ85" i="45"/>
  <c r="AR85" i="45"/>
  <c r="AS85" i="45"/>
  <c r="AT85" i="45"/>
  <c r="AU85" i="45"/>
  <c r="AV85" i="45"/>
  <c r="AW85" i="45"/>
  <c r="AX85" i="45"/>
  <c r="AY85" i="45"/>
  <c r="AZ85" i="45"/>
  <c r="BA85" i="45"/>
  <c r="BB85" i="45"/>
  <c r="BC85" i="45"/>
  <c r="BD85" i="45"/>
  <c r="BE85" i="45"/>
  <c r="BF85" i="45"/>
  <c r="BG85" i="45"/>
  <c r="BH85" i="45"/>
  <c r="BI85" i="45"/>
  <c r="BJ85" i="45"/>
  <c r="BK85" i="45"/>
  <c r="BL85" i="45"/>
  <c r="BM85" i="45"/>
  <c r="BN85" i="45"/>
  <c r="BO85" i="45"/>
  <c r="BP85" i="45"/>
  <c r="BQ85" i="45"/>
  <c r="BR85" i="45"/>
  <c r="BS85" i="45"/>
  <c r="BT85" i="45"/>
  <c r="BU85" i="45"/>
  <c r="BV85" i="45"/>
  <c r="BW85" i="45"/>
  <c r="BX85" i="45"/>
  <c r="BY85" i="45"/>
  <c r="BZ85" i="45"/>
  <c r="CA85" i="45"/>
  <c r="CB85" i="45"/>
  <c r="CC85" i="45"/>
  <c r="CD85" i="45"/>
  <c r="CE85" i="45"/>
  <c r="CF85" i="45"/>
  <c r="CG85" i="45"/>
  <c r="CH85" i="45"/>
  <c r="CI85" i="45"/>
  <c r="CJ85" i="45"/>
  <c r="CK85" i="45"/>
  <c r="CL85" i="45"/>
  <c r="CM85" i="45"/>
  <c r="CN85" i="45"/>
  <c r="CO85" i="45"/>
  <c r="CP85" i="45"/>
  <c r="CQ85" i="45"/>
  <c r="CR85" i="45"/>
  <c r="CS85" i="45"/>
  <c r="CT85" i="45"/>
  <c r="CU85" i="45"/>
  <c r="CV85" i="45"/>
  <c r="CW85" i="45"/>
  <c r="CX85" i="45"/>
  <c r="CY85" i="45"/>
  <c r="CZ85" i="45"/>
  <c r="DA85" i="45"/>
  <c r="DB85" i="45"/>
  <c r="DC85" i="45"/>
  <c r="DD85" i="45"/>
  <c r="DE85" i="45"/>
  <c r="DF85" i="45"/>
  <c r="DG85" i="45"/>
  <c r="DH85" i="45"/>
  <c r="DI85" i="45"/>
  <c r="DJ85" i="45"/>
  <c r="DK85" i="45"/>
  <c r="DL85" i="45"/>
  <c r="DM85" i="45"/>
  <c r="DN85" i="45"/>
  <c r="DO85" i="45"/>
  <c r="DP85" i="45"/>
  <c r="DQ85" i="45"/>
  <c r="DR85" i="45"/>
  <c r="DS85" i="45"/>
  <c r="DT85" i="45"/>
  <c r="DU85" i="45"/>
  <c r="DV85" i="45"/>
  <c r="DW85" i="45"/>
  <c r="DX85" i="45"/>
  <c r="DY85" i="45"/>
  <c r="DZ85" i="45"/>
  <c r="EA85" i="45"/>
  <c r="EB85" i="45"/>
  <c r="EC85" i="45"/>
  <c r="ED85" i="45"/>
  <c r="EE85" i="45"/>
  <c r="EF85" i="45"/>
  <c r="EG85" i="45"/>
  <c r="EH85" i="45"/>
  <c r="EI85" i="45"/>
  <c r="EJ85" i="45"/>
  <c r="EK85" i="45"/>
  <c r="EL85" i="45"/>
  <c r="EM85" i="45"/>
  <c r="EN85" i="45"/>
  <c r="EO85" i="45"/>
  <c r="EP85" i="45"/>
  <c r="EQ85" i="45"/>
  <c r="ER85" i="45"/>
  <c r="ES85" i="45"/>
  <c r="ET85" i="45"/>
  <c r="EU85" i="45"/>
  <c r="EV85" i="45"/>
  <c r="EW85" i="45"/>
  <c r="EX85" i="45"/>
  <c r="EY85" i="45"/>
  <c r="EZ85" i="45"/>
  <c r="FA85" i="45"/>
  <c r="FB85" i="45"/>
  <c r="FC85" i="45"/>
  <c r="FD85" i="45"/>
  <c r="FE85" i="45"/>
  <c r="FF85" i="45"/>
  <c r="FG85" i="45"/>
  <c r="FH85" i="45"/>
  <c r="FI85" i="45"/>
  <c r="FJ85" i="45"/>
  <c r="FK85" i="45"/>
  <c r="FL85" i="45"/>
  <c r="FM85" i="45"/>
  <c r="FN85" i="45"/>
  <c r="FO85" i="45"/>
  <c r="FP85" i="45"/>
  <c r="FQ85" i="45"/>
  <c r="FR85" i="45"/>
  <c r="FS85" i="45"/>
  <c r="FT85" i="45"/>
  <c r="FU85" i="45"/>
  <c r="FV85" i="45"/>
  <c r="FW85" i="45"/>
  <c r="FX85" i="45"/>
  <c r="FY85" i="45"/>
  <c r="FZ85" i="45"/>
  <c r="GA85" i="45"/>
  <c r="GB85" i="45"/>
  <c r="GC85" i="45"/>
  <c r="GD85" i="45"/>
  <c r="GE85" i="45"/>
  <c r="GF85" i="45"/>
  <c r="GG85" i="45"/>
  <c r="GH85" i="45"/>
  <c r="GI85" i="45"/>
  <c r="GJ85" i="45"/>
  <c r="GK85" i="45"/>
  <c r="GL85" i="45"/>
  <c r="GM85" i="45"/>
  <c r="GN85" i="45"/>
  <c r="GO85" i="45"/>
  <c r="GP85" i="45"/>
  <c r="GQ85" i="45"/>
  <c r="GR85" i="45"/>
  <c r="GS85" i="45"/>
  <c r="GT85" i="45"/>
  <c r="GU85" i="45"/>
  <c r="GV85" i="45"/>
  <c r="GW85" i="45"/>
  <c r="GX85" i="45"/>
  <c r="GY85" i="45"/>
  <c r="GZ85" i="45"/>
  <c r="HA85" i="45"/>
  <c r="HB85" i="45"/>
  <c r="HC85" i="45"/>
  <c r="HD85" i="45"/>
  <c r="HE85" i="45"/>
  <c r="HF85" i="45"/>
  <c r="HG85" i="45"/>
  <c r="HH85" i="45"/>
  <c r="HI85" i="45"/>
  <c r="HJ85" i="45"/>
  <c r="HK85" i="45"/>
  <c r="HL85" i="45"/>
  <c r="HM85" i="45"/>
  <c r="HN85" i="45"/>
  <c r="HO85" i="45"/>
  <c r="HP85" i="45"/>
  <c r="HQ85" i="45"/>
  <c r="HR85" i="45"/>
  <c r="HS85" i="45"/>
  <c r="HT85" i="45"/>
  <c r="HU85" i="45"/>
  <c r="HV85" i="45"/>
  <c r="HW85" i="45"/>
  <c r="HX85" i="45"/>
  <c r="HY85" i="45"/>
  <c r="HZ85" i="45"/>
  <c r="IA85" i="45"/>
  <c r="IB85" i="45"/>
  <c r="IC85" i="45"/>
  <c r="ID85" i="45"/>
  <c r="IE85" i="45"/>
  <c r="IF85" i="45"/>
  <c r="IG85" i="45"/>
  <c r="IH85" i="45"/>
  <c r="II85" i="45"/>
  <c r="IJ85" i="45"/>
  <c r="IK85" i="45"/>
  <c r="IL85" i="45"/>
  <c r="IM85" i="45"/>
  <c r="IN85" i="45"/>
  <c r="IO85" i="45"/>
  <c r="IP85" i="45"/>
  <c r="IQ85" i="45"/>
  <c r="IR85" i="45"/>
  <c r="IS85" i="45"/>
  <c r="IT85" i="45"/>
  <c r="IU85" i="45"/>
  <c r="IV85" i="45"/>
  <c r="A84" i="45"/>
  <c r="B84" i="45"/>
  <c r="C84" i="45"/>
  <c r="D84" i="45"/>
  <c r="E84" i="45"/>
  <c r="F84" i="45"/>
  <c r="G84" i="45"/>
  <c r="H84" i="45"/>
  <c r="I84" i="45"/>
  <c r="J84" i="45"/>
  <c r="K84" i="45"/>
  <c r="L84" i="45"/>
  <c r="M84" i="45"/>
  <c r="N84" i="45"/>
  <c r="O84" i="45"/>
  <c r="P84" i="45"/>
  <c r="Q84" i="45"/>
  <c r="R84" i="45"/>
  <c r="S84" i="45"/>
  <c r="T84" i="45"/>
  <c r="U84" i="45"/>
  <c r="V84" i="45"/>
  <c r="W84" i="45"/>
  <c r="X84" i="45"/>
  <c r="Y84" i="45"/>
  <c r="Z84" i="45"/>
  <c r="AA84" i="45"/>
  <c r="AB84" i="45"/>
  <c r="AC84" i="45"/>
  <c r="AD84" i="45"/>
  <c r="AE84" i="45"/>
  <c r="AF84" i="45"/>
  <c r="AG84" i="45"/>
  <c r="AH84" i="45"/>
  <c r="AI84" i="45"/>
  <c r="AJ84" i="45"/>
  <c r="AK84" i="45"/>
  <c r="AL84" i="45"/>
  <c r="AM84" i="45"/>
  <c r="AN84" i="45"/>
  <c r="AO84" i="45"/>
  <c r="AP84" i="45"/>
  <c r="AQ84" i="45"/>
  <c r="AR84" i="45"/>
  <c r="AS84" i="45"/>
  <c r="AT84" i="45"/>
  <c r="AU84" i="45"/>
  <c r="AV84" i="45"/>
  <c r="AW84" i="45"/>
  <c r="AX84" i="45"/>
  <c r="AY84" i="45"/>
  <c r="AZ84" i="45"/>
  <c r="BA84" i="45"/>
  <c r="BB84" i="45"/>
  <c r="BC84" i="45"/>
  <c r="BD84" i="45"/>
  <c r="BE84" i="45"/>
  <c r="BF84" i="45"/>
  <c r="BG84" i="45"/>
  <c r="BH84" i="45"/>
  <c r="BI84" i="45"/>
  <c r="BJ84" i="45"/>
  <c r="BK84" i="45"/>
  <c r="BL84" i="45"/>
  <c r="BM84" i="45"/>
  <c r="BN84" i="45"/>
  <c r="BO84" i="45"/>
  <c r="BP84" i="45"/>
  <c r="BQ84" i="45"/>
  <c r="BR84" i="45"/>
  <c r="BS84" i="45"/>
  <c r="BT84" i="45"/>
  <c r="BU84" i="45"/>
  <c r="BV84" i="45"/>
  <c r="BW84" i="45"/>
  <c r="BX84" i="45"/>
  <c r="BY84" i="45"/>
  <c r="BZ84" i="45"/>
  <c r="CA84" i="45"/>
  <c r="CB84" i="45"/>
  <c r="CC84" i="45"/>
  <c r="CD84" i="45"/>
  <c r="CE84" i="45"/>
  <c r="CF84" i="45"/>
  <c r="CG84" i="45"/>
  <c r="CH84" i="45"/>
  <c r="CI84" i="45"/>
  <c r="CJ84" i="45"/>
  <c r="CK84" i="45"/>
  <c r="CL84" i="45"/>
  <c r="CM84" i="45"/>
  <c r="CN84" i="45"/>
  <c r="CO84" i="45"/>
  <c r="CP84" i="45"/>
  <c r="CQ84" i="45"/>
  <c r="CR84" i="45"/>
  <c r="CS84" i="45"/>
  <c r="CT84" i="45"/>
  <c r="CU84" i="45"/>
  <c r="CV84" i="45"/>
  <c r="CW84" i="45"/>
  <c r="CX84" i="45"/>
  <c r="CY84" i="45"/>
  <c r="CZ84" i="45"/>
  <c r="DA84" i="45"/>
  <c r="DB84" i="45"/>
  <c r="DC84" i="45"/>
  <c r="DD84" i="45"/>
  <c r="DE84" i="45"/>
  <c r="DF84" i="45"/>
  <c r="DG84" i="45"/>
  <c r="DH84" i="45"/>
  <c r="DI84" i="45"/>
  <c r="DJ84" i="45"/>
  <c r="DK84" i="45"/>
  <c r="DL84" i="45"/>
  <c r="DM84" i="45"/>
  <c r="DN84" i="45"/>
  <c r="DO84" i="45"/>
  <c r="DP84" i="45"/>
  <c r="DQ84" i="45"/>
  <c r="DR84" i="45"/>
  <c r="DS84" i="45"/>
  <c r="DT84" i="45"/>
  <c r="DU84" i="45"/>
  <c r="DV84" i="45"/>
  <c r="DW84" i="45"/>
  <c r="DX84" i="45"/>
  <c r="DY84" i="45"/>
  <c r="DZ84" i="45"/>
  <c r="EA84" i="45"/>
  <c r="EB84" i="45"/>
  <c r="EC84" i="45"/>
  <c r="ED84" i="45"/>
  <c r="EE84" i="45"/>
  <c r="EF84" i="45"/>
  <c r="EG84" i="45"/>
  <c r="EH84" i="45"/>
  <c r="EI84" i="45"/>
  <c r="EJ84" i="45"/>
  <c r="EK84" i="45"/>
  <c r="EL84" i="45"/>
  <c r="EM84" i="45"/>
  <c r="EN84" i="45"/>
  <c r="EO84" i="45"/>
  <c r="EP84" i="45"/>
  <c r="EQ84" i="45"/>
  <c r="ER84" i="45"/>
  <c r="ES84" i="45"/>
  <c r="ET84" i="45"/>
  <c r="EU84" i="45"/>
  <c r="EV84" i="45"/>
  <c r="EW84" i="45"/>
  <c r="EX84" i="45"/>
  <c r="EY84" i="45"/>
  <c r="EZ84" i="45"/>
  <c r="FA84" i="45"/>
  <c r="FB84" i="45"/>
  <c r="FC84" i="45"/>
  <c r="FD84" i="45"/>
  <c r="FE84" i="45"/>
  <c r="FF84" i="45"/>
  <c r="FG84" i="45"/>
  <c r="FH84" i="45"/>
  <c r="FI84" i="45"/>
  <c r="FJ84" i="45"/>
  <c r="FK84" i="45"/>
  <c r="FL84" i="45"/>
  <c r="FM84" i="45"/>
  <c r="FN84" i="45"/>
  <c r="FO84" i="45"/>
  <c r="FP84" i="45"/>
  <c r="FQ84" i="45"/>
  <c r="FR84" i="45"/>
  <c r="FS84" i="45"/>
  <c r="FT84" i="45"/>
  <c r="FU84" i="45"/>
  <c r="FV84" i="45"/>
  <c r="FW84" i="45"/>
  <c r="FX84" i="45"/>
  <c r="FY84" i="45"/>
  <c r="FZ84" i="45"/>
  <c r="GA84" i="45"/>
  <c r="GB84" i="45"/>
  <c r="GC84" i="45"/>
  <c r="GD84" i="45"/>
  <c r="GE84" i="45"/>
  <c r="GF84" i="45"/>
  <c r="GG84" i="45"/>
  <c r="GH84" i="45"/>
  <c r="GI84" i="45"/>
  <c r="GJ84" i="45"/>
  <c r="GK84" i="45"/>
  <c r="GL84" i="45"/>
  <c r="GM84" i="45"/>
  <c r="GN84" i="45"/>
  <c r="GO84" i="45"/>
  <c r="GP84" i="45"/>
  <c r="GQ84" i="45"/>
  <c r="GR84" i="45"/>
  <c r="GS84" i="45"/>
  <c r="GT84" i="45"/>
  <c r="GU84" i="45"/>
  <c r="GV84" i="45"/>
  <c r="GW84" i="45"/>
  <c r="GX84" i="45"/>
  <c r="GY84" i="45"/>
  <c r="GZ84" i="45"/>
  <c r="HA84" i="45"/>
  <c r="HB84" i="45"/>
  <c r="HC84" i="45"/>
  <c r="HD84" i="45"/>
  <c r="HE84" i="45"/>
  <c r="HF84" i="45"/>
  <c r="HG84" i="45"/>
  <c r="HH84" i="45"/>
  <c r="HI84" i="45"/>
  <c r="HJ84" i="45"/>
  <c r="HK84" i="45"/>
  <c r="HL84" i="45"/>
  <c r="HM84" i="45"/>
  <c r="HN84" i="45"/>
  <c r="HO84" i="45"/>
  <c r="HP84" i="45"/>
  <c r="HQ84" i="45"/>
  <c r="HR84" i="45"/>
  <c r="HS84" i="45"/>
  <c r="HT84" i="45"/>
  <c r="HU84" i="45"/>
  <c r="HV84" i="45"/>
  <c r="HW84" i="45"/>
  <c r="HX84" i="45"/>
  <c r="HY84" i="45"/>
  <c r="HZ84" i="45"/>
  <c r="IA84" i="45"/>
  <c r="IB84" i="45"/>
  <c r="IC84" i="45"/>
  <c r="ID84" i="45"/>
  <c r="IE84" i="45"/>
  <c r="IF84" i="45"/>
  <c r="IG84" i="45"/>
  <c r="IH84" i="45"/>
  <c r="II84" i="45"/>
  <c r="IJ84" i="45"/>
  <c r="IK84" i="45"/>
  <c r="IL84" i="45"/>
  <c r="IM84" i="45"/>
  <c r="IN84" i="45"/>
  <c r="IO84" i="45"/>
  <c r="IP84" i="45"/>
  <c r="IQ84" i="45"/>
  <c r="IR84" i="45"/>
  <c r="IS84" i="45"/>
  <c r="IT84" i="45"/>
  <c r="IU84" i="45"/>
  <c r="IV84" i="45"/>
  <c r="A83" i="45"/>
  <c r="B83" i="45"/>
  <c r="C83" i="45"/>
  <c r="D83" i="45"/>
  <c r="E83" i="45"/>
  <c r="F83" i="45"/>
  <c r="G83" i="45"/>
  <c r="H83" i="45"/>
  <c r="I83" i="45"/>
  <c r="J83" i="45"/>
  <c r="K83" i="45"/>
  <c r="L83" i="45"/>
  <c r="M83" i="45"/>
  <c r="N83" i="45"/>
  <c r="O83" i="45"/>
  <c r="P83" i="45"/>
  <c r="Q83" i="45"/>
  <c r="R83" i="45"/>
  <c r="S83" i="45"/>
  <c r="T83" i="45"/>
  <c r="U83" i="45"/>
  <c r="V83" i="45"/>
  <c r="W83" i="45"/>
  <c r="X83" i="45"/>
  <c r="Y83" i="45"/>
  <c r="Z83" i="45"/>
  <c r="AA83" i="45"/>
  <c r="AB83" i="45"/>
  <c r="AC83" i="45"/>
  <c r="AD83" i="45"/>
  <c r="AE83" i="45"/>
  <c r="AF83" i="45"/>
  <c r="AG83" i="45"/>
  <c r="AH83" i="45"/>
  <c r="AI83" i="45"/>
  <c r="AJ83" i="45"/>
  <c r="AK83" i="45"/>
  <c r="AL83" i="45"/>
  <c r="AM83" i="45"/>
  <c r="AN83" i="45"/>
  <c r="AO83" i="45"/>
  <c r="AP83" i="45"/>
  <c r="AQ83" i="45"/>
  <c r="AR83" i="45"/>
  <c r="AS83" i="45"/>
  <c r="AT83" i="45"/>
  <c r="AU83" i="45"/>
  <c r="AV83" i="45"/>
  <c r="AW83" i="45"/>
  <c r="AX83" i="45"/>
  <c r="AY83" i="45"/>
  <c r="AZ83" i="45"/>
  <c r="BA83" i="45"/>
  <c r="BB83" i="45"/>
  <c r="BC83" i="45"/>
  <c r="BD83" i="45"/>
  <c r="BE83" i="45"/>
  <c r="BF83" i="45"/>
  <c r="BG83" i="45"/>
  <c r="BH83" i="45"/>
  <c r="BI83" i="45"/>
  <c r="BJ83" i="45"/>
  <c r="BK83" i="45"/>
  <c r="BL83" i="45"/>
  <c r="BM83" i="45"/>
  <c r="BN83" i="45"/>
  <c r="BO83" i="45"/>
  <c r="BP83" i="45"/>
  <c r="BQ83" i="45"/>
  <c r="BR83" i="45"/>
  <c r="BS83" i="45"/>
  <c r="BT83" i="45"/>
  <c r="BU83" i="45"/>
  <c r="BV83" i="45"/>
  <c r="BW83" i="45"/>
  <c r="BX83" i="45"/>
  <c r="BY83" i="45"/>
  <c r="BZ83" i="45"/>
  <c r="CA83" i="45"/>
  <c r="CB83" i="45"/>
  <c r="CC83" i="45"/>
  <c r="CD83" i="45"/>
  <c r="CE83" i="45"/>
  <c r="CF83" i="45"/>
  <c r="CG83" i="45"/>
  <c r="CH83" i="45"/>
  <c r="CI83" i="45"/>
  <c r="CJ83" i="45"/>
  <c r="CK83" i="45"/>
  <c r="CL83" i="45"/>
  <c r="CM83" i="45"/>
  <c r="CN83" i="45"/>
  <c r="CO83" i="45"/>
  <c r="CP83" i="45"/>
  <c r="CQ83" i="45"/>
  <c r="CR83" i="45"/>
  <c r="CS83" i="45"/>
  <c r="CT83" i="45"/>
  <c r="CU83" i="45"/>
  <c r="CV83" i="45"/>
  <c r="CW83" i="45"/>
  <c r="CX83" i="45"/>
  <c r="CY83" i="45"/>
  <c r="CZ83" i="45"/>
  <c r="DA83" i="45"/>
  <c r="DB83" i="45"/>
  <c r="DC83" i="45"/>
  <c r="DD83" i="45"/>
  <c r="DE83" i="45"/>
  <c r="DF83" i="45"/>
  <c r="DG83" i="45"/>
  <c r="DH83" i="45"/>
  <c r="DI83" i="45"/>
  <c r="DJ83" i="45"/>
  <c r="DK83" i="45"/>
  <c r="DL83" i="45"/>
  <c r="DM83" i="45"/>
  <c r="DN83" i="45"/>
  <c r="DO83" i="45"/>
  <c r="DP83" i="45"/>
  <c r="DQ83" i="45"/>
  <c r="DR83" i="45"/>
  <c r="DS83" i="45"/>
  <c r="DT83" i="45"/>
  <c r="DU83" i="45"/>
  <c r="DV83" i="45"/>
  <c r="DW83" i="45"/>
  <c r="DX83" i="45"/>
  <c r="DY83" i="45"/>
  <c r="DZ83" i="45"/>
  <c r="EA83" i="45"/>
  <c r="EB83" i="45"/>
  <c r="EC83" i="45"/>
  <c r="ED83" i="45"/>
  <c r="EE83" i="45"/>
  <c r="EF83" i="45"/>
  <c r="EG83" i="45"/>
  <c r="EH83" i="45"/>
  <c r="EI83" i="45"/>
  <c r="EJ83" i="45"/>
  <c r="EK83" i="45"/>
  <c r="EL83" i="45"/>
  <c r="EM83" i="45"/>
  <c r="EN83" i="45"/>
  <c r="EO83" i="45"/>
  <c r="EP83" i="45"/>
  <c r="EQ83" i="45"/>
  <c r="ER83" i="45"/>
  <c r="ES83" i="45"/>
  <c r="ET83" i="45"/>
  <c r="EU83" i="45"/>
  <c r="EV83" i="45"/>
  <c r="EW83" i="45"/>
  <c r="EX83" i="45"/>
  <c r="EY83" i="45"/>
  <c r="EZ83" i="45"/>
  <c r="FA83" i="45"/>
  <c r="FB83" i="45"/>
  <c r="FC83" i="45"/>
  <c r="FD83" i="45"/>
  <c r="FE83" i="45"/>
  <c r="FF83" i="45"/>
  <c r="FG83" i="45"/>
  <c r="FH83" i="45"/>
  <c r="FI83" i="45"/>
  <c r="FJ83" i="45"/>
  <c r="FK83" i="45"/>
  <c r="FL83" i="45"/>
  <c r="FM83" i="45"/>
  <c r="FN83" i="45"/>
  <c r="FO83" i="45"/>
  <c r="FP83" i="45"/>
  <c r="FQ83" i="45"/>
  <c r="FR83" i="45"/>
  <c r="FS83" i="45"/>
  <c r="FT83" i="45"/>
  <c r="FU83" i="45"/>
  <c r="FV83" i="45"/>
  <c r="FW83" i="45"/>
  <c r="FX83" i="45"/>
  <c r="FY83" i="45"/>
  <c r="FZ83" i="45"/>
  <c r="GA83" i="45"/>
  <c r="GB83" i="45"/>
  <c r="GC83" i="45"/>
  <c r="GD83" i="45"/>
  <c r="GE83" i="45"/>
  <c r="GF83" i="45"/>
  <c r="GG83" i="45"/>
  <c r="GH83" i="45"/>
  <c r="GI83" i="45"/>
  <c r="GJ83" i="45"/>
  <c r="GK83" i="45"/>
  <c r="GL83" i="45"/>
  <c r="GM83" i="45"/>
  <c r="GN83" i="45"/>
  <c r="GO83" i="45"/>
  <c r="GP83" i="45"/>
  <c r="GQ83" i="45"/>
  <c r="GR83" i="45"/>
  <c r="GS83" i="45"/>
  <c r="GT83" i="45"/>
  <c r="GU83" i="45"/>
  <c r="GV83" i="45"/>
  <c r="GW83" i="45"/>
  <c r="GX83" i="45"/>
  <c r="GY83" i="45"/>
  <c r="GZ83" i="45"/>
  <c r="HA83" i="45"/>
  <c r="HB83" i="45"/>
  <c r="HC83" i="45"/>
  <c r="HD83" i="45"/>
  <c r="HE83" i="45"/>
  <c r="HF83" i="45"/>
  <c r="HG83" i="45"/>
  <c r="HH83" i="45"/>
  <c r="HI83" i="45"/>
  <c r="HJ83" i="45"/>
  <c r="HK83" i="45"/>
  <c r="HL83" i="45"/>
  <c r="HM83" i="45"/>
  <c r="HN83" i="45"/>
  <c r="HO83" i="45"/>
  <c r="HP83" i="45"/>
  <c r="HQ83" i="45"/>
  <c r="HR83" i="45"/>
  <c r="HS83" i="45"/>
  <c r="HT83" i="45"/>
  <c r="HU83" i="45"/>
  <c r="HV83" i="45"/>
  <c r="HW83" i="45"/>
  <c r="HX83" i="45"/>
  <c r="HY83" i="45"/>
  <c r="HZ83" i="45"/>
  <c r="IA83" i="45"/>
  <c r="IB83" i="45"/>
  <c r="IC83" i="45"/>
  <c r="ID83" i="45"/>
  <c r="IE83" i="45"/>
  <c r="IF83" i="45"/>
  <c r="IG83" i="45"/>
  <c r="IH83" i="45"/>
  <c r="II83" i="45"/>
  <c r="IJ83" i="45"/>
  <c r="IK83" i="45"/>
  <c r="IL83" i="45"/>
  <c r="IM83" i="45"/>
  <c r="IN83" i="45"/>
  <c r="IO83" i="45"/>
  <c r="IP83" i="45"/>
  <c r="IQ83" i="45"/>
  <c r="IR83" i="45"/>
  <c r="IS83" i="45"/>
  <c r="IT83" i="45"/>
  <c r="IU83" i="45"/>
  <c r="IV83" i="45"/>
  <c r="A82" i="45"/>
  <c r="B82" i="45"/>
  <c r="C82" i="45"/>
  <c r="D82" i="45"/>
  <c r="E82" i="45"/>
  <c r="F82" i="45"/>
  <c r="G82" i="45"/>
  <c r="H82" i="45"/>
  <c r="I82" i="45"/>
  <c r="J82" i="45"/>
  <c r="K82" i="45"/>
  <c r="L82" i="45"/>
  <c r="M82" i="45"/>
  <c r="N82" i="45"/>
  <c r="O82" i="45"/>
  <c r="P82" i="45"/>
  <c r="Q82" i="45"/>
  <c r="R82" i="45"/>
  <c r="S82" i="45"/>
  <c r="T82" i="45"/>
  <c r="U82" i="45"/>
  <c r="V82" i="45"/>
  <c r="W82" i="45"/>
  <c r="X82" i="45"/>
  <c r="Y82" i="45"/>
  <c r="Z82" i="45"/>
  <c r="AA82" i="45"/>
  <c r="AB82" i="45"/>
  <c r="AC82" i="45"/>
  <c r="AD82" i="45"/>
  <c r="AE82" i="45"/>
  <c r="AF82" i="45"/>
  <c r="AG82" i="45"/>
  <c r="AH82" i="45"/>
  <c r="AI82" i="45"/>
  <c r="AJ82" i="45"/>
  <c r="AK82" i="45"/>
  <c r="AL82" i="45"/>
  <c r="AM82" i="45"/>
  <c r="AN82" i="45"/>
  <c r="AO82" i="45"/>
  <c r="AP82" i="45"/>
  <c r="AQ82" i="45"/>
  <c r="AR82" i="45"/>
  <c r="AS82" i="45"/>
  <c r="AT82" i="45"/>
  <c r="AU82" i="45"/>
  <c r="AV82" i="45"/>
  <c r="AW82" i="45"/>
  <c r="AX82" i="45"/>
  <c r="AY82" i="45"/>
  <c r="AZ82" i="45"/>
  <c r="BA82" i="45"/>
  <c r="BB82" i="45"/>
  <c r="BC82" i="45"/>
  <c r="BD82" i="45"/>
  <c r="BE82" i="45"/>
  <c r="BF82" i="45"/>
  <c r="BG82" i="45"/>
  <c r="BH82" i="45"/>
  <c r="BI82" i="45"/>
  <c r="BJ82" i="45"/>
  <c r="BK82" i="45"/>
  <c r="BL82" i="45"/>
  <c r="BM82" i="45"/>
  <c r="BN82" i="45"/>
  <c r="BO82" i="45"/>
  <c r="BP82" i="45"/>
  <c r="BQ82" i="45"/>
  <c r="BR82" i="45"/>
  <c r="BS82" i="45"/>
  <c r="BT82" i="45"/>
  <c r="BU82" i="45"/>
  <c r="BV82" i="45"/>
  <c r="BW82" i="45"/>
  <c r="BX82" i="45"/>
  <c r="BY82" i="45"/>
  <c r="BZ82" i="45"/>
  <c r="CA82" i="45"/>
  <c r="CB82" i="45"/>
  <c r="CC82" i="45"/>
  <c r="CD82" i="45"/>
  <c r="CE82" i="45"/>
  <c r="CF82" i="45"/>
  <c r="CG82" i="45"/>
  <c r="CH82" i="45"/>
  <c r="CI82" i="45"/>
  <c r="CJ82" i="45"/>
  <c r="CK82" i="45"/>
  <c r="CL82" i="45"/>
  <c r="CM82" i="45"/>
  <c r="CN82" i="45"/>
  <c r="CO82" i="45"/>
  <c r="CP82" i="45"/>
  <c r="CQ82" i="45"/>
  <c r="CR82" i="45"/>
  <c r="CS82" i="45"/>
  <c r="CT82" i="45"/>
  <c r="CU82" i="45"/>
  <c r="CV82" i="45"/>
  <c r="CW82" i="45"/>
  <c r="CX82" i="45"/>
  <c r="CY82" i="45"/>
  <c r="CZ82" i="45"/>
  <c r="DA82" i="45"/>
  <c r="DB82" i="45"/>
  <c r="DC82" i="45"/>
  <c r="DD82" i="45"/>
  <c r="DE82" i="45"/>
  <c r="DF82" i="45"/>
  <c r="DG82" i="45"/>
  <c r="DH82" i="45"/>
  <c r="DI82" i="45"/>
  <c r="DJ82" i="45"/>
  <c r="DK82" i="45"/>
  <c r="DL82" i="45"/>
  <c r="DM82" i="45"/>
  <c r="DN82" i="45"/>
  <c r="DO82" i="45"/>
  <c r="DP82" i="45"/>
  <c r="DQ82" i="45"/>
  <c r="DR82" i="45"/>
  <c r="DS82" i="45"/>
  <c r="DT82" i="45"/>
  <c r="DU82" i="45"/>
  <c r="DV82" i="45"/>
  <c r="DW82" i="45"/>
  <c r="DX82" i="45"/>
  <c r="DY82" i="45"/>
  <c r="DZ82" i="45"/>
  <c r="EA82" i="45"/>
  <c r="EB82" i="45"/>
  <c r="EC82" i="45"/>
  <c r="ED82" i="45"/>
  <c r="EE82" i="45"/>
  <c r="EF82" i="45"/>
  <c r="EG82" i="45"/>
  <c r="EH82" i="45"/>
  <c r="EI82" i="45"/>
  <c r="EJ82" i="45"/>
  <c r="EK82" i="45"/>
  <c r="EL82" i="45"/>
  <c r="EM82" i="45"/>
  <c r="EN82" i="45"/>
  <c r="EO82" i="45"/>
  <c r="EP82" i="45"/>
  <c r="EQ82" i="45"/>
  <c r="ER82" i="45"/>
  <c r="ES82" i="45"/>
  <c r="ET82" i="45"/>
  <c r="EU82" i="45"/>
  <c r="EV82" i="45"/>
  <c r="EW82" i="45"/>
  <c r="EX82" i="45"/>
  <c r="EY82" i="45"/>
  <c r="EZ82" i="45"/>
  <c r="FA82" i="45"/>
  <c r="FB82" i="45"/>
  <c r="FC82" i="45"/>
  <c r="FD82" i="45"/>
  <c r="FE82" i="45"/>
  <c r="FF82" i="45"/>
  <c r="FG82" i="45"/>
  <c r="FH82" i="45"/>
  <c r="FI82" i="45"/>
  <c r="FJ82" i="45"/>
  <c r="FK82" i="45"/>
  <c r="FL82" i="45"/>
  <c r="FM82" i="45"/>
  <c r="FN82" i="45"/>
  <c r="FO82" i="45"/>
  <c r="FP82" i="45"/>
  <c r="FQ82" i="45"/>
  <c r="FR82" i="45"/>
  <c r="FS82" i="45"/>
  <c r="FT82" i="45"/>
  <c r="FU82" i="45"/>
  <c r="FV82" i="45"/>
  <c r="FW82" i="45"/>
  <c r="FX82" i="45"/>
  <c r="FY82" i="45"/>
  <c r="FZ82" i="45"/>
  <c r="GA82" i="45"/>
  <c r="GB82" i="45"/>
  <c r="GC82" i="45"/>
  <c r="GD82" i="45"/>
  <c r="GE82" i="45"/>
  <c r="GF82" i="45"/>
  <c r="GG82" i="45"/>
  <c r="GH82" i="45"/>
  <c r="GI82" i="45"/>
  <c r="GJ82" i="45"/>
  <c r="GK82" i="45"/>
  <c r="GL82" i="45"/>
  <c r="GM82" i="45"/>
  <c r="GN82" i="45"/>
  <c r="GO82" i="45"/>
  <c r="GP82" i="45"/>
  <c r="GQ82" i="45"/>
  <c r="GR82" i="45"/>
  <c r="GS82" i="45"/>
  <c r="GT82" i="45"/>
  <c r="GU82" i="45"/>
  <c r="GV82" i="45"/>
  <c r="GW82" i="45"/>
  <c r="GX82" i="45"/>
  <c r="GY82" i="45"/>
  <c r="GZ82" i="45"/>
  <c r="HA82" i="45"/>
  <c r="HB82" i="45"/>
  <c r="HC82" i="45"/>
  <c r="HD82" i="45"/>
  <c r="HE82" i="45"/>
  <c r="HF82" i="45"/>
  <c r="HG82" i="45"/>
  <c r="HH82" i="45"/>
  <c r="HI82" i="45"/>
  <c r="HJ82" i="45"/>
  <c r="HK82" i="45"/>
  <c r="HL82" i="45"/>
  <c r="HM82" i="45"/>
  <c r="HN82" i="45"/>
  <c r="HO82" i="45"/>
  <c r="HP82" i="45"/>
  <c r="HQ82" i="45"/>
  <c r="HR82" i="45"/>
  <c r="HS82" i="45"/>
  <c r="HT82" i="45"/>
  <c r="HU82" i="45"/>
  <c r="HV82" i="45"/>
  <c r="HW82" i="45"/>
  <c r="HX82" i="45"/>
  <c r="HY82" i="45"/>
  <c r="HZ82" i="45"/>
  <c r="IA82" i="45"/>
  <c r="IB82" i="45"/>
  <c r="IC82" i="45"/>
  <c r="ID82" i="45"/>
  <c r="IE82" i="45"/>
  <c r="IF82" i="45"/>
  <c r="IG82" i="45"/>
  <c r="IH82" i="45"/>
  <c r="II82" i="45"/>
  <c r="IJ82" i="45"/>
  <c r="IK82" i="45"/>
  <c r="IL82" i="45"/>
  <c r="IM82" i="45"/>
  <c r="IN82" i="45"/>
  <c r="IO82" i="45"/>
  <c r="IP82" i="45"/>
  <c r="IQ82" i="45"/>
  <c r="IR82" i="45"/>
  <c r="IS82" i="45"/>
  <c r="IT82" i="45"/>
  <c r="IU82" i="45"/>
  <c r="IV82" i="45"/>
  <c r="A81" i="45"/>
  <c r="B81" i="45"/>
  <c r="C81" i="45"/>
  <c r="D81" i="45"/>
  <c r="E81" i="45"/>
  <c r="F81" i="45"/>
  <c r="G81" i="45"/>
  <c r="H81" i="45"/>
  <c r="I81" i="45"/>
  <c r="J81" i="45"/>
  <c r="K81" i="45"/>
  <c r="L81" i="45"/>
  <c r="M81" i="45"/>
  <c r="N81" i="45"/>
  <c r="O81" i="45"/>
  <c r="P81" i="45"/>
  <c r="Q81" i="45"/>
  <c r="R81" i="45"/>
  <c r="S81" i="45"/>
  <c r="T81" i="45"/>
  <c r="U81" i="45"/>
  <c r="V81" i="45"/>
  <c r="W81" i="45"/>
  <c r="X81" i="45"/>
  <c r="Y81" i="45"/>
  <c r="Z81" i="45"/>
  <c r="AA81" i="45"/>
  <c r="AB81" i="45"/>
  <c r="AC81" i="45"/>
  <c r="AD81" i="45"/>
  <c r="AE81" i="45"/>
  <c r="AF81" i="45"/>
  <c r="AG81" i="45"/>
  <c r="AH81" i="45"/>
  <c r="AI81" i="45"/>
  <c r="AJ81" i="45"/>
  <c r="AK81" i="45"/>
  <c r="AL81" i="45"/>
  <c r="AM81" i="45"/>
  <c r="AN81" i="45"/>
  <c r="AO81" i="45"/>
  <c r="AP81" i="45"/>
  <c r="AQ81" i="45"/>
  <c r="AR81" i="45"/>
  <c r="AS81" i="45"/>
  <c r="AT81" i="45"/>
  <c r="AU81" i="45"/>
  <c r="AV81" i="45"/>
  <c r="AW81" i="45"/>
  <c r="AX81" i="45"/>
  <c r="AY81" i="45"/>
  <c r="AZ81" i="45"/>
  <c r="BA81" i="45"/>
  <c r="BB81" i="45"/>
  <c r="BC81" i="45"/>
  <c r="BD81" i="45"/>
  <c r="BE81" i="45"/>
  <c r="BF81" i="45"/>
  <c r="BG81" i="45"/>
  <c r="BH81" i="45"/>
  <c r="BI81" i="45"/>
  <c r="BJ81" i="45"/>
  <c r="BK81" i="45"/>
  <c r="BL81" i="45"/>
  <c r="BM81" i="45"/>
  <c r="BN81" i="45"/>
  <c r="BO81" i="45"/>
  <c r="BP81" i="45"/>
  <c r="BQ81" i="45"/>
  <c r="BR81" i="45"/>
  <c r="BS81" i="45"/>
  <c r="BT81" i="45"/>
  <c r="BU81" i="45"/>
  <c r="BV81" i="45"/>
  <c r="BW81" i="45"/>
  <c r="BX81" i="45"/>
  <c r="BY81" i="45"/>
  <c r="BZ81" i="45"/>
  <c r="CA81" i="45"/>
  <c r="CB81" i="45"/>
  <c r="CC81" i="45"/>
  <c r="CD81" i="45"/>
  <c r="CE81" i="45"/>
  <c r="CF81" i="45"/>
  <c r="CG81" i="45"/>
  <c r="CH81" i="45"/>
  <c r="CI81" i="45"/>
  <c r="CJ81" i="45"/>
  <c r="CK81" i="45"/>
  <c r="CL81" i="45"/>
  <c r="CM81" i="45"/>
  <c r="CN81" i="45"/>
  <c r="CO81" i="45"/>
  <c r="CP81" i="45"/>
  <c r="CQ81" i="45"/>
  <c r="CR81" i="45"/>
  <c r="CS81" i="45"/>
  <c r="CT81" i="45"/>
  <c r="CU81" i="45"/>
  <c r="CV81" i="45"/>
  <c r="CW81" i="45"/>
  <c r="CX81" i="45"/>
  <c r="CY81" i="45"/>
  <c r="CZ81" i="45"/>
  <c r="DA81" i="45"/>
  <c r="DB81" i="45"/>
  <c r="DC81" i="45"/>
  <c r="DD81" i="45"/>
  <c r="DE81" i="45"/>
  <c r="DF81" i="45"/>
  <c r="DG81" i="45"/>
  <c r="DH81" i="45"/>
  <c r="DI81" i="45"/>
  <c r="DJ81" i="45"/>
  <c r="DK81" i="45"/>
  <c r="DL81" i="45"/>
  <c r="DM81" i="45"/>
  <c r="DN81" i="45"/>
  <c r="DO81" i="45"/>
  <c r="DP81" i="45"/>
  <c r="DQ81" i="45"/>
  <c r="DR81" i="45"/>
  <c r="DS81" i="45"/>
  <c r="DT81" i="45"/>
  <c r="DU81" i="45"/>
  <c r="DV81" i="45"/>
  <c r="DW81" i="45"/>
  <c r="DX81" i="45"/>
  <c r="DY81" i="45"/>
  <c r="DZ81" i="45"/>
  <c r="EA81" i="45"/>
  <c r="EB81" i="45"/>
  <c r="EC81" i="45"/>
  <c r="ED81" i="45"/>
  <c r="EE81" i="45"/>
  <c r="EF81" i="45"/>
  <c r="EG81" i="45"/>
  <c r="EH81" i="45"/>
  <c r="EI81" i="45"/>
  <c r="EJ81" i="45"/>
  <c r="EK81" i="45"/>
  <c r="EL81" i="45"/>
  <c r="EM81" i="45"/>
  <c r="EN81" i="45"/>
  <c r="EO81" i="45"/>
  <c r="EP81" i="45"/>
  <c r="EQ81" i="45"/>
  <c r="ER81" i="45"/>
  <c r="ES81" i="45"/>
  <c r="ET81" i="45"/>
  <c r="EU81" i="45"/>
  <c r="EV81" i="45"/>
  <c r="EW81" i="45"/>
  <c r="EX81" i="45"/>
  <c r="EY81" i="45"/>
  <c r="EZ81" i="45"/>
  <c r="FA81" i="45"/>
  <c r="FB81" i="45"/>
  <c r="FC81" i="45"/>
  <c r="FD81" i="45"/>
  <c r="FE81" i="45"/>
  <c r="FF81" i="45"/>
  <c r="FG81" i="45"/>
  <c r="FH81" i="45"/>
  <c r="FI81" i="45"/>
  <c r="FJ81" i="45"/>
  <c r="FK81" i="45"/>
  <c r="FL81" i="45"/>
  <c r="FM81" i="45"/>
  <c r="FN81" i="45"/>
  <c r="FO81" i="45"/>
  <c r="FP81" i="45"/>
  <c r="FQ81" i="45"/>
  <c r="FR81" i="45"/>
  <c r="FS81" i="45"/>
  <c r="FT81" i="45"/>
  <c r="FU81" i="45"/>
  <c r="FV81" i="45"/>
  <c r="FW81" i="45"/>
  <c r="FX81" i="45"/>
  <c r="FY81" i="45"/>
  <c r="FZ81" i="45"/>
  <c r="GA81" i="45"/>
  <c r="GB81" i="45"/>
  <c r="GC81" i="45"/>
  <c r="GD81" i="45"/>
  <c r="GE81" i="45"/>
  <c r="GF81" i="45"/>
  <c r="GG81" i="45"/>
  <c r="GH81" i="45"/>
  <c r="GI81" i="45"/>
  <c r="GJ81" i="45"/>
  <c r="GK81" i="45"/>
  <c r="GL81" i="45"/>
  <c r="GM81" i="45"/>
  <c r="GN81" i="45"/>
  <c r="GO81" i="45"/>
  <c r="GP81" i="45"/>
  <c r="GQ81" i="45"/>
  <c r="GR81" i="45"/>
  <c r="GS81" i="45"/>
  <c r="GT81" i="45"/>
  <c r="GU81" i="45"/>
  <c r="GV81" i="45"/>
  <c r="GW81" i="45"/>
  <c r="GX81" i="45"/>
  <c r="GY81" i="45"/>
  <c r="GZ81" i="45"/>
  <c r="HA81" i="45"/>
  <c r="HB81" i="45"/>
  <c r="HC81" i="45"/>
  <c r="HD81" i="45"/>
  <c r="HE81" i="45"/>
  <c r="HF81" i="45"/>
  <c r="HG81" i="45"/>
  <c r="HH81" i="45"/>
  <c r="HI81" i="45"/>
  <c r="HJ81" i="45"/>
  <c r="HK81" i="45"/>
  <c r="HL81" i="45"/>
  <c r="HM81" i="45"/>
  <c r="HN81" i="45"/>
  <c r="HO81" i="45"/>
  <c r="HP81" i="45"/>
  <c r="HQ81" i="45"/>
  <c r="HR81" i="45"/>
  <c r="HS81" i="45"/>
  <c r="HT81" i="45"/>
  <c r="HU81" i="45"/>
  <c r="HV81" i="45"/>
  <c r="HW81" i="45"/>
  <c r="HX81" i="45"/>
  <c r="HY81" i="45"/>
  <c r="HZ81" i="45"/>
  <c r="IA81" i="45"/>
  <c r="IB81" i="45"/>
  <c r="IC81" i="45"/>
  <c r="ID81" i="45"/>
  <c r="IE81" i="45"/>
  <c r="IF81" i="45"/>
  <c r="IG81" i="45"/>
  <c r="IH81" i="45"/>
  <c r="II81" i="45"/>
  <c r="IJ81" i="45"/>
  <c r="IK81" i="45"/>
  <c r="IL81" i="45"/>
  <c r="IM81" i="45"/>
  <c r="IN81" i="45"/>
  <c r="IO81" i="45"/>
  <c r="IP81" i="45"/>
  <c r="IQ81" i="45"/>
  <c r="IR81" i="45"/>
  <c r="IS81" i="45"/>
  <c r="IT81" i="45"/>
  <c r="IU81" i="45"/>
  <c r="IV81" i="45"/>
  <c r="A80" i="45"/>
  <c r="B80" i="45"/>
  <c r="C80" i="45"/>
  <c r="D80" i="45"/>
  <c r="E80" i="45"/>
  <c r="F80" i="45"/>
  <c r="G80" i="45"/>
  <c r="H80" i="45"/>
  <c r="I80" i="45"/>
  <c r="J80" i="45"/>
  <c r="K80" i="45"/>
  <c r="L80" i="45"/>
  <c r="M80" i="45"/>
  <c r="N80" i="45"/>
  <c r="O80" i="45"/>
  <c r="P80" i="45"/>
  <c r="Q80" i="45"/>
  <c r="R80" i="45"/>
  <c r="S80" i="45"/>
  <c r="T80" i="45"/>
  <c r="U80" i="45"/>
  <c r="V80" i="45"/>
  <c r="W80" i="45"/>
  <c r="X80" i="45"/>
  <c r="Y80" i="45"/>
  <c r="Z80" i="45"/>
  <c r="AA80" i="45"/>
  <c r="AB80" i="45"/>
  <c r="AC80" i="45"/>
  <c r="AD80" i="45"/>
  <c r="AE80" i="45"/>
  <c r="AF80" i="45"/>
  <c r="AG80" i="45"/>
  <c r="AH80" i="45"/>
  <c r="AI80" i="45"/>
  <c r="AJ80" i="45"/>
  <c r="AK80" i="45"/>
  <c r="AL80" i="45"/>
  <c r="AM80" i="45"/>
  <c r="AN80" i="45"/>
  <c r="AO80" i="45"/>
  <c r="AP80" i="45"/>
  <c r="AQ80" i="45"/>
  <c r="AR80" i="45"/>
  <c r="AS80" i="45"/>
  <c r="AT80" i="45"/>
  <c r="AU80" i="45"/>
  <c r="AV80" i="45"/>
  <c r="AW80" i="45"/>
  <c r="AX80" i="45"/>
  <c r="AY80" i="45"/>
  <c r="AZ80" i="45"/>
  <c r="BA80" i="45"/>
  <c r="BB80" i="45"/>
  <c r="BC80" i="45"/>
  <c r="BD80" i="45"/>
  <c r="BE80" i="45"/>
  <c r="BF80" i="45"/>
  <c r="BG80" i="45"/>
  <c r="BH80" i="45"/>
  <c r="BI80" i="45"/>
  <c r="BJ80" i="45"/>
  <c r="BK80" i="45"/>
  <c r="BL80" i="45"/>
  <c r="BM80" i="45"/>
  <c r="BN80" i="45"/>
  <c r="BO80" i="45"/>
  <c r="BP80" i="45"/>
  <c r="BQ80" i="45"/>
  <c r="BR80" i="45"/>
  <c r="BS80" i="45"/>
  <c r="BT80" i="45"/>
  <c r="BU80" i="45"/>
  <c r="BV80" i="45"/>
  <c r="BW80" i="45"/>
  <c r="BX80" i="45"/>
  <c r="BY80" i="45"/>
  <c r="BZ80" i="45"/>
  <c r="CA80" i="45"/>
  <c r="CB80" i="45"/>
  <c r="CC80" i="45"/>
  <c r="CD80" i="45"/>
  <c r="CE80" i="45"/>
  <c r="CF80" i="45"/>
  <c r="CG80" i="45"/>
  <c r="CH80" i="45"/>
  <c r="CI80" i="45"/>
  <c r="CJ80" i="45"/>
  <c r="CK80" i="45"/>
  <c r="CL80" i="45"/>
  <c r="CM80" i="45"/>
  <c r="CN80" i="45"/>
  <c r="CO80" i="45"/>
  <c r="CP80" i="45"/>
  <c r="CQ80" i="45"/>
  <c r="CR80" i="45"/>
  <c r="CS80" i="45"/>
  <c r="CT80" i="45"/>
  <c r="CU80" i="45"/>
  <c r="CV80" i="45"/>
  <c r="CW80" i="45"/>
  <c r="CX80" i="45"/>
  <c r="CY80" i="45"/>
  <c r="CZ80" i="45"/>
  <c r="DA80" i="45"/>
  <c r="DB80" i="45"/>
  <c r="DC80" i="45"/>
  <c r="DD80" i="45"/>
  <c r="DE80" i="45"/>
  <c r="DF80" i="45"/>
  <c r="DG80" i="45"/>
  <c r="DH80" i="45"/>
  <c r="DI80" i="45"/>
  <c r="DJ80" i="45"/>
  <c r="DK80" i="45"/>
  <c r="DL80" i="45"/>
  <c r="DM80" i="45"/>
  <c r="DN80" i="45"/>
  <c r="DO80" i="45"/>
  <c r="DP80" i="45"/>
  <c r="DQ80" i="45"/>
  <c r="DR80" i="45"/>
  <c r="DS80" i="45"/>
  <c r="DT80" i="45"/>
  <c r="DU80" i="45"/>
  <c r="DV80" i="45"/>
  <c r="DW80" i="45"/>
  <c r="DX80" i="45"/>
  <c r="DY80" i="45"/>
  <c r="DZ80" i="45"/>
  <c r="EA80" i="45"/>
  <c r="EB80" i="45"/>
  <c r="EC80" i="45"/>
  <c r="ED80" i="45"/>
  <c r="EE80" i="45"/>
  <c r="EF80" i="45"/>
  <c r="EG80" i="45"/>
  <c r="EH80" i="45"/>
  <c r="EI80" i="45"/>
  <c r="EJ80" i="45"/>
  <c r="EK80" i="45"/>
  <c r="EL80" i="45"/>
  <c r="EM80" i="45"/>
  <c r="EN80" i="45"/>
  <c r="EO80" i="45"/>
  <c r="EP80" i="45"/>
  <c r="EQ80" i="45"/>
  <c r="ER80" i="45"/>
  <c r="ES80" i="45"/>
  <c r="ET80" i="45"/>
  <c r="EU80" i="45"/>
  <c r="EV80" i="45"/>
  <c r="EW80" i="45"/>
  <c r="EX80" i="45"/>
  <c r="EY80" i="45"/>
  <c r="EZ80" i="45"/>
  <c r="FA80" i="45"/>
  <c r="FB80" i="45"/>
  <c r="FC80" i="45"/>
  <c r="FD80" i="45"/>
  <c r="FE80" i="45"/>
  <c r="FF80" i="45"/>
  <c r="FG80" i="45"/>
  <c r="FH80" i="45"/>
  <c r="FI80" i="45"/>
  <c r="FJ80" i="45"/>
  <c r="FK80" i="45"/>
  <c r="FL80" i="45"/>
  <c r="FM80" i="45"/>
  <c r="FN80" i="45"/>
  <c r="FO80" i="45"/>
  <c r="FP80" i="45"/>
  <c r="FQ80" i="45"/>
  <c r="FR80" i="45"/>
  <c r="FS80" i="45"/>
  <c r="FT80" i="45"/>
  <c r="FU80" i="45"/>
  <c r="FV80" i="45"/>
  <c r="FW80" i="45"/>
  <c r="FX80" i="45"/>
  <c r="FY80" i="45"/>
  <c r="FZ80" i="45"/>
  <c r="GA80" i="45"/>
  <c r="GB80" i="45"/>
  <c r="GC80" i="45"/>
  <c r="GD80" i="45"/>
  <c r="GE80" i="45"/>
  <c r="GF80" i="45"/>
  <c r="GG80" i="45"/>
  <c r="GH80" i="45"/>
  <c r="GI80" i="45"/>
  <c r="GJ80" i="45"/>
  <c r="GK80" i="45"/>
  <c r="GL80" i="45"/>
  <c r="GM80" i="45"/>
  <c r="GN80" i="45"/>
  <c r="GO80" i="45"/>
  <c r="GP80" i="45"/>
  <c r="GQ80" i="45"/>
  <c r="GR80" i="45"/>
  <c r="GS80" i="45"/>
  <c r="GT80" i="45"/>
  <c r="GU80" i="45"/>
  <c r="GV80" i="45"/>
  <c r="GW80" i="45"/>
  <c r="GX80" i="45"/>
  <c r="GY80" i="45"/>
  <c r="GZ80" i="45"/>
  <c r="HA80" i="45"/>
  <c r="HB80" i="45"/>
  <c r="HC80" i="45"/>
  <c r="HD80" i="45"/>
  <c r="HE80" i="45"/>
  <c r="HF80" i="45"/>
  <c r="HG80" i="45"/>
  <c r="HH80" i="45"/>
  <c r="HI80" i="45"/>
  <c r="HJ80" i="45"/>
  <c r="HK80" i="45"/>
  <c r="HL80" i="45"/>
  <c r="HM80" i="45"/>
  <c r="HN80" i="45"/>
  <c r="HO80" i="45"/>
  <c r="HP80" i="45"/>
  <c r="HQ80" i="45"/>
  <c r="HR80" i="45"/>
  <c r="HS80" i="45"/>
  <c r="HT80" i="45"/>
  <c r="HU80" i="45"/>
  <c r="HV80" i="45"/>
  <c r="HW80" i="45"/>
  <c r="HX80" i="45"/>
  <c r="HY80" i="45"/>
  <c r="HZ80" i="45"/>
  <c r="IA80" i="45"/>
  <c r="IB80" i="45"/>
  <c r="IC80" i="45"/>
  <c r="ID80" i="45"/>
  <c r="IE80" i="45"/>
  <c r="IF80" i="45"/>
  <c r="IG80" i="45"/>
  <c r="IH80" i="45"/>
  <c r="II80" i="45"/>
  <c r="IJ80" i="45"/>
  <c r="IK80" i="45"/>
  <c r="IL80" i="45"/>
  <c r="IM80" i="45"/>
  <c r="IN80" i="45"/>
  <c r="IO80" i="45"/>
  <c r="IP80" i="45"/>
  <c r="IQ80" i="45"/>
  <c r="IR80" i="45"/>
  <c r="IS80" i="45"/>
  <c r="IT80" i="45"/>
  <c r="IU80" i="45"/>
  <c r="IV80" i="45"/>
  <c r="A79" i="45"/>
  <c r="B79" i="45"/>
  <c r="C79" i="45"/>
  <c r="D79" i="45"/>
  <c r="E79" i="45"/>
  <c r="F79" i="45"/>
  <c r="G79" i="45"/>
  <c r="H79" i="45"/>
  <c r="I79" i="45"/>
  <c r="J79" i="45"/>
  <c r="K79" i="45"/>
  <c r="L79" i="45"/>
  <c r="M79" i="45"/>
  <c r="N79" i="45"/>
  <c r="O79" i="45"/>
  <c r="P79" i="45"/>
  <c r="Q79" i="45"/>
  <c r="R79" i="45"/>
  <c r="S79" i="45"/>
  <c r="T79" i="45"/>
  <c r="U79" i="45"/>
  <c r="V79" i="45"/>
  <c r="W79" i="45"/>
  <c r="X79" i="45"/>
  <c r="Y79" i="45"/>
  <c r="Z79" i="45"/>
  <c r="AA79" i="45"/>
  <c r="AB79" i="45"/>
  <c r="AC79" i="45"/>
  <c r="AD79" i="45"/>
  <c r="AE79" i="45"/>
  <c r="AF79" i="45"/>
  <c r="AG79" i="45"/>
  <c r="AH79" i="45"/>
  <c r="AI79" i="45"/>
  <c r="AJ79" i="45"/>
  <c r="AK79" i="45"/>
  <c r="AL79" i="45"/>
  <c r="AM79" i="45"/>
  <c r="AN79" i="45"/>
  <c r="AO79" i="45"/>
  <c r="AP79" i="45"/>
  <c r="AQ79" i="45"/>
  <c r="AR79" i="45"/>
  <c r="AS79" i="45"/>
  <c r="AT79" i="45"/>
  <c r="AU79" i="45"/>
  <c r="AV79" i="45"/>
  <c r="AW79" i="45"/>
  <c r="AX79" i="45"/>
  <c r="AY79" i="45"/>
  <c r="AZ79" i="45"/>
  <c r="BA79" i="45"/>
  <c r="BB79" i="45"/>
  <c r="BC79" i="45"/>
  <c r="BD79" i="45"/>
  <c r="BE79" i="45"/>
  <c r="BF79" i="45"/>
  <c r="BG79" i="45"/>
  <c r="BH79" i="45"/>
  <c r="BI79" i="45"/>
  <c r="BJ79" i="45"/>
  <c r="BK79" i="45"/>
  <c r="BL79" i="45"/>
  <c r="BM79" i="45"/>
  <c r="BN79" i="45"/>
  <c r="BO79" i="45"/>
  <c r="BP79" i="45"/>
  <c r="BQ79" i="45"/>
  <c r="BR79" i="45"/>
  <c r="BS79" i="45"/>
  <c r="BT79" i="45"/>
  <c r="BU79" i="45"/>
  <c r="BV79" i="45"/>
  <c r="BW79" i="45"/>
  <c r="BX79" i="45"/>
  <c r="BY79" i="45"/>
  <c r="BZ79" i="45"/>
  <c r="CA79" i="45"/>
  <c r="CB79" i="45"/>
  <c r="CC79" i="45"/>
  <c r="CD79" i="45"/>
  <c r="CE79" i="45"/>
  <c r="CF79" i="45"/>
  <c r="CG79" i="45"/>
  <c r="CH79" i="45"/>
  <c r="CI79" i="45"/>
  <c r="CJ79" i="45"/>
  <c r="CK79" i="45"/>
  <c r="CL79" i="45"/>
  <c r="CM79" i="45"/>
  <c r="CN79" i="45"/>
  <c r="CO79" i="45"/>
  <c r="CP79" i="45"/>
  <c r="CQ79" i="45"/>
  <c r="CR79" i="45"/>
  <c r="CS79" i="45"/>
  <c r="CT79" i="45"/>
  <c r="CU79" i="45"/>
  <c r="CV79" i="45"/>
  <c r="CW79" i="45"/>
  <c r="CX79" i="45"/>
  <c r="CY79" i="45"/>
  <c r="CZ79" i="45"/>
  <c r="DA79" i="45"/>
  <c r="DB79" i="45"/>
  <c r="DC79" i="45"/>
  <c r="DD79" i="45"/>
  <c r="DE79" i="45"/>
  <c r="DF79" i="45"/>
  <c r="DG79" i="45"/>
  <c r="DH79" i="45"/>
  <c r="DI79" i="45"/>
  <c r="DJ79" i="45"/>
  <c r="DK79" i="45"/>
  <c r="DL79" i="45"/>
  <c r="DM79" i="45"/>
  <c r="DN79" i="45"/>
  <c r="DO79" i="45"/>
  <c r="DP79" i="45"/>
  <c r="DQ79" i="45"/>
  <c r="DR79" i="45"/>
  <c r="DS79" i="45"/>
  <c r="DT79" i="45"/>
  <c r="DU79" i="45"/>
  <c r="DV79" i="45"/>
  <c r="DW79" i="45"/>
  <c r="DX79" i="45"/>
  <c r="DY79" i="45"/>
  <c r="DZ79" i="45"/>
  <c r="EA79" i="45"/>
  <c r="EB79" i="45"/>
  <c r="EC79" i="45"/>
  <c r="ED79" i="45"/>
  <c r="EE79" i="45"/>
  <c r="EF79" i="45"/>
  <c r="EG79" i="45"/>
  <c r="EH79" i="45"/>
  <c r="EI79" i="45"/>
  <c r="EJ79" i="45"/>
  <c r="EK79" i="45"/>
  <c r="EL79" i="45"/>
  <c r="EM79" i="45"/>
  <c r="EN79" i="45"/>
  <c r="EO79" i="45"/>
  <c r="EP79" i="45"/>
  <c r="EQ79" i="45"/>
  <c r="ER79" i="45"/>
  <c r="ES79" i="45"/>
  <c r="ET79" i="45"/>
  <c r="EU79" i="45"/>
  <c r="EV79" i="45"/>
  <c r="EW79" i="45"/>
  <c r="EX79" i="45"/>
  <c r="EY79" i="45"/>
  <c r="EZ79" i="45"/>
  <c r="FA79" i="45"/>
  <c r="FB79" i="45"/>
  <c r="FC79" i="45"/>
  <c r="FD79" i="45"/>
  <c r="FE79" i="45"/>
  <c r="FF79" i="45"/>
  <c r="FG79" i="45"/>
  <c r="FH79" i="45"/>
  <c r="FI79" i="45"/>
  <c r="FJ79" i="45"/>
  <c r="FK79" i="45"/>
  <c r="FL79" i="45"/>
  <c r="FM79" i="45"/>
  <c r="FN79" i="45"/>
  <c r="FO79" i="45"/>
  <c r="FP79" i="45"/>
  <c r="FQ79" i="45"/>
  <c r="FR79" i="45"/>
  <c r="FS79" i="45"/>
  <c r="FT79" i="45"/>
  <c r="FU79" i="45"/>
  <c r="FV79" i="45"/>
  <c r="FW79" i="45"/>
  <c r="FX79" i="45"/>
  <c r="FY79" i="45"/>
  <c r="FZ79" i="45"/>
  <c r="GA79" i="45"/>
  <c r="GB79" i="45"/>
  <c r="GC79" i="45"/>
  <c r="GD79" i="45"/>
  <c r="GE79" i="45"/>
  <c r="GF79" i="45"/>
  <c r="GG79" i="45"/>
  <c r="GH79" i="45"/>
  <c r="GI79" i="45"/>
  <c r="GJ79" i="45"/>
  <c r="GK79" i="45"/>
  <c r="GL79" i="45"/>
  <c r="GM79" i="45"/>
  <c r="GN79" i="45"/>
  <c r="GO79" i="45"/>
  <c r="GP79" i="45"/>
  <c r="GQ79" i="45"/>
  <c r="GR79" i="45"/>
  <c r="GS79" i="45"/>
  <c r="GT79" i="45"/>
  <c r="GU79" i="45"/>
  <c r="GV79" i="45"/>
  <c r="GW79" i="45"/>
  <c r="GX79" i="45"/>
  <c r="GY79" i="45"/>
  <c r="GZ79" i="45"/>
  <c r="HA79" i="45"/>
  <c r="HB79" i="45"/>
  <c r="HC79" i="45"/>
  <c r="HD79" i="45"/>
  <c r="HE79" i="45"/>
  <c r="HF79" i="45"/>
  <c r="HG79" i="45"/>
  <c r="HH79" i="45"/>
  <c r="HI79" i="45"/>
  <c r="HJ79" i="45"/>
  <c r="HK79" i="45"/>
  <c r="HL79" i="45"/>
  <c r="HM79" i="45"/>
  <c r="HN79" i="45"/>
  <c r="HO79" i="45"/>
  <c r="HP79" i="45"/>
  <c r="HQ79" i="45"/>
  <c r="HR79" i="45"/>
  <c r="HS79" i="45"/>
  <c r="HT79" i="45"/>
  <c r="HU79" i="45"/>
  <c r="HV79" i="45"/>
  <c r="HW79" i="45"/>
  <c r="HX79" i="45"/>
  <c r="HY79" i="45"/>
  <c r="HZ79" i="45"/>
  <c r="IA79" i="45"/>
  <c r="IB79" i="45"/>
  <c r="IC79" i="45"/>
  <c r="ID79" i="45"/>
  <c r="IE79" i="45"/>
  <c r="IF79" i="45"/>
  <c r="IG79" i="45"/>
  <c r="IH79" i="45"/>
  <c r="II79" i="45"/>
  <c r="IJ79" i="45"/>
  <c r="IK79" i="45"/>
  <c r="IL79" i="45"/>
  <c r="IM79" i="45"/>
  <c r="IN79" i="45"/>
  <c r="IO79" i="45"/>
  <c r="IP79" i="45"/>
  <c r="IQ79" i="45"/>
  <c r="IR79" i="45"/>
  <c r="IS79" i="45"/>
  <c r="IT79" i="45"/>
  <c r="IU79" i="45"/>
  <c r="IV79" i="45"/>
  <c r="A78" i="45"/>
  <c r="B78" i="45"/>
  <c r="C78" i="45"/>
  <c r="D78" i="45"/>
  <c r="E78" i="45"/>
  <c r="F78" i="45"/>
  <c r="G78" i="45"/>
  <c r="H78" i="45"/>
  <c r="I78" i="45"/>
  <c r="J78" i="45"/>
  <c r="K78" i="45"/>
  <c r="L78" i="45"/>
  <c r="M78" i="45"/>
  <c r="N78" i="45"/>
  <c r="O78" i="45"/>
  <c r="P78" i="45"/>
  <c r="Q78" i="45"/>
  <c r="R78" i="45"/>
  <c r="S78" i="45"/>
  <c r="T78" i="45"/>
  <c r="U78" i="45"/>
  <c r="V78" i="45"/>
  <c r="W78" i="45"/>
  <c r="X78" i="45"/>
  <c r="Y78" i="45"/>
  <c r="Z78" i="45"/>
  <c r="AA78" i="45"/>
  <c r="AB78" i="45"/>
  <c r="AC78" i="45"/>
  <c r="AD78" i="45"/>
  <c r="AE78" i="45"/>
  <c r="AF78" i="45"/>
  <c r="AG78" i="45"/>
  <c r="AH78" i="45"/>
  <c r="AI78" i="45"/>
  <c r="AJ78" i="45"/>
  <c r="AK78" i="45"/>
  <c r="AL78" i="45"/>
  <c r="AM78" i="45"/>
  <c r="AN78" i="45"/>
  <c r="AO78" i="45"/>
  <c r="AP78" i="45"/>
  <c r="AQ78" i="45"/>
  <c r="AR78" i="45"/>
  <c r="AS78" i="45"/>
  <c r="AT78" i="45"/>
  <c r="AU78" i="45"/>
  <c r="AV78" i="45"/>
  <c r="AW78" i="45"/>
  <c r="AX78" i="45"/>
  <c r="AY78" i="45"/>
  <c r="AZ78" i="45"/>
  <c r="BA78" i="45"/>
  <c r="BB78" i="45"/>
  <c r="BC78" i="45"/>
  <c r="BD78" i="45"/>
  <c r="BE78" i="45"/>
  <c r="BF78" i="45"/>
  <c r="BG78" i="45"/>
  <c r="BH78" i="45"/>
  <c r="BI78" i="45"/>
  <c r="BJ78" i="45"/>
  <c r="BK78" i="45"/>
  <c r="BL78" i="45"/>
  <c r="BM78" i="45"/>
  <c r="BN78" i="45"/>
  <c r="BO78" i="45"/>
  <c r="BP78" i="45"/>
  <c r="BQ78" i="45"/>
  <c r="BR78" i="45"/>
  <c r="BS78" i="45"/>
  <c r="BT78" i="45"/>
  <c r="BU78" i="45"/>
  <c r="BV78" i="45"/>
  <c r="BW78" i="45"/>
  <c r="BX78" i="45"/>
  <c r="BY78" i="45"/>
  <c r="BZ78" i="45"/>
  <c r="CA78" i="45"/>
  <c r="CB78" i="45"/>
  <c r="CC78" i="45"/>
  <c r="CD78" i="45"/>
  <c r="CE78" i="45"/>
  <c r="CF78" i="45"/>
  <c r="CG78" i="45"/>
  <c r="CH78" i="45"/>
  <c r="CI78" i="45"/>
  <c r="CJ78" i="45"/>
  <c r="CK78" i="45"/>
  <c r="CL78" i="45"/>
  <c r="CM78" i="45"/>
  <c r="CN78" i="45"/>
  <c r="CO78" i="45"/>
  <c r="CP78" i="45"/>
  <c r="CQ78" i="45"/>
  <c r="CR78" i="45"/>
  <c r="CS78" i="45"/>
  <c r="CT78" i="45"/>
  <c r="CU78" i="45"/>
  <c r="CV78" i="45"/>
  <c r="CW78" i="45"/>
  <c r="CX78" i="45"/>
  <c r="CY78" i="45"/>
  <c r="CZ78" i="45"/>
  <c r="DA78" i="45"/>
  <c r="DB78" i="45"/>
  <c r="DC78" i="45"/>
  <c r="DD78" i="45"/>
  <c r="DE78" i="45"/>
  <c r="DF78" i="45"/>
  <c r="DG78" i="45"/>
  <c r="DH78" i="45"/>
  <c r="DI78" i="45"/>
  <c r="DJ78" i="45"/>
  <c r="DK78" i="45"/>
  <c r="DL78" i="45"/>
  <c r="DM78" i="45"/>
  <c r="DN78" i="45"/>
  <c r="DO78" i="45"/>
  <c r="DP78" i="45"/>
  <c r="DQ78" i="45"/>
  <c r="DR78" i="45"/>
  <c r="DS78" i="45"/>
  <c r="DT78" i="45"/>
  <c r="DU78" i="45"/>
  <c r="DV78" i="45"/>
  <c r="DW78" i="45"/>
  <c r="DX78" i="45"/>
  <c r="DY78" i="45"/>
  <c r="DZ78" i="45"/>
  <c r="EA78" i="45"/>
  <c r="EB78" i="45"/>
  <c r="EC78" i="45"/>
  <c r="ED78" i="45"/>
  <c r="EE78" i="45"/>
  <c r="EF78" i="45"/>
  <c r="EG78" i="45"/>
  <c r="EH78" i="45"/>
  <c r="EI78" i="45"/>
  <c r="EJ78" i="45"/>
  <c r="EK78" i="45"/>
  <c r="EL78" i="45"/>
  <c r="EM78" i="45"/>
  <c r="EN78" i="45"/>
  <c r="EO78" i="45"/>
  <c r="EP78" i="45"/>
  <c r="EQ78" i="45"/>
  <c r="ER78" i="45"/>
  <c r="ES78" i="45"/>
  <c r="ET78" i="45"/>
  <c r="EU78" i="45"/>
  <c r="EV78" i="45"/>
  <c r="EW78" i="45"/>
  <c r="EX78" i="45"/>
  <c r="EY78" i="45"/>
  <c r="EZ78" i="45"/>
  <c r="FA78" i="45"/>
  <c r="FB78" i="45"/>
  <c r="FC78" i="45"/>
  <c r="FD78" i="45"/>
  <c r="FE78" i="45"/>
  <c r="FF78" i="45"/>
  <c r="FG78" i="45"/>
  <c r="FH78" i="45"/>
  <c r="FI78" i="45"/>
  <c r="FJ78" i="45"/>
  <c r="FK78" i="45"/>
  <c r="FL78" i="45"/>
  <c r="FM78" i="45"/>
  <c r="FN78" i="45"/>
  <c r="FO78" i="45"/>
  <c r="FP78" i="45"/>
  <c r="FQ78" i="45"/>
  <c r="FR78" i="45"/>
  <c r="FS78" i="45"/>
  <c r="FT78" i="45"/>
  <c r="FU78" i="45"/>
  <c r="FV78" i="45"/>
  <c r="FW78" i="45"/>
  <c r="FX78" i="45"/>
  <c r="FY78" i="45"/>
  <c r="FZ78" i="45"/>
  <c r="GA78" i="45"/>
  <c r="GB78" i="45"/>
  <c r="GC78" i="45"/>
  <c r="GD78" i="45"/>
  <c r="GE78" i="45"/>
  <c r="GF78" i="45"/>
  <c r="GG78" i="45"/>
  <c r="GH78" i="45"/>
  <c r="GI78" i="45"/>
  <c r="GJ78" i="45"/>
  <c r="GK78" i="45"/>
  <c r="GL78" i="45"/>
  <c r="GM78" i="45"/>
  <c r="GN78" i="45"/>
  <c r="GO78" i="45"/>
  <c r="GP78" i="45"/>
  <c r="GQ78" i="45"/>
  <c r="GR78" i="45"/>
  <c r="GS78" i="45"/>
  <c r="GT78" i="45"/>
  <c r="GU78" i="45"/>
  <c r="GV78" i="45"/>
  <c r="GW78" i="45"/>
  <c r="GX78" i="45"/>
  <c r="GY78" i="45"/>
  <c r="GZ78" i="45"/>
  <c r="HA78" i="45"/>
  <c r="HB78" i="45"/>
  <c r="HC78" i="45"/>
  <c r="HD78" i="45"/>
  <c r="HE78" i="45"/>
  <c r="HF78" i="45"/>
  <c r="HG78" i="45"/>
  <c r="HH78" i="45"/>
  <c r="HI78" i="45"/>
  <c r="HJ78" i="45"/>
  <c r="HK78" i="45"/>
  <c r="HL78" i="45"/>
  <c r="HM78" i="45"/>
  <c r="HN78" i="45"/>
  <c r="HO78" i="45"/>
  <c r="HP78" i="45"/>
  <c r="HQ78" i="45"/>
  <c r="HR78" i="45"/>
  <c r="HS78" i="45"/>
  <c r="HT78" i="45"/>
  <c r="HU78" i="45"/>
  <c r="HV78" i="45"/>
  <c r="HW78" i="45"/>
  <c r="HX78" i="45"/>
  <c r="HY78" i="45"/>
  <c r="HZ78" i="45"/>
  <c r="IA78" i="45"/>
  <c r="IB78" i="45"/>
  <c r="IC78" i="45"/>
  <c r="ID78" i="45"/>
  <c r="IE78" i="45"/>
  <c r="IF78" i="45"/>
  <c r="IG78" i="45"/>
  <c r="IH78" i="45"/>
  <c r="II78" i="45"/>
  <c r="IJ78" i="45"/>
  <c r="IK78" i="45"/>
  <c r="IL78" i="45"/>
  <c r="IM78" i="45"/>
  <c r="IN78" i="45"/>
  <c r="IO78" i="45"/>
  <c r="IP78" i="45"/>
  <c r="IQ78" i="45"/>
  <c r="IR78" i="45"/>
  <c r="IS78" i="45"/>
  <c r="IT78" i="45"/>
  <c r="IU78" i="45"/>
  <c r="IV78" i="45"/>
  <c r="A77" i="45"/>
  <c r="B77" i="45"/>
  <c r="C77" i="45"/>
  <c r="D77" i="45"/>
  <c r="E77" i="45"/>
  <c r="F77" i="45"/>
  <c r="G77" i="45"/>
  <c r="H77" i="45"/>
  <c r="I77" i="45"/>
  <c r="J77" i="45"/>
  <c r="K77" i="45"/>
  <c r="L77" i="45"/>
  <c r="M77" i="45"/>
  <c r="N77" i="45"/>
  <c r="O77" i="45"/>
  <c r="P77" i="45"/>
  <c r="Q77" i="45"/>
  <c r="R77" i="45"/>
  <c r="S77" i="45"/>
  <c r="T77" i="45"/>
  <c r="U77" i="45"/>
  <c r="V77" i="45"/>
  <c r="W77" i="45"/>
  <c r="X77" i="45"/>
  <c r="Y77" i="45"/>
  <c r="Z77" i="45"/>
  <c r="AA77" i="45"/>
  <c r="AB77" i="45"/>
  <c r="AC77" i="45"/>
  <c r="AD77" i="45"/>
  <c r="AE77" i="45"/>
  <c r="AF77" i="45"/>
  <c r="AG77" i="45"/>
  <c r="AH77" i="45"/>
  <c r="AI77" i="45"/>
  <c r="AJ77" i="45"/>
  <c r="AK77" i="45"/>
  <c r="AL77" i="45"/>
  <c r="AM77" i="45"/>
  <c r="AN77" i="45"/>
  <c r="AO77" i="45"/>
  <c r="AP77" i="45"/>
  <c r="AQ77" i="45"/>
  <c r="AR77" i="45"/>
  <c r="AS77" i="45"/>
  <c r="AT77" i="45"/>
  <c r="AU77" i="45"/>
  <c r="AV77" i="45"/>
  <c r="AW77" i="45"/>
  <c r="AX77" i="45"/>
  <c r="AY77" i="45"/>
  <c r="AZ77" i="45"/>
  <c r="BA77" i="45"/>
  <c r="BB77" i="45"/>
  <c r="BC77" i="45"/>
  <c r="BD77" i="45"/>
  <c r="BE77" i="45"/>
  <c r="BF77" i="45"/>
  <c r="BG77" i="45"/>
  <c r="BH77" i="45"/>
  <c r="BI77" i="45"/>
  <c r="BJ77" i="45"/>
  <c r="BK77" i="45"/>
  <c r="BL77" i="45"/>
  <c r="BM77" i="45"/>
  <c r="BN77" i="45"/>
  <c r="BO77" i="45"/>
  <c r="BP77" i="45"/>
  <c r="BQ77" i="45"/>
  <c r="BR77" i="45"/>
  <c r="BS77" i="45"/>
  <c r="BT77" i="45"/>
  <c r="BU77" i="45"/>
  <c r="BV77" i="45"/>
  <c r="BW77" i="45"/>
  <c r="BX77" i="45"/>
  <c r="BY77" i="45"/>
  <c r="BZ77" i="45"/>
  <c r="CA77" i="45"/>
  <c r="CB77" i="45"/>
  <c r="CC77" i="45"/>
  <c r="CD77" i="45"/>
  <c r="CE77" i="45"/>
  <c r="CF77" i="45"/>
  <c r="CG77" i="45"/>
  <c r="CH77" i="45"/>
  <c r="CI77" i="45"/>
  <c r="CJ77" i="45"/>
  <c r="CK77" i="45"/>
  <c r="CL77" i="45"/>
  <c r="CM77" i="45"/>
  <c r="CN77" i="45"/>
  <c r="CO77" i="45"/>
  <c r="CP77" i="45"/>
  <c r="CQ77" i="45"/>
  <c r="CR77" i="45"/>
  <c r="CS77" i="45"/>
  <c r="CT77" i="45"/>
  <c r="CU77" i="45"/>
  <c r="CV77" i="45"/>
  <c r="CW77" i="45"/>
  <c r="CX77" i="45"/>
  <c r="CY77" i="45"/>
  <c r="CZ77" i="45"/>
  <c r="DA77" i="45"/>
  <c r="DB77" i="45"/>
  <c r="DC77" i="45"/>
  <c r="DD77" i="45"/>
  <c r="DE77" i="45"/>
  <c r="DF77" i="45"/>
  <c r="DG77" i="45"/>
  <c r="DH77" i="45"/>
  <c r="DI77" i="45"/>
  <c r="DJ77" i="45"/>
  <c r="DK77" i="45"/>
  <c r="DL77" i="45"/>
  <c r="DM77" i="45"/>
  <c r="DN77" i="45"/>
  <c r="DO77" i="45"/>
  <c r="DP77" i="45"/>
  <c r="DQ77" i="45"/>
  <c r="DR77" i="45"/>
  <c r="DS77" i="45"/>
  <c r="DT77" i="45"/>
  <c r="DU77" i="45"/>
  <c r="DV77" i="45"/>
  <c r="DW77" i="45"/>
  <c r="DX77" i="45"/>
  <c r="DY77" i="45"/>
  <c r="DZ77" i="45"/>
  <c r="EA77" i="45"/>
  <c r="EB77" i="45"/>
  <c r="EC77" i="45"/>
  <c r="ED77" i="45"/>
  <c r="EE77" i="45"/>
  <c r="EF77" i="45"/>
  <c r="EG77" i="45"/>
  <c r="EH77" i="45"/>
  <c r="EI77" i="45"/>
  <c r="EJ77" i="45"/>
  <c r="EK77" i="45"/>
  <c r="EL77" i="45"/>
  <c r="EM77" i="45"/>
  <c r="EN77" i="45"/>
  <c r="EO77" i="45"/>
  <c r="EP77" i="45"/>
  <c r="EQ77" i="45"/>
  <c r="ER77" i="45"/>
  <c r="ES77" i="45"/>
  <c r="ET77" i="45"/>
  <c r="EU77" i="45"/>
  <c r="EV77" i="45"/>
  <c r="EW77" i="45"/>
  <c r="EX77" i="45"/>
  <c r="EY77" i="45"/>
  <c r="EZ77" i="45"/>
  <c r="FA77" i="45"/>
  <c r="FB77" i="45"/>
  <c r="FC77" i="45"/>
  <c r="FD77" i="45"/>
  <c r="FE77" i="45"/>
  <c r="FF77" i="45"/>
  <c r="FG77" i="45"/>
  <c r="FH77" i="45"/>
  <c r="FI77" i="45"/>
  <c r="FJ77" i="45"/>
  <c r="FK77" i="45"/>
  <c r="FL77" i="45"/>
  <c r="FM77" i="45"/>
  <c r="FN77" i="45"/>
  <c r="FO77" i="45"/>
  <c r="FP77" i="45"/>
  <c r="FQ77" i="45"/>
  <c r="FR77" i="45"/>
  <c r="FS77" i="45"/>
  <c r="FT77" i="45"/>
  <c r="FU77" i="45"/>
  <c r="FV77" i="45"/>
  <c r="FW77" i="45"/>
  <c r="FX77" i="45"/>
  <c r="FY77" i="45"/>
  <c r="FZ77" i="45"/>
  <c r="GA77" i="45"/>
  <c r="GB77" i="45"/>
  <c r="GC77" i="45"/>
  <c r="GD77" i="45"/>
  <c r="GE77" i="45"/>
  <c r="GF77" i="45"/>
  <c r="GG77" i="45"/>
  <c r="GH77" i="45"/>
  <c r="GI77" i="45"/>
  <c r="GJ77" i="45"/>
  <c r="GK77" i="45"/>
  <c r="GL77" i="45"/>
  <c r="GM77" i="45"/>
  <c r="GN77" i="45"/>
  <c r="GO77" i="45"/>
  <c r="GP77" i="45"/>
  <c r="GQ77" i="45"/>
  <c r="GR77" i="45"/>
  <c r="GS77" i="45"/>
  <c r="GT77" i="45"/>
  <c r="GU77" i="45"/>
  <c r="GV77" i="45"/>
  <c r="GW77" i="45"/>
  <c r="GX77" i="45"/>
  <c r="GY77" i="45"/>
  <c r="GZ77" i="45"/>
  <c r="HA77" i="45"/>
  <c r="HB77" i="45"/>
  <c r="HC77" i="45"/>
  <c r="HD77" i="45"/>
  <c r="HE77" i="45"/>
  <c r="HF77" i="45"/>
  <c r="HG77" i="45"/>
  <c r="HH77" i="45"/>
  <c r="HI77" i="45"/>
  <c r="HJ77" i="45"/>
  <c r="HK77" i="45"/>
  <c r="HL77" i="45"/>
  <c r="HM77" i="45"/>
  <c r="HN77" i="45"/>
  <c r="HO77" i="45"/>
  <c r="HP77" i="45"/>
  <c r="HQ77" i="45"/>
  <c r="HR77" i="45"/>
  <c r="HS77" i="45"/>
  <c r="HT77" i="45"/>
  <c r="HU77" i="45"/>
  <c r="HV77" i="45"/>
  <c r="HW77" i="45"/>
  <c r="HX77" i="45"/>
  <c r="HY77" i="45"/>
  <c r="HZ77" i="45"/>
  <c r="IA77" i="45"/>
  <c r="IB77" i="45"/>
  <c r="IC77" i="45"/>
  <c r="ID77" i="45"/>
  <c r="IE77" i="45"/>
  <c r="IF77" i="45"/>
  <c r="IG77" i="45"/>
  <c r="IH77" i="45"/>
  <c r="II77" i="45"/>
  <c r="IJ77" i="45"/>
  <c r="IK77" i="45"/>
  <c r="IL77" i="45"/>
  <c r="IM77" i="45"/>
  <c r="IN77" i="45"/>
  <c r="IO77" i="45"/>
  <c r="IP77" i="45"/>
  <c r="IQ77" i="45"/>
  <c r="IR77" i="45"/>
  <c r="IS77" i="45"/>
  <c r="IT77" i="45"/>
  <c r="IU77" i="45"/>
  <c r="IV77" i="45"/>
  <c r="A76" i="45"/>
  <c r="B76" i="45"/>
  <c r="C76" i="45"/>
  <c r="D76" i="45"/>
  <c r="E76" i="45"/>
  <c r="F76" i="45"/>
  <c r="G76" i="45"/>
  <c r="H76" i="45"/>
  <c r="I76" i="45"/>
  <c r="J76" i="45"/>
  <c r="K76" i="45"/>
  <c r="L76" i="45"/>
  <c r="M76" i="45"/>
  <c r="N76" i="45"/>
  <c r="O76" i="45"/>
  <c r="P76" i="45"/>
  <c r="Q76" i="45"/>
  <c r="R76" i="45"/>
  <c r="S76" i="45"/>
  <c r="T76" i="45"/>
  <c r="U76" i="45"/>
  <c r="V76" i="45"/>
  <c r="W76" i="45"/>
  <c r="X76" i="45"/>
  <c r="Y76" i="45"/>
  <c r="Z76" i="45"/>
  <c r="AA76" i="45"/>
  <c r="AB76" i="45"/>
  <c r="AC76" i="45"/>
  <c r="AD76" i="45"/>
  <c r="AE76" i="45"/>
  <c r="AF76" i="45"/>
  <c r="AG76" i="45"/>
  <c r="AH76" i="45"/>
  <c r="AI76" i="45"/>
  <c r="AJ76" i="45"/>
  <c r="AK76" i="45"/>
  <c r="AL76" i="45"/>
  <c r="AM76" i="45"/>
  <c r="AN76" i="45"/>
  <c r="AO76" i="45"/>
  <c r="AP76" i="45"/>
  <c r="AQ76" i="45"/>
  <c r="AR76" i="45"/>
  <c r="AS76" i="45"/>
  <c r="AT76" i="45"/>
  <c r="AU76" i="45"/>
  <c r="AV76" i="45"/>
  <c r="AW76" i="45"/>
  <c r="AX76" i="45"/>
  <c r="AY76" i="45"/>
  <c r="AZ76" i="45"/>
  <c r="BA76" i="45"/>
  <c r="BB76" i="45"/>
  <c r="BC76" i="45"/>
  <c r="BD76" i="45"/>
  <c r="BE76" i="45"/>
  <c r="BF76" i="45"/>
  <c r="BG76" i="45"/>
  <c r="BH76" i="45"/>
  <c r="BI76" i="45"/>
  <c r="BJ76" i="45"/>
  <c r="BK76" i="45"/>
  <c r="BL76" i="45"/>
  <c r="BM76" i="45"/>
  <c r="BN76" i="45"/>
  <c r="BO76" i="45"/>
  <c r="BP76" i="45"/>
  <c r="BQ76" i="45"/>
  <c r="BR76" i="45"/>
  <c r="BS76" i="45"/>
  <c r="BT76" i="45"/>
  <c r="BU76" i="45"/>
  <c r="BV76" i="45"/>
  <c r="BW76" i="45"/>
  <c r="BX76" i="45"/>
  <c r="BY76" i="45"/>
  <c r="BZ76" i="45"/>
  <c r="CA76" i="45"/>
  <c r="CB76" i="45"/>
  <c r="CC76" i="45"/>
  <c r="CD76" i="45"/>
  <c r="CE76" i="45"/>
  <c r="CF76" i="45"/>
  <c r="CG76" i="45"/>
  <c r="CH76" i="45"/>
  <c r="CI76" i="45"/>
  <c r="CJ76" i="45"/>
  <c r="CK76" i="45"/>
  <c r="CL76" i="45"/>
  <c r="CM76" i="45"/>
  <c r="CN76" i="45"/>
  <c r="CO76" i="45"/>
  <c r="CP76" i="45"/>
  <c r="CQ76" i="45"/>
  <c r="CR76" i="45"/>
  <c r="CS76" i="45"/>
  <c r="CT76" i="45"/>
  <c r="CU76" i="45"/>
  <c r="CV76" i="45"/>
  <c r="CW76" i="45"/>
  <c r="CX76" i="45"/>
  <c r="CY76" i="45"/>
  <c r="CZ76" i="45"/>
  <c r="DA76" i="45"/>
  <c r="DB76" i="45"/>
  <c r="DC76" i="45"/>
  <c r="DD76" i="45"/>
  <c r="DE76" i="45"/>
  <c r="DF76" i="45"/>
  <c r="DG76" i="45"/>
  <c r="DH76" i="45"/>
  <c r="DI76" i="45"/>
  <c r="DJ76" i="45"/>
  <c r="DK76" i="45"/>
  <c r="DL76" i="45"/>
  <c r="DM76" i="45"/>
  <c r="DN76" i="45"/>
  <c r="DO76" i="45"/>
  <c r="DP76" i="45"/>
  <c r="DQ76" i="45"/>
  <c r="DR76" i="45"/>
  <c r="DS76" i="45"/>
  <c r="DT76" i="45"/>
  <c r="DU76" i="45"/>
  <c r="DV76" i="45"/>
  <c r="DW76" i="45"/>
  <c r="DX76" i="45"/>
  <c r="DY76" i="45"/>
  <c r="DZ76" i="45"/>
  <c r="EA76" i="45"/>
  <c r="EB76" i="45"/>
  <c r="EC76" i="45"/>
  <c r="ED76" i="45"/>
  <c r="EE76" i="45"/>
  <c r="EF76" i="45"/>
  <c r="EG76" i="45"/>
  <c r="EH76" i="45"/>
  <c r="EI76" i="45"/>
  <c r="EJ76" i="45"/>
  <c r="EK76" i="45"/>
  <c r="EL76" i="45"/>
  <c r="EM76" i="45"/>
  <c r="EN76" i="45"/>
  <c r="EO76" i="45"/>
  <c r="EP76" i="45"/>
  <c r="EQ76" i="45"/>
  <c r="ER76" i="45"/>
  <c r="ES76" i="45"/>
  <c r="ET76" i="45"/>
  <c r="EU76" i="45"/>
  <c r="EV76" i="45"/>
  <c r="EW76" i="45"/>
  <c r="EX76" i="45"/>
  <c r="EY76" i="45"/>
  <c r="EZ76" i="45"/>
  <c r="FA76" i="45"/>
  <c r="FB76" i="45"/>
  <c r="FC76" i="45"/>
  <c r="FD76" i="45"/>
  <c r="FE76" i="45"/>
  <c r="FF76" i="45"/>
  <c r="FG76" i="45"/>
  <c r="FH76" i="45"/>
  <c r="FI76" i="45"/>
  <c r="FJ76" i="45"/>
  <c r="FK76" i="45"/>
  <c r="FL76" i="45"/>
  <c r="FM76" i="45"/>
  <c r="FN76" i="45"/>
  <c r="FO76" i="45"/>
  <c r="FP76" i="45"/>
  <c r="FQ76" i="45"/>
  <c r="FR76" i="45"/>
  <c r="FS76" i="45"/>
  <c r="FT76" i="45"/>
  <c r="FU76" i="45"/>
  <c r="FV76" i="45"/>
  <c r="FW76" i="45"/>
  <c r="FX76" i="45"/>
  <c r="FY76" i="45"/>
  <c r="FZ76" i="45"/>
  <c r="GA76" i="45"/>
  <c r="GB76" i="45"/>
  <c r="GC76" i="45"/>
  <c r="GD76" i="45"/>
  <c r="GE76" i="45"/>
  <c r="GF76" i="45"/>
  <c r="GG76" i="45"/>
  <c r="GH76" i="45"/>
  <c r="GI76" i="45"/>
  <c r="GJ76" i="45"/>
  <c r="GK76" i="45"/>
  <c r="GL76" i="45"/>
  <c r="GM76" i="45"/>
  <c r="GN76" i="45"/>
  <c r="GO76" i="45"/>
  <c r="GP76" i="45"/>
  <c r="GQ76" i="45"/>
  <c r="GR76" i="45"/>
  <c r="GS76" i="45"/>
  <c r="GT76" i="45"/>
  <c r="GU76" i="45"/>
  <c r="GV76" i="45"/>
  <c r="GW76" i="45"/>
  <c r="GX76" i="45"/>
  <c r="GY76" i="45"/>
  <c r="GZ76" i="45"/>
  <c r="HA76" i="45"/>
  <c r="HB76" i="45"/>
  <c r="HC76" i="45"/>
  <c r="HD76" i="45"/>
  <c r="HE76" i="45"/>
  <c r="HF76" i="45"/>
  <c r="HG76" i="45"/>
  <c r="HH76" i="45"/>
  <c r="HI76" i="45"/>
  <c r="HJ76" i="45"/>
  <c r="HK76" i="45"/>
  <c r="HL76" i="45"/>
  <c r="HM76" i="45"/>
  <c r="HN76" i="45"/>
  <c r="HO76" i="45"/>
  <c r="HP76" i="45"/>
  <c r="HQ76" i="45"/>
  <c r="HR76" i="45"/>
  <c r="HS76" i="45"/>
  <c r="HT76" i="45"/>
  <c r="HU76" i="45"/>
  <c r="HV76" i="45"/>
  <c r="HW76" i="45"/>
  <c r="HX76" i="45"/>
  <c r="HY76" i="45"/>
  <c r="HZ76" i="45"/>
  <c r="IA76" i="45"/>
  <c r="IB76" i="45"/>
  <c r="IC76" i="45"/>
  <c r="ID76" i="45"/>
  <c r="IE76" i="45"/>
  <c r="IF76" i="45"/>
  <c r="IG76" i="45"/>
  <c r="IH76" i="45"/>
  <c r="II76" i="45"/>
  <c r="IJ76" i="45"/>
  <c r="IK76" i="45"/>
  <c r="IL76" i="45"/>
  <c r="IM76" i="45"/>
  <c r="IN76" i="45"/>
  <c r="IO76" i="45"/>
  <c r="IP76" i="45"/>
  <c r="IQ76" i="45"/>
  <c r="IR76" i="45"/>
  <c r="IS76" i="45"/>
  <c r="IT76" i="45"/>
  <c r="IU76" i="45"/>
  <c r="IV76" i="45"/>
  <c r="A75" i="45"/>
  <c r="B75" i="45"/>
  <c r="C75" i="45"/>
  <c r="D75" i="45"/>
  <c r="E75" i="45"/>
  <c r="F75" i="45"/>
  <c r="G75" i="45"/>
  <c r="H75" i="45"/>
  <c r="I75" i="45"/>
  <c r="J75" i="45"/>
  <c r="K75" i="45"/>
  <c r="L75" i="45"/>
  <c r="M75" i="45"/>
  <c r="N75" i="45"/>
  <c r="O75" i="45"/>
  <c r="P75" i="45"/>
  <c r="Q75" i="45"/>
  <c r="R75" i="45"/>
  <c r="S75" i="45"/>
  <c r="T75" i="45"/>
  <c r="U75" i="45"/>
  <c r="V75" i="45"/>
  <c r="W75" i="45"/>
  <c r="X75" i="45"/>
  <c r="Y75" i="45"/>
  <c r="Z75" i="45"/>
  <c r="AA75" i="45"/>
  <c r="AB75" i="45"/>
  <c r="AC75" i="45"/>
  <c r="AD75" i="45"/>
  <c r="AE75" i="45"/>
  <c r="AF75" i="45"/>
  <c r="AG75" i="45"/>
  <c r="AH75" i="45"/>
  <c r="AI75" i="45"/>
  <c r="AJ75" i="45"/>
  <c r="AK75" i="45"/>
  <c r="AL75" i="45"/>
  <c r="AM75" i="45"/>
  <c r="AN75" i="45"/>
  <c r="AO75" i="45"/>
  <c r="AP75" i="45"/>
  <c r="AQ75" i="45"/>
  <c r="AR75" i="45"/>
  <c r="AS75" i="45"/>
  <c r="AT75" i="45"/>
  <c r="AU75" i="45"/>
  <c r="AV75" i="45"/>
  <c r="AW75" i="45"/>
  <c r="AX75" i="45"/>
  <c r="AY75" i="45"/>
  <c r="AZ75" i="45"/>
  <c r="BA75" i="45"/>
  <c r="BB75" i="45"/>
  <c r="BC75" i="45"/>
  <c r="BD75" i="45"/>
  <c r="BE75" i="45"/>
  <c r="BF75" i="45"/>
  <c r="BG75" i="45"/>
  <c r="BH75" i="45"/>
  <c r="BI75" i="45"/>
  <c r="BJ75" i="45"/>
  <c r="BK75" i="45"/>
  <c r="BL75" i="45"/>
  <c r="BM75" i="45"/>
  <c r="BN75" i="45"/>
  <c r="BO75" i="45"/>
  <c r="BP75" i="45"/>
  <c r="BQ75" i="45"/>
  <c r="BR75" i="45"/>
  <c r="BS75" i="45"/>
  <c r="BT75" i="45"/>
  <c r="BU75" i="45"/>
  <c r="BV75" i="45"/>
  <c r="BW75" i="45"/>
  <c r="BX75" i="45"/>
  <c r="BY75" i="45"/>
  <c r="BZ75" i="45"/>
  <c r="CA75" i="45"/>
  <c r="CB75" i="45"/>
  <c r="CC75" i="45"/>
  <c r="CD75" i="45"/>
  <c r="CE75" i="45"/>
  <c r="CF75" i="45"/>
  <c r="CG75" i="45"/>
  <c r="CH75" i="45"/>
  <c r="CI75" i="45"/>
  <c r="CJ75" i="45"/>
  <c r="CK75" i="45"/>
  <c r="CL75" i="45"/>
  <c r="CM75" i="45"/>
  <c r="CN75" i="45"/>
  <c r="CO75" i="45"/>
  <c r="CP75" i="45"/>
  <c r="CQ75" i="45"/>
  <c r="CR75" i="45"/>
  <c r="CS75" i="45"/>
  <c r="CT75" i="45"/>
  <c r="CU75" i="45"/>
  <c r="CV75" i="45"/>
  <c r="CW75" i="45"/>
  <c r="CX75" i="45"/>
  <c r="CY75" i="45"/>
  <c r="CZ75" i="45"/>
  <c r="DA75" i="45"/>
  <c r="DB75" i="45"/>
  <c r="DC75" i="45"/>
  <c r="DD75" i="45"/>
  <c r="DE75" i="45"/>
  <c r="DF75" i="45"/>
  <c r="DG75" i="45"/>
  <c r="DH75" i="45"/>
  <c r="DI75" i="45"/>
  <c r="DJ75" i="45"/>
  <c r="DK75" i="45"/>
  <c r="DL75" i="45"/>
  <c r="DM75" i="45"/>
  <c r="DN75" i="45"/>
  <c r="DO75" i="45"/>
  <c r="DP75" i="45"/>
  <c r="DQ75" i="45"/>
  <c r="DR75" i="45"/>
  <c r="DS75" i="45"/>
  <c r="DT75" i="45"/>
  <c r="DU75" i="45"/>
  <c r="DV75" i="45"/>
  <c r="DW75" i="45"/>
  <c r="DX75" i="45"/>
  <c r="DY75" i="45"/>
  <c r="DZ75" i="45"/>
  <c r="EA75" i="45"/>
  <c r="EB75" i="45"/>
  <c r="EC75" i="45"/>
  <c r="ED75" i="45"/>
  <c r="EE75" i="45"/>
  <c r="EF75" i="45"/>
  <c r="EG75" i="45"/>
  <c r="EH75" i="45"/>
  <c r="EI75" i="45"/>
  <c r="EJ75" i="45"/>
  <c r="EK75" i="45"/>
  <c r="EL75" i="45"/>
  <c r="EM75" i="45"/>
  <c r="EN75" i="45"/>
  <c r="EO75" i="45"/>
  <c r="EP75" i="45"/>
  <c r="EQ75" i="45"/>
  <c r="ER75" i="45"/>
  <c r="ES75" i="45"/>
  <c r="ET75" i="45"/>
  <c r="EU75" i="45"/>
  <c r="EV75" i="45"/>
  <c r="EW75" i="45"/>
  <c r="EX75" i="45"/>
  <c r="EY75" i="45"/>
  <c r="EZ75" i="45"/>
  <c r="FA75" i="45"/>
  <c r="FB75" i="45"/>
  <c r="FC75" i="45"/>
  <c r="FD75" i="45"/>
  <c r="FE75" i="45"/>
  <c r="FF75" i="45"/>
  <c r="FG75" i="45"/>
  <c r="FH75" i="45"/>
  <c r="FI75" i="45"/>
  <c r="FJ75" i="45"/>
  <c r="FK75" i="45"/>
  <c r="FL75" i="45"/>
  <c r="FM75" i="45"/>
  <c r="FN75" i="45"/>
  <c r="FO75" i="45"/>
  <c r="FP75" i="45"/>
  <c r="FQ75" i="45"/>
  <c r="FR75" i="45"/>
  <c r="FS75" i="45"/>
  <c r="FT75" i="45"/>
  <c r="FU75" i="45"/>
  <c r="FV75" i="45"/>
  <c r="FW75" i="45"/>
  <c r="FX75" i="45"/>
  <c r="FY75" i="45"/>
  <c r="FZ75" i="45"/>
  <c r="GA75" i="45"/>
  <c r="GB75" i="45"/>
  <c r="GC75" i="45"/>
  <c r="GD75" i="45"/>
  <c r="GE75" i="45"/>
  <c r="GF75" i="45"/>
  <c r="GG75" i="45"/>
  <c r="GH75" i="45"/>
  <c r="GI75" i="45"/>
  <c r="GJ75" i="45"/>
  <c r="GK75" i="45"/>
  <c r="GL75" i="45"/>
  <c r="GM75" i="45"/>
  <c r="GN75" i="45"/>
  <c r="GO75" i="45"/>
  <c r="GP75" i="45"/>
  <c r="GQ75" i="45"/>
  <c r="GR75" i="45"/>
  <c r="GS75" i="45"/>
  <c r="GT75" i="45"/>
  <c r="GU75" i="45"/>
  <c r="GV75" i="45"/>
  <c r="GW75" i="45"/>
  <c r="GX75" i="45"/>
  <c r="GY75" i="45"/>
  <c r="GZ75" i="45"/>
  <c r="HA75" i="45"/>
  <c r="HB75" i="45"/>
  <c r="HC75" i="45"/>
  <c r="HD75" i="45"/>
  <c r="HE75" i="45"/>
  <c r="HF75" i="45"/>
  <c r="HG75" i="45"/>
  <c r="HH75" i="45"/>
  <c r="HI75" i="45"/>
  <c r="HJ75" i="45"/>
  <c r="HK75" i="45"/>
  <c r="HL75" i="45"/>
  <c r="HM75" i="45"/>
  <c r="HN75" i="45"/>
  <c r="HO75" i="45"/>
  <c r="HP75" i="45"/>
  <c r="HQ75" i="45"/>
  <c r="HR75" i="45"/>
  <c r="HS75" i="45"/>
  <c r="HT75" i="45"/>
  <c r="HU75" i="45"/>
  <c r="HV75" i="45"/>
  <c r="HW75" i="45"/>
  <c r="HX75" i="45"/>
  <c r="HY75" i="45"/>
  <c r="HZ75" i="45"/>
  <c r="IA75" i="45"/>
  <c r="IB75" i="45"/>
  <c r="IC75" i="45"/>
  <c r="ID75" i="45"/>
  <c r="IE75" i="45"/>
  <c r="IF75" i="45"/>
  <c r="IG75" i="45"/>
  <c r="IH75" i="45"/>
  <c r="II75" i="45"/>
  <c r="IJ75" i="45"/>
  <c r="IK75" i="45"/>
  <c r="IL75" i="45"/>
  <c r="IM75" i="45"/>
  <c r="IN75" i="45"/>
  <c r="IO75" i="45"/>
  <c r="IP75" i="45"/>
  <c r="IQ75" i="45"/>
  <c r="IR75" i="45"/>
  <c r="IS75" i="45"/>
  <c r="IT75" i="45"/>
  <c r="IU75" i="45"/>
  <c r="IV75" i="45"/>
  <c r="A74" i="45"/>
  <c r="B74" i="45"/>
  <c r="C74" i="45"/>
  <c r="D74" i="45"/>
  <c r="E74" i="45"/>
  <c r="F74" i="45"/>
  <c r="G74" i="45"/>
  <c r="H74" i="45"/>
  <c r="I74" i="45"/>
  <c r="J74" i="45"/>
  <c r="K74" i="45"/>
  <c r="L74" i="45"/>
  <c r="M74" i="45"/>
  <c r="N74" i="45"/>
  <c r="O74" i="45"/>
  <c r="P74" i="45"/>
  <c r="Q74" i="45"/>
  <c r="R74" i="45"/>
  <c r="S74" i="45"/>
  <c r="T74" i="45"/>
  <c r="U74" i="45"/>
  <c r="V74" i="45"/>
  <c r="W74" i="45"/>
  <c r="X74" i="45"/>
  <c r="Y74" i="45"/>
  <c r="Z74" i="45"/>
  <c r="AA74" i="45"/>
  <c r="AB74" i="45"/>
  <c r="AC74" i="45"/>
  <c r="AD74" i="45"/>
  <c r="AE74" i="45"/>
  <c r="AF74" i="45"/>
  <c r="AG74" i="45"/>
  <c r="AH74" i="45"/>
  <c r="AI74" i="45"/>
  <c r="AJ74" i="45"/>
  <c r="AK74" i="45"/>
  <c r="AL74" i="45"/>
  <c r="AM74" i="45"/>
  <c r="AN74" i="45"/>
  <c r="AO74" i="45"/>
  <c r="AP74" i="45"/>
  <c r="AQ74" i="45"/>
  <c r="AR74" i="45"/>
  <c r="AS74" i="45"/>
  <c r="AT74" i="45"/>
  <c r="AU74" i="45"/>
  <c r="AV74" i="45"/>
  <c r="AW74" i="45"/>
  <c r="AX74" i="45"/>
  <c r="AY74" i="45"/>
  <c r="AZ74" i="45"/>
  <c r="BA74" i="45"/>
  <c r="BB74" i="45"/>
  <c r="BC74" i="45"/>
  <c r="BD74" i="45"/>
  <c r="BE74" i="45"/>
  <c r="BF74" i="45"/>
  <c r="BG74" i="45"/>
  <c r="BH74" i="45"/>
  <c r="BI74" i="45"/>
  <c r="BJ74" i="45"/>
  <c r="BK74" i="45"/>
  <c r="BL74" i="45"/>
  <c r="BM74" i="45"/>
  <c r="BN74" i="45"/>
  <c r="BO74" i="45"/>
  <c r="BP74" i="45"/>
  <c r="BQ74" i="45"/>
  <c r="BR74" i="45"/>
  <c r="BS74" i="45"/>
  <c r="BT74" i="45"/>
  <c r="BU74" i="45"/>
  <c r="BV74" i="45"/>
  <c r="BW74" i="45"/>
  <c r="BX74" i="45"/>
  <c r="BY74" i="45"/>
  <c r="BZ74" i="45"/>
  <c r="CA74" i="45"/>
  <c r="CB74" i="45"/>
  <c r="CC74" i="45"/>
  <c r="CD74" i="45"/>
  <c r="CE74" i="45"/>
  <c r="CF74" i="45"/>
  <c r="CG74" i="45"/>
  <c r="CH74" i="45"/>
  <c r="CI74" i="45"/>
  <c r="CJ74" i="45"/>
  <c r="CK74" i="45"/>
  <c r="CL74" i="45"/>
  <c r="CM74" i="45"/>
  <c r="CN74" i="45"/>
  <c r="CO74" i="45"/>
  <c r="CP74" i="45"/>
  <c r="CQ74" i="45"/>
  <c r="CR74" i="45"/>
  <c r="CS74" i="45"/>
  <c r="CT74" i="45"/>
  <c r="CU74" i="45"/>
  <c r="CV74" i="45"/>
  <c r="CW74" i="45"/>
  <c r="CX74" i="45"/>
  <c r="CY74" i="45"/>
  <c r="CZ74" i="45"/>
  <c r="DA74" i="45"/>
  <c r="DB74" i="45"/>
  <c r="DC74" i="45"/>
  <c r="DD74" i="45"/>
  <c r="DE74" i="45"/>
  <c r="DF74" i="45"/>
  <c r="DG74" i="45"/>
  <c r="DH74" i="45"/>
  <c r="DI74" i="45"/>
  <c r="DJ74" i="45"/>
  <c r="DK74" i="45"/>
  <c r="DL74" i="45"/>
  <c r="DM74" i="45"/>
  <c r="DN74" i="45"/>
  <c r="DO74" i="45"/>
  <c r="DP74" i="45"/>
  <c r="DQ74" i="45"/>
  <c r="DR74" i="45"/>
  <c r="DS74" i="45"/>
  <c r="DT74" i="45"/>
  <c r="DU74" i="45"/>
  <c r="DV74" i="45"/>
  <c r="DW74" i="45"/>
  <c r="DX74" i="45"/>
  <c r="DY74" i="45"/>
  <c r="DZ74" i="45"/>
  <c r="EA74" i="45"/>
  <c r="EB74" i="45"/>
  <c r="EC74" i="45"/>
  <c r="ED74" i="45"/>
  <c r="EE74" i="45"/>
  <c r="EF74" i="45"/>
  <c r="EG74" i="45"/>
  <c r="EH74" i="45"/>
  <c r="EI74" i="45"/>
  <c r="EJ74" i="45"/>
  <c r="EK74" i="45"/>
  <c r="EL74" i="45"/>
  <c r="EM74" i="45"/>
  <c r="EN74" i="45"/>
  <c r="EO74" i="45"/>
  <c r="EP74" i="45"/>
  <c r="EQ74" i="45"/>
  <c r="ER74" i="45"/>
  <c r="ES74" i="45"/>
  <c r="ET74" i="45"/>
  <c r="EU74" i="45"/>
  <c r="EV74" i="45"/>
  <c r="EW74" i="45"/>
  <c r="EX74" i="45"/>
  <c r="EY74" i="45"/>
  <c r="EZ74" i="45"/>
  <c r="FA74" i="45"/>
  <c r="FB74" i="45"/>
  <c r="FC74" i="45"/>
  <c r="FD74" i="45"/>
  <c r="FE74" i="45"/>
  <c r="FF74" i="45"/>
  <c r="FG74" i="45"/>
  <c r="FH74" i="45"/>
  <c r="FI74" i="45"/>
  <c r="FJ74" i="45"/>
  <c r="FK74" i="45"/>
  <c r="FL74" i="45"/>
  <c r="FM74" i="45"/>
  <c r="FN74" i="45"/>
  <c r="FO74" i="45"/>
  <c r="FP74" i="45"/>
  <c r="FQ74" i="45"/>
  <c r="FR74" i="45"/>
  <c r="FS74" i="45"/>
  <c r="FT74" i="45"/>
  <c r="FU74" i="45"/>
  <c r="FV74" i="45"/>
  <c r="FW74" i="45"/>
  <c r="FX74" i="45"/>
  <c r="FY74" i="45"/>
  <c r="FZ74" i="45"/>
  <c r="GA74" i="45"/>
  <c r="GB74" i="45"/>
  <c r="GC74" i="45"/>
  <c r="GD74" i="45"/>
  <c r="GE74" i="45"/>
  <c r="GF74" i="45"/>
  <c r="GG74" i="45"/>
  <c r="GH74" i="45"/>
  <c r="GI74" i="45"/>
  <c r="GJ74" i="45"/>
  <c r="GK74" i="45"/>
  <c r="GL74" i="45"/>
  <c r="GM74" i="45"/>
  <c r="GN74" i="45"/>
  <c r="GO74" i="45"/>
  <c r="GP74" i="45"/>
  <c r="GQ74" i="45"/>
  <c r="GR74" i="45"/>
  <c r="GS74" i="45"/>
  <c r="GT74" i="45"/>
  <c r="GU74" i="45"/>
  <c r="GV74" i="45"/>
  <c r="GW74" i="45"/>
  <c r="GX74" i="45"/>
  <c r="GY74" i="45"/>
  <c r="GZ74" i="45"/>
  <c r="HA74" i="45"/>
  <c r="HB74" i="45"/>
  <c r="HC74" i="45"/>
  <c r="HD74" i="45"/>
  <c r="HE74" i="45"/>
  <c r="HF74" i="45"/>
  <c r="HG74" i="45"/>
  <c r="HH74" i="45"/>
  <c r="HI74" i="45"/>
  <c r="HJ74" i="45"/>
  <c r="HK74" i="45"/>
  <c r="HL74" i="45"/>
  <c r="HM74" i="45"/>
  <c r="HN74" i="45"/>
  <c r="HO74" i="45"/>
  <c r="HP74" i="45"/>
  <c r="HQ74" i="45"/>
  <c r="HR74" i="45"/>
  <c r="HS74" i="45"/>
  <c r="HT74" i="45"/>
  <c r="HU74" i="45"/>
  <c r="HV74" i="45"/>
  <c r="HW74" i="45"/>
  <c r="HX74" i="45"/>
  <c r="HY74" i="45"/>
  <c r="HZ74" i="45"/>
  <c r="IA74" i="45"/>
  <c r="IB74" i="45"/>
  <c r="IC74" i="45"/>
  <c r="ID74" i="45"/>
  <c r="IE74" i="45"/>
  <c r="IF74" i="45"/>
  <c r="IG74" i="45"/>
  <c r="IH74" i="45"/>
  <c r="II74" i="45"/>
  <c r="IJ74" i="45"/>
  <c r="IK74" i="45"/>
  <c r="IL74" i="45"/>
  <c r="IM74" i="45"/>
  <c r="IN74" i="45"/>
  <c r="IO74" i="45"/>
  <c r="IP74" i="45"/>
  <c r="IQ74" i="45"/>
  <c r="IR74" i="45"/>
  <c r="IS74" i="45"/>
  <c r="IT74" i="45"/>
  <c r="IU74" i="45"/>
  <c r="IV74" i="45"/>
  <c r="A73" i="45"/>
  <c r="B73" i="45"/>
  <c r="C73" i="45"/>
  <c r="D73" i="45"/>
  <c r="E73" i="45"/>
  <c r="F73" i="45"/>
  <c r="G73" i="45"/>
  <c r="H73" i="45"/>
  <c r="I73" i="45"/>
  <c r="J73" i="45"/>
  <c r="K73" i="45"/>
  <c r="L73" i="45"/>
  <c r="M73" i="45"/>
  <c r="N73" i="45"/>
  <c r="O73" i="45"/>
  <c r="P73" i="45"/>
  <c r="Q73" i="45"/>
  <c r="R73" i="45"/>
  <c r="S73" i="45"/>
  <c r="T73" i="45"/>
  <c r="U73" i="45"/>
  <c r="V73" i="45"/>
  <c r="W73" i="45"/>
  <c r="X73" i="45"/>
  <c r="Y73" i="45"/>
  <c r="Z73" i="45"/>
  <c r="AA73" i="45"/>
  <c r="AB73" i="45"/>
  <c r="AC73" i="45"/>
  <c r="AD73" i="45"/>
  <c r="AE73" i="45"/>
  <c r="AF73" i="45"/>
  <c r="AG73" i="45"/>
  <c r="AH73" i="45"/>
  <c r="AI73" i="45"/>
  <c r="AJ73" i="45"/>
  <c r="AK73" i="45"/>
  <c r="AL73" i="45"/>
  <c r="AM73" i="45"/>
  <c r="AN73" i="45"/>
  <c r="AO73" i="45"/>
  <c r="AP73" i="45"/>
  <c r="AQ73" i="45"/>
  <c r="AR73" i="45"/>
  <c r="AS73" i="45"/>
  <c r="AT73" i="45"/>
  <c r="AU73" i="45"/>
  <c r="AV73" i="45"/>
  <c r="AW73" i="45"/>
  <c r="AX73" i="45"/>
  <c r="AY73" i="45"/>
  <c r="AZ73" i="45"/>
  <c r="BA73" i="45"/>
  <c r="BB73" i="45"/>
  <c r="BC73" i="45"/>
  <c r="BD73" i="45"/>
  <c r="BE73" i="45"/>
  <c r="BF73" i="45"/>
  <c r="BG73" i="45"/>
  <c r="BH73" i="45"/>
  <c r="BI73" i="45"/>
  <c r="BJ73" i="45"/>
  <c r="BK73" i="45"/>
  <c r="BL73" i="45"/>
  <c r="BM73" i="45"/>
  <c r="BN73" i="45"/>
  <c r="BO73" i="45"/>
  <c r="BP73" i="45"/>
  <c r="BQ73" i="45"/>
  <c r="BR73" i="45"/>
  <c r="BS73" i="45"/>
  <c r="BT73" i="45"/>
  <c r="BU73" i="45"/>
  <c r="BV73" i="45"/>
  <c r="BW73" i="45"/>
  <c r="BX73" i="45"/>
  <c r="BY73" i="45"/>
  <c r="BZ73" i="45"/>
  <c r="CA73" i="45"/>
  <c r="CB73" i="45"/>
  <c r="CC73" i="45"/>
  <c r="CD73" i="45"/>
  <c r="CE73" i="45"/>
  <c r="CF73" i="45"/>
  <c r="CG73" i="45"/>
  <c r="CH73" i="45"/>
  <c r="CI73" i="45"/>
  <c r="CJ73" i="45"/>
  <c r="CK73" i="45"/>
  <c r="CL73" i="45"/>
  <c r="CM73" i="45"/>
  <c r="CN73" i="45"/>
  <c r="CO73" i="45"/>
  <c r="CP73" i="45"/>
  <c r="CQ73" i="45"/>
  <c r="CR73" i="45"/>
  <c r="CS73" i="45"/>
  <c r="CT73" i="45"/>
  <c r="CU73" i="45"/>
  <c r="CV73" i="45"/>
  <c r="CW73" i="45"/>
  <c r="CX73" i="45"/>
  <c r="CY73" i="45"/>
  <c r="CZ73" i="45"/>
  <c r="DA73" i="45"/>
  <c r="DB73" i="45"/>
  <c r="DC73" i="45"/>
  <c r="DD73" i="45"/>
  <c r="DE73" i="45"/>
  <c r="DF73" i="45"/>
  <c r="DG73" i="45"/>
  <c r="DH73" i="45"/>
  <c r="DI73" i="45"/>
  <c r="DJ73" i="45"/>
  <c r="DK73" i="45"/>
  <c r="DL73" i="45"/>
  <c r="DM73" i="45"/>
  <c r="DN73" i="45"/>
  <c r="DO73" i="45"/>
  <c r="DP73" i="45"/>
  <c r="DQ73" i="45"/>
  <c r="DR73" i="45"/>
  <c r="DS73" i="45"/>
  <c r="DT73" i="45"/>
  <c r="DU73" i="45"/>
  <c r="DV73" i="45"/>
  <c r="DW73" i="45"/>
  <c r="DX73" i="45"/>
  <c r="DY73" i="45"/>
  <c r="DZ73" i="45"/>
  <c r="EA73" i="45"/>
  <c r="EB73" i="45"/>
  <c r="EC73" i="45"/>
  <c r="ED73" i="45"/>
  <c r="EE73" i="45"/>
  <c r="EF73" i="45"/>
  <c r="EG73" i="45"/>
  <c r="EH73" i="45"/>
  <c r="EI73" i="45"/>
  <c r="EJ73" i="45"/>
  <c r="EK73" i="45"/>
  <c r="EL73" i="45"/>
  <c r="EM73" i="45"/>
  <c r="EN73" i="45"/>
  <c r="EO73" i="45"/>
  <c r="EP73" i="45"/>
  <c r="EQ73" i="45"/>
  <c r="ER73" i="45"/>
  <c r="ES73" i="45"/>
  <c r="ET73" i="45"/>
  <c r="EU73" i="45"/>
  <c r="EV73" i="45"/>
  <c r="EW73" i="45"/>
  <c r="EX73" i="45"/>
  <c r="EY73" i="45"/>
  <c r="EZ73" i="45"/>
  <c r="FA73" i="45"/>
  <c r="FB73" i="45"/>
  <c r="FC73" i="45"/>
  <c r="FD73" i="45"/>
  <c r="FE73" i="45"/>
  <c r="FF73" i="45"/>
  <c r="FG73" i="45"/>
  <c r="FH73" i="45"/>
  <c r="FI73" i="45"/>
  <c r="FJ73" i="45"/>
  <c r="FK73" i="45"/>
  <c r="FL73" i="45"/>
  <c r="FM73" i="45"/>
  <c r="FN73" i="45"/>
  <c r="FO73" i="45"/>
  <c r="FP73" i="45"/>
  <c r="FQ73" i="45"/>
  <c r="FR73" i="45"/>
  <c r="FS73" i="45"/>
  <c r="FT73" i="45"/>
  <c r="FU73" i="45"/>
  <c r="FV73" i="45"/>
  <c r="FW73" i="45"/>
  <c r="FX73" i="45"/>
  <c r="FY73" i="45"/>
  <c r="FZ73" i="45"/>
  <c r="GA73" i="45"/>
  <c r="GB73" i="45"/>
  <c r="GC73" i="45"/>
  <c r="GD73" i="45"/>
  <c r="GE73" i="45"/>
  <c r="GF73" i="45"/>
  <c r="GG73" i="45"/>
  <c r="GH73" i="45"/>
  <c r="GI73" i="45"/>
  <c r="GJ73" i="45"/>
  <c r="GK73" i="45"/>
  <c r="GL73" i="45"/>
  <c r="GM73" i="45"/>
  <c r="GN73" i="45"/>
  <c r="GO73" i="45"/>
  <c r="GP73" i="45"/>
  <c r="GQ73" i="45"/>
  <c r="GR73" i="45"/>
  <c r="GS73" i="45"/>
  <c r="GT73" i="45"/>
  <c r="GU73" i="45"/>
  <c r="GV73" i="45"/>
  <c r="GW73" i="45"/>
  <c r="GX73" i="45"/>
  <c r="GY73" i="45"/>
  <c r="GZ73" i="45"/>
  <c r="HA73" i="45"/>
  <c r="HB73" i="45"/>
  <c r="HC73" i="45"/>
  <c r="HD73" i="45"/>
  <c r="HE73" i="45"/>
  <c r="HF73" i="45"/>
  <c r="HG73" i="45"/>
  <c r="HH73" i="45"/>
  <c r="HI73" i="45"/>
  <c r="HJ73" i="45"/>
  <c r="HK73" i="45"/>
  <c r="HL73" i="45"/>
  <c r="HM73" i="45"/>
  <c r="HN73" i="45"/>
  <c r="HO73" i="45"/>
  <c r="HP73" i="45"/>
  <c r="HQ73" i="45"/>
  <c r="HR73" i="45"/>
  <c r="HS73" i="45"/>
  <c r="HT73" i="45"/>
  <c r="HU73" i="45"/>
  <c r="HV73" i="45"/>
  <c r="HW73" i="45"/>
  <c r="HX73" i="45"/>
  <c r="HY73" i="45"/>
  <c r="HZ73" i="45"/>
  <c r="IA73" i="45"/>
  <c r="IB73" i="45"/>
  <c r="IC73" i="45"/>
  <c r="ID73" i="45"/>
  <c r="IE73" i="45"/>
  <c r="IF73" i="45"/>
  <c r="IG73" i="45"/>
  <c r="IH73" i="45"/>
  <c r="II73" i="45"/>
  <c r="IJ73" i="45"/>
  <c r="IK73" i="45"/>
  <c r="IL73" i="45"/>
  <c r="IM73" i="45"/>
  <c r="IN73" i="45"/>
  <c r="IO73" i="45"/>
  <c r="IP73" i="45"/>
  <c r="IQ73" i="45"/>
  <c r="IR73" i="45"/>
  <c r="IS73" i="45"/>
  <c r="IT73" i="45"/>
  <c r="IU73" i="45"/>
  <c r="IV73" i="45"/>
  <c r="A72" i="45"/>
  <c r="B72" i="45"/>
  <c r="C72" i="45"/>
  <c r="D72" i="45"/>
  <c r="E72" i="45"/>
  <c r="F72" i="45"/>
  <c r="G72" i="45"/>
  <c r="H72" i="45"/>
  <c r="I72" i="45"/>
  <c r="J72" i="45"/>
  <c r="K72" i="45"/>
  <c r="L72" i="45"/>
  <c r="M72" i="45"/>
  <c r="N72" i="45"/>
  <c r="O72" i="45"/>
  <c r="P72" i="45"/>
  <c r="Q72" i="45"/>
  <c r="R72" i="45"/>
  <c r="S72" i="45"/>
  <c r="T72" i="45"/>
  <c r="U72" i="45"/>
  <c r="V72" i="45"/>
  <c r="W72" i="45"/>
  <c r="X72" i="45"/>
  <c r="Y72" i="45"/>
  <c r="Z72" i="45"/>
  <c r="AA72" i="45"/>
  <c r="AB72" i="45"/>
  <c r="AC72" i="45"/>
  <c r="AD72" i="45"/>
  <c r="AE72" i="45"/>
  <c r="AF72" i="45"/>
  <c r="AG72" i="45"/>
  <c r="AH72" i="45"/>
  <c r="AI72" i="45"/>
  <c r="AJ72" i="45"/>
  <c r="AK72" i="45"/>
  <c r="AL72" i="45"/>
  <c r="AM72" i="45"/>
  <c r="AN72" i="45"/>
  <c r="AO72" i="45"/>
  <c r="AP72" i="45"/>
  <c r="AQ72" i="45"/>
  <c r="AR72" i="45"/>
  <c r="AS72" i="45"/>
  <c r="AT72" i="45"/>
  <c r="AU72" i="45"/>
  <c r="AV72" i="45"/>
  <c r="AW72" i="45"/>
  <c r="AX72" i="45"/>
  <c r="AY72" i="45"/>
  <c r="AZ72" i="45"/>
  <c r="BA72" i="45"/>
  <c r="BB72" i="45"/>
  <c r="BC72" i="45"/>
  <c r="BD72" i="45"/>
  <c r="BE72" i="45"/>
  <c r="BF72" i="45"/>
  <c r="BG72" i="45"/>
  <c r="BH72" i="45"/>
  <c r="BI72" i="45"/>
  <c r="BJ72" i="45"/>
  <c r="BK72" i="45"/>
  <c r="BL72" i="45"/>
  <c r="BM72" i="45"/>
  <c r="BN72" i="45"/>
  <c r="BO72" i="45"/>
  <c r="BP72" i="45"/>
  <c r="BQ72" i="45"/>
  <c r="BR72" i="45"/>
  <c r="BS72" i="45"/>
  <c r="BT72" i="45"/>
  <c r="BU72" i="45"/>
  <c r="BV72" i="45"/>
  <c r="BW72" i="45"/>
  <c r="BX72" i="45"/>
  <c r="BY72" i="45"/>
  <c r="BZ72" i="45"/>
  <c r="CA72" i="45"/>
  <c r="CB72" i="45"/>
  <c r="CC72" i="45"/>
  <c r="CD72" i="45"/>
  <c r="CE72" i="45"/>
  <c r="CF72" i="45"/>
  <c r="CG72" i="45"/>
  <c r="CH72" i="45"/>
  <c r="CI72" i="45"/>
  <c r="CJ72" i="45"/>
  <c r="CK72" i="45"/>
  <c r="CL72" i="45"/>
  <c r="CM72" i="45"/>
  <c r="CN72" i="45"/>
  <c r="CO72" i="45"/>
  <c r="CP72" i="45"/>
  <c r="CQ72" i="45"/>
  <c r="CR72" i="45"/>
  <c r="CS72" i="45"/>
  <c r="CT72" i="45"/>
  <c r="CU72" i="45"/>
  <c r="CV72" i="45"/>
  <c r="CW72" i="45"/>
  <c r="CX72" i="45"/>
  <c r="CY72" i="45"/>
  <c r="CZ72" i="45"/>
  <c r="DA72" i="45"/>
  <c r="DB72" i="45"/>
  <c r="DC72" i="45"/>
  <c r="DD72" i="45"/>
  <c r="DE72" i="45"/>
  <c r="DF72" i="45"/>
  <c r="DG72" i="45"/>
  <c r="DH72" i="45"/>
  <c r="DI72" i="45"/>
  <c r="DJ72" i="45"/>
  <c r="DK72" i="45"/>
  <c r="DL72" i="45"/>
  <c r="DM72" i="45"/>
  <c r="DN72" i="45"/>
  <c r="DO72" i="45"/>
  <c r="DP72" i="45"/>
  <c r="DQ72" i="45"/>
  <c r="DR72" i="45"/>
  <c r="DS72" i="45"/>
  <c r="DT72" i="45"/>
  <c r="DU72" i="45"/>
  <c r="DV72" i="45"/>
  <c r="DW72" i="45"/>
  <c r="DX72" i="45"/>
  <c r="DY72" i="45"/>
  <c r="DZ72" i="45"/>
  <c r="EA72" i="45"/>
  <c r="EB72" i="45"/>
  <c r="EC72" i="45"/>
  <c r="ED72" i="45"/>
  <c r="EE72" i="45"/>
  <c r="EF72" i="45"/>
  <c r="EG72" i="45"/>
  <c r="EH72" i="45"/>
  <c r="EI72" i="45"/>
  <c r="EJ72" i="45"/>
  <c r="EK72" i="45"/>
  <c r="EL72" i="45"/>
  <c r="EM72" i="45"/>
  <c r="EN72" i="45"/>
  <c r="EO72" i="45"/>
  <c r="EP72" i="45"/>
  <c r="EQ72" i="45"/>
  <c r="ER72" i="45"/>
  <c r="ES72" i="45"/>
  <c r="ET72" i="45"/>
  <c r="EU72" i="45"/>
  <c r="EV72" i="45"/>
  <c r="EW72" i="45"/>
  <c r="EX72" i="45"/>
  <c r="EY72" i="45"/>
  <c r="EZ72" i="45"/>
  <c r="FA72" i="45"/>
  <c r="FB72" i="45"/>
  <c r="FC72" i="45"/>
  <c r="FD72" i="45"/>
  <c r="FE72" i="45"/>
  <c r="FF72" i="45"/>
  <c r="FG72" i="45"/>
  <c r="FH72" i="45"/>
  <c r="FI72" i="45"/>
  <c r="FJ72" i="45"/>
  <c r="FK72" i="45"/>
  <c r="FL72" i="45"/>
  <c r="FM72" i="45"/>
  <c r="FN72" i="45"/>
  <c r="FO72" i="45"/>
  <c r="FP72" i="45"/>
  <c r="FQ72" i="45"/>
  <c r="FR72" i="45"/>
  <c r="FS72" i="45"/>
  <c r="FT72" i="45"/>
  <c r="FU72" i="45"/>
  <c r="FV72" i="45"/>
  <c r="FW72" i="45"/>
  <c r="FX72" i="45"/>
  <c r="FY72" i="45"/>
  <c r="FZ72" i="45"/>
  <c r="GA72" i="45"/>
  <c r="GB72" i="45"/>
  <c r="GC72" i="45"/>
  <c r="GD72" i="45"/>
  <c r="GE72" i="45"/>
  <c r="GF72" i="45"/>
  <c r="GG72" i="45"/>
  <c r="GH72" i="45"/>
  <c r="GI72" i="45"/>
  <c r="GJ72" i="45"/>
  <c r="GK72" i="45"/>
  <c r="GL72" i="45"/>
  <c r="GM72" i="45"/>
  <c r="GN72" i="45"/>
  <c r="GO72" i="45"/>
  <c r="GP72" i="45"/>
  <c r="GQ72" i="45"/>
  <c r="GR72" i="45"/>
  <c r="GS72" i="45"/>
  <c r="GT72" i="45"/>
  <c r="GU72" i="45"/>
  <c r="GV72" i="45"/>
  <c r="GW72" i="45"/>
  <c r="GX72" i="45"/>
  <c r="GY72" i="45"/>
  <c r="GZ72" i="45"/>
  <c r="HA72" i="45"/>
  <c r="HB72" i="45"/>
  <c r="HC72" i="45"/>
  <c r="HD72" i="45"/>
  <c r="HE72" i="45"/>
  <c r="HF72" i="45"/>
  <c r="HG72" i="45"/>
  <c r="HH72" i="45"/>
  <c r="HI72" i="45"/>
  <c r="HJ72" i="45"/>
  <c r="HK72" i="45"/>
  <c r="HL72" i="45"/>
  <c r="HM72" i="45"/>
  <c r="HN72" i="45"/>
  <c r="HO72" i="45"/>
  <c r="HP72" i="45"/>
  <c r="HQ72" i="45"/>
  <c r="HR72" i="45"/>
  <c r="HS72" i="45"/>
  <c r="HT72" i="45"/>
  <c r="HU72" i="45"/>
  <c r="HV72" i="45"/>
  <c r="HW72" i="45"/>
  <c r="HX72" i="45"/>
  <c r="HY72" i="45"/>
  <c r="HZ72" i="45"/>
  <c r="IA72" i="45"/>
  <c r="IB72" i="45"/>
  <c r="IC72" i="45"/>
  <c r="ID72" i="45"/>
  <c r="IE72" i="45"/>
  <c r="IF72" i="45"/>
  <c r="IG72" i="45"/>
  <c r="IH72" i="45"/>
  <c r="II72" i="45"/>
  <c r="IJ72" i="45"/>
  <c r="IK72" i="45"/>
  <c r="IL72" i="45"/>
  <c r="IM72" i="45"/>
  <c r="IN72" i="45"/>
  <c r="IO72" i="45"/>
  <c r="IP72" i="45"/>
  <c r="IQ72" i="45"/>
  <c r="IR72" i="45"/>
  <c r="IS72" i="45"/>
  <c r="IT72" i="45"/>
  <c r="IU72" i="45"/>
  <c r="IV72" i="45"/>
  <c r="A71" i="45"/>
  <c r="B71" i="45"/>
  <c r="C71" i="45"/>
  <c r="D71" i="45"/>
  <c r="E71" i="45"/>
  <c r="F71" i="45"/>
  <c r="G71" i="45"/>
  <c r="H71" i="45"/>
  <c r="I71" i="45"/>
  <c r="J71" i="45"/>
  <c r="K71" i="45"/>
  <c r="L71" i="45"/>
  <c r="M71" i="45"/>
  <c r="N71" i="45"/>
  <c r="P71" i="45"/>
  <c r="Q71" i="45"/>
  <c r="R71" i="45"/>
  <c r="S71" i="45"/>
  <c r="T71" i="45"/>
  <c r="U71" i="45"/>
  <c r="V71" i="45"/>
  <c r="W71" i="45"/>
  <c r="X71" i="45"/>
  <c r="Y71" i="45"/>
  <c r="Z71" i="45"/>
  <c r="AA71" i="45"/>
  <c r="AB71" i="45"/>
  <c r="AC71" i="45"/>
  <c r="AD71" i="45"/>
  <c r="AE71" i="45"/>
  <c r="AF71" i="45"/>
  <c r="AG71" i="45"/>
  <c r="AH71" i="45"/>
  <c r="AI71" i="45"/>
  <c r="AJ71" i="45"/>
  <c r="AK71" i="45"/>
  <c r="AL71" i="45"/>
  <c r="AM71" i="45"/>
  <c r="AN71" i="45"/>
  <c r="AO71" i="45"/>
  <c r="AP71" i="45"/>
  <c r="AQ71" i="45"/>
  <c r="AR71" i="45"/>
  <c r="AS71" i="45"/>
  <c r="AT71" i="45"/>
  <c r="AU71" i="45"/>
  <c r="AV71" i="45"/>
  <c r="AW71" i="45"/>
  <c r="AX71" i="45"/>
  <c r="AY71" i="45"/>
  <c r="AZ71" i="45"/>
  <c r="BA71" i="45"/>
  <c r="BB71" i="45"/>
  <c r="BC71" i="45"/>
  <c r="BD71" i="45"/>
  <c r="BE71" i="45"/>
  <c r="BF71" i="45"/>
  <c r="BG71" i="45"/>
  <c r="BH71" i="45"/>
  <c r="BI71" i="45"/>
  <c r="BJ71" i="45"/>
  <c r="BK71" i="45"/>
  <c r="BL71" i="45"/>
  <c r="BM71" i="45"/>
  <c r="BN71" i="45"/>
  <c r="BO71" i="45"/>
  <c r="BP71" i="45"/>
  <c r="BQ71" i="45"/>
  <c r="BR71" i="45"/>
  <c r="BS71" i="45"/>
  <c r="BT71" i="45"/>
  <c r="BU71" i="45"/>
  <c r="BV71" i="45"/>
  <c r="BW71" i="45"/>
  <c r="BX71" i="45"/>
  <c r="BY71" i="45"/>
  <c r="BZ71" i="45"/>
  <c r="CA71" i="45"/>
  <c r="CB71" i="45"/>
  <c r="CC71" i="45"/>
  <c r="CD71" i="45"/>
  <c r="CE71" i="45"/>
  <c r="CF71" i="45"/>
  <c r="CG71" i="45"/>
  <c r="CH71" i="45"/>
  <c r="CI71" i="45"/>
  <c r="CJ71" i="45"/>
  <c r="CK71" i="45"/>
  <c r="CL71" i="45"/>
  <c r="CM71" i="45"/>
  <c r="CN71" i="45"/>
  <c r="CO71" i="45"/>
  <c r="CP71" i="45"/>
  <c r="CQ71" i="45"/>
  <c r="CR71" i="45"/>
  <c r="CS71" i="45"/>
  <c r="CT71" i="45"/>
  <c r="CU71" i="45"/>
  <c r="CV71" i="45"/>
  <c r="CW71" i="45"/>
  <c r="CX71" i="45"/>
  <c r="CY71" i="45"/>
  <c r="CZ71" i="45"/>
  <c r="DA71" i="45"/>
  <c r="DB71" i="45"/>
  <c r="DC71" i="45"/>
  <c r="DD71" i="45"/>
  <c r="DE71" i="45"/>
  <c r="DF71" i="45"/>
  <c r="DG71" i="45"/>
  <c r="DH71" i="45"/>
  <c r="DI71" i="45"/>
  <c r="DJ71" i="45"/>
  <c r="DK71" i="45"/>
  <c r="DL71" i="45"/>
  <c r="DM71" i="45"/>
  <c r="DN71" i="45"/>
  <c r="DO71" i="45"/>
  <c r="DP71" i="45"/>
  <c r="DQ71" i="45"/>
  <c r="DR71" i="45"/>
  <c r="DS71" i="45"/>
  <c r="DT71" i="45"/>
  <c r="DU71" i="45"/>
  <c r="DV71" i="45"/>
  <c r="DW71" i="45"/>
  <c r="DX71" i="45"/>
  <c r="DY71" i="45"/>
  <c r="DZ71" i="45"/>
  <c r="EA71" i="45"/>
  <c r="EB71" i="45"/>
  <c r="EC71" i="45"/>
  <c r="ED71" i="45"/>
  <c r="EE71" i="45"/>
  <c r="EF71" i="45"/>
  <c r="EG71" i="45"/>
  <c r="EH71" i="45"/>
  <c r="EI71" i="45"/>
  <c r="EJ71" i="45"/>
  <c r="EK71" i="45"/>
  <c r="EL71" i="45"/>
  <c r="EM71" i="45"/>
  <c r="EN71" i="45"/>
  <c r="EO71" i="45"/>
  <c r="EP71" i="45"/>
  <c r="EQ71" i="45"/>
  <c r="ER71" i="45"/>
  <c r="ES71" i="45"/>
  <c r="ET71" i="45"/>
  <c r="EU71" i="45"/>
  <c r="EV71" i="45"/>
  <c r="EW71" i="45"/>
  <c r="EX71" i="45"/>
  <c r="EY71" i="45"/>
  <c r="EZ71" i="45"/>
  <c r="FA71" i="45"/>
  <c r="FB71" i="45"/>
  <c r="FC71" i="45"/>
  <c r="FD71" i="45"/>
  <c r="FE71" i="45"/>
  <c r="FF71" i="45"/>
  <c r="FG71" i="45"/>
  <c r="FH71" i="45"/>
  <c r="FI71" i="45"/>
  <c r="FJ71" i="45"/>
  <c r="FK71" i="45"/>
  <c r="FL71" i="45"/>
  <c r="FM71" i="45"/>
  <c r="FN71" i="45"/>
  <c r="FO71" i="45"/>
  <c r="FP71" i="45"/>
  <c r="FQ71" i="45"/>
  <c r="FR71" i="45"/>
  <c r="FS71" i="45"/>
  <c r="FT71" i="45"/>
  <c r="FU71" i="45"/>
  <c r="FV71" i="45"/>
  <c r="FW71" i="45"/>
  <c r="FX71" i="45"/>
  <c r="FY71" i="45"/>
  <c r="FZ71" i="45"/>
  <c r="GA71" i="45"/>
  <c r="GB71" i="45"/>
  <c r="GC71" i="45"/>
  <c r="GD71" i="45"/>
  <c r="GE71" i="45"/>
  <c r="GF71" i="45"/>
  <c r="GG71" i="45"/>
  <c r="GH71" i="45"/>
  <c r="GI71" i="45"/>
  <c r="GJ71" i="45"/>
  <c r="GK71" i="45"/>
  <c r="GL71" i="45"/>
  <c r="GM71" i="45"/>
  <c r="GN71" i="45"/>
  <c r="GO71" i="45"/>
  <c r="GP71" i="45"/>
  <c r="GQ71" i="45"/>
  <c r="GR71" i="45"/>
  <c r="GS71" i="45"/>
  <c r="GT71" i="45"/>
  <c r="GU71" i="45"/>
  <c r="GV71" i="45"/>
  <c r="GW71" i="45"/>
  <c r="GX71" i="45"/>
  <c r="GY71" i="45"/>
  <c r="GZ71" i="45"/>
  <c r="HA71" i="45"/>
  <c r="HB71" i="45"/>
  <c r="HC71" i="45"/>
  <c r="HD71" i="45"/>
  <c r="HE71" i="45"/>
  <c r="HF71" i="45"/>
  <c r="HG71" i="45"/>
  <c r="HH71" i="45"/>
  <c r="HI71" i="45"/>
  <c r="HJ71" i="45"/>
  <c r="HK71" i="45"/>
  <c r="HL71" i="45"/>
  <c r="HM71" i="45"/>
  <c r="HN71" i="45"/>
  <c r="HO71" i="45"/>
  <c r="HP71" i="45"/>
  <c r="HQ71" i="45"/>
  <c r="HR71" i="45"/>
  <c r="HS71" i="45"/>
  <c r="HT71" i="45"/>
  <c r="HU71" i="45"/>
  <c r="HV71" i="45"/>
  <c r="HW71" i="45"/>
  <c r="HX71" i="45"/>
  <c r="HY71" i="45"/>
  <c r="HZ71" i="45"/>
  <c r="IA71" i="45"/>
  <c r="IB71" i="45"/>
  <c r="IC71" i="45"/>
  <c r="ID71" i="45"/>
  <c r="IE71" i="45"/>
  <c r="IF71" i="45"/>
  <c r="IG71" i="45"/>
  <c r="IH71" i="45"/>
  <c r="II71" i="45"/>
  <c r="IJ71" i="45"/>
  <c r="IK71" i="45"/>
  <c r="IL71" i="45"/>
  <c r="IM71" i="45"/>
  <c r="IN71" i="45"/>
  <c r="IO71" i="45"/>
  <c r="IP71" i="45"/>
  <c r="IQ71" i="45"/>
  <c r="IR71" i="45"/>
  <c r="IS71" i="45"/>
  <c r="IT71" i="45"/>
  <c r="IU71" i="45"/>
  <c r="IV71" i="45"/>
  <c r="A70" i="45"/>
  <c r="B70" i="45"/>
  <c r="C70" i="45"/>
  <c r="D70" i="45"/>
  <c r="E70" i="45"/>
  <c r="F70" i="45"/>
  <c r="G70" i="45"/>
  <c r="H70" i="45"/>
  <c r="I70" i="45"/>
  <c r="J70" i="45"/>
  <c r="L70" i="45"/>
  <c r="M70" i="45"/>
  <c r="N70" i="45"/>
  <c r="O70" i="45"/>
  <c r="P70" i="45"/>
  <c r="Q70" i="45"/>
  <c r="R70" i="45"/>
  <c r="S70" i="45"/>
  <c r="T70" i="45"/>
  <c r="U70" i="45"/>
  <c r="V70" i="45"/>
  <c r="W70" i="45"/>
  <c r="X70" i="45"/>
  <c r="Y70" i="45"/>
  <c r="Z70" i="45"/>
  <c r="AA70" i="45"/>
  <c r="AB70" i="45"/>
  <c r="AC70" i="45"/>
  <c r="AD70" i="45"/>
  <c r="AE70" i="45"/>
  <c r="AF70" i="45"/>
  <c r="AG70" i="45"/>
  <c r="AH70" i="45"/>
  <c r="AI70" i="45"/>
  <c r="AJ70" i="45"/>
  <c r="AK70" i="45"/>
  <c r="AL70" i="45"/>
  <c r="AM70" i="45"/>
  <c r="AN70" i="45"/>
  <c r="AO70" i="45"/>
  <c r="AP70" i="45"/>
  <c r="AQ70" i="45"/>
  <c r="AR70" i="45"/>
  <c r="AS70" i="45"/>
  <c r="AT70" i="45"/>
  <c r="AU70" i="45"/>
  <c r="AV70" i="45"/>
  <c r="AW70" i="45"/>
  <c r="AX70" i="45"/>
  <c r="AY70" i="45"/>
  <c r="AZ70" i="45"/>
  <c r="BA70" i="45"/>
  <c r="BB70" i="45"/>
  <c r="BC70" i="45"/>
  <c r="BD70" i="45"/>
  <c r="BE70" i="45"/>
  <c r="BF70" i="45"/>
  <c r="BG70" i="45"/>
  <c r="BH70" i="45"/>
  <c r="BI70" i="45"/>
  <c r="BJ70" i="45"/>
  <c r="BK70" i="45"/>
  <c r="BL70" i="45"/>
  <c r="BM70" i="45"/>
  <c r="BN70" i="45"/>
  <c r="BO70" i="45"/>
  <c r="BP70" i="45"/>
  <c r="BQ70" i="45"/>
  <c r="BR70" i="45"/>
  <c r="BS70" i="45"/>
  <c r="BT70" i="45"/>
  <c r="BU70" i="45"/>
  <c r="BV70" i="45"/>
  <c r="BW70" i="45"/>
  <c r="BX70" i="45"/>
  <c r="BY70" i="45"/>
  <c r="BZ70" i="45"/>
  <c r="CA70" i="45"/>
  <c r="CB70" i="45"/>
  <c r="CC70" i="45"/>
  <c r="CD70" i="45"/>
  <c r="CE70" i="45"/>
  <c r="CF70" i="45"/>
  <c r="CG70" i="45"/>
  <c r="CH70" i="45"/>
  <c r="CI70" i="45"/>
  <c r="CJ70" i="45"/>
  <c r="CK70" i="45"/>
  <c r="CL70" i="45"/>
  <c r="CM70" i="45"/>
  <c r="CN70" i="45"/>
  <c r="CO70" i="45"/>
  <c r="CP70" i="45"/>
  <c r="CQ70" i="45"/>
  <c r="CR70" i="45"/>
  <c r="CS70" i="45"/>
  <c r="CT70" i="45"/>
  <c r="CU70" i="45"/>
  <c r="CV70" i="45"/>
  <c r="CW70" i="45"/>
  <c r="CX70" i="45"/>
  <c r="CY70" i="45"/>
  <c r="CZ70" i="45"/>
  <c r="DA70" i="45"/>
  <c r="DB70" i="45"/>
  <c r="DC70" i="45"/>
  <c r="DD70" i="45"/>
  <c r="DE70" i="45"/>
  <c r="DF70" i="45"/>
  <c r="DG70" i="45"/>
  <c r="DH70" i="45"/>
  <c r="DI70" i="45"/>
  <c r="DJ70" i="45"/>
  <c r="DK70" i="45"/>
  <c r="DL70" i="45"/>
  <c r="DM70" i="45"/>
  <c r="DN70" i="45"/>
  <c r="DO70" i="45"/>
  <c r="DP70" i="45"/>
  <c r="DQ70" i="45"/>
  <c r="DR70" i="45"/>
  <c r="DS70" i="45"/>
  <c r="DT70" i="45"/>
  <c r="DU70" i="45"/>
  <c r="DV70" i="45"/>
  <c r="DW70" i="45"/>
  <c r="DX70" i="45"/>
  <c r="DY70" i="45"/>
  <c r="DZ70" i="45"/>
  <c r="EA70" i="45"/>
  <c r="EB70" i="45"/>
  <c r="EC70" i="45"/>
  <c r="ED70" i="45"/>
  <c r="EE70" i="45"/>
  <c r="EF70" i="45"/>
  <c r="EG70" i="45"/>
  <c r="EH70" i="45"/>
  <c r="EI70" i="45"/>
  <c r="EJ70" i="45"/>
  <c r="EK70" i="45"/>
  <c r="EL70" i="45"/>
  <c r="EM70" i="45"/>
  <c r="EN70" i="45"/>
  <c r="EO70" i="45"/>
  <c r="EP70" i="45"/>
  <c r="EQ70" i="45"/>
  <c r="ER70" i="45"/>
  <c r="ES70" i="45"/>
  <c r="ET70" i="45"/>
  <c r="EU70" i="45"/>
  <c r="EV70" i="45"/>
  <c r="EW70" i="45"/>
  <c r="EX70" i="45"/>
  <c r="EY70" i="45"/>
  <c r="EZ70" i="45"/>
  <c r="FA70" i="45"/>
  <c r="FB70" i="45"/>
  <c r="FC70" i="45"/>
  <c r="FD70" i="45"/>
  <c r="FE70" i="45"/>
  <c r="FF70" i="45"/>
  <c r="FG70" i="45"/>
  <c r="FH70" i="45"/>
  <c r="FI70" i="45"/>
  <c r="FJ70" i="45"/>
  <c r="FK70" i="45"/>
  <c r="FL70" i="45"/>
  <c r="FM70" i="45"/>
  <c r="FN70" i="45"/>
  <c r="FO70" i="45"/>
  <c r="FP70" i="45"/>
  <c r="FQ70" i="45"/>
  <c r="FR70" i="45"/>
  <c r="FS70" i="45"/>
  <c r="FT70" i="45"/>
  <c r="FU70" i="45"/>
  <c r="FV70" i="45"/>
  <c r="FW70" i="45"/>
  <c r="FX70" i="45"/>
  <c r="FY70" i="45"/>
  <c r="FZ70" i="45"/>
  <c r="GA70" i="45"/>
  <c r="GB70" i="45"/>
  <c r="GC70" i="45"/>
  <c r="GD70" i="45"/>
  <c r="GE70" i="45"/>
  <c r="GF70" i="45"/>
  <c r="GG70" i="45"/>
  <c r="GH70" i="45"/>
  <c r="GI70" i="45"/>
  <c r="GJ70" i="45"/>
  <c r="GK70" i="45"/>
  <c r="GL70" i="45"/>
  <c r="GM70" i="45"/>
  <c r="GN70" i="45"/>
  <c r="GO70" i="45"/>
  <c r="GP70" i="45"/>
  <c r="GQ70" i="45"/>
  <c r="GR70" i="45"/>
  <c r="GS70" i="45"/>
  <c r="GT70" i="45"/>
  <c r="GU70" i="45"/>
  <c r="GV70" i="45"/>
  <c r="GW70" i="45"/>
  <c r="GX70" i="45"/>
  <c r="GY70" i="45"/>
  <c r="GZ70" i="45"/>
  <c r="HA70" i="45"/>
  <c r="HB70" i="45"/>
  <c r="HC70" i="45"/>
  <c r="HD70" i="45"/>
  <c r="HE70" i="45"/>
  <c r="HF70" i="45"/>
  <c r="HG70" i="45"/>
  <c r="HH70" i="45"/>
  <c r="HI70" i="45"/>
  <c r="HJ70" i="45"/>
  <c r="HK70" i="45"/>
  <c r="HL70" i="45"/>
  <c r="HM70" i="45"/>
  <c r="HN70" i="45"/>
  <c r="HO70" i="45"/>
  <c r="HP70" i="45"/>
  <c r="HQ70" i="45"/>
  <c r="HR70" i="45"/>
  <c r="HS70" i="45"/>
  <c r="HT70" i="45"/>
  <c r="HU70" i="45"/>
  <c r="HV70" i="45"/>
  <c r="HW70" i="45"/>
  <c r="HX70" i="45"/>
  <c r="HY70" i="45"/>
  <c r="HZ70" i="45"/>
  <c r="IA70" i="45"/>
  <c r="IB70" i="45"/>
  <c r="IC70" i="45"/>
  <c r="ID70" i="45"/>
  <c r="IE70" i="45"/>
  <c r="IF70" i="45"/>
  <c r="IG70" i="45"/>
  <c r="IH70" i="45"/>
  <c r="II70" i="45"/>
  <c r="IJ70" i="45"/>
  <c r="IK70" i="45"/>
  <c r="IL70" i="45"/>
  <c r="IM70" i="45"/>
  <c r="IN70" i="45"/>
  <c r="IO70" i="45"/>
  <c r="IP70" i="45"/>
  <c r="IQ70" i="45"/>
  <c r="IR70" i="45"/>
  <c r="IS70" i="45"/>
  <c r="IT70" i="45"/>
  <c r="IU70" i="45"/>
  <c r="IV70" i="45"/>
  <c r="A69" i="45"/>
  <c r="B69" i="45"/>
  <c r="C69" i="45"/>
  <c r="D69" i="45"/>
  <c r="E69" i="45"/>
  <c r="F69" i="45"/>
  <c r="G69" i="45"/>
  <c r="H69" i="45"/>
  <c r="I69" i="45"/>
  <c r="J69" i="45"/>
  <c r="K69" i="45"/>
  <c r="L69" i="45"/>
  <c r="M69" i="45"/>
  <c r="N69" i="45"/>
  <c r="O69" i="45"/>
  <c r="P69" i="45"/>
  <c r="Q69" i="45"/>
  <c r="R69" i="45"/>
  <c r="S69" i="45"/>
  <c r="T69" i="45"/>
  <c r="U69" i="45"/>
  <c r="V69" i="45"/>
  <c r="W69" i="45"/>
  <c r="X69" i="45"/>
  <c r="Y69" i="45"/>
  <c r="Z69" i="45"/>
  <c r="AA69" i="45"/>
  <c r="AB69" i="45"/>
  <c r="AC69" i="45"/>
  <c r="AD69" i="45"/>
  <c r="AE69" i="45"/>
  <c r="AF69" i="45"/>
  <c r="AG69" i="45"/>
  <c r="AH69" i="45"/>
  <c r="AI69" i="45"/>
  <c r="AJ69" i="45"/>
  <c r="AK69" i="45"/>
  <c r="AL69" i="45"/>
  <c r="AM69" i="45"/>
  <c r="AN69" i="45"/>
  <c r="AO69" i="45"/>
  <c r="AP69" i="45"/>
  <c r="AQ69" i="45"/>
  <c r="AR69" i="45"/>
  <c r="AS69" i="45"/>
  <c r="AT69" i="45"/>
  <c r="AU69" i="45"/>
  <c r="AV69" i="45"/>
  <c r="AW69" i="45"/>
  <c r="AX69" i="45"/>
  <c r="AY69" i="45"/>
  <c r="AZ69" i="45"/>
  <c r="BA69" i="45"/>
  <c r="BB69" i="45"/>
  <c r="BC69" i="45"/>
  <c r="BD69" i="45"/>
  <c r="BE69" i="45"/>
  <c r="BF69" i="45"/>
  <c r="BG69" i="45"/>
  <c r="BH69" i="45"/>
  <c r="BI69" i="45"/>
  <c r="BJ69" i="45"/>
  <c r="BK69" i="45"/>
  <c r="BL69" i="45"/>
  <c r="BM69" i="45"/>
  <c r="BN69" i="45"/>
  <c r="BO69" i="45"/>
  <c r="BP69" i="45"/>
  <c r="BQ69" i="45"/>
  <c r="BR69" i="45"/>
  <c r="BS69" i="45"/>
  <c r="BT69" i="45"/>
  <c r="BU69" i="45"/>
  <c r="BV69" i="45"/>
  <c r="BW69" i="45"/>
  <c r="BX69" i="45"/>
  <c r="BY69" i="45"/>
  <c r="BZ69" i="45"/>
  <c r="CA69" i="45"/>
  <c r="CB69" i="45"/>
  <c r="CC69" i="45"/>
  <c r="CD69" i="45"/>
  <c r="CE69" i="45"/>
  <c r="CF69" i="45"/>
  <c r="CG69" i="45"/>
  <c r="CH69" i="45"/>
  <c r="CI69" i="45"/>
  <c r="CJ69" i="45"/>
  <c r="CK69" i="45"/>
  <c r="CL69" i="45"/>
  <c r="CM69" i="45"/>
  <c r="CN69" i="45"/>
  <c r="CO69" i="45"/>
  <c r="CP69" i="45"/>
  <c r="CQ69" i="45"/>
  <c r="CR69" i="45"/>
  <c r="CS69" i="45"/>
  <c r="CT69" i="45"/>
  <c r="CU69" i="45"/>
  <c r="CV69" i="45"/>
  <c r="CW69" i="45"/>
  <c r="CX69" i="45"/>
  <c r="CY69" i="45"/>
  <c r="CZ69" i="45"/>
  <c r="DA69" i="45"/>
  <c r="DB69" i="45"/>
  <c r="DC69" i="45"/>
  <c r="DD69" i="45"/>
  <c r="DE69" i="45"/>
  <c r="DF69" i="45"/>
  <c r="DG69" i="45"/>
  <c r="DH69" i="45"/>
  <c r="DI69" i="45"/>
  <c r="DJ69" i="45"/>
  <c r="DK69" i="45"/>
  <c r="DL69" i="45"/>
  <c r="DM69" i="45"/>
  <c r="DN69" i="45"/>
  <c r="DO69" i="45"/>
  <c r="DP69" i="45"/>
  <c r="DQ69" i="45"/>
  <c r="DR69" i="45"/>
  <c r="DS69" i="45"/>
  <c r="DT69" i="45"/>
  <c r="DU69" i="45"/>
  <c r="DV69" i="45"/>
  <c r="DW69" i="45"/>
  <c r="DX69" i="45"/>
  <c r="DY69" i="45"/>
  <c r="DZ69" i="45"/>
  <c r="EA69" i="45"/>
  <c r="EB69" i="45"/>
  <c r="EC69" i="45"/>
  <c r="ED69" i="45"/>
  <c r="EE69" i="45"/>
  <c r="EF69" i="45"/>
  <c r="EG69" i="45"/>
  <c r="EH69" i="45"/>
  <c r="EI69" i="45"/>
  <c r="EJ69" i="45"/>
  <c r="EK69" i="45"/>
  <c r="EL69" i="45"/>
  <c r="EM69" i="45"/>
  <c r="EN69" i="45"/>
  <c r="EO69" i="45"/>
  <c r="EP69" i="45"/>
  <c r="EQ69" i="45"/>
  <c r="ER69" i="45"/>
  <c r="ES69" i="45"/>
  <c r="ET69" i="45"/>
  <c r="EU69" i="45"/>
  <c r="EV69" i="45"/>
  <c r="EW69" i="45"/>
  <c r="EX69" i="45"/>
  <c r="EY69" i="45"/>
  <c r="EZ69" i="45"/>
  <c r="FA69" i="45"/>
  <c r="FB69" i="45"/>
  <c r="FC69" i="45"/>
  <c r="FD69" i="45"/>
  <c r="FE69" i="45"/>
  <c r="FF69" i="45"/>
  <c r="FG69" i="45"/>
  <c r="FH69" i="45"/>
  <c r="FI69" i="45"/>
  <c r="FJ69" i="45"/>
  <c r="FK69" i="45"/>
  <c r="FL69" i="45"/>
  <c r="FM69" i="45"/>
  <c r="FN69" i="45"/>
  <c r="FO69" i="45"/>
  <c r="FP69" i="45"/>
  <c r="FQ69" i="45"/>
  <c r="FR69" i="45"/>
  <c r="FS69" i="45"/>
  <c r="FT69" i="45"/>
  <c r="FU69" i="45"/>
  <c r="FV69" i="45"/>
  <c r="FW69" i="45"/>
  <c r="FX69" i="45"/>
  <c r="FY69" i="45"/>
  <c r="FZ69" i="45"/>
  <c r="GA69" i="45"/>
  <c r="GB69" i="45"/>
  <c r="GC69" i="45"/>
  <c r="GD69" i="45"/>
  <c r="GE69" i="45"/>
  <c r="GF69" i="45"/>
  <c r="GG69" i="45"/>
  <c r="GH69" i="45"/>
  <c r="GI69" i="45"/>
  <c r="GJ69" i="45"/>
  <c r="GK69" i="45"/>
  <c r="GL69" i="45"/>
  <c r="GM69" i="45"/>
  <c r="GN69" i="45"/>
  <c r="GO69" i="45"/>
  <c r="GP69" i="45"/>
  <c r="GQ69" i="45"/>
  <c r="GR69" i="45"/>
  <c r="GS69" i="45"/>
  <c r="GT69" i="45"/>
  <c r="GU69" i="45"/>
  <c r="GV69" i="45"/>
  <c r="GW69" i="45"/>
  <c r="GX69" i="45"/>
  <c r="GY69" i="45"/>
  <c r="GZ69" i="45"/>
  <c r="HA69" i="45"/>
  <c r="HB69" i="45"/>
  <c r="HC69" i="45"/>
  <c r="HD69" i="45"/>
  <c r="HE69" i="45"/>
  <c r="HF69" i="45"/>
  <c r="HG69" i="45"/>
  <c r="HH69" i="45"/>
  <c r="HI69" i="45"/>
  <c r="HJ69" i="45"/>
  <c r="HK69" i="45"/>
  <c r="HL69" i="45"/>
  <c r="HM69" i="45"/>
  <c r="HN69" i="45"/>
  <c r="HO69" i="45"/>
  <c r="HP69" i="45"/>
  <c r="HQ69" i="45"/>
  <c r="HR69" i="45"/>
  <c r="HS69" i="45"/>
  <c r="HT69" i="45"/>
  <c r="HU69" i="45"/>
  <c r="HV69" i="45"/>
  <c r="HW69" i="45"/>
  <c r="HX69" i="45"/>
  <c r="HY69" i="45"/>
  <c r="HZ69" i="45"/>
  <c r="IA69" i="45"/>
  <c r="IB69" i="45"/>
  <c r="IC69" i="45"/>
  <c r="ID69" i="45"/>
  <c r="IE69" i="45"/>
  <c r="IF69" i="45"/>
  <c r="IG69" i="45"/>
  <c r="IH69" i="45"/>
  <c r="II69" i="45"/>
  <c r="IJ69" i="45"/>
  <c r="IK69" i="45"/>
  <c r="IL69" i="45"/>
  <c r="IM69" i="45"/>
  <c r="IN69" i="45"/>
  <c r="IO69" i="45"/>
  <c r="IP69" i="45"/>
  <c r="IQ69" i="45"/>
  <c r="IR69" i="45"/>
  <c r="IS69" i="45"/>
  <c r="IT69" i="45"/>
  <c r="IU69" i="45"/>
  <c r="IV69" i="45"/>
  <c r="A68" i="45"/>
  <c r="B68" i="45"/>
  <c r="C68" i="45"/>
  <c r="D68" i="45"/>
  <c r="E68" i="45"/>
  <c r="F68" i="45"/>
  <c r="G68" i="45"/>
  <c r="H68" i="45"/>
  <c r="I68" i="45"/>
  <c r="J68" i="45"/>
  <c r="K68" i="45"/>
  <c r="L68" i="45"/>
  <c r="M68" i="45"/>
  <c r="N68" i="45"/>
  <c r="O68" i="45"/>
  <c r="P68" i="45"/>
  <c r="Q68" i="45"/>
  <c r="R68" i="45"/>
  <c r="S68" i="45"/>
  <c r="T68" i="45"/>
  <c r="U68" i="45"/>
  <c r="V68" i="45"/>
  <c r="W68" i="45"/>
  <c r="X68" i="45"/>
  <c r="Y68" i="45"/>
  <c r="Z68" i="45"/>
  <c r="AA68" i="45"/>
  <c r="AB68" i="45"/>
  <c r="AC68" i="45"/>
  <c r="AD68" i="45"/>
  <c r="AE68" i="45"/>
  <c r="AF68" i="45"/>
  <c r="AG68" i="45"/>
  <c r="AH68" i="45"/>
  <c r="AI68" i="45"/>
  <c r="AJ68" i="45"/>
  <c r="AK68" i="45"/>
  <c r="AL68" i="45"/>
  <c r="AM68" i="45"/>
  <c r="AN68" i="45"/>
  <c r="AO68" i="45"/>
  <c r="AP68" i="45"/>
  <c r="AQ68" i="45"/>
  <c r="AR68" i="45"/>
  <c r="AS68" i="45"/>
  <c r="AT68" i="45"/>
  <c r="AU68" i="45"/>
  <c r="AV68" i="45"/>
  <c r="AW68" i="45"/>
  <c r="AX68" i="45"/>
  <c r="AY68" i="45"/>
  <c r="AZ68" i="45"/>
  <c r="BA68" i="45"/>
  <c r="BB68" i="45"/>
  <c r="BC68" i="45"/>
  <c r="BD68" i="45"/>
  <c r="BE68" i="45"/>
  <c r="BF68" i="45"/>
  <c r="BG68" i="45"/>
  <c r="BH68" i="45"/>
  <c r="BI68" i="45"/>
  <c r="BJ68" i="45"/>
  <c r="BK68" i="45"/>
  <c r="BL68" i="45"/>
  <c r="BM68" i="45"/>
  <c r="BN68" i="45"/>
  <c r="BO68" i="45"/>
  <c r="BP68" i="45"/>
  <c r="BQ68" i="45"/>
  <c r="BR68" i="45"/>
  <c r="BS68" i="45"/>
  <c r="BT68" i="45"/>
  <c r="BU68" i="45"/>
  <c r="BV68" i="45"/>
  <c r="BW68" i="45"/>
  <c r="BX68" i="45"/>
  <c r="BY68" i="45"/>
  <c r="BZ68" i="45"/>
  <c r="CA68" i="45"/>
  <c r="CB68" i="45"/>
  <c r="CC68" i="45"/>
  <c r="CD68" i="45"/>
  <c r="CE68" i="45"/>
  <c r="CF68" i="45"/>
  <c r="CG68" i="45"/>
  <c r="CH68" i="45"/>
  <c r="CI68" i="45"/>
  <c r="CJ68" i="45"/>
  <c r="CK68" i="45"/>
  <c r="CL68" i="45"/>
  <c r="CM68" i="45"/>
  <c r="CN68" i="45"/>
  <c r="CO68" i="45"/>
  <c r="CP68" i="45"/>
  <c r="CQ68" i="45"/>
  <c r="CR68" i="45"/>
  <c r="CS68" i="45"/>
  <c r="CT68" i="45"/>
  <c r="CU68" i="45"/>
  <c r="CV68" i="45"/>
  <c r="CW68" i="45"/>
  <c r="CX68" i="45"/>
  <c r="CY68" i="45"/>
  <c r="CZ68" i="45"/>
  <c r="DA68" i="45"/>
  <c r="DB68" i="45"/>
  <c r="DC68" i="45"/>
  <c r="DD68" i="45"/>
  <c r="DE68" i="45"/>
  <c r="DF68" i="45"/>
  <c r="DG68" i="45"/>
  <c r="DH68" i="45"/>
  <c r="DI68" i="45"/>
  <c r="DJ68" i="45"/>
  <c r="DK68" i="45"/>
  <c r="DL68" i="45"/>
  <c r="DM68" i="45"/>
  <c r="DN68" i="45"/>
  <c r="DO68" i="45"/>
  <c r="DP68" i="45"/>
  <c r="DQ68" i="45"/>
  <c r="DR68" i="45"/>
  <c r="DS68" i="45"/>
  <c r="DT68" i="45"/>
  <c r="DU68" i="45"/>
  <c r="DV68" i="45"/>
  <c r="DW68" i="45"/>
  <c r="DX68" i="45"/>
  <c r="DY68" i="45"/>
  <c r="DZ68" i="45"/>
  <c r="EA68" i="45"/>
  <c r="EB68" i="45"/>
  <c r="EC68" i="45"/>
  <c r="ED68" i="45"/>
  <c r="EE68" i="45"/>
  <c r="EF68" i="45"/>
  <c r="EG68" i="45"/>
  <c r="EH68" i="45"/>
  <c r="EI68" i="45"/>
  <c r="EJ68" i="45"/>
  <c r="EK68" i="45"/>
  <c r="EL68" i="45"/>
  <c r="EM68" i="45"/>
  <c r="EN68" i="45"/>
  <c r="EO68" i="45"/>
  <c r="EP68" i="45"/>
  <c r="EQ68" i="45"/>
  <c r="ER68" i="45"/>
  <c r="ES68" i="45"/>
  <c r="ET68" i="45"/>
  <c r="EU68" i="45"/>
  <c r="EV68" i="45"/>
  <c r="EW68" i="45"/>
  <c r="EX68" i="45"/>
  <c r="EY68" i="45"/>
  <c r="EZ68" i="45"/>
  <c r="FA68" i="45"/>
  <c r="FB68" i="45"/>
  <c r="FC68" i="45"/>
  <c r="FD68" i="45"/>
  <c r="FE68" i="45"/>
  <c r="FF68" i="45"/>
  <c r="FG68" i="45"/>
  <c r="FH68" i="45"/>
  <c r="FI68" i="45"/>
  <c r="FJ68" i="45"/>
  <c r="FK68" i="45"/>
  <c r="FL68" i="45"/>
  <c r="FM68" i="45"/>
  <c r="FN68" i="45"/>
  <c r="FO68" i="45"/>
  <c r="FP68" i="45"/>
  <c r="FQ68" i="45"/>
  <c r="FR68" i="45"/>
  <c r="FS68" i="45"/>
  <c r="FT68" i="45"/>
  <c r="FU68" i="45"/>
  <c r="FV68" i="45"/>
  <c r="FW68" i="45"/>
  <c r="FX68" i="45"/>
  <c r="FY68" i="45"/>
  <c r="FZ68" i="45"/>
  <c r="GA68" i="45"/>
  <c r="GB68" i="45"/>
  <c r="GC68" i="45"/>
  <c r="GD68" i="45"/>
  <c r="GE68" i="45"/>
  <c r="GF68" i="45"/>
  <c r="GG68" i="45"/>
  <c r="GH68" i="45"/>
  <c r="GI68" i="45"/>
  <c r="GJ68" i="45"/>
  <c r="GK68" i="45"/>
  <c r="GL68" i="45"/>
  <c r="GM68" i="45"/>
  <c r="GN68" i="45"/>
  <c r="GO68" i="45"/>
  <c r="GP68" i="45"/>
  <c r="GQ68" i="45"/>
  <c r="GR68" i="45"/>
  <c r="GS68" i="45"/>
  <c r="GT68" i="45"/>
  <c r="GU68" i="45"/>
  <c r="GV68" i="45"/>
  <c r="GW68" i="45"/>
  <c r="GX68" i="45"/>
  <c r="GY68" i="45"/>
  <c r="GZ68" i="45"/>
  <c r="HA68" i="45"/>
  <c r="HB68" i="45"/>
  <c r="HC68" i="45"/>
  <c r="HD68" i="45"/>
  <c r="HE68" i="45"/>
  <c r="HF68" i="45"/>
  <c r="HG68" i="45"/>
  <c r="HH68" i="45"/>
  <c r="HI68" i="45"/>
  <c r="HJ68" i="45"/>
  <c r="HK68" i="45"/>
  <c r="HL68" i="45"/>
  <c r="HM68" i="45"/>
  <c r="HN68" i="45"/>
  <c r="HO68" i="45"/>
  <c r="HP68" i="45"/>
  <c r="HQ68" i="45"/>
  <c r="HR68" i="45"/>
  <c r="HS68" i="45"/>
  <c r="HT68" i="45"/>
  <c r="HU68" i="45"/>
  <c r="HV68" i="45"/>
  <c r="HW68" i="45"/>
  <c r="HX68" i="45"/>
  <c r="HY68" i="45"/>
  <c r="HZ68" i="45"/>
  <c r="IA68" i="45"/>
  <c r="IB68" i="45"/>
  <c r="IC68" i="45"/>
  <c r="ID68" i="45"/>
  <c r="IE68" i="45"/>
  <c r="IF68" i="45"/>
  <c r="IG68" i="45"/>
  <c r="IH68" i="45"/>
  <c r="II68" i="45"/>
  <c r="IJ68" i="45"/>
  <c r="IK68" i="45"/>
  <c r="IL68" i="45"/>
  <c r="IM68" i="45"/>
  <c r="IN68" i="45"/>
  <c r="IO68" i="45"/>
  <c r="IP68" i="45"/>
  <c r="IQ68" i="45"/>
  <c r="IR68" i="45"/>
  <c r="IS68" i="45"/>
  <c r="IT68" i="45"/>
  <c r="IU68" i="45"/>
  <c r="IV68" i="45"/>
  <c r="A67" i="45"/>
  <c r="B67" i="45"/>
  <c r="C67" i="45"/>
  <c r="D67" i="45"/>
  <c r="E67" i="45"/>
  <c r="F67" i="45"/>
  <c r="G67" i="45"/>
  <c r="H67" i="45"/>
  <c r="I67" i="45"/>
  <c r="J67" i="45"/>
  <c r="K67" i="45"/>
  <c r="L67" i="45"/>
  <c r="M67" i="45"/>
  <c r="N67" i="45"/>
  <c r="O67" i="45"/>
  <c r="P67" i="45"/>
  <c r="Q67" i="45"/>
  <c r="R67" i="45"/>
  <c r="S67" i="45"/>
  <c r="T67" i="45"/>
  <c r="U67" i="45"/>
  <c r="V67" i="45"/>
  <c r="W67" i="45"/>
  <c r="X67" i="45"/>
  <c r="Y67" i="45"/>
  <c r="Z67" i="45"/>
  <c r="AA67" i="45"/>
  <c r="AB67" i="45"/>
  <c r="AC67" i="45"/>
  <c r="AD67" i="45"/>
  <c r="AE67" i="45"/>
  <c r="AF67" i="45"/>
  <c r="AG67" i="45"/>
  <c r="AH67" i="45"/>
  <c r="AI67" i="45"/>
  <c r="AJ67" i="45"/>
  <c r="AK67" i="45"/>
  <c r="AL67" i="45"/>
  <c r="AM67" i="45"/>
  <c r="AN67" i="45"/>
  <c r="AO67" i="45"/>
  <c r="AP67" i="45"/>
  <c r="AQ67" i="45"/>
  <c r="AR67" i="45"/>
  <c r="AS67" i="45"/>
  <c r="AT67" i="45"/>
  <c r="AU67" i="45"/>
  <c r="AV67" i="45"/>
  <c r="AW67" i="45"/>
  <c r="AX67" i="45"/>
  <c r="AY67" i="45"/>
  <c r="AZ67" i="45"/>
  <c r="BA67" i="45"/>
  <c r="BB67" i="45"/>
  <c r="BC67" i="45"/>
  <c r="BD67" i="45"/>
  <c r="BE67" i="45"/>
  <c r="BF67" i="45"/>
  <c r="BG67" i="45"/>
  <c r="BH67" i="45"/>
  <c r="BI67" i="45"/>
  <c r="BJ67" i="45"/>
  <c r="BK67" i="45"/>
  <c r="BL67" i="45"/>
  <c r="BM67" i="45"/>
  <c r="BN67" i="45"/>
  <c r="BO67" i="45"/>
  <c r="BP67" i="45"/>
  <c r="BQ67" i="45"/>
  <c r="BR67" i="45"/>
  <c r="BS67" i="45"/>
  <c r="BT67" i="45"/>
  <c r="BU67" i="45"/>
  <c r="BV67" i="45"/>
  <c r="BW67" i="45"/>
  <c r="BX67" i="45"/>
  <c r="BY67" i="45"/>
  <c r="BZ67" i="45"/>
  <c r="CA67" i="45"/>
  <c r="CB67" i="45"/>
  <c r="CC67" i="45"/>
  <c r="CD67" i="45"/>
  <c r="CE67" i="45"/>
  <c r="CF67" i="45"/>
  <c r="CG67" i="45"/>
  <c r="CH67" i="45"/>
  <c r="CI67" i="45"/>
  <c r="CJ67" i="45"/>
  <c r="CK67" i="45"/>
  <c r="CL67" i="45"/>
  <c r="CM67" i="45"/>
  <c r="CN67" i="45"/>
  <c r="CO67" i="45"/>
  <c r="CP67" i="45"/>
  <c r="CQ67" i="45"/>
  <c r="CR67" i="45"/>
  <c r="CS67" i="45"/>
  <c r="CT67" i="45"/>
  <c r="CU67" i="45"/>
  <c r="CV67" i="45"/>
  <c r="CW67" i="45"/>
  <c r="CX67" i="45"/>
  <c r="CY67" i="45"/>
  <c r="CZ67" i="45"/>
  <c r="DA67" i="45"/>
  <c r="DB67" i="45"/>
  <c r="DC67" i="45"/>
  <c r="DD67" i="45"/>
  <c r="DE67" i="45"/>
  <c r="DF67" i="45"/>
  <c r="DG67" i="45"/>
  <c r="DH67" i="45"/>
  <c r="DI67" i="45"/>
  <c r="DJ67" i="45"/>
  <c r="DK67" i="45"/>
  <c r="DL67" i="45"/>
  <c r="DM67" i="45"/>
  <c r="DN67" i="45"/>
  <c r="DO67" i="45"/>
  <c r="DP67" i="45"/>
  <c r="DQ67" i="45"/>
  <c r="DR67" i="45"/>
  <c r="DS67" i="45"/>
  <c r="DT67" i="45"/>
  <c r="DU67" i="45"/>
  <c r="DV67" i="45"/>
  <c r="DW67" i="45"/>
  <c r="DX67" i="45"/>
  <c r="DY67" i="45"/>
  <c r="DZ67" i="45"/>
  <c r="EA67" i="45"/>
  <c r="EB67" i="45"/>
  <c r="EC67" i="45"/>
  <c r="ED67" i="45"/>
  <c r="EE67" i="45"/>
  <c r="EF67" i="45"/>
  <c r="EG67" i="45"/>
  <c r="EH67" i="45"/>
  <c r="EI67" i="45"/>
  <c r="EJ67" i="45"/>
  <c r="EK67" i="45"/>
  <c r="EL67" i="45"/>
  <c r="EM67" i="45"/>
  <c r="EN67" i="45"/>
  <c r="EO67" i="45"/>
  <c r="EP67" i="45"/>
  <c r="EQ67" i="45"/>
  <c r="ER67" i="45"/>
  <c r="ES67" i="45"/>
  <c r="ET67" i="45"/>
  <c r="EU67" i="45"/>
  <c r="EV67" i="45"/>
  <c r="EW67" i="45"/>
  <c r="EX67" i="45"/>
  <c r="EY67" i="45"/>
  <c r="EZ67" i="45"/>
  <c r="FA67" i="45"/>
  <c r="FB67" i="45"/>
  <c r="FC67" i="45"/>
  <c r="FD67" i="45"/>
  <c r="FE67" i="45"/>
  <c r="FF67" i="45"/>
  <c r="FG67" i="45"/>
  <c r="FH67" i="45"/>
  <c r="FI67" i="45"/>
  <c r="FJ67" i="45"/>
  <c r="FK67" i="45"/>
  <c r="FL67" i="45"/>
  <c r="FM67" i="45"/>
  <c r="FN67" i="45"/>
  <c r="FO67" i="45"/>
  <c r="FP67" i="45"/>
  <c r="FQ67" i="45"/>
  <c r="FR67" i="45"/>
  <c r="FS67" i="45"/>
  <c r="FT67" i="45"/>
  <c r="FU67" i="45"/>
  <c r="FV67" i="45"/>
  <c r="FW67" i="45"/>
  <c r="FX67" i="45"/>
  <c r="FY67" i="45"/>
  <c r="FZ67" i="45"/>
  <c r="GA67" i="45"/>
  <c r="GB67" i="45"/>
  <c r="GC67" i="45"/>
  <c r="GD67" i="45"/>
  <c r="GE67" i="45"/>
  <c r="GF67" i="45"/>
  <c r="GG67" i="45"/>
  <c r="GH67" i="45"/>
  <c r="GI67" i="45"/>
  <c r="GJ67" i="45"/>
  <c r="GK67" i="45"/>
  <c r="GL67" i="45"/>
  <c r="GM67" i="45"/>
  <c r="GN67" i="45"/>
  <c r="GO67" i="45"/>
  <c r="GP67" i="45"/>
  <c r="GQ67" i="45"/>
  <c r="GR67" i="45"/>
  <c r="GS67" i="45"/>
  <c r="GT67" i="45"/>
  <c r="GU67" i="45"/>
  <c r="GV67" i="45"/>
  <c r="GW67" i="45"/>
  <c r="GX67" i="45"/>
  <c r="GY67" i="45"/>
  <c r="GZ67" i="45"/>
  <c r="HA67" i="45"/>
  <c r="HB67" i="45"/>
  <c r="HC67" i="45"/>
  <c r="HD67" i="45"/>
  <c r="HE67" i="45"/>
  <c r="HF67" i="45"/>
  <c r="HG67" i="45"/>
  <c r="HH67" i="45"/>
  <c r="HI67" i="45"/>
  <c r="HJ67" i="45"/>
  <c r="HK67" i="45"/>
  <c r="HL67" i="45"/>
  <c r="HM67" i="45"/>
  <c r="HN67" i="45"/>
  <c r="HO67" i="45"/>
  <c r="HP67" i="45"/>
  <c r="HQ67" i="45"/>
  <c r="HR67" i="45"/>
  <c r="HS67" i="45"/>
  <c r="HT67" i="45"/>
  <c r="HU67" i="45"/>
  <c r="HV67" i="45"/>
  <c r="HW67" i="45"/>
  <c r="HX67" i="45"/>
  <c r="HY67" i="45"/>
  <c r="HZ67" i="45"/>
  <c r="IA67" i="45"/>
  <c r="IB67" i="45"/>
  <c r="IC67" i="45"/>
  <c r="ID67" i="45"/>
  <c r="IE67" i="45"/>
  <c r="IF67" i="45"/>
  <c r="IG67" i="45"/>
  <c r="IH67" i="45"/>
  <c r="II67" i="45"/>
  <c r="IJ67" i="45"/>
  <c r="IK67" i="45"/>
  <c r="IL67" i="45"/>
  <c r="IM67" i="45"/>
  <c r="IN67" i="45"/>
  <c r="IO67" i="45"/>
  <c r="IP67" i="45"/>
  <c r="IQ67" i="45"/>
  <c r="IR67" i="45"/>
  <c r="IS67" i="45"/>
  <c r="IT67" i="45"/>
  <c r="IU67" i="45"/>
  <c r="IV67" i="45"/>
  <c r="A66" i="45"/>
  <c r="B66" i="45"/>
  <c r="C66" i="45"/>
  <c r="D66" i="45"/>
  <c r="E66" i="45"/>
  <c r="F66" i="45"/>
  <c r="G66" i="45"/>
  <c r="H66" i="45"/>
  <c r="I66" i="45"/>
  <c r="J66" i="45"/>
  <c r="K66" i="45"/>
  <c r="L66" i="45"/>
  <c r="M66" i="45"/>
  <c r="N66" i="45"/>
  <c r="O66" i="45"/>
  <c r="P66" i="45"/>
  <c r="Q66" i="45"/>
  <c r="R66" i="45"/>
  <c r="S66" i="45"/>
  <c r="T66" i="45"/>
  <c r="U66" i="45"/>
  <c r="V66" i="45"/>
  <c r="W66" i="45"/>
  <c r="X66" i="45"/>
  <c r="Y66" i="45"/>
  <c r="Z66" i="45"/>
  <c r="AA66" i="45"/>
  <c r="AB66" i="45"/>
  <c r="AC66" i="45"/>
  <c r="AD66" i="45"/>
  <c r="AE66" i="45"/>
  <c r="AF66" i="45"/>
  <c r="AG66" i="45"/>
  <c r="AH66" i="45"/>
  <c r="AI66" i="45"/>
  <c r="AJ66" i="45"/>
  <c r="AK66" i="45"/>
  <c r="AL66" i="45"/>
  <c r="AM66" i="45"/>
  <c r="AN66" i="45"/>
  <c r="AO66" i="45"/>
  <c r="AP66" i="45"/>
  <c r="AQ66" i="45"/>
  <c r="AR66" i="45"/>
  <c r="AS66" i="45"/>
  <c r="AT66" i="45"/>
  <c r="AU66" i="45"/>
  <c r="AV66" i="45"/>
  <c r="AW66" i="45"/>
  <c r="AX66" i="45"/>
  <c r="AY66" i="45"/>
  <c r="AZ66" i="45"/>
  <c r="BA66" i="45"/>
  <c r="BB66" i="45"/>
  <c r="BC66" i="45"/>
  <c r="BD66" i="45"/>
  <c r="BE66" i="45"/>
  <c r="BF66" i="45"/>
  <c r="BG66" i="45"/>
  <c r="BH66" i="45"/>
  <c r="BI66" i="45"/>
  <c r="BJ66" i="45"/>
  <c r="BK66" i="45"/>
  <c r="BL66" i="45"/>
  <c r="BM66" i="45"/>
  <c r="BN66" i="45"/>
  <c r="BO66" i="45"/>
  <c r="BP66" i="45"/>
  <c r="BQ66" i="45"/>
  <c r="BR66" i="45"/>
  <c r="BS66" i="45"/>
  <c r="BT66" i="45"/>
  <c r="BU66" i="45"/>
  <c r="BV66" i="45"/>
  <c r="BW66" i="45"/>
  <c r="BX66" i="45"/>
  <c r="BY66" i="45"/>
  <c r="BZ66" i="45"/>
  <c r="CA66" i="45"/>
  <c r="CB66" i="45"/>
  <c r="CC66" i="45"/>
  <c r="CD66" i="45"/>
  <c r="CE66" i="45"/>
  <c r="CF66" i="45"/>
  <c r="CG66" i="45"/>
  <c r="CH66" i="45"/>
  <c r="CI66" i="45"/>
  <c r="CJ66" i="45"/>
  <c r="CK66" i="45"/>
  <c r="CL66" i="45"/>
  <c r="CM66" i="45"/>
  <c r="CN66" i="45"/>
  <c r="CO66" i="45"/>
  <c r="CP66" i="45"/>
  <c r="CQ66" i="45"/>
  <c r="CR66" i="45"/>
  <c r="CS66" i="45"/>
  <c r="CT66" i="45"/>
  <c r="CU66" i="45"/>
  <c r="CV66" i="45"/>
  <c r="CW66" i="45"/>
  <c r="CX66" i="45"/>
  <c r="CY66" i="45"/>
  <c r="CZ66" i="45"/>
  <c r="DA66" i="45"/>
  <c r="DB66" i="45"/>
  <c r="DC66" i="45"/>
  <c r="DD66" i="45"/>
  <c r="DE66" i="45"/>
  <c r="DF66" i="45"/>
  <c r="DG66" i="45"/>
  <c r="DH66" i="45"/>
  <c r="DI66" i="45"/>
  <c r="DJ66" i="45"/>
  <c r="DK66" i="45"/>
  <c r="DL66" i="45"/>
  <c r="DM66" i="45"/>
  <c r="DN66" i="45"/>
  <c r="DO66" i="45"/>
  <c r="DP66" i="45"/>
  <c r="DQ66" i="45"/>
  <c r="DR66" i="45"/>
  <c r="DS66" i="45"/>
  <c r="DT66" i="45"/>
  <c r="DU66" i="45"/>
  <c r="DV66" i="45"/>
  <c r="DW66" i="45"/>
  <c r="DX66" i="45"/>
  <c r="DY66" i="45"/>
  <c r="DZ66" i="45"/>
  <c r="EA66" i="45"/>
  <c r="EB66" i="45"/>
  <c r="EC66" i="45"/>
  <c r="ED66" i="45"/>
  <c r="EE66" i="45"/>
  <c r="EF66" i="45"/>
  <c r="EG66" i="45"/>
  <c r="EH66" i="45"/>
  <c r="EI66" i="45"/>
  <c r="EJ66" i="45"/>
  <c r="EK66" i="45"/>
  <c r="EL66" i="45"/>
  <c r="EM66" i="45"/>
  <c r="EN66" i="45"/>
  <c r="EO66" i="45"/>
  <c r="EP66" i="45"/>
  <c r="EQ66" i="45"/>
  <c r="ER66" i="45"/>
  <c r="ES66" i="45"/>
  <c r="ET66" i="45"/>
  <c r="EU66" i="45"/>
  <c r="EV66" i="45"/>
  <c r="EW66" i="45"/>
  <c r="EX66" i="45"/>
  <c r="EY66" i="45"/>
  <c r="EZ66" i="45"/>
  <c r="FA66" i="45"/>
  <c r="FB66" i="45"/>
  <c r="FC66" i="45"/>
  <c r="FD66" i="45"/>
  <c r="FE66" i="45"/>
  <c r="FF66" i="45"/>
  <c r="FG66" i="45"/>
  <c r="FH66" i="45"/>
  <c r="FI66" i="45"/>
  <c r="FJ66" i="45"/>
  <c r="FK66" i="45"/>
  <c r="FL66" i="45"/>
  <c r="FM66" i="45"/>
  <c r="FN66" i="45"/>
  <c r="FO66" i="45"/>
  <c r="FP66" i="45"/>
  <c r="FQ66" i="45"/>
  <c r="FR66" i="45"/>
  <c r="FS66" i="45"/>
  <c r="FT66" i="45"/>
  <c r="FU66" i="45"/>
  <c r="FV66" i="45"/>
  <c r="FW66" i="45"/>
  <c r="FX66" i="45"/>
  <c r="FY66" i="45"/>
  <c r="FZ66" i="45"/>
  <c r="GA66" i="45"/>
  <c r="GB66" i="45"/>
  <c r="GC66" i="45"/>
  <c r="GD66" i="45"/>
  <c r="GE66" i="45"/>
  <c r="GF66" i="45"/>
  <c r="GG66" i="45"/>
  <c r="GH66" i="45"/>
  <c r="GI66" i="45"/>
  <c r="GJ66" i="45"/>
  <c r="GK66" i="45"/>
  <c r="GL66" i="45"/>
  <c r="GM66" i="45"/>
  <c r="GN66" i="45"/>
  <c r="GO66" i="45"/>
  <c r="GP66" i="45"/>
  <c r="GQ66" i="45"/>
  <c r="GR66" i="45"/>
  <c r="GS66" i="45"/>
  <c r="GT66" i="45"/>
  <c r="GU66" i="45"/>
  <c r="GV66" i="45"/>
  <c r="GW66" i="45"/>
  <c r="GX66" i="45"/>
  <c r="GY66" i="45"/>
  <c r="GZ66" i="45"/>
  <c r="HA66" i="45"/>
  <c r="HB66" i="45"/>
  <c r="HC66" i="45"/>
  <c r="HD66" i="45"/>
  <c r="HE66" i="45"/>
  <c r="HF66" i="45"/>
  <c r="HG66" i="45"/>
  <c r="HH66" i="45"/>
  <c r="HI66" i="45"/>
  <c r="HJ66" i="45"/>
  <c r="HK66" i="45"/>
  <c r="HL66" i="45"/>
  <c r="HM66" i="45"/>
  <c r="HN66" i="45"/>
  <c r="HO66" i="45"/>
  <c r="HP66" i="45"/>
  <c r="HQ66" i="45"/>
  <c r="HR66" i="45"/>
  <c r="HS66" i="45"/>
  <c r="HT66" i="45"/>
  <c r="HU66" i="45"/>
  <c r="HV66" i="45"/>
  <c r="HW66" i="45"/>
  <c r="HX66" i="45"/>
  <c r="HY66" i="45"/>
  <c r="HZ66" i="45"/>
  <c r="IA66" i="45"/>
  <c r="IB66" i="45"/>
  <c r="IC66" i="45"/>
  <c r="ID66" i="45"/>
  <c r="IE66" i="45"/>
  <c r="IF66" i="45"/>
  <c r="IG66" i="45"/>
  <c r="IH66" i="45"/>
  <c r="II66" i="45"/>
  <c r="IJ66" i="45"/>
  <c r="IK66" i="45"/>
  <c r="IL66" i="45"/>
  <c r="IM66" i="45"/>
  <c r="IN66" i="45"/>
  <c r="IO66" i="45"/>
  <c r="IP66" i="45"/>
  <c r="IQ66" i="45"/>
  <c r="IR66" i="45"/>
  <c r="IS66" i="45"/>
  <c r="IT66" i="45"/>
  <c r="IU66" i="45"/>
  <c r="IV66" i="45"/>
  <c r="A65" i="45"/>
  <c r="B65" i="45"/>
  <c r="C65" i="45"/>
  <c r="D65" i="45"/>
  <c r="E65" i="45"/>
  <c r="F65" i="45"/>
  <c r="G65" i="45"/>
  <c r="H65" i="45"/>
  <c r="I65" i="45"/>
  <c r="J65" i="45"/>
  <c r="K65" i="45"/>
  <c r="L65" i="45"/>
  <c r="M65" i="45"/>
  <c r="N65" i="45"/>
  <c r="O65" i="45"/>
  <c r="P65" i="45"/>
  <c r="Q65" i="45"/>
  <c r="R65" i="45"/>
  <c r="S65" i="45"/>
  <c r="T65" i="45"/>
  <c r="U65" i="45"/>
  <c r="V65" i="45"/>
  <c r="W65" i="45"/>
  <c r="X65" i="45"/>
  <c r="Y65" i="45"/>
  <c r="Z65" i="45"/>
  <c r="AA65" i="45"/>
  <c r="AB65" i="45"/>
  <c r="AC65" i="45"/>
  <c r="AD65" i="45"/>
  <c r="AE65" i="45"/>
  <c r="AF65" i="45"/>
  <c r="AG65" i="45"/>
  <c r="AH65" i="45"/>
  <c r="AI65" i="45"/>
  <c r="AJ65" i="45"/>
  <c r="AK65" i="45"/>
  <c r="AL65" i="45"/>
  <c r="AM65" i="45"/>
  <c r="AN65" i="45"/>
  <c r="AO65" i="45"/>
  <c r="AP65" i="45"/>
  <c r="AQ65" i="45"/>
  <c r="AR65" i="45"/>
  <c r="AS65" i="45"/>
  <c r="AT65" i="45"/>
  <c r="AU65" i="45"/>
  <c r="AV65" i="45"/>
  <c r="AW65" i="45"/>
  <c r="AX65" i="45"/>
  <c r="AY65" i="45"/>
  <c r="AZ65" i="45"/>
  <c r="BA65" i="45"/>
  <c r="BB65" i="45"/>
  <c r="BC65" i="45"/>
  <c r="BD65" i="45"/>
  <c r="BE65" i="45"/>
  <c r="BF65" i="45"/>
  <c r="BG65" i="45"/>
  <c r="BH65" i="45"/>
  <c r="BI65" i="45"/>
  <c r="BJ65" i="45"/>
  <c r="BK65" i="45"/>
  <c r="BL65" i="45"/>
  <c r="BM65" i="45"/>
  <c r="BN65" i="45"/>
  <c r="BO65" i="45"/>
  <c r="BP65" i="45"/>
  <c r="BQ65" i="45"/>
  <c r="BR65" i="45"/>
  <c r="BS65" i="45"/>
  <c r="BT65" i="45"/>
  <c r="BU65" i="45"/>
  <c r="BV65" i="45"/>
  <c r="BW65" i="45"/>
  <c r="BX65" i="45"/>
  <c r="BY65" i="45"/>
  <c r="BZ65" i="45"/>
  <c r="CA65" i="45"/>
  <c r="CB65" i="45"/>
  <c r="CC65" i="45"/>
  <c r="CD65" i="45"/>
  <c r="CE65" i="45"/>
  <c r="CF65" i="45"/>
  <c r="CG65" i="45"/>
  <c r="CH65" i="45"/>
  <c r="CI65" i="45"/>
  <c r="CJ65" i="45"/>
  <c r="CK65" i="45"/>
  <c r="CL65" i="45"/>
  <c r="CM65" i="45"/>
  <c r="CN65" i="45"/>
  <c r="CO65" i="45"/>
  <c r="CP65" i="45"/>
  <c r="CQ65" i="45"/>
  <c r="CR65" i="45"/>
  <c r="CS65" i="45"/>
  <c r="CT65" i="45"/>
  <c r="CU65" i="45"/>
  <c r="CV65" i="45"/>
  <c r="CW65" i="45"/>
  <c r="CX65" i="45"/>
  <c r="CY65" i="45"/>
  <c r="CZ65" i="45"/>
  <c r="DA65" i="45"/>
  <c r="DB65" i="45"/>
  <c r="DC65" i="45"/>
  <c r="DD65" i="45"/>
  <c r="DE65" i="45"/>
  <c r="DF65" i="45"/>
  <c r="DG65" i="45"/>
  <c r="DH65" i="45"/>
  <c r="DI65" i="45"/>
  <c r="DJ65" i="45"/>
  <c r="DK65" i="45"/>
  <c r="DL65" i="45"/>
  <c r="DM65" i="45"/>
  <c r="DN65" i="45"/>
  <c r="DO65" i="45"/>
  <c r="DP65" i="45"/>
  <c r="DQ65" i="45"/>
  <c r="DR65" i="45"/>
  <c r="DS65" i="45"/>
  <c r="DT65" i="45"/>
  <c r="DU65" i="45"/>
  <c r="DV65" i="45"/>
  <c r="DW65" i="45"/>
  <c r="DX65" i="45"/>
  <c r="DY65" i="45"/>
  <c r="DZ65" i="45"/>
  <c r="EA65" i="45"/>
  <c r="EB65" i="45"/>
  <c r="EC65" i="45"/>
  <c r="ED65" i="45"/>
  <c r="EE65" i="45"/>
  <c r="EF65" i="45"/>
  <c r="EG65" i="45"/>
  <c r="EH65" i="45"/>
  <c r="EI65" i="45"/>
  <c r="EJ65" i="45"/>
  <c r="EK65" i="45"/>
  <c r="EL65" i="45"/>
  <c r="EM65" i="45"/>
  <c r="EN65" i="45"/>
  <c r="EO65" i="45"/>
  <c r="EP65" i="45"/>
  <c r="EQ65" i="45"/>
  <c r="ER65" i="45"/>
  <c r="ES65" i="45"/>
  <c r="ET65" i="45"/>
  <c r="EU65" i="45"/>
  <c r="EV65" i="45"/>
  <c r="EW65" i="45"/>
  <c r="EX65" i="45"/>
  <c r="EY65" i="45"/>
  <c r="EZ65" i="45"/>
  <c r="FA65" i="45"/>
  <c r="FB65" i="45"/>
  <c r="FC65" i="45"/>
  <c r="FD65" i="45"/>
  <c r="FE65" i="45"/>
  <c r="FF65" i="45"/>
  <c r="FG65" i="45"/>
  <c r="FH65" i="45"/>
  <c r="FI65" i="45"/>
  <c r="FJ65" i="45"/>
  <c r="FK65" i="45"/>
  <c r="FL65" i="45"/>
  <c r="FM65" i="45"/>
  <c r="FN65" i="45"/>
  <c r="FO65" i="45"/>
  <c r="FP65" i="45"/>
  <c r="FQ65" i="45"/>
  <c r="FR65" i="45"/>
  <c r="FS65" i="45"/>
  <c r="FT65" i="45"/>
  <c r="FU65" i="45"/>
  <c r="FV65" i="45"/>
  <c r="FW65" i="45"/>
  <c r="FX65" i="45"/>
  <c r="FY65" i="45"/>
  <c r="FZ65" i="45"/>
  <c r="GA65" i="45"/>
  <c r="GB65" i="45"/>
  <c r="GC65" i="45"/>
  <c r="GD65" i="45"/>
  <c r="GE65" i="45"/>
  <c r="GF65" i="45"/>
  <c r="GG65" i="45"/>
  <c r="GH65" i="45"/>
  <c r="GI65" i="45"/>
  <c r="GJ65" i="45"/>
  <c r="GK65" i="45"/>
  <c r="GL65" i="45"/>
  <c r="GM65" i="45"/>
  <c r="GN65" i="45"/>
  <c r="GO65" i="45"/>
  <c r="GP65" i="45"/>
  <c r="GQ65" i="45"/>
  <c r="GR65" i="45"/>
  <c r="GS65" i="45"/>
  <c r="GT65" i="45"/>
  <c r="GU65" i="45"/>
  <c r="GV65" i="45"/>
  <c r="GW65" i="45"/>
  <c r="GX65" i="45"/>
  <c r="GY65" i="45"/>
  <c r="GZ65" i="45"/>
  <c r="HA65" i="45"/>
  <c r="HB65" i="45"/>
  <c r="HC65" i="45"/>
  <c r="HD65" i="45"/>
  <c r="HE65" i="45"/>
  <c r="HF65" i="45"/>
  <c r="HG65" i="45"/>
  <c r="HH65" i="45"/>
  <c r="HI65" i="45"/>
  <c r="HJ65" i="45"/>
  <c r="HK65" i="45"/>
  <c r="HL65" i="45"/>
  <c r="HM65" i="45"/>
  <c r="HN65" i="45"/>
  <c r="HO65" i="45"/>
  <c r="HP65" i="45"/>
  <c r="HQ65" i="45"/>
  <c r="HR65" i="45"/>
  <c r="HS65" i="45"/>
  <c r="HT65" i="45"/>
  <c r="HU65" i="45"/>
  <c r="HV65" i="45"/>
  <c r="HW65" i="45"/>
  <c r="HX65" i="45"/>
  <c r="HY65" i="45"/>
  <c r="HZ65" i="45"/>
  <c r="IA65" i="45"/>
  <c r="IB65" i="45"/>
  <c r="IC65" i="45"/>
  <c r="ID65" i="45"/>
  <c r="IE65" i="45"/>
  <c r="IF65" i="45"/>
  <c r="IG65" i="45"/>
  <c r="IH65" i="45"/>
  <c r="II65" i="45"/>
  <c r="IJ65" i="45"/>
  <c r="IK65" i="45"/>
  <c r="IL65" i="45"/>
  <c r="IM65" i="45"/>
  <c r="IN65" i="45"/>
  <c r="IO65" i="45"/>
  <c r="IP65" i="45"/>
  <c r="IQ65" i="45"/>
  <c r="IR65" i="45"/>
  <c r="IS65" i="45"/>
  <c r="IT65" i="45"/>
  <c r="IU65" i="45"/>
  <c r="IV65" i="45"/>
  <c r="A64" i="45"/>
  <c r="B64" i="45"/>
  <c r="C64" i="45"/>
  <c r="D64" i="45"/>
  <c r="E64" i="45"/>
  <c r="F64" i="45"/>
  <c r="G64" i="45"/>
  <c r="H64" i="45"/>
  <c r="I64" i="45"/>
  <c r="J64" i="45"/>
  <c r="K64" i="45"/>
  <c r="L64" i="45"/>
  <c r="M64" i="45"/>
  <c r="N64" i="45"/>
  <c r="O64" i="45"/>
  <c r="P64" i="45"/>
  <c r="Q64" i="45"/>
  <c r="R64" i="45"/>
  <c r="S64" i="45"/>
  <c r="T64" i="45"/>
  <c r="U64" i="45"/>
  <c r="V64" i="45"/>
  <c r="W64" i="45"/>
  <c r="X64" i="45"/>
  <c r="Y64" i="45"/>
  <c r="Z64" i="45"/>
  <c r="AA64" i="45"/>
  <c r="AB64" i="45"/>
  <c r="AC64" i="45"/>
  <c r="AD64" i="45"/>
  <c r="AE64" i="45"/>
  <c r="AF64" i="45"/>
  <c r="AG64" i="45"/>
  <c r="AH64" i="45"/>
  <c r="AI64" i="45"/>
  <c r="AJ64" i="45"/>
  <c r="AK64" i="45"/>
  <c r="AL64" i="45"/>
  <c r="AM64" i="45"/>
  <c r="AN64" i="45"/>
  <c r="AO64" i="45"/>
  <c r="AP64" i="45"/>
  <c r="AQ64" i="45"/>
  <c r="AR64" i="45"/>
  <c r="AS64" i="45"/>
  <c r="AT64" i="45"/>
  <c r="AU64" i="45"/>
  <c r="AV64" i="45"/>
  <c r="AW64" i="45"/>
  <c r="AX64" i="45"/>
  <c r="AY64" i="45"/>
  <c r="AZ64" i="45"/>
  <c r="BA64" i="45"/>
  <c r="BB64" i="45"/>
  <c r="BC64" i="45"/>
  <c r="BD64" i="45"/>
  <c r="BE64" i="45"/>
  <c r="BF64" i="45"/>
  <c r="BG64" i="45"/>
  <c r="BH64" i="45"/>
  <c r="BI64" i="45"/>
  <c r="BJ64" i="45"/>
  <c r="BK64" i="45"/>
  <c r="BL64" i="45"/>
  <c r="BM64" i="45"/>
  <c r="BN64" i="45"/>
  <c r="BO64" i="45"/>
  <c r="BP64" i="45"/>
  <c r="BQ64" i="45"/>
  <c r="BR64" i="45"/>
  <c r="BS64" i="45"/>
  <c r="BT64" i="45"/>
  <c r="BU64" i="45"/>
  <c r="BV64" i="45"/>
  <c r="BW64" i="45"/>
  <c r="BX64" i="45"/>
  <c r="BY64" i="45"/>
  <c r="BZ64" i="45"/>
  <c r="CA64" i="45"/>
  <c r="CB64" i="45"/>
  <c r="CC64" i="45"/>
  <c r="CD64" i="45"/>
  <c r="CE64" i="45"/>
  <c r="CF64" i="45"/>
  <c r="CG64" i="45"/>
  <c r="CH64" i="45"/>
  <c r="CI64" i="45"/>
  <c r="CJ64" i="45"/>
  <c r="CK64" i="45"/>
  <c r="CL64" i="45"/>
  <c r="CM64" i="45"/>
  <c r="CN64" i="45"/>
  <c r="CO64" i="45"/>
  <c r="CP64" i="45"/>
  <c r="CQ64" i="45"/>
  <c r="CR64" i="45"/>
  <c r="CS64" i="45"/>
  <c r="CT64" i="45"/>
  <c r="CU64" i="45"/>
  <c r="CV64" i="45"/>
  <c r="CW64" i="45"/>
  <c r="CX64" i="45"/>
  <c r="CY64" i="45"/>
  <c r="CZ64" i="45"/>
  <c r="DA64" i="45"/>
  <c r="DB64" i="45"/>
  <c r="DC64" i="45"/>
  <c r="DD64" i="45"/>
  <c r="DE64" i="45"/>
  <c r="DF64" i="45"/>
  <c r="DG64" i="45"/>
  <c r="DH64" i="45"/>
  <c r="DI64" i="45"/>
  <c r="DJ64" i="45"/>
  <c r="DK64" i="45"/>
  <c r="DL64" i="45"/>
  <c r="DM64" i="45"/>
  <c r="DN64" i="45"/>
  <c r="DO64" i="45"/>
  <c r="DP64" i="45"/>
  <c r="DQ64" i="45"/>
  <c r="DR64" i="45"/>
  <c r="DS64" i="45"/>
  <c r="DT64" i="45"/>
  <c r="DU64" i="45"/>
  <c r="DV64" i="45"/>
  <c r="DW64" i="45"/>
  <c r="DX64" i="45"/>
  <c r="DY64" i="45"/>
  <c r="DZ64" i="45"/>
  <c r="EA64" i="45"/>
  <c r="EB64" i="45"/>
  <c r="EC64" i="45"/>
  <c r="ED64" i="45"/>
  <c r="EE64" i="45"/>
  <c r="EF64" i="45"/>
  <c r="EG64" i="45"/>
  <c r="EH64" i="45"/>
  <c r="EI64" i="45"/>
  <c r="EJ64" i="45"/>
  <c r="EK64" i="45"/>
  <c r="EL64" i="45"/>
  <c r="EM64" i="45"/>
  <c r="EN64" i="45"/>
  <c r="EO64" i="45"/>
  <c r="EP64" i="45"/>
  <c r="EQ64" i="45"/>
  <c r="ER64" i="45"/>
  <c r="ES64" i="45"/>
  <c r="ET64" i="45"/>
  <c r="EU64" i="45"/>
  <c r="EV64" i="45"/>
  <c r="EW64" i="45"/>
  <c r="EX64" i="45"/>
  <c r="EY64" i="45"/>
  <c r="EZ64" i="45"/>
  <c r="FA64" i="45"/>
  <c r="FB64" i="45"/>
  <c r="FC64" i="45"/>
  <c r="FD64" i="45"/>
  <c r="FE64" i="45"/>
  <c r="FF64" i="45"/>
  <c r="FG64" i="45"/>
  <c r="FH64" i="45"/>
  <c r="FI64" i="45"/>
  <c r="FJ64" i="45"/>
  <c r="FK64" i="45"/>
  <c r="FL64" i="45"/>
  <c r="FM64" i="45"/>
  <c r="FN64" i="45"/>
  <c r="FO64" i="45"/>
  <c r="FP64" i="45"/>
  <c r="FQ64" i="45"/>
  <c r="FR64" i="45"/>
  <c r="FS64" i="45"/>
  <c r="FT64" i="45"/>
  <c r="FU64" i="45"/>
  <c r="FV64" i="45"/>
  <c r="FW64" i="45"/>
  <c r="FX64" i="45"/>
  <c r="FY64" i="45"/>
  <c r="FZ64" i="45"/>
  <c r="GA64" i="45"/>
  <c r="GB64" i="45"/>
  <c r="GC64" i="45"/>
  <c r="GD64" i="45"/>
  <c r="GE64" i="45"/>
  <c r="GF64" i="45"/>
  <c r="GG64" i="45"/>
  <c r="GH64" i="45"/>
  <c r="GI64" i="45"/>
  <c r="GJ64" i="45"/>
  <c r="GK64" i="45"/>
  <c r="GL64" i="45"/>
  <c r="GM64" i="45"/>
  <c r="GN64" i="45"/>
  <c r="GO64" i="45"/>
  <c r="GP64" i="45"/>
  <c r="GQ64" i="45"/>
  <c r="GR64" i="45"/>
  <c r="GS64" i="45"/>
  <c r="GT64" i="45"/>
  <c r="GU64" i="45"/>
  <c r="GV64" i="45"/>
  <c r="GW64" i="45"/>
  <c r="GX64" i="45"/>
  <c r="GY64" i="45"/>
  <c r="GZ64" i="45"/>
  <c r="HA64" i="45"/>
  <c r="HB64" i="45"/>
  <c r="HC64" i="45"/>
  <c r="HD64" i="45"/>
  <c r="HE64" i="45"/>
  <c r="HF64" i="45"/>
  <c r="HG64" i="45"/>
  <c r="HH64" i="45"/>
  <c r="HI64" i="45"/>
  <c r="HJ64" i="45"/>
  <c r="HK64" i="45"/>
  <c r="HL64" i="45"/>
  <c r="HM64" i="45"/>
  <c r="HN64" i="45"/>
  <c r="HO64" i="45"/>
  <c r="HP64" i="45"/>
  <c r="HQ64" i="45"/>
  <c r="HR64" i="45"/>
  <c r="HS64" i="45"/>
  <c r="HT64" i="45"/>
  <c r="HU64" i="45"/>
  <c r="HV64" i="45"/>
  <c r="HW64" i="45"/>
  <c r="HX64" i="45"/>
  <c r="HY64" i="45"/>
  <c r="HZ64" i="45"/>
  <c r="IA64" i="45"/>
  <c r="IB64" i="45"/>
  <c r="IC64" i="45"/>
  <c r="ID64" i="45"/>
  <c r="IE64" i="45"/>
  <c r="IF64" i="45"/>
  <c r="IG64" i="45"/>
  <c r="IH64" i="45"/>
  <c r="II64" i="45"/>
  <c r="IJ64" i="45"/>
  <c r="IK64" i="45"/>
  <c r="IL64" i="45"/>
  <c r="IM64" i="45"/>
  <c r="IN64" i="45"/>
  <c r="IO64" i="45"/>
  <c r="IP64" i="45"/>
  <c r="IQ64" i="45"/>
  <c r="IR64" i="45"/>
  <c r="IS64" i="45"/>
  <c r="IT64" i="45"/>
  <c r="IU64" i="45"/>
  <c r="IV64" i="45"/>
  <c r="A63" i="45"/>
  <c r="B63" i="45"/>
  <c r="C63" i="45"/>
  <c r="D63" i="45"/>
  <c r="E63" i="45"/>
  <c r="F63" i="45"/>
  <c r="G63" i="45"/>
  <c r="H63" i="45"/>
  <c r="I63" i="45"/>
  <c r="J63" i="45"/>
  <c r="K63" i="45"/>
  <c r="L63" i="45"/>
  <c r="M63" i="45"/>
  <c r="N63" i="45"/>
  <c r="O63" i="45"/>
  <c r="P63" i="45"/>
  <c r="Q63" i="45"/>
  <c r="R63" i="45"/>
  <c r="S63" i="45"/>
  <c r="T63" i="45"/>
  <c r="U63" i="45"/>
  <c r="V63" i="45"/>
  <c r="W63" i="45"/>
  <c r="X63" i="45"/>
  <c r="Y63" i="45"/>
  <c r="Z63" i="45"/>
  <c r="AA63" i="45"/>
  <c r="AB63" i="45"/>
  <c r="AC63" i="45"/>
  <c r="AD63" i="45"/>
  <c r="AE63" i="45"/>
  <c r="AF63" i="45"/>
  <c r="AG63" i="45"/>
  <c r="AH63" i="45"/>
  <c r="AI63" i="45"/>
  <c r="AJ63" i="45"/>
  <c r="AK63" i="45"/>
  <c r="AL63" i="45"/>
  <c r="AM63" i="45"/>
  <c r="AN63" i="45"/>
  <c r="AO63" i="45"/>
  <c r="AP63" i="45"/>
  <c r="AQ63" i="45"/>
  <c r="AR63" i="45"/>
  <c r="AS63" i="45"/>
  <c r="AT63" i="45"/>
  <c r="AU63" i="45"/>
  <c r="AV63" i="45"/>
  <c r="AW63" i="45"/>
  <c r="AX63" i="45"/>
  <c r="AY63" i="45"/>
  <c r="AZ63" i="45"/>
  <c r="BA63" i="45"/>
  <c r="BB63" i="45"/>
  <c r="BC63" i="45"/>
  <c r="BD63" i="45"/>
  <c r="BE63" i="45"/>
  <c r="BF63" i="45"/>
  <c r="BG63" i="45"/>
  <c r="BH63" i="45"/>
  <c r="BI63" i="45"/>
  <c r="BJ63" i="45"/>
  <c r="BK63" i="45"/>
  <c r="BL63" i="45"/>
  <c r="BM63" i="45"/>
  <c r="BN63" i="45"/>
  <c r="BO63" i="45"/>
  <c r="BP63" i="45"/>
  <c r="BQ63" i="45"/>
  <c r="BR63" i="45"/>
  <c r="BS63" i="45"/>
  <c r="BT63" i="45"/>
  <c r="BU63" i="45"/>
  <c r="BV63" i="45"/>
  <c r="BW63" i="45"/>
  <c r="BX63" i="45"/>
  <c r="BY63" i="45"/>
  <c r="BZ63" i="45"/>
  <c r="CA63" i="45"/>
  <c r="CB63" i="45"/>
  <c r="CC63" i="45"/>
  <c r="CD63" i="45"/>
  <c r="CE63" i="45"/>
  <c r="CF63" i="45"/>
  <c r="CG63" i="45"/>
  <c r="CH63" i="45"/>
  <c r="CI63" i="45"/>
  <c r="CJ63" i="45"/>
  <c r="CK63" i="45"/>
  <c r="CL63" i="45"/>
  <c r="CM63" i="45"/>
  <c r="CN63" i="45"/>
  <c r="CO63" i="45"/>
  <c r="CP63" i="45"/>
  <c r="CQ63" i="45"/>
  <c r="CR63" i="45"/>
  <c r="CS63" i="45"/>
  <c r="CT63" i="45"/>
  <c r="CU63" i="45"/>
  <c r="CV63" i="45"/>
  <c r="CW63" i="45"/>
  <c r="CX63" i="45"/>
  <c r="CY63" i="45"/>
  <c r="CZ63" i="45"/>
  <c r="DA63" i="45"/>
  <c r="DB63" i="45"/>
  <c r="DC63" i="45"/>
  <c r="DD63" i="45"/>
  <c r="DE63" i="45"/>
  <c r="DF63" i="45"/>
  <c r="DG63" i="45"/>
  <c r="DH63" i="45"/>
  <c r="DI63" i="45"/>
  <c r="DJ63" i="45"/>
  <c r="DK63" i="45"/>
  <c r="DL63" i="45"/>
  <c r="DM63" i="45"/>
  <c r="DN63" i="45"/>
  <c r="DO63" i="45"/>
  <c r="DP63" i="45"/>
  <c r="DQ63" i="45"/>
  <c r="DR63" i="45"/>
  <c r="DS63" i="45"/>
  <c r="DT63" i="45"/>
  <c r="DU63" i="45"/>
  <c r="DV63" i="45"/>
  <c r="DW63" i="45"/>
  <c r="DX63" i="45"/>
  <c r="DY63" i="45"/>
  <c r="DZ63" i="45"/>
  <c r="EA63" i="45"/>
  <c r="EB63" i="45"/>
  <c r="EC63" i="45"/>
  <c r="ED63" i="45"/>
  <c r="EE63" i="45"/>
  <c r="EF63" i="45"/>
  <c r="EG63" i="45"/>
  <c r="EH63" i="45"/>
  <c r="EI63" i="45"/>
  <c r="EJ63" i="45"/>
  <c r="EK63" i="45"/>
  <c r="EL63" i="45"/>
  <c r="EM63" i="45"/>
  <c r="EN63" i="45"/>
  <c r="EO63" i="45"/>
  <c r="EP63" i="45"/>
  <c r="EQ63" i="45"/>
  <c r="ER63" i="45"/>
  <c r="ES63" i="45"/>
  <c r="ET63" i="45"/>
  <c r="EU63" i="45"/>
  <c r="EV63" i="45"/>
  <c r="EW63" i="45"/>
  <c r="EX63" i="45"/>
  <c r="EY63" i="45"/>
  <c r="EZ63" i="45"/>
  <c r="FA63" i="45"/>
  <c r="FB63" i="45"/>
  <c r="FC63" i="45"/>
  <c r="FD63" i="45"/>
  <c r="FE63" i="45"/>
  <c r="FF63" i="45"/>
  <c r="FG63" i="45"/>
  <c r="FH63" i="45"/>
  <c r="FI63" i="45"/>
  <c r="FJ63" i="45"/>
  <c r="FK63" i="45"/>
  <c r="FL63" i="45"/>
  <c r="FM63" i="45"/>
  <c r="FN63" i="45"/>
  <c r="FO63" i="45"/>
  <c r="FP63" i="45"/>
  <c r="FQ63" i="45"/>
  <c r="FR63" i="45"/>
  <c r="FS63" i="45"/>
  <c r="FT63" i="45"/>
  <c r="FU63" i="45"/>
  <c r="FV63" i="45"/>
  <c r="FW63" i="45"/>
  <c r="FX63" i="45"/>
  <c r="FY63" i="45"/>
  <c r="FZ63" i="45"/>
  <c r="GA63" i="45"/>
  <c r="GB63" i="45"/>
  <c r="GC63" i="45"/>
  <c r="GD63" i="45"/>
  <c r="GE63" i="45"/>
  <c r="GF63" i="45"/>
  <c r="GG63" i="45"/>
  <c r="GH63" i="45"/>
  <c r="GI63" i="45"/>
  <c r="GJ63" i="45"/>
  <c r="GK63" i="45"/>
  <c r="GL63" i="45"/>
  <c r="GM63" i="45"/>
  <c r="GN63" i="45"/>
  <c r="GO63" i="45"/>
  <c r="GP63" i="45"/>
  <c r="GQ63" i="45"/>
  <c r="GR63" i="45"/>
  <c r="GS63" i="45"/>
  <c r="GT63" i="45"/>
  <c r="GU63" i="45"/>
  <c r="GV63" i="45"/>
  <c r="GW63" i="45"/>
  <c r="GX63" i="45"/>
  <c r="GY63" i="45"/>
  <c r="GZ63" i="45"/>
  <c r="HA63" i="45"/>
  <c r="HB63" i="45"/>
  <c r="HC63" i="45"/>
  <c r="HD63" i="45"/>
  <c r="HE63" i="45"/>
  <c r="HF63" i="45"/>
  <c r="HG63" i="45"/>
  <c r="HH63" i="45"/>
  <c r="HI63" i="45"/>
  <c r="HJ63" i="45"/>
  <c r="HK63" i="45"/>
  <c r="HL63" i="45"/>
  <c r="HM63" i="45"/>
  <c r="HN63" i="45"/>
  <c r="HO63" i="45"/>
  <c r="HP63" i="45"/>
  <c r="HQ63" i="45"/>
  <c r="HR63" i="45"/>
  <c r="HS63" i="45"/>
  <c r="HT63" i="45"/>
  <c r="HU63" i="45"/>
  <c r="HV63" i="45"/>
  <c r="HW63" i="45"/>
  <c r="HX63" i="45"/>
  <c r="HY63" i="45"/>
  <c r="HZ63" i="45"/>
  <c r="IA63" i="45"/>
  <c r="IB63" i="45"/>
  <c r="IC63" i="45"/>
  <c r="ID63" i="45"/>
  <c r="IE63" i="45"/>
  <c r="IF63" i="45"/>
  <c r="IG63" i="45"/>
  <c r="IH63" i="45"/>
  <c r="II63" i="45"/>
  <c r="IJ63" i="45"/>
  <c r="IK63" i="45"/>
  <c r="IL63" i="45"/>
  <c r="IM63" i="45"/>
  <c r="IN63" i="45"/>
  <c r="IO63" i="45"/>
  <c r="IP63" i="45"/>
  <c r="IQ63" i="45"/>
  <c r="IR63" i="45"/>
  <c r="IS63" i="45"/>
  <c r="IT63" i="45"/>
  <c r="IU63" i="45"/>
  <c r="IV63" i="45"/>
  <c r="A62" i="45"/>
  <c r="B62" i="45"/>
  <c r="C62" i="45"/>
  <c r="D62" i="45"/>
  <c r="E62" i="45"/>
  <c r="F62" i="45"/>
  <c r="G62" i="45"/>
  <c r="H62" i="45"/>
  <c r="I62" i="45"/>
  <c r="J62" i="45"/>
  <c r="K62" i="45"/>
  <c r="L62" i="45"/>
  <c r="M62" i="45"/>
  <c r="N62" i="45"/>
  <c r="O62" i="45"/>
  <c r="P62" i="45"/>
  <c r="Q62" i="45"/>
  <c r="R62" i="45"/>
  <c r="S62" i="45"/>
  <c r="T62" i="45"/>
  <c r="U62" i="45"/>
  <c r="V62" i="45"/>
  <c r="W62" i="45"/>
  <c r="X62" i="45"/>
  <c r="Y62" i="45"/>
  <c r="Z62" i="45"/>
  <c r="AA62" i="45"/>
  <c r="AB62" i="45"/>
  <c r="AC62" i="45"/>
  <c r="AD62" i="45"/>
  <c r="AE62" i="45"/>
  <c r="AF62" i="45"/>
  <c r="AG62" i="45"/>
  <c r="AH62" i="45"/>
  <c r="AI62" i="45"/>
  <c r="AJ62" i="45"/>
  <c r="AK62" i="45"/>
  <c r="AL62" i="45"/>
  <c r="AM62" i="45"/>
  <c r="AN62" i="45"/>
  <c r="AO62" i="45"/>
  <c r="AP62" i="45"/>
  <c r="AQ62" i="45"/>
  <c r="AR62" i="45"/>
  <c r="AS62" i="45"/>
  <c r="AT62" i="45"/>
  <c r="AU62" i="45"/>
  <c r="AV62" i="45"/>
  <c r="AW62" i="45"/>
  <c r="AX62" i="45"/>
  <c r="AY62" i="45"/>
  <c r="AZ62" i="45"/>
  <c r="BA62" i="45"/>
  <c r="BB62" i="45"/>
  <c r="BC62" i="45"/>
  <c r="BD62" i="45"/>
  <c r="BE62" i="45"/>
  <c r="BF62" i="45"/>
  <c r="BG62" i="45"/>
  <c r="BH62" i="45"/>
  <c r="BI62" i="45"/>
  <c r="BJ62" i="45"/>
  <c r="BK62" i="45"/>
  <c r="BL62" i="45"/>
  <c r="BM62" i="45"/>
  <c r="BN62" i="45"/>
  <c r="BO62" i="45"/>
  <c r="BP62" i="45"/>
  <c r="BQ62" i="45"/>
  <c r="BR62" i="45"/>
  <c r="BS62" i="45"/>
  <c r="BT62" i="45"/>
  <c r="BU62" i="45"/>
  <c r="BV62" i="45"/>
  <c r="BW62" i="45"/>
  <c r="BX62" i="45"/>
  <c r="BY62" i="45"/>
  <c r="BZ62" i="45"/>
  <c r="CA62" i="45"/>
  <c r="CB62" i="45"/>
  <c r="CC62" i="45"/>
  <c r="CD62" i="45"/>
  <c r="CE62" i="45"/>
  <c r="CF62" i="45"/>
  <c r="CG62" i="45"/>
  <c r="CH62" i="45"/>
  <c r="CI62" i="45"/>
  <c r="CJ62" i="45"/>
  <c r="CK62" i="45"/>
  <c r="CL62" i="45"/>
  <c r="CM62" i="45"/>
  <c r="CN62" i="45"/>
  <c r="CO62" i="45"/>
  <c r="CP62" i="45"/>
  <c r="CQ62" i="45"/>
  <c r="CR62" i="45"/>
  <c r="CS62" i="45"/>
  <c r="CT62" i="45"/>
  <c r="CU62" i="45"/>
  <c r="CV62" i="45"/>
  <c r="CW62" i="45"/>
  <c r="CX62" i="45"/>
  <c r="CY62" i="45"/>
  <c r="CZ62" i="45"/>
  <c r="DA62" i="45"/>
  <c r="DB62" i="45"/>
  <c r="DC62" i="45"/>
  <c r="DD62" i="45"/>
  <c r="DE62" i="45"/>
  <c r="DF62" i="45"/>
  <c r="DG62" i="45"/>
  <c r="DH62" i="45"/>
  <c r="DI62" i="45"/>
  <c r="DJ62" i="45"/>
  <c r="DK62" i="45"/>
  <c r="DL62" i="45"/>
  <c r="DM62" i="45"/>
  <c r="DN62" i="45"/>
  <c r="DO62" i="45"/>
  <c r="DP62" i="45"/>
  <c r="DQ62" i="45"/>
  <c r="DR62" i="45"/>
  <c r="DS62" i="45"/>
  <c r="DT62" i="45"/>
  <c r="DU62" i="45"/>
  <c r="DV62" i="45"/>
  <c r="DW62" i="45"/>
  <c r="DX62" i="45"/>
  <c r="DY62" i="45"/>
  <c r="DZ62" i="45"/>
  <c r="EA62" i="45"/>
  <c r="EB62" i="45"/>
  <c r="EC62" i="45"/>
  <c r="ED62" i="45"/>
  <c r="EE62" i="45"/>
  <c r="EF62" i="45"/>
  <c r="EG62" i="45"/>
  <c r="EH62" i="45"/>
  <c r="EI62" i="45"/>
  <c r="EJ62" i="45"/>
  <c r="EK62" i="45"/>
  <c r="EL62" i="45"/>
  <c r="EM62" i="45"/>
  <c r="EN62" i="45"/>
  <c r="EO62" i="45"/>
  <c r="EP62" i="45"/>
  <c r="EQ62" i="45"/>
  <c r="ER62" i="45"/>
  <c r="ES62" i="45"/>
  <c r="ET62" i="45"/>
  <c r="EU62" i="45"/>
  <c r="EV62" i="45"/>
  <c r="EW62" i="45"/>
  <c r="EX62" i="45"/>
  <c r="EY62" i="45"/>
  <c r="EZ62" i="45"/>
  <c r="FA62" i="45"/>
  <c r="FB62" i="45"/>
  <c r="FC62" i="45"/>
  <c r="FD62" i="45"/>
  <c r="FE62" i="45"/>
  <c r="FF62" i="45"/>
  <c r="FG62" i="45"/>
  <c r="FH62" i="45"/>
  <c r="FI62" i="45"/>
  <c r="FJ62" i="45"/>
  <c r="FK62" i="45"/>
  <c r="FL62" i="45"/>
  <c r="FM62" i="45"/>
  <c r="FN62" i="45"/>
  <c r="FO62" i="45"/>
  <c r="FP62" i="45"/>
  <c r="FQ62" i="45"/>
  <c r="FR62" i="45"/>
  <c r="FS62" i="45"/>
  <c r="FT62" i="45"/>
  <c r="FU62" i="45"/>
  <c r="FV62" i="45"/>
  <c r="FW62" i="45"/>
  <c r="FX62" i="45"/>
  <c r="FY62" i="45"/>
  <c r="FZ62" i="45"/>
  <c r="GA62" i="45"/>
  <c r="GB62" i="45"/>
  <c r="GC62" i="45"/>
  <c r="GD62" i="45"/>
  <c r="GE62" i="45"/>
  <c r="GF62" i="45"/>
  <c r="GG62" i="45"/>
  <c r="GH62" i="45"/>
  <c r="GI62" i="45"/>
  <c r="GJ62" i="45"/>
  <c r="GK62" i="45"/>
  <c r="GL62" i="45"/>
  <c r="GM62" i="45"/>
  <c r="GN62" i="45"/>
  <c r="GO62" i="45"/>
  <c r="GP62" i="45"/>
  <c r="GQ62" i="45"/>
  <c r="GR62" i="45"/>
  <c r="GS62" i="45"/>
  <c r="GT62" i="45"/>
  <c r="GU62" i="45"/>
  <c r="GV62" i="45"/>
  <c r="GW62" i="45"/>
  <c r="GX62" i="45"/>
  <c r="GY62" i="45"/>
  <c r="GZ62" i="45"/>
  <c r="HA62" i="45"/>
  <c r="HB62" i="45"/>
  <c r="HC62" i="45"/>
  <c r="HD62" i="45"/>
  <c r="HE62" i="45"/>
  <c r="HF62" i="45"/>
  <c r="HG62" i="45"/>
  <c r="HH62" i="45"/>
  <c r="HI62" i="45"/>
  <c r="HJ62" i="45"/>
  <c r="HK62" i="45"/>
  <c r="HL62" i="45"/>
  <c r="HM62" i="45"/>
  <c r="HN62" i="45"/>
  <c r="HO62" i="45"/>
  <c r="HP62" i="45"/>
  <c r="HQ62" i="45"/>
  <c r="HR62" i="45"/>
  <c r="HS62" i="45"/>
  <c r="HT62" i="45"/>
  <c r="HU62" i="45"/>
  <c r="HV62" i="45"/>
  <c r="HW62" i="45"/>
  <c r="HX62" i="45"/>
  <c r="HY62" i="45"/>
  <c r="HZ62" i="45"/>
  <c r="IA62" i="45"/>
  <c r="IB62" i="45"/>
  <c r="IC62" i="45"/>
  <c r="ID62" i="45"/>
  <c r="IE62" i="45"/>
  <c r="IF62" i="45"/>
  <c r="IG62" i="45"/>
  <c r="IH62" i="45"/>
  <c r="II62" i="45"/>
  <c r="IJ62" i="45"/>
  <c r="IK62" i="45"/>
  <c r="IL62" i="45"/>
  <c r="IM62" i="45"/>
  <c r="IN62" i="45"/>
  <c r="IO62" i="45"/>
  <c r="IP62" i="45"/>
  <c r="IQ62" i="45"/>
  <c r="IR62" i="45"/>
  <c r="IS62" i="45"/>
  <c r="IT62" i="45"/>
  <c r="IU62" i="45"/>
  <c r="IV62" i="45"/>
  <c r="A61" i="45"/>
  <c r="B61" i="45"/>
  <c r="C61" i="45"/>
  <c r="D61" i="45"/>
  <c r="E61" i="45"/>
  <c r="F61" i="45"/>
  <c r="G61" i="45"/>
  <c r="H61" i="45"/>
  <c r="I61" i="45"/>
  <c r="J61" i="45"/>
  <c r="K61" i="45"/>
  <c r="L61" i="45"/>
  <c r="M61" i="45"/>
  <c r="N61" i="45"/>
  <c r="O61" i="45"/>
  <c r="P61" i="45"/>
  <c r="Q61" i="45"/>
  <c r="R61" i="45"/>
  <c r="S61" i="45"/>
  <c r="T61" i="45"/>
  <c r="U61" i="45"/>
  <c r="V61" i="45"/>
  <c r="W61" i="45"/>
  <c r="X61" i="45"/>
  <c r="Y61" i="45"/>
  <c r="Z61" i="45"/>
  <c r="AA61" i="45"/>
  <c r="AB61" i="45"/>
  <c r="AC61" i="45"/>
  <c r="AD61" i="45"/>
  <c r="AE61" i="45"/>
  <c r="AF61" i="45"/>
  <c r="AG61" i="45"/>
  <c r="AH61" i="45"/>
  <c r="AI61" i="45"/>
  <c r="AJ61" i="45"/>
  <c r="AK61" i="45"/>
  <c r="AL61" i="45"/>
  <c r="AM61" i="45"/>
  <c r="AN61" i="45"/>
  <c r="AO61" i="45"/>
  <c r="AP61" i="45"/>
  <c r="AQ61" i="45"/>
  <c r="AR61" i="45"/>
  <c r="AS61" i="45"/>
  <c r="AT61" i="45"/>
  <c r="AU61" i="45"/>
  <c r="AV61" i="45"/>
  <c r="AW61" i="45"/>
  <c r="AX61" i="45"/>
  <c r="AY61" i="45"/>
  <c r="AZ61" i="45"/>
  <c r="BA61" i="45"/>
  <c r="BB61" i="45"/>
  <c r="BC61" i="45"/>
  <c r="BD61" i="45"/>
  <c r="BE61" i="45"/>
  <c r="BF61" i="45"/>
  <c r="BG61" i="45"/>
  <c r="BH61" i="45"/>
  <c r="BI61" i="45"/>
  <c r="BJ61" i="45"/>
  <c r="BK61" i="45"/>
  <c r="BL61" i="45"/>
  <c r="BM61" i="45"/>
  <c r="BN61" i="45"/>
  <c r="BO61" i="45"/>
  <c r="BP61" i="45"/>
  <c r="BQ61" i="45"/>
  <c r="BR61" i="45"/>
  <c r="BS61" i="45"/>
  <c r="BT61" i="45"/>
  <c r="BU61" i="45"/>
  <c r="BV61" i="45"/>
  <c r="BW61" i="45"/>
  <c r="BX61" i="45"/>
  <c r="BY61" i="45"/>
  <c r="BZ61" i="45"/>
  <c r="CA61" i="45"/>
  <c r="CB61" i="45"/>
  <c r="CC61" i="45"/>
  <c r="CD61" i="45"/>
  <c r="CE61" i="45"/>
  <c r="CF61" i="45"/>
  <c r="CG61" i="45"/>
  <c r="CH61" i="45"/>
  <c r="CI61" i="45"/>
  <c r="CJ61" i="45"/>
  <c r="CK61" i="45"/>
  <c r="CL61" i="45"/>
  <c r="CM61" i="45"/>
  <c r="CN61" i="45"/>
  <c r="CO61" i="45"/>
  <c r="CP61" i="45"/>
  <c r="CQ61" i="45"/>
  <c r="CR61" i="45"/>
  <c r="CS61" i="45"/>
  <c r="CT61" i="45"/>
  <c r="CU61" i="45"/>
  <c r="CV61" i="45"/>
  <c r="CW61" i="45"/>
  <c r="CX61" i="45"/>
  <c r="CY61" i="45"/>
  <c r="CZ61" i="45"/>
  <c r="DA61" i="45"/>
  <c r="DB61" i="45"/>
  <c r="DC61" i="45"/>
  <c r="DD61" i="45"/>
  <c r="DE61" i="45"/>
  <c r="DF61" i="45"/>
  <c r="DG61" i="45"/>
  <c r="DH61" i="45"/>
  <c r="DI61" i="45"/>
  <c r="DJ61" i="45"/>
  <c r="DK61" i="45"/>
  <c r="DL61" i="45"/>
  <c r="DM61" i="45"/>
  <c r="DN61" i="45"/>
  <c r="DO61" i="45"/>
  <c r="DP61" i="45"/>
  <c r="DQ61" i="45"/>
  <c r="DR61" i="45"/>
  <c r="DS61" i="45"/>
  <c r="DT61" i="45"/>
  <c r="DU61" i="45"/>
  <c r="DV61" i="45"/>
  <c r="DW61" i="45"/>
  <c r="DX61" i="45"/>
  <c r="DY61" i="45"/>
  <c r="DZ61" i="45"/>
  <c r="EA61" i="45"/>
  <c r="EB61" i="45"/>
  <c r="EC61" i="45"/>
  <c r="ED61" i="45"/>
  <c r="EE61" i="45"/>
  <c r="EF61" i="45"/>
  <c r="EG61" i="45"/>
  <c r="EH61" i="45"/>
  <c r="EI61" i="45"/>
  <c r="EJ61" i="45"/>
  <c r="EK61" i="45"/>
  <c r="EL61" i="45"/>
  <c r="EM61" i="45"/>
  <c r="EN61" i="45"/>
  <c r="EO61" i="45"/>
  <c r="EP61" i="45"/>
  <c r="EQ61" i="45"/>
  <c r="ER61" i="45"/>
  <c r="ES61" i="45"/>
  <c r="ET61" i="45"/>
  <c r="EU61" i="45"/>
  <c r="EV61" i="45"/>
  <c r="EW61" i="45"/>
  <c r="EX61" i="45"/>
  <c r="EY61" i="45"/>
  <c r="EZ61" i="45"/>
  <c r="FA61" i="45"/>
  <c r="FB61" i="45"/>
  <c r="FC61" i="45"/>
  <c r="FD61" i="45"/>
  <c r="FE61" i="45"/>
  <c r="FF61" i="45"/>
  <c r="FG61" i="45"/>
  <c r="FH61" i="45"/>
  <c r="FI61" i="45"/>
  <c r="FJ61" i="45"/>
  <c r="FK61" i="45"/>
  <c r="FL61" i="45"/>
  <c r="FM61" i="45"/>
  <c r="FN61" i="45"/>
  <c r="FO61" i="45"/>
  <c r="FP61" i="45"/>
  <c r="FQ61" i="45"/>
  <c r="FR61" i="45"/>
  <c r="FS61" i="45"/>
  <c r="FT61" i="45"/>
  <c r="FU61" i="45"/>
  <c r="FV61" i="45"/>
  <c r="FW61" i="45"/>
  <c r="FX61" i="45"/>
  <c r="FY61" i="45"/>
  <c r="FZ61" i="45"/>
  <c r="GA61" i="45"/>
  <c r="GB61" i="45"/>
  <c r="GC61" i="45"/>
  <c r="GD61" i="45"/>
  <c r="GE61" i="45"/>
  <c r="GF61" i="45"/>
  <c r="GG61" i="45"/>
  <c r="GH61" i="45"/>
  <c r="GI61" i="45"/>
  <c r="GJ61" i="45"/>
  <c r="GK61" i="45"/>
  <c r="GL61" i="45"/>
  <c r="GM61" i="45"/>
  <c r="GN61" i="45"/>
  <c r="GO61" i="45"/>
  <c r="GP61" i="45"/>
  <c r="GQ61" i="45"/>
  <c r="GR61" i="45"/>
  <c r="GS61" i="45"/>
  <c r="GT61" i="45"/>
  <c r="GU61" i="45"/>
  <c r="GV61" i="45"/>
  <c r="GW61" i="45"/>
  <c r="GX61" i="45"/>
  <c r="GY61" i="45"/>
  <c r="GZ61" i="45"/>
  <c r="HA61" i="45"/>
  <c r="HB61" i="45"/>
  <c r="HC61" i="45"/>
  <c r="HD61" i="45"/>
  <c r="HE61" i="45"/>
  <c r="HF61" i="45"/>
  <c r="HG61" i="45"/>
  <c r="HH61" i="45"/>
  <c r="HI61" i="45"/>
  <c r="HJ61" i="45"/>
  <c r="HK61" i="45"/>
  <c r="HL61" i="45"/>
  <c r="HM61" i="45"/>
  <c r="HN61" i="45"/>
  <c r="HO61" i="45"/>
  <c r="HP61" i="45"/>
  <c r="HQ61" i="45"/>
  <c r="HR61" i="45"/>
  <c r="HS61" i="45"/>
  <c r="HT61" i="45"/>
  <c r="HU61" i="45"/>
  <c r="HV61" i="45"/>
  <c r="HW61" i="45"/>
  <c r="HX61" i="45"/>
  <c r="HY61" i="45"/>
  <c r="HZ61" i="45"/>
  <c r="IA61" i="45"/>
  <c r="IB61" i="45"/>
  <c r="IC61" i="45"/>
  <c r="ID61" i="45"/>
  <c r="IE61" i="45"/>
  <c r="IF61" i="45"/>
  <c r="IG61" i="45"/>
  <c r="IH61" i="45"/>
  <c r="II61" i="45"/>
  <c r="IJ61" i="45"/>
  <c r="IK61" i="45"/>
  <c r="IL61" i="45"/>
  <c r="IM61" i="45"/>
  <c r="IN61" i="45"/>
  <c r="IO61" i="45"/>
  <c r="IP61" i="45"/>
  <c r="IQ61" i="45"/>
  <c r="IR61" i="45"/>
  <c r="IS61" i="45"/>
  <c r="IT61" i="45"/>
  <c r="IU61" i="45"/>
  <c r="IV61" i="45"/>
  <c r="A60" i="45"/>
  <c r="B60" i="45"/>
  <c r="C60" i="45"/>
  <c r="D60" i="45"/>
  <c r="E60" i="45"/>
  <c r="F60" i="45"/>
  <c r="G60" i="45"/>
  <c r="H60" i="45"/>
  <c r="I60" i="45"/>
  <c r="J60" i="45"/>
  <c r="K60" i="45"/>
  <c r="L60" i="45"/>
  <c r="M60" i="45"/>
  <c r="N60" i="45"/>
  <c r="O60" i="45"/>
  <c r="P60" i="45"/>
  <c r="Q60" i="45"/>
  <c r="R60" i="45"/>
  <c r="S60" i="45"/>
  <c r="T60" i="45"/>
  <c r="U60" i="45"/>
  <c r="V60" i="45"/>
  <c r="W60" i="45"/>
  <c r="X60" i="45"/>
  <c r="Y60" i="45"/>
  <c r="Z60" i="45"/>
  <c r="AA60" i="45"/>
  <c r="AB60" i="45"/>
  <c r="AC60" i="45"/>
  <c r="AD60" i="45"/>
  <c r="AE60" i="45"/>
  <c r="AF60" i="45"/>
  <c r="AG60" i="45"/>
  <c r="AH60" i="45"/>
  <c r="AI60" i="45"/>
  <c r="AJ60" i="45"/>
  <c r="AK60" i="45"/>
  <c r="AL60" i="45"/>
  <c r="AM60" i="45"/>
  <c r="AN60" i="45"/>
  <c r="AO60" i="45"/>
  <c r="AP60" i="45"/>
  <c r="AQ60" i="45"/>
  <c r="AR60" i="45"/>
  <c r="AS60" i="45"/>
  <c r="AT60" i="45"/>
  <c r="AU60" i="45"/>
  <c r="AV60" i="45"/>
  <c r="AW60" i="45"/>
  <c r="AX60" i="45"/>
  <c r="AY60" i="45"/>
  <c r="AZ60" i="45"/>
  <c r="BA60" i="45"/>
  <c r="BB60" i="45"/>
  <c r="BC60" i="45"/>
  <c r="BD60" i="45"/>
  <c r="BE60" i="45"/>
  <c r="BF60" i="45"/>
  <c r="BG60" i="45"/>
  <c r="BH60" i="45"/>
  <c r="BI60" i="45"/>
  <c r="BJ60" i="45"/>
  <c r="BK60" i="45"/>
  <c r="BL60" i="45"/>
  <c r="BM60" i="45"/>
  <c r="BN60" i="45"/>
  <c r="BO60" i="45"/>
  <c r="BP60" i="45"/>
  <c r="BQ60" i="45"/>
  <c r="BR60" i="45"/>
  <c r="BS60" i="45"/>
  <c r="BT60" i="45"/>
  <c r="BU60" i="45"/>
  <c r="BV60" i="45"/>
  <c r="BW60" i="45"/>
  <c r="BX60" i="45"/>
  <c r="BY60" i="45"/>
  <c r="BZ60" i="45"/>
  <c r="CA60" i="45"/>
  <c r="CB60" i="45"/>
  <c r="CC60" i="45"/>
  <c r="CD60" i="45"/>
  <c r="CE60" i="45"/>
  <c r="CF60" i="45"/>
  <c r="CG60" i="45"/>
  <c r="CH60" i="45"/>
  <c r="CI60" i="45"/>
  <c r="CJ60" i="45"/>
  <c r="CK60" i="45"/>
  <c r="CL60" i="45"/>
  <c r="CM60" i="45"/>
  <c r="CN60" i="45"/>
  <c r="CO60" i="45"/>
  <c r="CP60" i="45"/>
  <c r="CQ60" i="45"/>
  <c r="CR60" i="45"/>
  <c r="CS60" i="45"/>
  <c r="CT60" i="45"/>
  <c r="CU60" i="45"/>
  <c r="CV60" i="45"/>
  <c r="CW60" i="45"/>
  <c r="CX60" i="45"/>
  <c r="CY60" i="45"/>
  <c r="CZ60" i="45"/>
  <c r="DA60" i="45"/>
  <c r="DB60" i="45"/>
  <c r="DC60" i="45"/>
  <c r="DD60" i="45"/>
  <c r="DE60" i="45"/>
  <c r="DF60" i="45"/>
  <c r="DG60" i="45"/>
  <c r="DH60" i="45"/>
  <c r="DI60" i="45"/>
  <c r="DJ60" i="45"/>
  <c r="DK60" i="45"/>
  <c r="DL60" i="45"/>
  <c r="DM60" i="45"/>
  <c r="DN60" i="45"/>
  <c r="DO60" i="45"/>
  <c r="DP60" i="45"/>
  <c r="DQ60" i="45"/>
  <c r="DR60" i="45"/>
  <c r="DS60" i="45"/>
  <c r="DT60" i="45"/>
  <c r="DU60" i="45"/>
  <c r="DV60" i="45"/>
  <c r="DW60" i="45"/>
  <c r="DX60" i="45"/>
  <c r="DY60" i="45"/>
  <c r="DZ60" i="45"/>
  <c r="EA60" i="45"/>
  <c r="EB60" i="45"/>
  <c r="EC60" i="45"/>
  <c r="ED60" i="45"/>
  <c r="EE60" i="45"/>
  <c r="EF60" i="45"/>
  <c r="EG60" i="45"/>
  <c r="EH60" i="45"/>
  <c r="EI60" i="45"/>
  <c r="EJ60" i="45"/>
  <c r="EK60" i="45"/>
  <c r="EL60" i="45"/>
  <c r="EM60" i="45"/>
  <c r="EN60" i="45"/>
  <c r="EO60" i="45"/>
  <c r="EP60" i="45"/>
  <c r="EQ60" i="45"/>
  <c r="ER60" i="45"/>
  <c r="ES60" i="45"/>
  <c r="ET60" i="45"/>
  <c r="EU60" i="45"/>
  <c r="EV60" i="45"/>
  <c r="EW60" i="45"/>
  <c r="EX60" i="45"/>
  <c r="EY60" i="45"/>
  <c r="EZ60" i="45"/>
  <c r="FA60" i="45"/>
  <c r="FB60" i="45"/>
  <c r="FC60" i="45"/>
  <c r="FD60" i="45"/>
  <c r="FE60" i="45"/>
  <c r="FF60" i="45"/>
  <c r="FG60" i="45"/>
  <c r="FH60" i="45"/>
  <c r="FI60" i="45"/>
  <c r="FJ60" i="45"/>
  <c r="FK60" i="45"/>
  <c r="FL60" i="45"/>
  <c r="FM60" i="45"/>
  <c r="FN60" i="45"/>
  <c r="FO60" i="45"/>
  <c r="FP60" i="45"/>
  <c r="FQ60" i="45"/>
  <c r="FR60" i="45"/>
  <c r="FS60" i="45"/>
  <c r="FT60" i="45"/>
  <c r="FU60" i="45"/>
  <c r="FV60" i="45"/>
  <c r="FW60" i="45"/>
  <c r="FX60" i="45"/>
  <c r="FY60" i="45"/>
  <c r="FZ60" i="45"/>
  <c r="GA60" i="45"/>
  <c r="GB60" i="45"/>
  <c r="GC60" i="45"/>
  <c r="GD60" i="45"/>
  <c r="GE60" i="45"/>
  <c r="GF60" i="45"/>
  <c r="GG60" i="45"/>
  <c r="GH60" i="45"/>
  <c r="GI60" i="45"/>
  <c r="GJ60" i="45"/>
  <c r="GK60" i="45"/>
  <c r="GL60" i="45"/>
  <c r="GM60" i="45"/>
  <c r="GN60" i="45"/>
  <c r="GO60" i="45"/>
  <c r="GP60" i="45"/>
  <c r="GQ60" i="45"/>
  <c r="GR60" i="45"/>
  <c r="GS60" i="45"/>
  <c r="GT60" i="45"/>
  <c r="GU60" i="45"/>
  <c r="GV60" i="45"/>
  <c r="GW60" i="45"/>
  <c r="GX60" i="45"/>
  <c r="GY60" i="45"/>
  <c r="GZ60" i="45"/>
  <c r="HA60" i="45"/>
  <c r="HB60" i="45"/>
  <c r="HC60" i="45"/>
  <c r="HD60" i="45"/>
  <c r="HE60" i="45"/>
  <c r="HF60" i="45"/>
  <c r="HG60" i="45"/>
  <c r="HH60" i="45"/>
  <c r="HI60" i="45"/>
  <c r="HJ60" i="45"/>
  <c r="HK60" i="45"/>
  <c r="HL60" i="45"/>
  <c r="HM60" i="45"/>
  <c r="HN60" i="45"/>
  <c r="HO60" i="45"/>
  <c r="HP60" i="45"/>
  <c r="HQ60" i="45"/>
  <c r="HR60" i="45"/>
  <c r="HS60" i="45"/>
  <c r="HT60" i="45"/>
  <c r="HU60" i="45"/>
  <c r="HV60" i="45"/>
  <c r="HW60" i="45"/>
  <c r="HX60" i="45"/>
  <c r="HY60" i="45"/>
  <c r="HZ60" i="45"/>
  <c r="IA60" i="45"/>
  <c r="IB60" i="45"/>
  <c r="IC60" i="45"/>
  <c r="ID60" i="45"/>
  <c r="IE60" i="45"/>
  <c r="IF60" i="45"/>
  <c r="IG60" i="45"/>
  <c r="IH60" i="45"/>
  <c r="II60" i="45"/>
  <c r="IJ60" i="45"/>
  <c r="IK60" i="45"/>
  <c r="IL60" i="45"/>
  <c r="IM60" i="45"/>
  <c r="IN60" i="45"/>
  <c r="IO60" i="45"/>
  <c r="IP60" i="45"/>
  <c r="IQ60" i="45"/>
  <c r="IR60" i="45"/>
  <c r="IS60" i="45"/>
  <c r="IT60" i="45"/>
  <c r="IU60" i="45"/>
  <c r="IV60" i="45"/>
  <c r="A59" i="45"/>
  <c r="B59" i="45"/>
  <c r="C59" i="45"/>
  <c r="D59" i="45"/>
  <c r="E59" i="45"/>
  <c r="F59" i="45"/>
  <c r="G59" i="45"/>
  <c r="H59" i="45"/>
  <c r="I59" i="45"/>
  <c r="J59" i="45"/>
  <c r="K59" i="45"/>
  <c r="L59" i="45"/>
  <c r="M59" i="45"/>
  <c r="N59" i="45"/>
  <c r="O59" i="45"/>
  <c r="P59" i="45"/>
  <c r="Q59" i="45"/>
  <c r="R59" i="45"/>
  <c r="S59" i="45"/>
  <c r="T59" i="45"/>
  <c r="U59" i="45"/>
  <c r="V59" i="45"/>
  <c r="W59" i="45"/>
  <c r="X59" i="45"/>
  <c r="Y59" i="45"/>
  <c r="Z59" i="45"/>
  <c r="AA59" i="45"/>
  <c r="AB59" i="45"/>
  <c r="AC59" i="45"/>
  <c r="AD59" i="45"/>
  <c r="AE59" i="45"/>
  <c r="AF59" i="45"/>
  <c r="AG59" i="45"/>
  <c r="AH59" i="45"/>
  <c r="AI59" i="45"/>
  <c r="AJ59" i="45"/>
  <c r="AK59" i="45"/>
  <c r="AL59" i="45"/>
  <c r="AM59" i="45"/>
  <c r="AN59" i="45"/>
  <c r="AO59" i="45"/>
  <c r="AP59" i="45"/>
  <c r="AQ59" i="45"/>
  <c r="AR59" i="45"/>
  <c r="AS59" i="45"/>
  <c r="AT59" i="45"/>
  <c r="AU59" i="45"/>
  <c r="AV59" i="45"/>
  <c r="AW59" i="45"/>
  <c r="AX59" i="45"/>
  <c r="AY59" i="45"/>
  <c r="AZ59" i="45"/>
  <c r="BA59" i="45"/>
  <c r="BB59" i="45"/>
  <c r="BC59" i="45"/>
  <c r="BD59" i="45"/>
  <c r="BE59" i="45"/>
  <c r="BF59" i="45"/>
  <c r="BG59" i="45"/>
  <c r="BH59" i="45"/>
  <c r="BI59" i="45"/>
  <c r="BJ59" i="45"/>
  <c r="BK59" i="45"/>
  <c r="BL59" i="45"/>
  <c r="BM59" i="45"/>
  <c r="BN59" i="45"/>
  <c r="BO59" i="45"/>
  <c r="BP59" i="45"/>
  <c r="BQ59" i="45"/>
  <c r="BR59" i="45"/>
  <c r="BS59" i="45"/>
  <c r="BT59" i="45"/>
  <c r="BU59" i="45"/>
  <c r="BV59" i="45"/>
  <c r="BW59" i="45"/>
  <c r="BX59" i="45"/>
  <c r="BY59" i="45"/>
  <c r="BZ59" i="45"/>
  <c r="CA59" i="45"/>
  <c r="CB59" i="45"/>
  <c r="CC59" i="45"/>
  <c r="CD59" i="45"/>
  <c r="CE59" i="45"/>
  <c r="CF59" i="45"/>
  <c r="CG59" i="45"/>
  <c r="CH59" i="45"/>
  <c r="CI59" i="45"/>
  <c r="CJ59" i="45"/>
  <c r="CK59" i="45"/>
  <c r="CL59" i="45"/>
  <c r="CM59" i="45"/>
  <c r="CN59" i="45"/>
  <c r="CO59" i="45"/>
  <c r="CP59" i="45"/>
  <c r="CQ59" i="45"/>
  <c r="CR59" i="45"/>
  <c r="CS59" i="45"/>
  <c r="CT59" i="45"/>
  <c r="CU59" i="45"/>
  <c r="CV59" i="45"/>
  <c r="CW59" i="45"/>
  <c r="CX59" i="45"/>
  <c r="CY59" i="45"/>
  <c r="CZ59" i="45"/>
  <c r="DA59" i="45"/>
  <c r="DB59" i="45"/>
  <c r="DC59" i="45"/>
  <c r="DD59" i="45"/>
  <c r="DE59" i="45"/>
  <c r="DF59" i="45"/>
  <c r="DG59" i="45"/>
  <c r="DH59" i="45"/>
  <c r="DI59" i="45"/>
  <c r="DJ59" i="45"/>
  <c r="DK59" i="45"/>
  <c r="DL59" i="45"/>
  <c r="DM59" i="45"/>
  <c r="DN59" i="45"/>
  <c r="DO59" i="45"/>
  <c r="DP59" i="45"/>
  <c r="DQ59" i="45"/>
  <c r="DR59" i="45"/>
  <c r="DS59" i="45"/>
  <c r="DT59" i="45"/>
  <c r="DU59" i="45"/>
  <c r="DV59" i="45"/>
  <c r="DW59" i="45"/>
  <c r="DX59" i="45"/>
  <c r="DY59" i="45"/>
  <c r="DZ59" i="45"/>
  <c r="EA59" i="45"/>
  <c r="EB59" i="45"/>
  <c r="EC59" i="45"/>
  <c r="ED59" i="45"/>
  <c r="EE59" i="45"/>
  <c r="EF59" i="45"/>
  <c r="EG59" i="45"/>
  <c r="EH59" i="45"/>
  <c r="EI59" i="45"/>
  <c r="EJ59" i="45"/>
  <c r="EK59" i="45"/>
  <c r="EL59" i="45"/>
  <c r="EM59" i="45"/>
  <c r="EN59" i="45"/>
  <c r="EO59" i="45"/>
  <c r="EP59" i="45"/>
  <c r="EQ59" i="45"/>
  <c r="ER59" i="45"/>
  <c r="ES59" i="45"/>
  <c r="ET59" i="45"/>
  <c r="EU59" i="45"/>
  <c r="EV59" i="45"/>
  <c r="EW59" i="45"/>
  <c r="EX59" i="45"/>
  <c r="EY59" i="45"/>
  <c r="EZ59" i="45"/>
  <c r="FA59" i="45"/>
  <c r="FB59" i="45"/>
  <c r="FC59" i="45"/>
  <c r="FD59" i="45"/>
  <c r="FE59" i="45"/>
  <c r="FF59" i="45"/>
  <c r="FG59" i="45"/>
  <c r="FH59" i="45"/>
  <c r="FI59" i="45"/>
  <c r="FJ59" i="45"/>
  <c r="FK59" i="45"/>
  <c r="FL59" i="45"/>
  <c r="FM59" i="45"/>
  <c r="FN59" i="45"/>
  <c r="FO59" i="45"/>
  <c r="FP59" i="45"/>
  <c r="FQ59" i="45"/>
  <c r="FR59" i="45"/>
  <c r="FS59" i="45"/>
  <c r="FT59" i="45"/>
  <c r="FU59" i="45"/>
  <c r="FV59" i="45"/>
  <c r="FW59" i="45"/>
  <c r="FX59" i="45"/>
  <c r="FY59" i="45"/>
  <c r="FZ59" i="45"/>
  <c r="GA59" i="45"/>
  <c r="GB59" i="45"/>
  <c r="GC59" i="45"/>
  <c r="GD59" i="45"/>
  <c r="GE59" i="45"/>
  <c r="GF59" i="45"/>
  <c r="GG59" i="45"/>
  <c r="GH59" i="45"/>
  <c r="GI59" i="45"/>
  <c r="GJ59" i="45"/>
  <c r="GK59" i="45"/>
  <c r="GL59" i="45"/>
  <c r="GM59" i="45"/>
  <c r="GN59" i="45"/>
  <c r="GO59" i="45"/>
  <c r="GP59" i="45"/>
  <c r="GQ59" i="45"/>
  <c r="GR59" i="45"/>
  <c r="GS59" i="45"/>
  <c r="GT59" i="45"/>
  <c r="GU59" i="45"/>
  <c r="GV59" i="45"/>
  <c r="GW59" i="45"/>
  <c r="GX59" i="45"/>
  <c r="GY59" i="45"/>
  <c r="GZ59" i="45"/>
  <c r="HA59" i="45"/>
  <c r="HB59" i="45"/>
  <c r="HC59" i="45"/>
  <c r="HD59" i="45"/>
  <c r="HE59" i="45"/>
  <c r="HF59" i="45"/>
  <c r="HG59" i="45"/>
  <c r="HH59" i="45"/>
  <c r="HI59" i="45"/>
  <c r="HJ59" i="45"/>
  <c r="HK59" i="45"/>
  <c r="HL59" i="45"/>
  <c r="HM59" i="45"/>
  <c r="HN59" i="45"/>
  <c r="HO59" i="45"/>
  <c r="HP59" i="45"/>
  <c r="HQ59" i="45"/>
  <c r="HR59" i="45"/>
  <c r="HS59" i="45"/>
  <c r="HT59" i="45"/>
  <c r="HU59" i="45"/>
  <c r="HV59" i="45"/>
  <c r="HW59" i="45"/>
  <c r="HX59" i="45"/>
  <c r="HY59" i="45"/>
  <c r="HZ59" i="45"/>
  <c r="IA59" i="45"/>
  <c r="IB59" i="45"/>
  <c r="IC59" i="45"/>
  <c r="ID59" i="45"/>
  <c r="IE59" i="45"/>
  <c r="IF59" i="45"/>
  <c r="IG59" i="45"/>
  <c r="IH59" i="45"/>
  <c r="II59" i="45"/>
  <c r="IJ59" i="45"/>
  <c r="IK59" i="45"/>
  <c r="IL59" i="45"/>
  <c r="IM59" i="45"/>
  <c r="IN59" i="45"/>
  <c r="IO59" i="45"/>
  <c r="IP59" i="45"/>
  <c r="IQ59" i="45"/>
  <c r="IR59" i="45"/>
  <c r="IS59" i="45"/>
  <c r="IT59" i="45"/>
  <c r="IU59" i="45"/>
  <c r="IV59" i="45"/>
  <c r="A58" i="45"/>
  <c r="B58" i="45"/>
  <c r="C58" i="45"/>
  <c r="D58" i="45"/>
  <c r="E58" i="45"/>
  <c r="F58" i="45"/>
  <c r="G58" i="45"/>
  <c r="H58" i="45"/>
  <c r="I58" i="45"/>
  <c r="J58" i="45"/>
  <c r="K58" i="45"/>
  <c r="L58" i="45"/>
  <c r="M58" i="45"/>
  <c r="N58" i="45"/>
  <c r="O58" i="45"/>
  <c r="P58" i="45"/>
  <c r="Q58" i="45"/>
  <c r="R58" i="45"/>
  <c r="S58" i="45"/>
  <c r="T58" i="45"/>
  <c r="U58" i="45"/>
  <c r="V58" i="45"/>
  <c r="W58" i="45"/>
  <c r="X58" i="45"/>
  <c r="Y58" i="45"/>
  <c r="Z58" i="45"/>
  <c r="AA58" i="45"/>
  <c r="AB58" i="45"/>
  <c r="AC58" i="45"/>
  <c r="AD58" i="45"/>
  <c r="AE58" i="45"/>
  <c r="AF58" i="45"/>
  <c r="AG58" i="45"/>
  <c r="AH58" i="45"/>
  <c r="AI58" i="45"/>
  <c r="AJ58" i="45"/>
  <c r="AK58" i="45"/>
  <c r="AL58" i="45"/>
  <c r="AM58" i="45"/>
  <c r="AN58" i="45"/>
  <c r="AO58" i="45"/>
  <c r="AP58" i="45"/>
  <c r="AQ58" i="45"/>
  <c r="AR58" i="45"/>
  <c r="AS58" i="45"/>
  <c r="AT58" i="45"/>
  <c r="AU58" i="45"/>
  <c r="AV58" i="45"/>
  <c r="AW58" i="45"/>
  <c r="AX58" i="45"/>
  <c r="AY58" i="45"/>
  <c r="AZ58" i="45"/>
  <c r="BA58" i="45"/>
  <c r="BB58" i="45"/>
  <c r="BC58" i="45"/>
  <c r="BD58" i="45"/>
  <c r="BE58" i="45"/>
  <c r="BF58" i="45"/>
  <c r="BG58" i="45"/>
  <c r="BH58" i="45"/>
  <c r="BI58" i="45"/>
  <c r="BJ58" i="45"/>
  <c r="BK58" i="45"/>
  <c r="BL58" i="45"/>
  <c r="BM58" i="45"/>
  <c r="BN58" i="45"/>
  <c r="BO58" i="45"/>
  <c r="BP58" i="45"/>
  <c r="BQ58" i="45"/>
  <c r="BR58" i="45"/>
  <c r="BS58" i="45"/>
  <c r="BT58" i="45"/>
  <c r="BU58" i="45"/>
  <c r="BV58" i="45"/>
  <c r="BW58" i="45"/>
  <c r="BX58" i="45"/>
  <c r="BY58" i="45"/>
  <c r="BZ58" i="45"/>
  <c r="CA58" i="45"/>
  <c r="CB58" i="45"/>
  <c r="CC58" i="45"/>
  <c r="CD58" i="45"/>
  <c r="CE58" i="45"/>
  <c r="CF58" i="45"/>
  <c r="CG58" i="45"/>
  <c r="CH58" i="45"/>
  <c r="CI58" i="45"/>
  <c r="CJ58" i="45"/>
  <c r="CK58" i="45"/>
  <c r="CL58" i="45"/>
  <c r="CM58" i="45"/>
  <c r="CN58" i="45"/>
  <c r="CO58" i="45"/>
  <c r="CP58" i="45"/>
  <c r="CQ58" i="45"/>
  <c r="CR58" i="45"/>
  <c r="CS58" i="45"/>
  <c r="CT58" i="45"/>
  <c r="CU58" i="45"/>
  <c r="CV58" i="45"/>
  <c r="CW58" i="45"/>
  <c r="CX58" i="45"/>
  <c r="CY58" i="45"/>
  <c r="CZ58" i="45"/>
  <c r="DA58" i="45"/>
  <c r="DB58" i="45"/>
  <c r="DC58" i="45"/>
  <c r="DD58" i="45"/>
  <c r="DE58" i="45"/>
  <c r="DF58" i="45"/>
  <c r="DG58" i="45"/>
  <c r="DH58" i="45"/>
  <c r="DI58" i="45"/>
  <c r="DJ58" i="45"/>
  <c r="DK58" i="45"/>
  <c r="DL58" i="45"/>
  <c r="DM58" i="45"/>
  <c r="DN58" i="45"/>
  <c r="DO58" i="45"/>
  <c r="DP58" i="45"/>
  <c r="DQ58" i="45"/>
  <c r="DR58" i="45"/>
  <c r="DS58" i="45"/>
  <c r="DT58" i="45"/>
  <c r="DU58" i="45"/>
  <c r="DV58" i="45"/>
  <c r="DW58" i="45"/>
  <c r="DX58" i="45"/>
  <c r="DY58" i="45"/>
  <c r="DZ58" i="45"/>
  <c r="EA58" i="45"/>
  <c r="EB58" i="45"/>
  <c r="EC58" i="45"/>
  <c r="ED58" i="45"/>
  <c r="EE58" i="45"/>
  <c r="EF58" i="45"/>
  <c r="EG58" i="45"/>
  <c r="EH58" i="45"/>
  <c r="EI58" i="45"/>
  <c r="EJ58" i="45"/>
  <c r="EK58" i="45"/>
  <c r="EL58" i="45"/>
  <c r="EM58" i="45"/>
  <c r="EN58" i="45"/>
  <c r="EO58" i="45"/>
  <c r="EP58" i="45"/>
  <c r="EQ58" i="45"/>
  <c r="ER58" i="45"/>
  <c r="ES58" i="45"/>
  <c r="ET58" i="45"/>
  <c r="EU58" i="45"/>
  <c r="EV58" i="45"/>
  <c r="EW58" i="45"/>
  <c r="EX58" i="45"/>
  <c r="EY58" i="45"/>
  <c r="EZ58" i="45"/>
  <c r="FA58" i="45"/>
  <c r="FB58" i="45"/>
  <c r="FC58" i="45"/>
  <c r="FD58" i="45"/>
  <c r="FE58" i="45"/>
  <c r="FF58" i="45"/>
  <c r="FG58" i="45"/>
  <c r="FH58" i="45"/>
  <c r="FI58" i="45"/>
  <c r="FJ58" i="45"/>
  <c r="FK58" i="45"/>
  <c r="FL58" i="45"/>
  <c r="FM58" i="45"/>
  <c r="FN58" i="45"/>
  <c r="FO58" i="45"/>
  <c r="FP58" i="45"/>
  <c r="FQ58" i="45"/>
  <c r="FR58" i="45"/>
  <c r="FS58" i="45"/>
  <c r="FT58" i="45"/>
  <c r="FU58" i="45"/>
  <c r="FV58" i="45"/>
  <c r="FW58" i="45"/>
  <c r="FX58" i="45"/>
  <c r="FY58" i="45"/>
  <c r="FZ58" i="45"/>
  <c r="GA58" i="45"/>
  <c r="GB58" i="45"/>
  <c r="GC58" i="45"/>
  <c r="GD58" i="45"/>
  <c r="GE58" i="45"/>
  <c r="GF58" i="45"/>
  <c r="GG58" i="45"/>
  <c r="GH58" i="45"/>
  <c r="GI58" i="45"/>
  <c r="GJ58" i="45"/>
  <c r="GK58" i="45"/>
  <c r="GL58" i="45"/>
  <c r="GM58" i="45"/>
  <c r="GN58" i="45"/>
  <c r="GO58" i="45"/>
  <c r="GP58" i="45"/>
  <c r="GQ58" i="45"/>
  <c r="GR58" i="45"/>
  <c r="GS58" i="45"/>
  <c r="GT58" i="45"/>
  <c r="GU58" i="45"/>
  <c r="GV58" i="45"/>
  <c r="GW58" i="45"/>
  <c r="GX58" i="45"/>
  <c r="GY58" i="45"/>
  <c r="GZ58" i="45"/>
  <c r="HA58" i="45"/>
  <c r="HB58" i="45"/>
  <c r="HC58" i="45"/>
  <c r="HD58" i="45"/>
  <c r="HE58" i="45"/>
  <c r="HF58" i="45"/>
  <c r="HG58" i="45"/>
  <c r="HH58" i="45"/>
  <c r="HI58" i="45"/>
  <c r="HJ58" i="45"/>
  <c r="HK58" i="45"/>
  <c r="HL58" i="45"/>
  <c r="HM58" i="45"/>
  <c r="HN58" i="45"/>
  <c r="HO58" i="45"/>
  <c r="HP58" i="45"/>
  <c r="HQ58" i="45"/>
  <c r="HR58" i="45"/>
  <c r="HS58" i="45"/>
  <c r="HT58" i="45"/>
  <c r="HU58" i="45"/>
  <c r="HV58" i="45"/>
  <c r="HW58" i="45"/>
  <c r="HX58" i="45"/>
  <c r="HY58" i="45"/>
  <c r="HZ58" i="45"/>
  <c r="IA58" i="45"/>
  <c r="IB58" i="45"/>
  <c r="IC58" i="45"/>
  <c r="ID58" i="45"/>
  <c r="IE58" i="45"/>
  <c r="IF58" i="45"/>
  <c r="IG58" i="45"/>
  <c r="IH58" i="45"/>
  <c r="II58" i="45"/>
  <c r="IJ58" i="45"/>
  <c r="IK58" i="45"/>
  <c r="IL58" i="45"/>
  <c r="IM58" i="45"/>
  <c r="IN58" i="45"/>
  <c r="IO58" i="45"/>
  <c r="IP58" i="45"/>
  <c r="IQ58" i="45"/>
  <c r="IR58" i="45"/>
  <c r="IS58" i="45"/>
  <c r="IT58" i="45"/>
  <c r="IU58" i="45"/>
  <c r="IV58" i="45"/>
  <c r="A57" i="45"/>
  <c r="B57" i="45"/>
  <c r="C57" i="45"/>
  <c r="D57" i="45"/>
  <c r="E57" i="45"/>
  <c r="F57" i="45"/>
  <c r="G57" i="45"/>
  <c r="H57" i="45"/>
  <c r="I57" i="45"/>
  <c r="J57" i="45"/>
  <c r="K57" i="45"/>
  <c r="L57" i="45"/>
  <c r="M57" i="45"/>
  <c r="N57" i="45"/>
  <c r="O57" i="45"/>
  <c r="P57" i="45"/>
  <c r="Q57" i="45"/>
  <c r="R57" i="45"/>
  <c r="S57" i="45"/>
  <c r="T57" i="45"/>
  <c r="U57" i="45"/>
  <c r="V57" i="45"/>
  <c r="W57" i="45"/>
  <c r="X57" i="45"/>
  <c r="Y57" i="45"/>
  <c r="Z57" i="45"/>
  <c r="AA57" i="45"/>
  <c r="AB57" i="45"/>
  <c r="AC57" i="45"/>
  <c r="AD57" i="45"/>
  <c r="AE57" i="45"/>
  <c r="AF57" i="45"/>
  <c r="AG57" i="45"/>
  <c r="AH57" i="45"/>
  <c r="AI57" i="45"/>
  <c r="AJ57" i="45"/>
  <c r="AK57" i="45"/>
  <c r="AL57" i="45"/>
  <c r="AM57" i="45"/>
  <c r="AN57" i="45"/>
  <c r="AO57" i="45"/>
  <c r="AP57" i="45"/>
  <c r="AQ57" i="45"/>
  <c r="AR57" i="45"/>
  <c r="AS57" i="45"/>
  <c r="AT57" i="45"/>
  <c r="AU57" i="45"/>
  <c r="AV57" i="45"/>
  <c r="AW57" i="45"/>
  <c r="AX57" i="45"/>
  <c r="AY57" i="45"/>
  <c r="AZ57" i="45"/>
  <c r="BA57" i="45"/>
  <c r="BB57" i="45"/>
  <c r="BC57" i="45"/>
  <c r="BD57" i="45"/>
  <c r="BE57" i="45"/>
  <c r="BF57" i="45"/>
  <c r="BG57" i="45"/>
  <c r="BH57" i="45"/>
  <c r="BI57" i="45"/>
  <c r="BJ57" i="45"/>
  <c r="BK57" i="45"/>
  <c r="BL57" i="45"/>
  <c r="BM57" i="45"/>
  <c r="BN57" i="45"/>
  <c r="BO57" i="45"/>
  <c r="BP57" i="45"/>
  <c r="BQ57" i="45"/>
  <c r="BR57" i="45"/>
  <c r="BS57" i="45"/>
  <c r="BT57" i="45"/>
  <c r="BU57" i="45"/>
  <c r="BV57" i="45"/>
  <c r="BW57" i="45"/>
  <c r="BX57" i="45"/>
  <c r="BY57" i="45"/>
  <c r="BZ57" i="45"/>
  <c r="CA57" i="45"/>
  <c r="CB57" i="45"/>
  <c r="CC57" i="45"/>
  <c r="CD57" i="45"/>
  <c r="CE57" i="45"/>
  <c r="CF57" i="45"/>
  <c r="CG57" i="45"/>
  <c r="CH57" i="45"/>
  <c r="CI57" i="45"/>
  <c r="CJ57" i="45"/>
  <c r="CK57" i="45"/>
  <c r="CL57" i="45"/>
  <c r="CM57" i="45"/>
  <c r="CN57" i="45"/>
  <c r="CO57" i="45"/>
  <c r="CP57" i="45"/>
  <c r="CQ57" i="45"/>
  <c r="CR57" i="45"/>
  <c r="CS57" i="45"/>
  <c r="CT57" i="45"/>
  <c r="CU57" i="45"/>
  <c r="CV57" i="45"/>
  <c r="CW57" i="45"/>
  <c r="CX57" i="45"/>
  <c r="CY57" i="45"/>
  <c r="CZ57" i="45"/>
  <c r="DA57" i="45"/>
  <c r="DB57" i="45"/>
  <c r="DC57" i="45"/>
  <c r="DD57" i="45"/>
  <c r="DE57" i="45"/>
  <c r="DF57" i="45"/>
  <c r="DG57" i="45"/>
  <c r="DH57" i="45"/>
  <c r="DI57" i="45"/>
  <c r="DJ57" i="45"/>
  <c r="DK57" i="45"/>
  <c r="DL57" i="45"/>
  <c r="DM57" i="45"/>
  <c r="DN57" i="45"/>
  <c r="DO57" i="45"/>
  <c r="DP57" i="45"/>
  <c r="DQ57" i="45"/>
  <c r="DR57" i="45"/>
  <c r="DS57" i="45"/>
  <c r="DT57" i="45"/>
  <c r="DU57" i="45"/>
  <c r="DV57" i="45"/>
  <c r="DW57" i="45"/>
  <c r="DX57" i="45"/>
  <c r="DY57" i="45"/>
  <c r="DZ57" i="45"/>
  <c r="EA57" i="45"/>
  <c r="EB57" i="45"/>
  <c r="EC57" i="45"/>
  <c r="ED57" i="45"/>
  <c r="EE57" i="45"/>
  <c r="EF57" i="45"/>
  <c r="EG57" i="45"/>
  <c r="EH57" i="45"/>
  <c r="EI57" i="45"/>
  <c r="EJ57" i="45"/>
  <c r="EK57" i="45"/>
  <c r="EL57" i="45"/>
  <c r="EM57" i="45"/>
  <c r="EN57" i="45"/>
  <c r="EO57" i="45"/>
  <c r="EP57" i="45"/>
  <c r="EQ57" i="45"/>
  <c r="ER57" i="45"/>
  <c r="ES57" i="45"/>
  <c r="ET57" i="45"/>
  <c r="EU57" i="45"/>
  <c r="EV57" i="45"/>
  <c r="EW57" i="45"/>
  <c r="EX57" i="45"/>
  <c r="EY57" i="45"/>
  <c r="EZ57" i="45"/>
  <c r="FA57" i="45"/>
  <c r="FB57" i="45"/>
  <c r="FC57" i="45"/>
  <c r="FD57" i="45"/>
  <c r="FE57" i="45"/>
  <c r="FF57" i="45"/>
  <c r="FG57" i="45"/>
  <c r="FH57" i="45"/>
  <c r="FI57" i="45"/>
  <c r="FJ57" i="45"/>
  <c r="FK57" i="45"/>
  <c r="FL57" i="45"/>
  <c r="FM57" i="45"/>
  <c r="FN57" i="45"/>
  <c r="FO57" i="45"/>
  <c r="FP57" i="45"/>
  <c r="FQ57" i="45"/>
  <c r="FR57" i="45"/>
  <c r="FS57" i="45"/>
  <c r="FT57" i="45"/>
  <c r="FU57" i="45"/>
  <c r="FV57" i="45"/>
  <c r="FW57" i="45"/>
  <c r="FX57" i="45"/>
  <c r="FY57" i="45"/>
  <c r="FZ57" i="45"/>
  <c r="GA57" i="45"/>
  <c r="GB57" i="45"/>
  <c r="GC57" i="45"/>
  <c r="GD57" i="45"/>
  <c r="GE57" i="45"/>
  <c r="GF57" i="45"/>
  <c r="GG57" i="45"/>
  <c r="GH57" i="45"/>
  <c r="GI57" i="45"/>
  <c r="GJ57" i="45"/>
  <c r="GK57" i="45"/>
  <c r="GL57" i="45"/>
  <c r="GM57" i="45"/>
  <c r="GN57" i="45"/>
  <c r="GO57" i="45"/>
  <c r="GP57" i="45"/>
  <c r="GQ57" i="45"/>
  <c r="GR57" i="45"/>
  <c r="GS57" i="45"/>
  <c r="GT57" i="45"/>
  <c r="GU57" i="45"/>
  <c r="GV57" i="45"/>
  <c r="GW57" i="45"/>
  <c r="GX57" i="45"/>
  <c r="GY57" i="45"/>
  <c r="GZ57" i="45"/>
  <c r="HA57" i="45"/>
  <c r="HB57" i="45"/>
  <c r="HC57" i="45"/>
  <c r="HD57" i="45"/>
  <c r="HE57" i="45"/>
  <c r="HF57" i="45"/>
  <c r="HG57" i="45"/>
  <c r="HH57" i="45"/>
  <c r="HI57" i="45"/>
  <c r="HJ57" i="45"/>
  <c r="HK57" i="45"/>
  <c r="HL57" i="45"/>
  <c r="HM57" i="45"/>
  <c r="HN57" i="45"/>
  <c r="HO57" i="45"/>
  <c r="HP57" i="45"/>
  <c r="HQ57" i="45"/>
  <c r="HR57" i="45"/>
  <c r="HS57" i="45"/>
  <c r="HT57" i="45"/>
  <c r="HU57" i="45"/>
  <c r="HV57" i="45"/>
  <c r="HW57" i="45"/>
  <c r="HX57" i="45"/>
  <c r="HY57" i="45"/>
  <c r="HZ57" i="45"/>
  <c r="IA57" i="45"/>
  <c r="IB57" i="45"/>
  <c r="IC57" i="45"/>
  <c r="ID57" i="45"/>
  <c r="IE57" i="45"/>
  <c r="IF57" i="45"/>
  <c r="IG57" i="45"/>
  <c r="IH57" i="45"/>
  <c r="II57" i="45"/>
  <c r="IJ57" i="45"/>
  <c r="IK57" i="45"/>
  <c r="IL57" i="45"/>
  <c r="IM57" i="45"/>
  <c r="IN57" i="45"/>
  <c r="IO57" i="45"/>
  <c r="IP57" i="45"/>
  <c r="IQ57" i="45"/>
  <c r="IR57" i="45"/>
  <c r="IS57" i="45"/>
  <c r="IT57" i="45"/>
  <c r="IU57" i="45"/>
  <c r="IV57" i="45"/>
  <c r="A56" i="45"/>
  <c r="B56" i="45"/>
  <c r="C56" i="45"/>
  <c r="D56" i="45"/>
  <c r="E56" i="45"/>
  <c r="F56" i="45"/>
  <c r="G56" i="45"/>
  <c r="H56" i="45"/>
  <c r="I56" i="45"/>
  <c r="J56" i="45"/>
  <c r="K56" i="45"/>
  <c r="L56" i="45"/>
  <c r="M56" i="45"/>
  <c r="N56" i="45"/>
  <c r="O56" i="45"/>
  <c r="P56" i="45"/>
  <c r="Q56" i="45"/>
  <c r="R56" i="45"/>
  <c r="S56" i="45"/>
  <c r="T56" i="45"/>
  <c r="U56" i="45"/>
  <c r="V56" i="45"/>
  <c r="W56" i="45"/>
  <c r="X56" i="45"/>
  <c r="Y56" i="45"/>
  <c r="Z56" i="45"/>
  <c r="AA56" i="45"/>
  <c r="AB56" i="45"/>
  <c r="AC56" i="45"/>
  <c r="AD56" i="45"/>
  <c r="AE56" i="45"/>
  <c r="AF56" i="45"/>
  <c r="AG56" i="45"/>
  <c r="AH56" i="45"/>
  <c r="AI56" i="45"/>
  <c r="AJ56" i="45"/>
  <c r="AK56" i="45"/>
  <c r="AL56" i="45"/>
  <c r="AM56" i="45"/>
  <c r="AN56" i="45"/>
  <c r="AO56" i="45"/>
  <c r="AP56" i="45"/>
  <c r="AQ56" i="45"/>
  <c r="AR56" i="45"/>
  <c r="AS56" i="45"/>
  <c r="AT56" i="45"/>
  <c r="AU56" i="45"/>
  <c r="AV56" i="45"/>
  <c r="AW56" i="45"/>
  <c r="AX56" i="45"/>
  <c r="AY56" i="45"/>
  <c r="AZ56" i="45"/>
  <c r="BA56" i="45"/>
  <c r="BB56" i="45"/>
  <c r="BC56" i="45"/>
  <c r="BD56" i="45"/>
  <c r="BE56" i="45"/>
  <c r="BF56" i="45"/>
  <c r="BG56" i="45"/>
  <c r="BH56" i="45"/>
  <c r="BI56" i="45"/>
  <c r="BJ56" i="45"/>
  <c r="BK56" i="45"/>
  <c r="BL56" i="45"/>
  <c r="BM56" i="45"/>
  <c r="BN56" i="45"/>
  <c r="BO56" i="45"/>
  <c r="BP56" i="45"/>
  <c r="BQ56" i="45"/>
  <c r="BR56" i="45"/>
  <c r="BS56" i="45"/>
  <c r="BT56" i="45"/>
  <c r="BU56" i="45"/>
  <c r="BV56" i="45"/>
  <c r="BW56" i="45"/>
  <c r="BX56" i="45"/>
  <c r="BY56" i="45"/>
  <c r="BZ56" i="45"/>
  <c r="CA56" i="45"/>
  <c r="CB56" i="45"/>
  <c r="CC56" i="45"/>
  <c r="CD56" i="45"/>
  <c r="CE56" i="45"/>
  <c r="CF56" i="45"/>
  <c r="CG56" i="45"/>
  <c r="CH56" i="45"/>
  <c r="CI56" i="45"/>
  <c r="CJ56" i="45"/>
  <c r="CK56" i="45"/>
  <c r="CL56" i="45"/>
  <c r="CM56" i="45"/>
  <c r="CN56" i="45"/>
  <c r="CO56" i="45"/>
  <c r="CP56" i="45"/>
  <c r="CQ56" i="45"/>
  <c r="CR56" i="45"/>
  <c r="CS56" i="45"/>
  <c r="CT56" i="45"/>
  <c r="CU56" i="45"/>
  <c r="CV56" i="45"/>
  <c r="CW56" i="45"/>
  <c r="CX56" i="45"/>
  <c r="CY56" i="45"/>
  <c r="CZ56" i="45"/>
  <c r="DA56" i="45"/>
  <c r="DB56" i="45"/>
  <c r="DC56" i="45"/>
  <c r="DD56" i="45"/>
  <c r="DE56" i="45"/>
  <c r="DF56" i="45"/>
  <c r="DG56" i="45"/>
  <c r="DH56" i="45"/>
  <c r="DI56" i="45"/>
  <c r="DJ56" i="45"/>
  <c r="DK56" i="45"/>
  <c r="DL56" i="45"/>
  <c r="DM56" i="45"/>
  <c r="DN56" i="45"/>
  <c r="DO56" i="45"/>
  <c r="DP56" i="45"/>
  <c r="DQ56" i="45"/>
  <c r="DR56" i="45"/>
  <c r="DS56" i="45"/>
  <c r="DT56" i="45"/>
  <c r="DU56" i="45"/>
  <c r="DV56" i="45"/>
  <c r="DW56" i="45"/>
  <c r="DX56" i="45"/>
  <c r="DY56" i="45"/>
  <c r="DZ56" i="45"/>
  <c r="EA56" i="45"/>
  <c r="EB56" i="45"/>
  <c r="EC56" i="45"/>
  <c r="ED56" i="45"/>
  <c r="EE56" i="45"/>
  <c r="EF56" i="45"/>
  <c r="EG56" i="45"/>
  <c r="EH56" i="45"/>
  <c r="EI56" i="45"/>
  <c r="EJ56" i="45"/>
  <c r="EK56" i="45"/>
  <c r="EL56" i="45"/>
  <c r="EM56" i="45"/>
  <c r="EN56" i="45"/>
  <c r="EO56" i="45"/>
  <c r="EP56" i="45"/>
  <c r="EQ56" i="45"/>
  <c r="ER56" i="45"/>
  <c r="ES56" i="45"/>
  <c r="ET56" i="45"/>
  <c r="EU56" i="45"/>
  <c r="EV56" i="45"/>
  <c r="EW56" i="45"/>
  <c r="EX56" i="45"/>
  <c r="EY56" i="45"/>
  <c r="EZ56" i="45"/>
  <c r="FA56" i="45"/>
  <c r="FB56" i="45"/>
  <c r="FC56" i="45"/>
  <c r="FD56" i="45"/>
  <c r="FE56" i="45"/>
  <c r="FF56" i="45"/>
  <c r="FG56" i="45"/>
  <c r="FH56" i="45"/>
  <c r="FI56" i="45"/>
  <c r="FJ56" i="45"/>
  <c r="FK56" i="45"/>
  <c r="FL56" i="45"/>
  <c r="FM56" i="45"/>
  <c r="FN56" i="45"/>
  <c r="FO56" i="45"/>
  <c r="FP56" i="45"/>
  <c r="FQ56" i="45"/>
  <c r="FR56" i="45"/>
  <c r="FS56" i="45"/>
  <c r="FT56" i="45"/>
  <c r="FU56" i="45"/>
  <c r="FV56" i="45"/>
  <c r="FW56" i="45"/>
  <c r="FX56" i="45"/>
  <c r="FY56" i="45"/>
  <c r="FZ56" i="45"/>
  <c r="GA56" i="45"/>
  <c r="GB56" i="45"/>
  <c r="GC56" i="45"/>
  <c r="GD56" i="45"/>
  <c r="GE56" i="45"/>
  <c r="GF56" i="45"/>
  <c r="GG56" i="45"/>
  <c r="GH56" i="45"/>
  <c r="GI56" i="45"/>
  <c r="GJ56" i="45"/>
  <c r="GK56" i="45"/>
  <c r="GL56" i="45"/>
  <c r="GM56" i="45"/>
  <c r="GN56" i="45"/>
  <c r="GO56" i="45"/>
  <c r="GP56" i="45"/>
  <c r="GQ56" i="45"/>
  <c r="GR56" i="45"/>
  <c r="GS56" i="45"/>
  <c r="GT56" i="45"/>
  <c r="GU56" i="45"/>
  <c r="GV56" i="45"/>
  <c r="GW56" i="45"/>
  <c r="GX56" i="45"/>
  <c r="GY56" i="45"/>
  <c r="GZ56" i="45"/>
  <c r="HA56" i="45"/>
  <c r="HB56" i="45"/>
  <c r="HC56" i="45"/>
  <c r="HD56" i="45"/>
  <c r="HE56" i="45"/>
  <c r="HF56" i="45"/>
  <c r="HG56" i="45"/>
  <c r="HH56" i="45"/>
  <c r="HI56" i="45"/>
  <c r="HJ56" i="45"/>
  <c r="HK56" i="45"/>
  <c r="HL56" i="45"/>
  <c r="HM56" i="45"/>
  <c r="HN56" i="45"/>
  <c r="HO56" i="45"/>
  <c r="HP56" i="45"/>
  <c r="HQ56" i="45"/>
  <c r="HR56" i="45"/>
  <c r="HS56" i="45"/>
  <c r="HT56" i="45"/>
  <c r="HU56" i="45"/>
  <c r="HV56" i="45"/>
  <c r="HW56" i="45"/>
  <c r="HX56" i="45"/>
  <c r="HY56" i="45"/>
  <c r="HZ56" i="45"/>
  <c r="IA56" i="45"/>
  <c r="IB56" i="45"/>
  <c r="IC56" i="45"/>
  <c r="ID56" i="45"/>
  <c r="IE56" i="45"/>
  <c r="IF56" i="45"/>
  <c r="IG56" i="45"/>
  <c r="IH56" i="45"/>
  <c r="II56" i="45"/>
  <c r="IJ56" i="45"/>
  <c r="IK56" i="45"/>
  <c r="IL56" i="45"/>
  <c r="IM56" i="45"/>
  <c r="IN56" i="45"/>
  <c r="IO56" i="45"/>
  <c r="IP56" i="45"/>
  <c r="IQ56" i="45"/>
  <c r="IR56" i="45"/>
  <c r="IS56" i="45"/>
  <c r="IT56" i="45"/>
  <c r="IU56" i="45"/>
  <c r="IV56" i="45"/>
  <c r="A55" i="45"/>
  <c r="B55" i="45"/>
  <c r="C55" i="45"/>
  <c r="D55" i="45"/>
  <c r="E55" i="45"/>
  <c r="F55" i="45"/>
  <c r="G55" i="45"/>
  <c r="H55" i="45"/>
  <c r="I55" i="45"/>
  <c r="J55" i="45"/>
  <c r="K55" i="45"/>
  <c r="L55" i="45"/>
  <c r="M55" i="45"/>
  <c r="N55" i="45"/>
  <c r="O55" i="45"/>
  <c r="P55" i="45"/>
  <c r="Q55" i="45"/>
  <c r="R55" i="45"/>
  <c r="S55" i="45"/>
  <c r="T55" i="45"/>
  <c r="U55" i="45"/>
  <c r="V55" i="45"/>
  <c r="W55" i="45"/>
  <c r="X55" i="45"/>
  <c r="Y55" i="45"/>
  <c r="Z55" i="45"/>
  <c r="AA55" i="45"/>
  <c r="AB55" i="45"/>
  <c r="AC55" i="45"/>
  <c r="AD55" i="45"/>
  <c r="AE55" i="45"/>
  <c r="AF55" i="45"/>
  <c r="AG55" i="45"/>
  <c r="AH55" i="45"/>
  <c r="AI55" i="45"/>
  <c r="AJ55" i="45"/>
  <c r="AK55" i="45"/>
  <c r="AL55" i="45"/>
  <c r="AM55" i="45"/>
  <c r="AN55" i="45"/>
  <c r="AO55" i="45"/>
  <c r="AP55" i="45"/>
  <c r="AQ55" i="45"/>
  <c r="AR55" i="45"/>
  <c r="AS55" i="45"/>
  <c r="AT55" i="45"/>
  <c r="AU55" i="45"/>
  <c r="AV55" i="45"/>
  <c r="AW55" i="45"/>
  <c r="AX55" i="45"/>
  <c r="AY55" i="45"/>
  <c r="AZ55" i="45"/>
  <c r="BA55" i="45"/>
  <c r="BB55" i="45"/>
  <c r="BC55" i="45"/>
  <c r="BD55" i="45"/>
  <c r="BE55" i="45"/>
  <c r="BF55" i="45"/>
  <c r="BG55" i="45"/>
  <c r="BH55" i="45"/>
  <c r="BI55" i="45"/>
  <c r="BJ55" i="45"/>
  <c r="BK55" i="45"/>
  <c r="BL55" i="45"/>
  <c r="BM55" i="45"/>
  <c r="BN55" i="45"/>
  <c r="BO55" i="45"/>
  <c r="BP55" i="45"/>
  <c r="BQ55" i="45"/>
  <c r="BR55" i="45"/>
  <c r="BS55" i="45"/>
  <c r="BT55" i="45"/>
  <c r="BU55" i="45"/>
  <c r="BV55" i="45"/>
  <c r="BW55" i="45"/>
  <c r="BX55" i="45"/>
  <c r="BY55" i="45"/>
  <c r="BZ55" i="45"/>
  <c r="CA55" i="45"/>
  <c r="CB55" i="45"/>
  <c r="CC55" i="45"/>
  <c r="CD55" i="45"/>
  <c r="CE55" i="45"/>
  <c r="CF55" i="45"/>
  <c r="CG55" i="45"/>
  <c r="CH55" i="45"/>
  <c r="CI55" i="45"/>
  <c r="CJ55" i="45"/>
  <c r="CK55" i="45"/>
  <c r="CL55" i="45"/>
  <c r="CM55" i="45"/>
  <c r="CN55" i="45"/>
  <c r="CO55" i="45"/>
  <c r="CP55" i="45"/>
  <c r="CQ55" i="45"/>
  <c r="CR55" i="45"/>
  <c r="CS55" i="45"/>
  <c r="CT55" i="45"/>
  <c r="CU55" i="45"/>
  <c r="CV55" i="45"/>
  <c r="CW55" i="45"/>
  <c r="CX55" i="45"/>
  <c r="CY55" i="45"/>
  <c r="CZ55" i="45"/>
  <c r="DA55" i="45"/>
  <c r="DB55" i="45"/>
  <c r="DC55" i="45"/>
  <c r="DD55" i="45"/>
  <c r="DE55" i="45"/>
  <c r="DF55" i="45"/>
  <c r="DG55" i="45"/>
  <c r="DH55" i="45"/>
  <c r="DI55" i="45"/>
  <c r="DJ55" i="45"/>
  <c r="DK55" i="45"/>
  <c r="DL55" i="45"/>
  <c r="DM55" i="45"/>
  <c r="DN55" i="45"/>
  <c r="DO55" i="45"/>
  <c r="DP55" i="45"/>
  <c r="DQ55" i="45"/>
  <c r="DR55" i="45"/>
  <c r="DS55" i="45"/>
  <c r="DT55" i="45"/>
  <c r="DU55" i="45"/>
  <c r="DV55" i="45"/>
  <c r="DW55" i="45"/>
  <c r="DX55" i="45"/>
  <c r="DY55" i="45"/>
  <c r="DZ55" i="45"/>
  <c r="EA55" i="45"/>
  <c r="EB55" i="45"/>
  <c r="EC55" i="45"/>
  <c r="ED55" i="45"/>
  <c r="EE55" i="45"/>
  <c r="EF55" i="45"/>
  <c r="EG55" i="45"/>
  <c r="EH55" i="45"/>
  <c r="EI55" i="45"/>
  <c r="EJ55" i="45"/>
  <c r="EK55" i="45"/>
  <c r="EL55" i="45"/>
  <c r="EM55" i="45"/>
  <c r="EN55" i="45"/>
  <c r="EO55" i="45"/>
  <c r="EP55" i="45"/>
  <c r="EQ55" i="45"/>
  <c r="ER55" i="45"/>
  <c r="ES55" i="45"/>
  <c r="ET55" i="45"/>
  <c r="EU55" i="45"/>
  <c r="EV55" i="45"/>
  <c r="EW55" i="45"/>
  <c r="EX55" i="45"/>
  <c r="EY55" i="45"/>
  <c r="EZ55" i="45"/>
  <c r="FA55" i="45"/>
  <c r="FB55" i="45"/>
  <c r="FC55" i="45"/>
  <c r="FD55" i="45"/>
  <c r="FE55" i="45"/>
  <c r="FF55" i="45"/>
  <c r="FG55" i="45"/>
  <c r="FH55" i="45"/>
  <c r="FI55" i="45"/>
  <c r="FJ55" i="45"/>
  <c r="FK55" i="45"/>
  <c r="FL55" i="45"/>
  <c r="FM55" i="45"/>
  <c r="FN55" i="45"/>
  <c r="FO55" i="45"/>
  <c r="FP55" i="45"/>
  <c r="FQ55" i="45"/>
  <c r="FR55" i="45"/>
  <c r="FS55" i="45"/>
  <c r="FT55" i="45"/>
  <c r="FU55" i="45"/>
  <c r="FV55" i="45"/>
  <c r="FW55" i="45"/>
  <c r="FX55" i="45"/>
  <c r="FY55" i="45"/>
  <c r="FZ55" i="45"/>
  <c r="GA55" i="45"/>
  <c r="GB55" i="45"/>
  <c r="GC55" i="45"/>
  <c r="GD55" i="45"/>
  <c r="GE55" i="45"/>
  <c r="GF55" i="45"/>
  <c r="GG55" i="45"/>
  <c r="GH55" i="45"/>
  <c r="GI55" i="45"/>
  <c r="GJ55" i="45"/>
  <c r="GK55" i="45"/>
  <c r="GL55" i="45"/>
  <c r="GM55" i="45"/>
  <c r="GN55" i="45"/>
  <c r="GO55" i="45"/>
  <c r="GP55" i="45"/>
  <c r="GQ55" i="45"/>
  <c r="GR55" i="45"/>
  <c r="GS55" i="45"/>
  <c r="GT55" i="45"/>
  <c r="GU55" i="45"/>
  <c r="GV55" i="45"/>
  <c r="GW55" i="45"/>
  <c r="GX55" i="45"/>
  <c r="GY55" i="45"/>
  <c r="GZ55" i="45"/>
  <c r="HA55" i="45"/>
  <c r="HB55" i="45"/>
  <c r="HC55" i="45"/>
  <c r="HD55" i="45"/>
  <c r="HE55" i="45"/>
  <c r="HF55" i="45"/>
  <c r="HG55" i="45"/>
  <c r="HH55" i="45"/>
  <c r="HI55" i="45"/>
  <c r="HJ55" i="45"/>
  <c r="HK55" i="45"/>
  <c r="HL55" i="45"/>
  <c r="HM55" i="45"/>
  <c r="HN55" i="45"/>
  <c r="HO55" i="45"/>
  <c r="HP55" i="45"/>
  <c r="HQ55" i="45"/>
  <c r="HR55" i="45"/>
  <c r="HS55" i="45"/>
  <c r="HT55" i="45"/>
  <c r="HU55" i="45"/>
  <c r="HV55" i="45"/>
  <c r="HW55" i="45"/>
  <c r="HX55" i="45"/>
  <c r="HY55" i="45"/>
  <c r="HZ55" i="45"/>
  <c r="IA55" i="45"/>
  <c r="IB55" i="45"/>
  <c r="IC55" i="45"/>
  <c r="ID55" i="45"/>
  <c r="IE55" i="45"/>
  <c r="IF55" i="45"/>
  <c r="IG55" i="45"/>
  <c r="IH55" i="45"/>
  <c r="II55" i="45"/>
  <c r="IJ55" i="45"/>
  <c r="IK55" i="45"/>
  <c r="IL55" i="45"/>
  <c r="IM55" i="45"/>
  <c r="IN55" i="45"/>
  <c r="IO55" i="45"/>
  <c r="IP55" i="45"/>
  <c r="IQ55" i="45"/>
  <c r="IR55" i="45"/>
  <c r="IS55" i="45"/>
  <c r="IT55" i="45"/>
  <c r="IU55" i="45"/>
  <c r="IV55" i="45"/>
  <c r="A54" i="45"/>
  <c r="B54" i="45"/>
  <c r="C54" i="45"/>
  <c r="D54" i="45"/>
  <c r="E54" i="45"/>
  <c r="F54" i="45"/>
  <c r="G54" i="45"/>
  <c r="H54" i="45"/>
  <c r="I54" i="45"/>
  <c r="J54" i="45"/>
  <c r="K54" i="45"/>
  <c r="L54" i="45"/>
  <c r="M54" i="45"/>
  <c r="N54" i="45"/>
  <c r="O54" i="45"/>
  <c r="P54" i="45"/>
  <c r="Q54" i="45"/>
  <c r="R54" i="45"/>
  <c r="S54" i="45"/>
  <c r="T54" i="45"/>
  <c r="U54" i="45"/>
  <c r="V54" i="45"/>
  <c r="W54" i="45"/>
  <c r="X54" i="45"/>
  <c r="Y54" i="45"/>
  <c r="Z54" i="45"/>
  <c r="AA54" i="45"/>
  <c r="AB54" i="45"/>
  <c r="AC54" i="45"/>
  <c r="AD54" i="45"/>
  <c r="AE54" i="45"/>
  <c r="AF54" i="45"/>
  <c r="AG54" i="45"/>
  <c r="AH54" i="45"/>
  <c r="AI54" i="45"/>
  <c r="AJ54" i="45"/>
  <c r="AK54" i="45"/>
  <c r="AL54" i="45"/>
  <c r="AM54" i="45"/>
  <c r="AN54" i="45"/>
  <c r="AO54" i="45"/>
  <c r="AP54" i="45"/>
  <c r="AQ54" i="45"/>
  <c r="AR54" i="45"/>
  <c r="AS54" i="45"/>
  <c r="AT54" i="45"/>
  <c r="AU54" i="45"/>
  <c r="AV54" i="45"/>
  <c r="AW54" i="45"/>
  <c r="AX54" i="45"/>
  <c r="AY54" i="45"/>
  <c r="AZ54" i="45"/>
  <c r="BA54" i="45"/>
  <c r="BB54" i="45"/>
  <c r="BC54" i="45"/>
  <c r="BD54" i="45"/>
  <c r="BE54" i="45"/>
  <c r="BF54" i="45"/>
  <c r="BG54" i="45"/>
  <c r="BH54" i="45"/>
  <c r="BI54" i="45"/>
  <c r="BJ54" i="45"/>
  <c r="BK54" i="45"/>
  <c r="BL54" i="45"/>
  <c r="BM54" i="45"/>
  <c r="BN54" i="45"/>
  <c r="BO54" i="45"/>
  <c r="BP54" i="45"/>
  <c r="BQ54" i="45"/>
  <c r="BR54" i="45"/>
  <c r="BS54" i="45"/>
  <c r="BT54" i="45"/>
  <c r="BU54" i="45"/>
  <c r="BV54" i="45"/>
  <c r="BW54" i="45"/>
  <c r="BX54" i="45"/>
  <c r="BY54" i="45"/>
  <c r="BZ54" i="45"/>
  <c r="CA54" i="45"/>
  <c r="CB54" i="45"/>
  <c r="CC54" i="45"/>
  <c r="CD54" i="45"/>
  <c r="CE54" i="45"/>
  <c r="CF54" i="45"/>
  <c r="CG54" i="45"/>
  <c r="CH54" i="45"/>
  <c r="CI54" i="45"/>
  <c r="CJ54" i="45"/>
  <c r="CK54" i="45"/>
  <c r="CL54" i="45"/>
  <c r="CM54" i="45"/>
  <c r="CN54" i="45"/>
  <c r="CO54" i="45"/>
  <c r="CP54" i="45"/>
  <c r="CQ54" i="45"/>
  <c r="CR54" i="45"/>
  <c r="CS54" i="45"/>
  <c r="CT54" i="45"/>
  <c r="CU54" i="45"/>
  <c r="CV54" i="45"/>
  <c r="CW54" i="45"/>
  <c r="CX54" i="45"/>
  <c r="CY54" i="45"/>
  <c r="CZ54" i="45"/>
  <c r="DA54" i="45"/>
  <c r="DB54" i="45"/>
  <c r="DC54" i="45"/>
  <c r="DD54" i="45"/>
  <c r="DE54" i="45"/>
  <c r="DF54" i="45"/>
  <c r="DG54" i="45"/>
  <c r="DH54" i="45"/>
  <c r="DI54" i="45"/>
  <c r="DJ54" i="45"/>
  <c r="DK54" i="45"/>
  <c r="DL54" i="45"/>
  <c r="DM54" i="45"/>
  <c r="DN54" i="45"/>
  <c r="DO54" i="45"/>
  <c r="DP54" i="45"/>
  <c r="DQ54" i="45"/>
  <c r="DR54" i="45"/>
  <c r="DS54" i="45"/>
  <c r="DT54" i="45"/>
  <c r="DU54" i="45"/>
  <c r="DV54" i="45"/>
  <c r="DW54" i="45"/>
  <c r="DX54" i="45"/>
  <c r="DY54" i="45"/>
  <c r="DZ54" i="45"/>
  <c r="EA54" i="45"/>
  <c r="EB54" i="45"/>
  <c r="EC54" i="45"/>
  <c r="ED54" i="45"/>
  <c r="EE54" i="45"/>
  <c r="EF54" i="45"/>
  <c r="EG54" i="45"/>
  <c r="EH54" i="45"/>
  <c r="EI54" i="45"/>
  <c r="EJ54" i="45"/>
  <c r="EK54" i="45"/>
  <c r="EL54" i="45"/>
  <c r="EM54" i="45"/>
  <c r="EN54" i="45"/>
  <c r="EO54" i="45"/>
  <c r="EP54" i="45"/>
  <c r="EQ54" i="45"/>
  <c r="ER54" i="45"/>
  <c r="ES54" i="45"/>
  <c r="ET54" i="45"/>
  <c r="EU54" i="45"/>
  <c r="EV54" i="45"/>
  <c r="EW54" i="45"/>
  <c r="EX54" i="45"/>
  <c r="EY54" i="45"/>
  <c r="EZ54" i="45"/>
  <c r="FA54" i="45"/>
  <c r="FB54" i="45"/>
  <c r="FC54" i="45"/>
  <c r="FD54" i="45"/>
  <c r="FE54" i="45"/>
  <c r="FF54" i="45"/>
  <c r="FG54" i="45"/>
  <c r="FH54" i="45"/>
  <c r="FI54" i="45"/>
  <c r="FJ54" i="45"/>
  <c r="FK54" i="45"/>
  <c r="FL54" i="45"/>
  <c r="FM54" i="45"/>
  <c r="FN54" i="45"/>
  <c r="FO54" i="45"/>
  <c r="FP54" i="45"/>
  <c r="FQ54" i="45"/>
  <c r="FR54" i="45"/>
  <c r="FS54" i="45"/>
  <c r="FT54" i="45"/>
  <c r="FU54" i="45"/>
  <c r="FV54" i="45"/>
  <c r="FW54" i="45"/>
  <c r="FX54" i="45"/>
  <c r="FY54" i="45"/>
  <c r="FZ54" i="45"/>
  <c r="GA54" i="45"/>
  <c r="GB54" i="45"/>
  <c r="GC54" i="45"/>
  <c r="GD54" i="45"/>
  <c r="GE54" i="45"/>
  <c r="GF54" i="45"/>
  <c r="GG54" i="45"/>
  <c r="GH54" i="45"/>
  <c r="GI54" i="45"/>
  <c r="GJ54" i="45"/>
  <c r="GK54" i="45"/>
  <c r="GL54" i="45"/>
  <c r="GM54" i="45"/>
  <c r="GN54" i="45"/>
  <c r="GO54" i="45"/>
  <c r="GP54" i="45"/>
  <c r="GQ54" i="45"/>
  <c r="GR54" i="45"/>
  <c r="GS54" i="45"/>
  <c r="GT54" i="45"/>
  <c r="GU54" i="45"/>
  <c r="GV54" i="45"/>
  <c r="GW54" i="45"/>
  <c r="GX54" i="45"/>
  <c r="GY54" i="45"/>
  <c r="GZ54" i="45"/>
  <c r="HA54" i="45"/>
  <c r="HB54" i="45"/>
  <c r="HC54" i="45"/>
  <c r="HD54" i="45"/>
  <c r="HE54" i="45"/>
  <c r="HF54" i="45"/>
  <c r="HG54" i="45"/>
  <c r="HH54" i="45"/>
  <c r="HI54" i="45"/>
  <c r="HJ54" i="45"/>
  <c r="HK54" i="45"/>
  <c r="HL54" i="45"/>
  <c r="HM54" i="45"/>
  <c r="HN54" i="45"/>
  <c r="HO54" i="45"/>
  <c r="HP54" i="45"/>
  <c r="HQ54" i="45"/>
  <c r="HR54" i="45"/>
  <c r="HS54" i="45"/>
  <c r="HT54" i="45"/>
  <c r="HU54" i="45"/>
  <c r="HV54" i="45"/>
  <c r="HW54" i="45"/>
  <c r="HX54" i="45"/>
  <c r="HY54" i="45"/>
  <c r="HZ54" i="45"/>
  <c r="IA54" i="45"/>
  <c r="IB54" i="45"/>
  <c r="IC54" i="45"/>
  <c r="ID54" i="45"/>
  <c r="IE54" i="45"/>
  <c r="IF54" i="45"/>
  <c r="IG54" i="45"/>
  <c r="IH54" i="45"/>
  <c r="II54" i="45"/>
  <c r="IJ54" i="45"/>
  <c r="IK54" i="45"/>
  <c r="IL54" i="45"/>
  <c r="IM54" i="45"/>
  <c r="IN54" i="45"/>
  <c r="IO54" i="45"/>
  <c r="IP54" i="45"/>
  <c r="IQ54" i="45"/>
  <c r="IR54" i="45"/>
  <c r="IS54" i="45"/>
  <c r="IT54" i="45"/>
  <c r="IU54" i="45"/>
  <c r="IV54" i="45"/>
  <c r="A53" i="45"/>
  <c r="B53" i="45"/>
  <c r="C53" i="45"/>
  <c r="D53" i="45"/>
  <c r="E53" i="45"/>
  <c r="F53" i="45"/>
  <c r="G53" i="45"/>
  <c r="H53" i="45"/>
  <c r="I53" i="45"/>
  <c r="J53" i="45"/>
  <c r="K53" i="45"/>
  <c r="L53" i="45"/>
  <c r="M53" i="45"/>
  <c r="N53" i="45"/>
  <c r="O53" i="45"/>
  <c r="P53" i="45"/>
  <c r="Q53" i="45"/>
  <c r="R53" i="45"/>
  <c r="S53" i="45"/>
  <c r="T53" i="45"/>
  <c r="U53" i="45"/>
  <c r="V53" i="45"/>
  <c r="W53" i="45"/>
  <c r="X53" i="45"/>
  <c r="Y53" i="45"/>
  <c r="Z53" i="45"/>
  <c r="AA53" i="45"/>
  <c r="AB53" i="45"/>
  <c r="AC53" i="45"/>
  <c r="AD53" i="45"/>
  <c r="AE53" i="45"/>
  <c r="AF53" i="45"/>
  <c r="AG53" i="45"/>
  <c r="AH53" i="45"/>
  <c r="AI53" i="45"/>
  <c r="AJ53" i="45"/>
  <c r="AK53" i="45"/>
  <c r="AL53" i="45"/>
  <c r="AM53" i="45"/>
  <c r="AN53" i="45"/>
  <c r="AO53" i="45"/>
  <c r="AP53" i="45"/>
  <c r="AQ53" i="45"/>
  <c r="AR53" i="45"/>
  <c r="AS53" i="45"/>
  <c r="AT53" i="45"/>
  <c r="AU53" i="45"/>
  <c r="AV53" i="45"/>
  <c r="AW53" i="45"/>
  <c r="AX53" i="45"/>
  <c r="AY53" i="45"/>
  <c r="AZ53" i="45"/>
  <c r="BA53" i="45"/>
  <c r="BB53" i="45"/>
  <c r="BC53" i="45"/>
  <c r="BD53" i="45"/>
  <c r="BE53" i="45"/>
  <c r="BF53" i="45"/>
  <c r="BG53" i="45"/>
  <c r="BH53" i="45"/>
  <c r="BI53" i="45"/>
  <c r="BJ53" i="45"/>
  <c r="BK53" i="45"/>
  <c r="BL53" i="45"/>
  <c r="BM53" i="45"/>
  <c r="BN53" i="45"/>
  <c r="BO53" i="45"/>
  <c r="BP53" i="45"/>
  <c r="BQ53" i="45"/>
  <c r="BR53" i="45"/>
  <c r="BS53" i="45"/>
  <c r="BT53" i="45"/>
  <c r="BU53" i="45"/>
  <c r="BV53" i="45"/>
  <c r="BW53" i="45"/>
  <c r="BX53" i="45"/>
  <c r="BY53" i="45"/>
  <c r="BZ53" i="45"/>
  <c r="CA53" i="45"/>
  <c r="CB53" i="45"/>
  <c r="CC53" i="45"/>
  <c r="CD53" i="45"/>
  <c r="CE53" i="45"/>
  <c r="CF53" i="45"/>
  <c r="CG53" i="45"/>
  <c r="CH53" i="45"/>
  <c r="CI53" i="45"/>
  <c r="CJ53" i="45"/>
  <c r="CK53" i="45"/>
  <c r="CL53" i="45"/>
  <c r="CM53" i="45"/>
  <c r="CN53" i="45"/>
  <c r="CO53" i="45"/>
  <c r="CP53" i="45"/>
  <c r="CQ53" i="45"/>
  <c r="CR53" i="45"/>
  <c r="CS53" i="45"/>
  <c r="CT53" i="45"/>
  <c r="CU53" i="45"/>
  <c r="CV53" i="45"/>
  <c r="CW53" i="45"/>
  <c r="CX53" i="45"/>
  <c r="CY53" i="45"/>
  <c r="CZ53" i="45"/>
  <c r="DA53" i="45"/>
  <c r="DB53" i="45"/>
  <c r="DC53" i="45"/>
  <c r="DD53" i="45"/>
  <c r="DE53" i="45"/>
  <c r="DF53" i="45"/>
  <c r="DG53" i="45"/>
  <c r="DH53" i="45"/>
  <c r="DI53" i="45"/>
  <c r="DJ53" i="45"/>
  <c r="DK53" i="45"/>
  <c r="DL53" i="45"/>
  <c r="DM53" i="45"/>
  <c r="DN53" i="45"/>
  <c r="DO53" i="45"/>
  <c r="DP53" i="45"/>
  <c r="DQ53" i="45"/>
  <c r="DR53" i="45"/>
  <c r="DS53" i="45"/>
  <c r="DT53" i="45"/>
  <c r="DU53" i="45"/>
  <c r="DV53" i="45"/>
  <c r="DW53" i="45"/>
  <c r="DX53" i="45"/>
  <c r="DY53" i="45"/>
  <c r="DZ53" i="45"/>
  <c r="EA53" i="45"/>
  <c r="EB53" i="45"/>
  <c r="EC53" i="45"/>
  <c r="ED53" i="45"/>
  <c r="EE53" i="45"/>
  <c r="EF53" i="45"/>
  <c r="EG53" i="45"/>
  <c r="EH53" i="45"/>
  <c r="EI53" i="45"/>
  <c r="EJ53" i="45"/>
  <c r="EK53" i="45"/>
  <c r="EL53" i="45"/>
  <c r="EM53" i="45"/>
  <c r="EN53" i="45"/>
  <c r="EO53" i="45"/>
  <c r="EP53" i="45"/>
  <c r="EQ53" i="45"/>
  <c r="ER53" i="45"/>
  <c r="ES53" i="45"/>
  <c r="ET53" i="45"/>
  <c r="EU53" i="45"/>
  <c r="EV53" i="45"/>
  <c r="EW53" i="45"/>
  <c r="EX53" i="45"/>
  <c r="EY53" i="45"/>
  <c r="EZ53" i="45"/>
  <c r="FA53" i="45"/>
  <c r="FB53" i="45"/>
  <c r="FC53" i="45"/>
  <c r="FD53" i="45"/>
  <c r="FE53" i="45"/>
  <c r="FF53" i="45"/>
  <c r="FG53" i="45"/>
  <c r="FH53" i="45"/>
  <c r="FI53" i="45"/>
  <c r="FJ53" i="45"/>
  <c r="FK53" i="45"/>
  <c r="FL53" i="45"/>
  <c r="FM53" i="45"/>
  <c r="FN53" i="45"/>
  <c r="FO53" i="45"/>
  <c r="FP53" i="45"/>
  <c r="FQ53" i="45"/>
  <c r="FR53" i="45"/>
  <c r="FS53" i="45"/>
  <c r="FT53" i="45"/>
  <c r="FU53" i="45"/>
  <c r="FV53" i="45"/>
  <c r="FW53" i="45"/>
  <c r="FX53" i="45"/>
  <c r="FY53" i="45"/>
  <c r="FZ53" i="45"/>
  <c r="GA53" i="45"/>
  <c r="GB53" i="45"/>
  <c r="GC53" i="45"/>
  <c r="GD53" i="45"/>
  <c r="GE53" i="45"/>
  <c r="GF53" i="45"/>
  <c r="GG53" i="45"/>
  <c r="GH53" i="45"/>
  <c r="GI53" i="45"/>
  <c r="GJ53" i="45"/>
  <c r="GK53" i="45"/>
  <c r="GL53" i="45"/>
  <c r="GM53" i="45"/>
  <c r="GN53" i="45"/>
  <c r="GO53" i="45"/>
  <c r="GP53" i="45"/>
  <c r="GQ53" i="45"/>
  <c r="GR53" i="45"/>
  <c r="GS53" i="45"/>
  <c r="GT53" i="45"/>
  <c r="GU53" i="45"/>
  <c r="GV53" i="45"/>
  <c r="GW53" i="45"/>
  <c r="GX53" i="45"/>
  <c r="GY53" i="45"/>
  <c r="GZ53" i="45"/>
  <c r="HA53" i="45"/>
  <c r="HB53" i="45"/>
  <c r="HC53" i="45"/>
  <c r="HD53" i="45"/>
  <c r="HE53" i="45"/>
  <c r="HF53" i="45"/>
  <c r="HG53" i="45"/>
  <c r="HH53" i="45"/>
  <c r="HI53" i="45"/>
  <c r="HJ53" i="45"/>
  <c r="HK53" i="45"/>
  <c r="HL53" i="45"/>
  <c r="HM53" i="45"/>
  <c r="HN53" i="45"/>
  <c r="HO53" i="45"/>
  <c r="HP53" i="45"/>
  <c r="HQ53" i="45"/>
  <c r="HR53" i="45"/>
  <c r="HS53" i="45"/>
  <c r="HT53" i="45"/>
  <c r="HU53" i="45"/>
  <c r="HV53" i="45"/>
  <c r="HW53" i="45"/>
  <c r="HX53" i="45"/>
  <c r="HY53" i="45"/>
  <c r="HZ53" i="45"/>
  <c r="IA53" i="45"/>
  <c r="IB53" i="45"/>
  <c r="IC53" i="45"/>
  <c r="ID53" i="45"/>
  <c r="IE53" i="45"/>
  <c r="IF53" i="45"/>
  <c r="IG53" i="45"/>
  <c r="IH53" i="45"/>
  <c r="II53" i="45"/>
  <c r="IJ53" i="45"/>
  <c r="IK53" i="45"/>
  <c r="IL53" i="45"/>
  <c r="IM53" i="45"/>
  <c r="IN53" i="45"/>
  <c r="IO53" i="45"/>
  <c r="IP53" i="45"/>
  <c r="IQ53" i="45"/>
  <c r="IR53" i="45"/>
  <c r="IS53" i="45"/>
  <c r="IT53" i="45"/>
  <c r="IU53" i="45"/>
  <c r="IV53" i="45"/>
  <c r="A52" i="45"/>
  <c r="B52" i="45"/>
  <c r="C52" i="45"/>
  <c r="D52" i="45"/>
  <c r="E52" i="45"/>
  <c r="F52" i="45"/>
  <c r="G52" i="45"/>
  <c r="H52" i="45"/>
  <c r="I52" i="45"/>
  <c r="J52" i="45"/>
  <c r="K52" i="45"/>
  <c r="L52" i="45"/>
  <c r="M52" i="45"/>
  <c r="N52" i="45"/>
  <c r="O52" i="45"/>
  <c r="P52" i="45"/>
  <c r="Q52" i="45"/>
  <c r="R52" i="45"/>
  <c r="S52" i="45"/>
  <c r="T52" i="45"/>
  <c r="U52" i="45"/>
  <c r="V52" i="45"/>
  <c r="W52" i="45"/>
  <c r="X52" i="45"/>
  <c r="Y52" i="45"/>
  <c r="Z52" i="45"/>
  <c r="AA52" i="45"/>
  <c r="AB52" i="45"/>
  <c r="AC52" i="45"/>
  <c r="AD52" i="45"/>
  <c r="AE52" i="45"/>
  <c r="AF52" i="45"/>
  <c r="AG52" i="45"/>
  <c r="AH52" i="45"/>
  <c r="AI52" i="45"/>
  <c r="AJ52" i="45"/>
  <c r="AK52" i="45"/>
  <c r="AL52" i="45"/>
  <c r="AM52" i="45"/>
  <c r="AN52" i="45"/>
  <c r="AO52" i="45"/>
  <c r="AP52" i="45"/>
  <c r="AQ52" i="45"/>
  <c r="AR52" i="45"/>
  <c r="AS52" i="45"/>
  <c r="AT52" i="45"/>
  <c r="AU52" i="45"/>
  <c r="AV52" i="45"/>
  <c r="AW52" i="45"/>
  <c r="AX52" i="45"/>
  <c r="AY52" i="45"/>
  <c r="AZ52" i="45"/>
  <c r="BA52" i="45"/>
  <c r="BB52" i="45"/>
  <c r="BC52" i="45"/>
  <c r="BD52" i="45"/>
  <c r="BE52" i="45"/>
  <c r="BF52" i="45"/>
  <c r="BG52" i="45"/>
  <c r="BH52" i="45"/>
  <c r="BI52" i="45"/>
  <c r="BJ52" i="45"/>
  <c r="BK52" i="45"/>
  <c r="BL52" i="45"/>
  <c r="BM52" i="45"/>
  <c r="BN52" i="45"/>
  <c r="BO52" i="45"/>
  <c r="BP52" i="45"/>
  <c r="BQ52" i="45"/>
  <c r="BR52" i="45"/>
  <c r="BS52" i="45"/>
  <c r="BT52" i="45"/>
  <c r="BU52" i="45"/>
  <c r="BV52" i="45"/>
  <c r="BW52" i="45"/>
  <c r="BX52" i="45"/>
  <c r="BY52" i="45"/>
  <c r="BZ52" i="45"/>
  <c r="CA52" i="45"/>
  <c r="CB52" i="45"/>
  <c r="CC52" i="45"/>
  <c r="CD52" i="45"/>
  <c r="CE52" i="45"/>
  <c r="CF52" i="45"/>
  <c r="CG52" i="45"/>
  <c r="CH52" i="45"/>
  <c r="CI52" i="45"/>
  <c r="CJ52" i="45"/>
  <c r="CK52" i="45"/>
  <c r="CL52" i="45"/>
  <c r="CM52" i="45"/>
  <c r="CN52" i="45"/>
  <c r="CO52" i="45"/>
  <c r="CP52" i="45"/>
  <c r="CQ52" i="45"/>
  <c r="CR52" i="45"/>
  <c r="CS52" i="45"/>
  <c r="CT52" i="45"/>
  <c r="CU52" i="45"/>
  <c r="CV52" i="45"/>
  <c r="CW52" i="45"/>
  <c r="CX52" i="45"/>
  <c r="CY52" i="45"/>
  <c r="CZ52" i="45"/>
  <c r="DA52" i="45"/>
  <c r="DB52" i="45"/>
  <c r="DC52" i="45"/>
  <c r="DD52" i="45"/>
  <c r="DE52" i="45"/>
  <c r="DF52" i="45"/>
  <c r="DG52" i="45"/>
  <c r="DH52" i="45"/>
  <c r="DI52" i="45"/>
  <c r="DJ52" i="45"/>
  <c r="DK52" i="45"/>
  <c r="DL52" i="45"/>
  <c r="DM52" i="45"/>
  <c r="DN52" i="45"/>
  <c r="DO52" i="45"/>
  <c r="DP52" i="45"/>
  <c r="DQ52" i="45"/>
  <c r="DR52" i="45"/>
  <c r="DS52" i="45"/>
  <c r="DT52" i="45"/>
  <c r="DU52" i="45"/>
  <c r="DV52" i="45"/>
  <c r="DW52" i="45"/>
  <c r="DX52" i="45"/>
  <c r="DY52" i="45"/>
  <c r="DZ52" i="45"/>
  <c r="EA52" i="45"/>
  <c r="EB52" i="45"/>
  <c r="EC52" i="45"/>
  <c r="ED52" i="45"/>
  <c r="EE52" i="45"/>
  <c r="EF52" i="45"/>
  <c r="EG52" i="45"/>
  <c r="EH52" i="45"/>
  <c r="EI52" i="45"/>
  <c r="EJ52" i="45"/>
  <c r="EK52" i="45"/>
  <c r="EL52" i="45"/>
  <c r="EM52" i="45"/>
  <c r="EN52" i="45"/>
  <c r="EO52" i="45"/>
  <c r="EP52" i="45"/>
  <c r="EQ52" i="45"/>
  <c r="ER52" i="45"/>
  <c r="ES52" i="45"/>
  <c r="ET52" i="45"/>
  <c r="EU52" i="45"/>
  <c r="EV52" i="45"/>
  <c r="EW52" i="45"/>
  <c r="EX52" i="45"/>
  <c r="EY52" i="45"/>
  <c r="EZ52" i="45"/>
  <c r="FA52" i="45"/>
  <c r="FB52" i="45"/>
  <c r="FC52" i="45"/>
  <c r="FD52" i="45"/>
  <c r="FE52" i="45"/>
  <c r="FF52" i="45"/>
  <c r="FG52" i="45"/>
  <c r="FH52" i="45"/>
  <c r="FI52" i="45"/>
  <c r="FJ52" i="45"/>
  <c r="FK52" i="45"/>
  <c r="FL52" i="45"/>
  <c r="FM52" i="45"/>
  <c r="FN52" i="45"/>
  <c r="FO52" i="45"/>
  <c r="FP52" i="45"/>
  <c r="FQ52" i="45"/>
  <c r="FR52" i="45"/>
  <c r="FS52" i="45"/>
  <c r="FT52" i="45"/>
  <c r="FU52" i="45"/>
  <c r="FV52" i="45"/>
  <c r="FW52" i="45"/>
  <c r="FX52" i="45"/>
  <c r="FY52" i="45"/>
  <c r="FZ52" i="45"/>
  <c r="GA52" i="45"/>
  <c r="GB52" i="45"/>
  <c r="GC52" i="45"/>
  <c r="GD52" i="45"/>
  <c r="GE52" i="45"/>
  <c r="GF52" i="45"/>
  <c r="GG52" i="45"/>
  <c r="GH52" i="45"/>
  <c r="GI52" i="45"/>
  <c r="GJ52" i="45"/>
  <c r="GK52" i="45"/>
  <c r="GL52" i="45"/>
  <c r="GM52" i="45"/>
  <c r="GN52" i="45"/>
  <c r="GO52" i="45"/>
  <c r="GP52" i="45"/>
  <c r="GQ52" i="45"/>
  <c r="GR52" i="45"/>
  <c r="GS52" i="45"/>
  <c r="GT52" i="45"/>
  <c r="GU52" i="45"/>
  <c r="GV52" i="45"/>
  <c r="GW52" i="45"/>
  <c r="GX52" i="45"/>
  <c r="GY52" i="45"/>
  <c r="GZ52" i="45"/>
  <c r="HA52" i="45"/>
  <c r="HB52" i="45"/>
  <c r="HC52" i="45"/>
  <c r="HD52" i="45"/>
  <c r="HE52" i="45"/>
  <c r="HF52" i="45"/>
  <c r="HG52" i="45"/>
  <c r="HH52" i="45"/>
  <c r="HI52" i="45"/>
  <c r="HJ52" i="45"/>
  <c r="HK52" i="45"/>
  <c r="HL52" i="45"/>
  <c r="HM52" i="45"/>
  <c r="HN52" i="45"/>
  <c r="HO52" i="45"/>
  <c r="HP52" i="45"/>
  <c r="HQ52" i="45"/>
  <c r="HR52" i="45"/>
  <c r="HS52" i="45"/>
  <c r="HT52" i="45"/>
  <c r="HU52" i="45"/>
  <c r="HV52" i="45"/>
  <c r="HW52" i="45"/>
  <c r="HX52" i="45"/>
  <c r="HY52" i="45"/>
  <c r="HZ52" i="45"/>
  <c r="IA52" i="45"/>
  <c r="IB52" i="45"/>
  <c r="IC52" i="45"/>
  <c r="ID52" i="45"/>
  <c r="IE52" i="45"/>
  <c r="IF52" i="45"/>
  <c r="IG52" i="45"/>
  <c r="IH52" i="45"/>
  <c r="II52" i="45"/>
  <c r="IJ52" i="45"/>
  <c r="IK52" i="45"/>
  <c r="IL52" i="45"/>
  <c r="IM52" i="45"/>
  <c r="IN52" i="45"/>
  <c r="IO52" i="45"/>
  <c r="IP52" i="45"/>
  <c r="IQ52" i="45"/>
  <c r="IR52" i="45"/>
  <c r="IS52" i="45"/>
  <c r="IT52" i="45"/>
  <c r="IU52" i="45"/>
  <c r="IV52" i="45"/>
  <c r="A51" i="45"/>
  <c r="B51" i="45"/>
  <c r="C51" i="45"/>
  <c r="D51" i="45"/>
  <c r="E51" i="45"/>
  <c r="F51" i="45"/>
  <c r="G51" i="45"/>
  <c r="H51" i="45"/>
  <c r="I51" i="45"/>
  <c r="J51" i="45"/>
  <c r="K51" i="45"/>
  <c r="L51" i="45"/>
  <c r="M51" i="45"/>
  <c r="N51" i="45"/>
  <c r="O51" i="45"/>
  <c r="P51" i="45"/>
  <c r="Q51" i="45"/>
  <c r="R51" i="45"/>
  <c r="S51" i="45"/>
  <c r="T51" i="45"/>
  <c r="U51" i="45"/>
  <c r="V51" i="45"/>
  <c r="W51" i="45"/>
  <c r="X51" i="45"/>
  <c r="Y51" i="45"/>
  <c r="Z51" i="45"/>
  <c r="AA51" i="45"/>
  <c r="AB51" i="45"/>
  <c r="AC51" i="45"/>
  <c r="AD51" i="45"/>
  <c r="AE51" i="45"/>
  <c r="AF51" i="45"/>
  <c r="AG51" i="45"/>
  <c r="AH51" i="45"/>
  <c r="AI51" i="45"/>
  <c r="AJ51" i="45"/>
  <c r="AK51" i="45"/>
  <c r="AL51" i="45"/>
  <c r="AM51" i="45"/>
  <c r="AN51" i="45"/>
  <c r="AO51" i="45"/>
  <c r="AP51" i="45"/>
  <c r="AQ51" i="45"/>
  <c r="AR51" i="45"/>
  <c r="AS51" i="45"/>
  <c r="AT51" i="45"/>
  <c r="AU51" i="45"/>
  <c r="AV51" i="45"/>
  <c r="AW51" i="45"/>
  <c r="AX51" i="45"/>
  <c r="AY51" i="45"/>
  <c r="AZ51" i="45"/>
  <c r="BA51" i="45"/>
  <c r="BB51" i="45"/>
  <c r="BC51" i="45"/>
  <c r="BD51" i="45"/>
  <c r="BE51" i="45"/>
  <c r="BF51" i="45"/>
  <c r="BG51" i="45"/>
  <c r="BH51" i="45"/>
  <c r="BI51" i="45"/>
  <c r="BJ51" i="45"/>
  <c r="BK51" i="45"/>
  <c r="BL51" i="45"/>
  <c r="BM51" i="45"/>
  <c r="BN51" i="45"/>
  <c r="BO51" i="45"/>
  <c r="BP51" i="45"/>
  <c r="BQ51" i="45"/>
  <c r="BR51" i="45"/>
  <c r="BS51" i="45"/>
  <c r="BT51" i="45"/>
  <c r="BU51" i="45"/>
  <c r="BV51" i="45"/>
  <c r="BW51" i="45"/>
  <c r="BX51" i="45"/>
  <c r="BY51" i="45"/>
  <c r="BZ51" i="45"/>
  <c r="CA51" i="45"/>
  <c r="CB51" i="45"/>
  <c r="CC51" i="45"/>
  <c r="CD51" i="45"/>
  <c r="CE51" i="45"/>
  <c r="CF51" i="45"/>
  <c r="CG51" i="45"/>
  <c r="CH51" i="45"/>
  <c r="CI51" i="45"/>
  <c r="CJ51" i="45"/>
  <c r="CK51" i="45"/>
  <c r="CL51" i="45"/>
  <c r="CM51" i="45"/>
  <c r="CN51" i="45"/>
  <c r="CO51" i="45"/>
  <c r="CP51" i="45"/>
  <c r="CQ51" i="45"/>
  <c r="CR51" i="45"/>
  <c r="CS51" i="45"/>
  <c r="CT51" i="45"/>
  <c r="CU51" i="45"/>
  <c r="CV51" i="45"/>
  <c r="CW51" i="45"/>
  <c r="CX51" i="45"/>
  <c r="CY51" i="45"/>
  <c r="CZ51" i="45"/>
  <c r="DA51" i="45"/>
  <c r="DB51" i="45"/>
  <c r="DC51" i="45"/>
  <c r="DD51" i="45"/>
  <c r="DE51" i="45"/>
  <c r="DF51" i="45"/>
  <c r="DG51" i="45"/>
  <c r="DH51" i="45"/>
  <c r="DI51" i="45"/>
  <c r="DJ51" i="45"/>
  <c r="DK51" i="45"/>
  <c r="DL51" i="45"/>
  <c r="DM51" i="45"/>
  <c r="DN51" i="45"/>
  <c r="DO51" i="45"/>
  <c r="DP51" i="45"/>
  <c r="DQ51" i="45"/>
  <c r="DR51" i="45"/>
  <c r="DS51" i="45"/>
  <c r="DT51" i="45"/>
  <c r="DU51" i="45"/>
  <c r="DV51" i="45"/>
  <c r="DW51" i="45"/>
  <c r="DX51" i="45"/>
  <c r="DY51" i="45"/>
  <c r="DZ51" i="45"/>
  <c r="EA51" i="45"/>
  <c r="EB51" i="45"/>
  <c r="EC51" i="45"/>
  <c r="ED51" i="45"/>
  <c r="EE51" i="45"/>
  <c r="EF51" i="45"/>
  <c r="EG51" i="45"/>
  <c r="EH51" i="45"/>
  <c r="EI51" i="45"/>
  <c r="EJ51" i="45"/>
  <c r="EK51" i="45"/>
  <c r="EL51" i="45"/>
  <c r="EM51" i="45"/>
  <c r="EN51" i="45"/>
  <c r="EO51" i="45"/>
  <c r="EP51" i="45"/>
  <c r="EQ51" i="45"/>
  <c r="ER51" i="45"/>
  <c r="ES51" i="45"/>
  <c r="ET51" i="45"/>
  <c r="EU51" i="45"/>
  <c r="EV51" i="45"/>
  <c r="EW51" i="45"/>
  <c r="EX51" i="45"/>
  <c r="EY51" i="45"/>
  <c r="EZ51" i="45"/>
  <c r="FA51" i="45"/>
  <c r="FB51" i="45"/>
  <c r="FC51" i="45"/>
  <c r="FD51" i="45"/>
  <c r="FE51" i="45"/>
  <c r="FF51" i="45"/>
  <c r="FG51" i="45"/>
  <c r="FH51" i="45"/>
  <c r="FI51" i="45"/>
  <c r="FJ51" i="45"/>
  <c r="FK51" i="45"/>
  <c r="FL51" i="45"/>
  <c r="FM51" i="45"/>
  <c r="FN51" i="45"/>
  <c r="FO51" i="45"/>
  <c r="FP51" i="45"/>
  <c r="FQ51" i="45"/>
  <c r="FR51" i="45"/>
  <c r="FS51" i="45"/>
  <c r="FT51" i="45"/>
  <c r="FU51" i="45"/>
  <c r="FV51" i="45"/>
  <c r="FW51" i="45"/>
  <c r="FX51" i="45"/>
  <c r="FY51" i="45"/>
  <c r="FZ51" i="45"/>
  <c r="GA51" i="45"/>
  <c r="GB51" i="45"/>
  <c r="GC51" i="45"/>
  <c r="GD51" i="45"/>
  <c r="GE51" i="45"/>
  <c r="GF51" i="45"/>
  <c r="GG51" i="45"/>
  <c r="GH51" i="45"/>
  <c r="GI51" i="45"/>
  <c r="GJ51" i="45"/>
  <c r="GK51" i="45"/>
  <c r="GL51" i="45"/>
  <c r="GM51" i="45"/>
  <c r="GN51" i="45"/>
  <c r="GO51" i="45"/>
  <c r="GP51" i="45"/>
  <c r="GQ51" i="45"/>
  <c r="GR51" i="45"/>
  <c r="GS51" i="45"/>
  <c r="GT51" i="45"/>
  <c r="GU51" i="45"/>
  <c r="GV51" i="45"/>
  <c r="GW51" i="45"/>
  <c r="GX51" i="45"/>
  <c r="GY51" i="45"/>
  <c r="GZ51" i="45"/>
  <c r="HA51" i="45"/>
  <c r="HB51" i="45"/>
  <c r="HC51" i="45"/>
  <c r="HD51" i="45"/>
  <c r="HE51" i="45"/>
  <c r="HF51" i="45"/>
  <c r="HG51" i="45"/>
  <c r="HH51" i="45"/>
  <c r="HI51" i="45"/>
  <c r="HJ51" i="45"/>
  <c r="HK51" i="45"/>
  <c r="HL51" i="45"/>
  <c r="HM51" i="45"/>
  <c r="HN51" i="45"/>
  <c r="HO51" i="45"/>
  <c r="HP51" i="45"/>
  <c r="HQ51" i="45"/>
  <c r="HR51" i="45"/>
  <c r="HS51" i="45"/>
  <c r="HT51" i="45"/>
  <c r="HU51" i="45"/>
  <c r="HV51" i="45"/>
  <c r="HW51" i="45"/>
  <c r="HX51" i="45"/>
  <c r="HY51" i="45"/>
  <c r="HZ51" i="45"/>
  <c r="IA51" i="45"/>
  <c r="IB51" i="45"/>
  <c r="IC51" i="45"/>
  <c r="ID51" i="45"/>
  <c r="IE51" i="45"/>
  <c r="IF51" i="45"/>
  <c r="IG51" i="45"/>
  <c r="IH51" i="45"/>
  <c r="II51" i="45"/>
  <c r="IJ51" i="45"/>
  <c r="IK51" i="45"/>
  <c r="IL51" i="45"/>
  <c r="IM51" i="45"/>
  <c r="IN51" i="45"/>
  <c r="IO51" i="45"/>
  <c r="IP51" i="45"/>
  <c r="IQ51" i="45"/>
  <c r="IR51" i="45"/>
  <c r="IS51" i="45"/>
  <c r="IT51" i="45"/>
  <c r="IU51" i="45"/>
  <c r="IV51" i="45"/>
  <c r="A50" i="45"/>
  <c r="B50" i="45"/>
  <c r="C50" i="45"/>
  <c r="D50" i="45"/>
  <c r="E50" i="45"/>
  <c r="F50" i="45"/>
  <c r="G50" i="45"/>
  <c r="H50" i="45"/>
  <c r="I50" i="45"/>
  <c r="J50" i="45"/>
  <c r="K50" i="45"/>
  <c r="L50" i="45"/>
  <c r="M50" i="45"/>
  <c r="N50" i="45"/>
  <c r="O50" i="45"/>
  <c r="P50" i="45"/>
  <c r="Q50" i="45"/>
  <c r="R50" i="45"/>
  <c r="S50" i="45"/>
  <c r="T50" i="45"/>
  <c r="U50" i="45"/>
  <c r="V50" i="45"/>
  <c r="W50" i="45"/>
  <c r="X50" i="45"/>
  <c r="Y50" i="45"/>
  <c r="Z50" i="45"/>
  <c r="AA50" i="45"/>
  <c r="AB50" i="45"/>
  <c r="AC50" i="45"/>
  <c r="AD50" i="45"/>
  <c r="AE50" i="45"/>
  <c r="AF50" i="45"/>
  <c r="AG50" i="45"/>
  <c r="AH50" i="45"/>
  <c r="AI50" i="45"/>
  <c r="AJ50" i="45"/>
  <c r="AK50" i="45"/>
  <c r="AL50" i="45"/>
  <c r="AM50" i="45"/>
  <c r="AN50" i="45"/>
  <c r="AO50" i="45"/>
  <c r="AP50" i="45"/>
  <c r="AQ50" i="45"/>
  <c r="AR50" i="45"/>
  <c r="AS50" i="45"/>
  <c r="AT50" i="45"/>
  <c r="AU50" i="45"/>
  <c r="AV50" i="45"/>
  <c r="AW50" i="45"/>
  <c r="AX50" i="45"/>
  <c r="AY50" i="45"/>
  <c r="AZ50" i="45"/>
  <c r="BA50" i="45"/>
  <c r="BB50" i="45"/>
  <c r="BC50" i="45"/>
  <c r="BD50" i="45"/>
  <c r="BE50" i="45"/>
  <c r="BF50" i="45"/>
  <c r="BG50" i="45"/>
  <c r="BH50" i="45"/>
  <c r="BI50" i="45"/>
  <c r="BJ50" i="45"/>
  <c r="BK50" i="45"/>
  <c r="BL50" i="45"/>
  <c r="BM50" i="45"/>
  <c r="BN50" i="45"/>
  <c r="BO50" i="45"/>
  <c r="BP50" i="45"/>
  <c r="BQ50" i="45"/>
  <c r="BR50" i="45"/>
  <c r="BS50" i="45"/>
  <c r="BT50" i="45"/>
  <c r="BU50" i="45"/>
  <c r="BV50" i="45"/>
  <c r="BW50" i="45"/>
  <c r="BX50" i="45"/>
  <c r="BY50" i="45"/>
  <c r="BZ50" i="45"/>
  <c r="CA50" i="45"/>
  <c r="CB50" i="45"/>
  <c r="CC50" i="45"/>
  <c r="CD50" i="45"/>
  <c r="CE50" i="45"/>
  <c r="CF50" i="45"/>
  <c r="CG50" i="45"/>
  <c r="CH50" i="45"/>
  <c r="CI50" i="45"/>
  <c r="CJ50" i="45"/>
  <c r="CK50" i="45"/>
  <c r="CL50" i="45"/>
  <c r="CM50" i="45"/>
  <c r="CN50" i="45"/>
  <c r="CO50" i="45"/>
  <c r="CP50" i="45"/>
  <c r="CQ50" i="45"/>
  <c r="CR50" i="45"/>
  <c r="CS50" i="45"/>
  <c r="CT50" i="45"/>
  <c r="CU50" i="45"/>
  <c r="CV50" i="45"/>
  <c r="CW50" i="45"/>
  <c r="CX50" i="45"/>
  <c r="CY50" i="45"/>
  <c r="CZ50" i="45"/>
  <c r="DA50" i="45"/>
  <c r="DB50" i="45"/>
  <c r="DC50" i="45"/>
  <c r="DD50" i="45"/>
  <c r="DE50" i="45"/>
  <c r="DF50" i="45"/>
  <c r="DG50" i="45"/>
  <c r="DH50" i="45"/>
  <c r="DI50" i="45"/>
  <c r="DJ50" i="45"/>
  <c r="DK50" i="45"/>
  <c r="DL50" i="45"/>
  <c r="DM50" i="45"/>
  <c r="DN50" i="45"/>
  <c r="DO50" i="45"/>
  <c r="DP50" i="45"/>
  <c r="DQ50" i="45"/>
  <c r="DR50" i="45"/>
  <c r="DS50" i="45"/>
  <c r="DT50" i="45"/>
  <c r="DU50" i="45"/>
  <c r="DV50" i="45"/>
  <c r="DW50" i="45"/>
  <c r="DX50" i="45"/>
  <c r="DY50" i="45"/>
  <c r="DZ50" i="45"/>
  <c r="EA50" i="45"/>
  <c r="EB50" i="45"/>
  <c r="EC50" i="45"/>
  <c r="ED50" i="45"/>
  <c r="EE50" i="45"/>
  <c r="EF50" i="45"/>
  <c r="EG50" i="45"/>
  <c r="EH50" i="45"/>
  <c r="EI50" i="45"/>
  <c r="EJ50" i="45"/>
  <c r="EK50" i="45"/>
  <c r="EL50" i="45"/>
  <c r="EM50" i="45"/>
  <c r="EN50" i="45"/>
  <c r="EO50" i="45"/>
  <c r="EP50" i="45"/>
  <c r="EQ50" i="45"/>
  <c r="ER50" i="45"/>
  <c r="ES50" i="45"/>
  <c r="ET50" i="45"/>
  <c r="EU50" i="45"/>
  <c r="EV50" i="45"/>
  <c r="EW50" i="45"/>
  <c r="EX50" i="45"/>
  <c r="EY50" i="45"/>
  <c r="EZ50" i="45"/>
  <c r="FA50" i="45"/>
  <c r="FB50" i="45"/>
  <c r="FC50" i="45"/>
  <c r="FD50" i="45"/>
  <c r="FE50" i="45"/>
  <c r="FF50" i="45"/>
  <c r="FG50" i="45"/>
  <c r="FH50" i="45"/>
  <c r="FI50" i="45"/>
  <c r="FJ50" i="45"/>
  <c r="FK50" i="45"/>
  <c r="FL50" i="45"/>
  <c r="FM50" i="45"/>
  <c r="FN50" i="45"/>
  <c r="FO50" i="45"/>
  <c r="FP50" i="45"/>
  <c r="FQ50" i="45"/>
  <c r="FR50" i="45"/>
  <c r="FS50" i="45"/>
  <c r="FT50" i="45"/>
  <c r="FU50" i="45"/>
  <c r="FV50" i="45"/>
  <c r="FW50" i="45"/>
  <c r="FX50" i="45"/>
  <c r="FY50" i="45"/>
  <c r="FZ50" i="45"/>
  <c r="GA50" i="45"/>
  <c r="GB50" i="45"/>
  <c r="GC50" i="45"/>
  <c r="GD50" i="45"/>
  <c r="GE50" i="45"/>
  <c r="GF50" i="45"/>
  <c r="GG50" i="45"/>
  <c r="GH50" i="45"/>
  <c r="GI50" i="45"/>
  <c r="GJ50" i="45"/>
  <c r="GK50" i="45"/>
  <c r="GL50" i="45"/>
  <c r="GM50" i="45"/>
  <c r="GN50" i="45"/>
  <c r="GO50" i="45"/>
  <c r="GP50" i="45"/>
  <c r="GQ50" i="45"/>
  <c r="GR50" i="45"/>
  <c r="GS50" i="45"/>
  <c r="GT50" i="45"/>
  <c r="GU50" i="45"/>
  <c r="GV50" i="45"/>
  <c r="GW50" i="45"/>
  <c r="GX50" i="45"/>
  <c r="GY50" i="45"/>
  <c r="GZ50" i="45"/>
  <c r="HA50" i="45"/>
  <c r="HB50" i="45"/>
  <c r="HC50" i="45"/>
  <c r="HD50" i="45"/>
  <c r="HE50" i="45"/>
  <c r="HF50" i="45"/>
  <c r="HG50" i="45"/>
  <c r="HH50" i="45"/>
  <c r="HI50" i="45"/>
  <c r="HJ50" i="45"/>
  <c r="HK50" i="45"/>
  <c r="HL50" i="45"/>
  <c r="HM50" i="45"/>
  <c r="HN50" i="45"/>
  <c r="HO50" i="45"/>
  <c r="HP50" i="45"/>
  <c r="HQ50" i="45"/>
  <c r="HR50" i="45"/>
  <c r="HS50" i="45"/>
  <c r="HT50" i="45"/>
  <c r="HU50" i="45"/>
  <c r="HV50" i="45"/>
  <c r="HW50" i="45"/>
  <c r="HX50" i="45"/>
  <c r="HY50" i="45"/>
  <c r="HZ50" i="45"/>
  <c r="IA50" i="45"/>
  <c r="IB50" i="45"/>
  <c r="IC50" i="45"/>
  <c r="ID50" i="45"/>
  <c r="IE50" i="45"/>
  <c r="IF50" i="45"/>
  <c r="IG50" i="45"/>
  <c r="IH50" i="45"/>
  <c r="II50" i="45"/>
  <c r="IJ50" i="45"/>
  <c r="IK50" i="45"/>
  <c r="IL50" i="45"/>
  <c r="IM50" i="45"/>
  <c r="IN50" i="45"/>
  <c r="IO50" i="45"/>
  <c r="IP50" i="45"/>
  <c r="IQ50" i="45"/>
  <c r="IR50" i="45"/>
  <c r="IS50" i="45"/>
  <c r="IT50" i="45"/>
  <c r="IU50" i="45"/>
  <c r="IV50" i="45"/>
  <c r="A49" i="45"/>
  <c r="B49" i="45"/>
  <c r="C49" i="45"/>
  <c r="D49" i="45"/>
  <c r="E49" i="45"/>
  <c r="F49" i="45"/>
  <c r="G49" i="45"/>
  <c r="H49" i="45"/>
  <c r="I49" i="45"/>
  <c r="J49" i="45"/>
  <c r="K49" i="45"/>
  <c r="L49" i="45"/>
  <c r="M49" i="45"/>
  <c r="N49" i="45"/>
  <c r="O49" i="45"/>
  <c r="P49" i="45"/>
  <c r="Q49" i="45"/>
  <c r="R49" i="45"/>
  <c r="S49" i="45"/>
  <c r="T49" i="45"/>
  <c r="U49" i="45"/>
  <c r="V49" i="45"/>
  <c r="W49" i="45"/>
  <c r="X49" i="45"/>
  <c r="Y49" i="45"/>
  <c r="Z49" i="45"/>
  <c r="AA49" i="45"/>
  <c r="AB49" i="45"/>
  <c r="AC49" i="45"/>
  <c r="AD49" i="45"/>
  <c r="AE49" i="45"/>
  <c r="AF49" i="45"/>
  <c r="AG49" i="45"/>
  <c r="AH49" i="45"/>
  <c r="AI49" i="45"/>
  <c r="AJ49" i="45"/>
  <c r="AK49" i="45"/>
  <c r="AL49" i="45"/>
  <c r="AM49" i="45"/>
  <c r="AN49" i="45"/>
  <c r="AO49" i="45"/>
  <c r="AP49" i="45"/>
  <c r="AQ49" i="45"/>
  <c r="AR49" i="45"/>
  <c r="AS49" i="45"/>
  <c r="AT49" i="45"/>
  <c r="AU49" i="45"/>
  <c r="AV49" i="45"/>
  <c r="AW49" i="45"/>
  <c r="AX49" i="45"/>
  <c r="AY49" i="45"/>
  <c r="AZ49" i="45"/>
  <c r="BA49" i="45"/>
  <c r="BB49" i="45"/>
  <c r="BC49" i="45"/>
  <c r="BD49" i="45"/>
  <c r="BE49" i="45"/>
  <c r="BF49" i="45"/>
  <c r="BG49" i="45"/>
  <c r="BH49" i="45"/>
  <c r="BI49" i="45"/>
  <c r="BJ49" i="45"/>
  <c r="BK49" i="45"/>
  <c r="BL49" i="45"/>
  <c r="BM49" i="45"/>
  <c r="BN49" i="45"/>
  <c r="BO49" i="45"/>
  <c r="BP49" i="45"/>
  <c r="BQ49" i="45"/>
  <c r="BR49" i="45"/>
  <c r="BS49" i="45"/>
  <c r="BT49" i="45"/>
  <c r="BU49" i="45"/>
  <c r="BV49" i="45"/>
  <c r="BW49" i="45"/>
  <c r="BX49" i="45"/>
  <c r="BY49" i="45"/>
  <c r="BZ49" i="45"/>
  <c r="CA49" i="45"/>
  <c r="CB49" i="45"/>
  <c r="CC49" i="45"/>
  <c r="CD49" i="45"/>
  <c r="CE49" i="45"/>
  <c r="CF49" i="45"/>
  <c r="CG49" i="45"/>
  <c r="CH49" i="45"/>
  <c r="CI49" i="45"/>
  <c r="CJ49" i="45"/>
  <c r="CK49" i="45"/>
  <c r="CL49" i="45"/>
  <c r="CM49" i="45"/>
  <c r="CN49" i="45"/>
  <c r="CO49" i="45"/>
  <c r="CP49" i="45"/>
  <c r="CQ49" i="45"/>
  <c r="CR49" i="45"/>
  <c r="CS49" i="45"/>
  <c r="CT49" i="45"/>
  <c r="CU49" i="45"/>
  <c r="CV49" i="45"/>
  <c r="CW49" i="45"/>
  <c r="CX49" i="45"/>
  <c r="CY49" i="45"/>
  <c r="CZ49" i="45"/>
  <c r="DA49" i="45"/>
  <c r="DB49" i="45"/>
  <c r="DC49" i="45"/>
  <c r="DD49" i="45"/>
  <c r="DE49" i="45"/>
  <c r="DF49" i="45"/>
  <c r="DG49" i="45"/>
  <c r="DH49" i="45"/>
  <c r="DI49" i="45"/>
  <c r="DJ49" i="45"/>
  <c r="DK49" i="45"/>
  <c r="DL49" i="45"/>
  <c r="DM49" i="45"/>
  <c r="DN49" i="45"/>
  <c r="DO49" i="45"/>
  <c r="DP49" i="45"/>
  <c r="DQ49" i="45"/>
  <c r="DR49" i="45"/>
  <c r="DS49" i="45"/>
  <c r="DT49" i="45"/>
  <c r="DU49" i="45"/>
  <c r="DV49" i="45"/>
  <c r="DW49" i="45"/>
  <c r="DX49" i="45"/>
  <c r="DY49" i="45"/>
  <c r="DZ49" i="45"/>
  <c r="EA49" i="45"/>
  <c r="EB49" i="45"/>
  <c r="EC49" i="45"/>
  <c r="ED49" i="45"/>
  <c r="EE49" i="45"/>
  <c r="EF49" i="45"/>
  <c r="EG49" i="45"/>
  <c r="EH49" i="45"/>
  <c r="EI49" i="45"/>
  <c r="EJ49" i="45"/>
  <c r="EK49" i="45"/>
  <c r="EL49" i="45"/>
  <c r="EM49" i="45"/>
  <c r="EN49" i="45"/>
  <c r="EO49" i="45"/>
  <c r="EP49" i="45"/>
  <c r="EQ49" i="45"/>
  <c r="ER49" i="45"/>
  <c r="ES49" i="45"/>
  <c r="ET49" i="45"/>
  <c r="EU49" i="45"/>
  <c r="EV49" i="45"/>
  <c r="EW49" i="45"/>
  <c r="EX49" i="45"/>
  <c r="EY49" i="45"/>
  <c r="EZ49" i="45"/>
  <c r="FA49" i="45"/>
  <c r="FB49" i="45"/>
  <c r="FC49" i="45"/>
  <c r="FD49" i="45"/>
  <c r="FE49" i="45"/>
  <c r="FF49" i="45"/>
  <c r="FG49" i="45"/>
  <c r="FH49" i="45"/>
  <c r="FI49" i="45"/>
  <c r="FJ49" i="45"/>
  <c r="FK49" i="45"/>
  <c r="FL49" i="45"/>
  <c r="FM49" i="45"/>
  <c r="FN49" i="45"/>
  <c r="FO49" i="45"/>
  <c r="FP49" i="45"/>
  <c r="FQ49" i="45"/>
  <c r="FR49" i="45"/>
  <c r="FS49" i="45"/>
  <c r="FT49" i="45"/>
  <c r="FU49" i="45"/>
  <c r="FV49" i="45"/>
  <c r="FW49" i="45"/>
  <c r="FX49" i="45"/>
  <c r="FY49" i="45"/>
  <c r="FZ49" i="45"/>
  <c r="GA49" i="45"/>
  <c r="GB49" i="45"/>
  <c r="GC49" i="45"/>
  <c r="GD49" i="45"/>
  <c r="GE49" i="45"/>
  <c r="GF49" i="45"/>
  <c r="GG49" i="45"/>
  <c r="GH49" i="45"/>
  <c r="GI49" i="45"/>
  <c r="GJ49" i="45"/>
  <c r="GK49" i="45"/>
  <c r="GL49" i="45"/>
  <c r="GM49" i="45"/>
  <c r="GN49" i="45"/>
  <c r="GO49" i="45"/>
  <c r="GP49" i="45"/>
  <c r="GQ49" i="45"/>
  <c r="GR49" i="45"/>
  <c r="GS49" i="45"/>
  <c r="GT49" i="45"/>
  <c r="GU49" i="45"/>
  <c r="GV49" i="45"/>
  <c r="GW49" i="45"/>
  <c r="GX49" i="45"/>
  <c r="GY49" i="45"/>
  <c r="GZ49" i="45"/>
  <c r="HA49" i="45"/>
  <c r="HB49" i="45"/>
  <c r="HC49" i="45"/>
  <c r="HD49" i="45"/>
  <c r="HE49" i="45"/>
  <c r="HF49" i="45"/>
  <c r="HG49" i="45"/>
  <c r="HH49" i="45"/>
  <c r="HI49" i="45"/>
  <c r="HJ49" i="45"/>
  <c r="HK49" i="45"/>
  <c r="HL49" i="45"/>
  <c r="HM49" i="45"/>
  <c r="HN49" i="45"/>
  <c r="HO49" i="45"/>
  <c r="HP49" i="45"/>
  <c r="HQ49" i="45"/>
  <c r="HR49" i="45"/>
  <c r="HS49" i="45"/>
  <c r="HT49" i="45"/>
  <c r="HU49" i="45"/>
  <c r="HV49" i="45"/>
  <c r="HW49" i="45"/>
  <c r="HX49" i="45"/>
  <c r="HY49" i="45"/>
  <c r="HZ49" i="45"/>
  <c r="IA49" i="45"/>
  <c r="IB49" i="45"/>
  <c r="IC49" i="45"/>
  <c r="ID49" i="45"/>
  <c r="IE49" i="45"/>
  <c r="IF49" i="45"/>
  <c r="IG49" i="45"/>
  <c r="IH49" i="45"/>
  <c r="II49" i="45"/>
  <c r="IJ49" i="45"/>
  <c r="IK49" i="45"/>
  <c r="IL49" i="45"/>
  <c r="IM49" i="45"/>
  <c r="IN49" i="45"/>
  <c r="IO49" i="45"/>
  <c r="IP49" i="45"/>
  <c r="IQ49" i="45"/>
  <c r="IR49" i="45"/>
  <c r="IS49" i="45"/>
  <c r="IT49" i="45"/>
  <c r="IU49" i="45"/>
  <c r="IV49" i="45"/>
  <c r="A48" i="45"/>
  <c r="B48" i="45"/>
  <c r="C48" i="45"/>
  <c r="D48" i="45"/>
  <c r="E48" i="45"/>
  <c r="F48" i="45"/>
  <c r="G48" i="45"/>
  <c r="H48" i="45"/>
  <c r="I48" i="45"/>
  <c r="J48" i="45"/>
  <c r="K48" i="45"/>
  <c r="L48" i="45"/>
  <c r="M48" i="45"/>
  <c r="N48" i="45"/>
  <c r="O48" i="45"/>
  <c r="P48" i="45"/>
  <c r="Q48" i="45"/>
  <c r="R48" i="45"/>
  <c r="S48" i="45"/>
  <c r="T48" i="45"/>
  <c r="U48" i="45"/>
  <c r="V48" i="45"/>
  <c r="W48" i="45"/>
  <c r="X48" i="45"/>
  <c r="Y48" i="45"/>
  <c r="Z48" i="45"/>
  <c r="AA48" i="45"/>
  <c r="AB48" i="45"/>
  <c r="AC48" i="45"/>
  <c r="AD48" i="45"/>
  <c r="AE48" i="45"/>
  <c r="AF48" i="45"/>
  <c r="AG48" i="45"/>
  <c r="AH48" i="45"/>
  <c r="AI48" i="45"/>
  <c r="AJ48" i="45"/>
  <c r="AK48" i="45"/>
  <c r="AL48" i="45"/>
  <c r="AM48" i="45"/>
  <c r="AN48" i="45"/>
  <c r="AO48" i="45"/>
  <c r="AP48" i="45"/>
  <c r="AQ48" i="45"/>
  <c r="AR48" i="45"/>
  <c r="AS48" i="45"/>
  <c r="AT48" i="45"/>
  <c r="AU48" i="45"/>
  <c r="AV48" i="45"/>
  <c r="AW48" i="45"/>
  <c r="AX48" i="45"/>
  <c r="AY48" i="45"/>
  <c r="AZ48" i="45"/>
  <c r="BA48" i="45"/>
  <c r="BB48" i="45"/>
  <c r="BC48" i="45"/>
  <c r="BD48" i="45"/>
  <c r="BE48" i="45"/>
  <c r="BF48" i="45"/>
  <c r="BG48" i="45"/>
  <c r="BH48" i="45"/>
  <c r="BI48" i="45"/>
  <c r="BJ48" i="45"/>
  <c r="BK48" i="45"/>
  <c r="BL48" i="45"/>
  <c r="BM48" i="45"/>
  <c r="BN48" i="45"/>
  <c r="BO48" i="45"/>
  <c r="BP48" i="45"/>
  <c r="BQ48" i="45"/>
  <c r="BR48" i="45"/>
  <c r="BS48" i="45"/>
  <c r="BT48" i="45"/>
  <c r="BU48" i="45"/>
  <c r="BV48" i="45"/>
  <c r="BW48" i="45"/>
  <c r="BX48" i="45"/>
  <c r="BY48" i="45"/>
  <c r="BZ48" i="45"/>
  <c r="CA48" i="45"/>
  <c r="CB48" i="45"/>
  <c r="CC48" i="45"/>
  <c r="CD48" i="45"/>
  <c r="CE48" i="45"/>
  <c r="CF48" i="45"/>
  <c r="CG48" i="45"/>
  <c r="CH48" i="45"/>
  <c r="CI48" i="45"/>
  <c r="CJ48" i="45"/>
  <c r="CK48" i="45"/>
  <c r="CL48" i="45"/>
  <c r="CM48" i="45"/>
  <c r="CN48" i="45"/>
  <c r="CO48" i="45"/>
  <c r="CP48" i="45"/>
  <c r="CQ48" i="45"/>
  <c r="CR48" i="45"/>
  <c r="CS48" i="45"/>
  <c r="CT48" i="45"/>
  <c r="CU48" i="45"/>
  <c r="CV48" i="45"/>
  <c r="CW48" i="45"/>
  <c r="CX48" i="45"/>
  <c r="CY48" i="45"/>
  <c r="CZ48" i="45"/>
  <c r="DA48" i="45"/>
  <c r="DB48" i="45"/>
  <c r="DC48" i="45"/>
  <c r="DD48" i="45"/>
  <c r="DE48" i="45"/>
  <c r="DF48" i="45"/>
  <c r="DG48" i="45"/>
  <c r="DH48" i="45"/>
  <c r="DI48" i="45"/>
  <c r="DJ48" i="45"/>
  <c r="DK48" i="45"/>
  <c r="DL48" i="45"/>
  <c r="DM48" i="45"/>
  <c r="DN48" i="45"/>
  <c r="DO48" i="45"/>
  <c r="DP48" i="45"/>
  <c r="DQ48" i="45"/>
  <c r="DR48" i="45"/>
  <c r="DS48" i="45"/>
  <c r="DT48" i="45"/>
  <c r="DU48" i="45"/>
  <c r="DV48" i="45"/>
  <c r="DW48" i="45"/>
  <c r="DX48" i="45"/>
  <c r="DY48" i="45"/>
  <c r="DZ48" i="45"/>
  <c r="EA48" i="45"/>
  <c r="EB48" i="45"/>
  <c r="EC48" i="45"/>
  <c r="ED48" i="45"/>
  <c r="EE48" i="45"/>
  <c r="EF48" i="45"/>
  <c r="EG48" i="45"/>
  <c r="EH48" i="45"/>
  <c r="EI48" i="45"/>
  <c r="EJ48" i="45"/>
  <c r="EK48" i="45"/>
  <c r="EL48" i="45"/>
  <c r="EM48" i="45"/>
  <c r="EN48" i="45"/>
  <c r="EO48" i="45"/>
  <c r="EP48" i="45"/>
  <c r="EQ48" i="45"/>
  <c r="ER48" i="45"/>
  <c r="ES48" i="45"/>
  <c r="ET48" i="45"/>
  <c r="EU48" i="45"/>
  <c r="EV48" i="45"/>
  <c r="EW48" i="45"/>
  <c r="EX48" i="45"/>
  <c r="EY48" i="45"/>
  <c r="EZ48" i="45"/>
  <c r="FA48" i="45"/>
  <c r="FB48" i="45"/>
  <c r="FC48" i="45"/>
  <c r="FD48" i="45"/>
  <c r="FE48" i="45"/>
  <c r="FF48" i="45"/>
  <c r="FG48" i="45"/>
  <c r="FH48" i="45"/>
  <c r="FI48" i="45"/>
  <c r="FJ48" i="45"/>
  <c r="FK48" i="45"/>
  <c r="FL48" i="45"/>
  <c r="FM48" i="45"/>
  <c r="FN48" i="45"/>
  <c r="FO48" i="45"/>
  <c r="FP48" i="45"/>
  <c r="FQ48" i="45"/>
  <c r="FR48" i="45"/>
  <c r="FS48" i="45"/>
  <c r="FT48" i="45"/>
  <c r="FU48" i="45"/>
  <c r="FV48" i="45"/>
  <c r="FW48" i="45"/>
  <c r="FX48" i="45"/>
  <c r="FY48" i="45"/>
  <c r="FZ48" i="45"/>
  <c r="GA48" i="45"/>
  <c r="GB48" i="45"/>
  <c r="GC48" i="45"/>
  <c r="GD48" i="45"/>
  <c r="GE48" i="45"/>
  <c r="GF48" i="45"/>
  <c r="GG48" i="45"/>
  <c r="GH48" i="45"/>
  <c r="GI48" i="45"/>
  <c r="GJ48" i="45"/>
  <c r="GK48" i="45"/>
  <c r="GL48" i="45"/>
  <c r="GM48" i="45"/>
  <c r="GN48" i="45"/>
  <c r="GO48" i="45"/>
  <c r="GP48" i="45"/>
  <c r="GQ48" i="45"/>
  <c r="GR48" i="45"/>
  <c r="GS48" i="45"/>
  <c r="GT48" i="45"/>
  <c r="GU48" i="45"/>
  <c r="GV48" i="45"/>
  <c r="GW48" i="45"/>
  <c r="GX48" i="45"/>
  <c r="GY48" i="45"/>
  <c r="GZ48" i="45"/>
  <c r="HA48" i="45"/>
  <c r="HB48" i="45"/>
  <c r="HC48" i="45"/>
  <c r="HD48" i="45"/>
  <c r="HE48" i="45"/>
  <c r="HF48" i="45"/>
  <c r="HG48" i="45"/>
  <c r="HH48" i="45"/>
  <c r="HI48" i="45"/>
  <c r="HJ48" i="45"/>
  <c r="HK48" i="45"/>
  <c r="HL48" i="45"/>
  <c r="HM48" i="45"/>
  <c r="HN48" i="45"/>
  <c r="HO48" i="45"/>
  <c r="HP48" i="45"/>
  <c r="HQ48" i="45"/>
  <c r="HR48" i="45"/>
  <c r="HS48" i="45"/>
  <c r="HT48" i="45"/>
  <c r="HU48" i="45"/>
  <c r="HV48" i="45"/>
  <c r="HW48" i="45"/>
  <c r="HX48" i="45"/>
  <c r="HY48" i="45"/>
  <c r="HZ48" i="45"/>
  <c r="IA48" i="45"/>
  <c r="IB48" i="45"/>
  <c r="IC48" i="45"/>
  <c r="ID48" i="45"/>
  <c r="IE48" i="45"/>
  <c r="IF48" i="45"/>
  <c r="IG48" i="45"/>
  <c r="IH48" i="45"/>
  <c r="II48" i="45"/>
  <c r="IJ48" i="45"/>
  <c r="IK48" i="45"/>
  <c r="IL48" i="45"/>
  <c r="IM48" i="45"/>
  <c r="IN48" i="45"/>
  <c r="IO48" i="45"/>
  <c r="IP48" i="45"/>
  <c r="IQ48" i="45"/>
  <c r="IR48" i="45"/>
  <c r="IS48" i="45"/>
  <c r="IT48" i="45"/>
  <c r="IU48" i="45"/>
  <c r="IV48" i="45"/>
  <c r="A47" i="45"/>
  <c r="B47" i="45"/>
  <c r="C47" i="45"/>
  <c r="D47" i="45"/>
  <c r="E47" i="45"/>
  <c r="F47" i="45"/>
  <c r="G47" i="45"/>
  <c r="H47" i="45"/>
  <c r="I47" i="45"/>
  <c r="J47" i="45"/>
  <c r="K47" i="45"/>
  <c r="L47" i="45"/>
  <c r="M47" i="45"/>
  <c r="N47" i="45"/>
  <c r="O47" i="45"/>
  <c r="P47" i="45"/>
  <c r="Q47" i="45"/>
  <c r="R47" i="45"/>
  <c r="S47" i="45"/>
  <c r="T47" i="45"/>
  <c r="U47" i="45"/>
  <c r="V47" i="45"/>
  <c r="W47" i="45"/>
  <c r="X47" i="45"/>
  <c r="Y47" i="45"/>
  <c r="Z47" i="45"/>
  <c r="AA47" i="45"/>
  <c r="AB47" i="45"/>
  <c r="AC47" i="45"/>
  <c r="AD47" i="45"/>
  <c r="AE47" i="45"/>
  <c r="AF47" i="45"/>
  <c r="AG47" i="45"/>
  <c r="AH47" i="45"/>
  <c r="AI47" i="45"/>
  <c r="AJ47" i="45"/>
  <c r="AK47" i="45"/>
  <c r="AL47" i="45"/>
  <c r="AM47" i="45"/>
  <c r="AN47" i="45"/>
  <c r="AO47" i="45"/>
  <c r="AP47" i="45"/>
  <c r="AQ47" i="45"/>
  <c r="AR47" i="45"/>
  <c r="AS47" i="45"/>
  <c r="AT47" i="45"/>
  <c r="AU47" i="45"/>
  <c r="AV47" i="45"/>
  <c r="AW47" i="45"/>
  <c r="AX47" i="45"/>
  <c r="AY47" i="45"/>
  <c r="AZ47" i="45"/>
  <c r="BA47" i="45"/>
  <c r="BB47" i="45"/>
  <c r="BC47" i="45"/>
  <c r="BD47" i="45"/>
  <c r="BE47" i="45"/>
  <c r="BF47" i="45"/>
  <c r="BG47" i="45"/>
  <c r="BH47" i="45"/>
  <c r="BI47" i="45"/>
  <c r="BJ47" i="45"/>
  <c r="BK47" i="45"/>
  <c r="BL47" i="45"/>
  <c r="BM47" i="45"/>
  <c r="BN47" i="45"/>
  <c r="BO47" i="45"/>
  <c r="BP47" i="45"/>
  <c r="BQ47" i="45"/>
  <c r="BR47" i="45"/>
  <c r="BS47" i="45"/>
  <c r="BT47" i="45"/>
  <c r="BU47" i="45"/>
  <c r="BV47" i="45"/>
  <c r="BW47" i="45"/>
  <c r="BX47" i="45"/>
  <c r="BY47" i="45"/>
  <c r="BZ47" i="45"/>
  <c r="CA47" i="45"/>
  <c r="CB47" i="45"/>
  <c r="CC47" i="45"/>
  <c r="CD47" i="45"/>
  <c r="CE47" i="45"/>
  <c r="CF47" i="45"/>
  <c r="CG47" i="45"/>
  <c r="CH47" i="45"/>
  <c r="CI47" i="45"/>
  <c r="CJ47" i="45"/>
  <c r="CK47" i="45"/>
  <c r="CL47" i="45"/>
  <c r="CM47" i="45"/>
  <c r="CN47" i="45"/>
  <c r="CO47" i="45"/>
  <c r="CP47" i="45"/>
  <c r="CQ47" i="45"/>
  <c r="CR47" i="45"/>
  <c r="CS47" i="45"/>
  <c r="CT47" i="45"/>
  <c r="CU47" i="45"/>
  <c r="CV47" i="45"/>
  <c r="CW47" i="45"/>
  <c r="CX47" i="45"/>
  <c r="CY47" i="45"/>
  <c r="CZ47" i="45"/>
  <c r="DA47" i="45"/>
  <c r="DB47" i="45"/>
  <c r="DC47" i="45"/>
  <c r="DD47" i="45"/>
  <c r="DE47" i="45"/>
  <c r="DF47" i="45"/>
  <c r="DG47" i="45"/>
  <c r="DH47" i="45"/>
  <c r="DI47" i="45"/>
  <c r="DJ47" i="45"/>
  <c r="DK47" i="45"/>
  <c r="DL47" i="45"/>
  <c r="DM47" i="45"/>
  <c r="DN47" i="45"/>
  <c r="DO47" i="45"/>
  <c r="DP47" i="45"/>
  <c r="DQ47" i="45"/>
  <c r="DR47" i="45"/>
  <c r="DS47" i="45"/>
  <c r="DT47" i="45"/>
  <c r="DU47" i="45"/>
  <c r="DV47" i="45"/>
  <c r="DW47" i="45"/>
  <c r="DX47" i="45"/>
  <c r="DY47" i="45"/>
  <c r="DZ47" i="45"/>
  <c r="EA47" i="45"/>
  <c r="EB47" i="45"/>
  <c r="EC47" i="45"/>
  <c r="ED47" i="45"/>
  <c r="EE47" i="45"/>
  <c r="EF47" i="45"/>
  <c r="EG47" i="45"/>
  <c r="EH47" i="45"/>
  <c r="EI47" i="45"/>
  <c r="EJ47" i="45"/>
  <c r="EK47" i="45"/>
  <c r="EL47" i="45"/>
  <c r="EM47" i="45"/>
  <c r="EN47" i="45"/>
  <c r="EO47" i="45"/>
  <c r="EP47" i="45"/>
  <c r="EQ47" i="45"/>
  <c r="ER47" i="45"/>
  <c r="ES47" i="45"/>
  <c r="ET47" i="45"/>
  <c r="EU47" i="45"/>
  <c r="EV47" i="45"/>
  <c r="EW47" i="45"/>
  <c r="EX47" i="45"/>
  <c r="EY47" i="45"/>
  <c r="EZ47" i="45"/>
  <c r="FA47" i="45"/>
  <c r="FB47" i="45"/>
  <c r="FC47" i="45"/>
  <c r="FD47" i="45"/>
  <c r="FE47" i="45"/>
  <c r="FF47" i="45"/>
  <c r="FG47" i="45"/>
  <c r="FH47" i="45"/>
  <c r="FI47" i="45"/>
  <c r="FJ47" i="45"/>
  <c r="FK47" i="45"/>
  <c r="FL47" i="45"/>
  <c r="FM47" i="45"/>
  <c r="FN47" i="45"/>
  <c r="FO47" i="45"/>
  <c r="FP47" i="45"/>
  <c r="FQ47" i="45"/>
  <c r="FR47" i="45"/>
  <c r="FS47" i="45"/>
  <c r="FT47" i="45"/>
  <c r="FU47" i="45"/>
  <c r="FV47" i="45"/>
  <c r="FW47" i="45"/>
  <c r="FX47" i="45"/>
  <c r="FY47" i="45"/>
  <c r="FZ47" i="45"/>
  <c r="GA47" i="45"/>
  <c r="GB47" i="45"/>
  <c r="GC47" i="45"/>
  <c r="GD47" i="45"/>
  <c r="GE47" i="45"/>
  <c r="GF47" i="45"/>
  <c r="GG47" i="45"/>
  <c r="GH47" i="45"/>
  <c r="GI47" i="45"/>
  <c r="GJ47" i="45"/>
  <c r="GK47" i="45"/>
  <c r="GL47" i="45"/>
  <c r="GM47" i="45"/>
  <c r="GN47" i="45"/>
  <c r="GO47" i="45"/>
  <c r="GP47" i="45"/>
  <c r="GQ47" i="45"/>
  <c r="GR47" i="45"/>
  <c r="GS47" i="45"/>
  <c r="GT47" i="45"/>
  <c r="GU47" i="45"/>
  <c r="GV47" i="45"/>
  <c r="GW47" i="45"/>
  <c r="GX47" i="45"/>
  <c r="GY47" i="45"/>
  <c r="GZ47" i="45"/>
  <c r="HA47" i="45"/>
  <c r="HB47" i="45"/>
  <c r="HC47" i="45"/>
  <c r="HD47" i="45"/>
  <c r="HE47" i="45"/>
  <c r="HF47" i="45"/>
  <c r="HG47" i="45"/>
  <c r="HH47" i="45"/>
  <c r="HI47" i="45"/>
  <c r="HJ47" i="45"/>
  <c r="HK47" i="45"/>
  <c r="HL47" i="45"/>
  <c r="HM47" i="45"/>
  <c r="HN47" i="45"/>
  <c r="HO47" i="45"/>
  <c r="HP47" i="45"/>
  <c r="HQ47" i="45"/>
  <c r="HR47" i="45"/>
  <c r="HS47" i="45"/>
  <c r="HT47" i="45"/>
  <c r="HU47" i="45"/>
  <c r="HV47" i="45"/>
  <c r="HW47" i="45"/>
  <c r="HX47" i="45"/>
  <c r="HY47" i="45"/>
  <c r="HZ47" i="45"/>
  <c r="IA47" i="45"/>
  <c r="IB47" i="45"/>
  <c r="IC47" i="45"/>
  <c r="ID47" i="45"/>
  <c r="IE47" i="45"/>
  <c r="IF47" i="45"/>
  <c r="IG47" i="45"/>
  <c r="IH47" i="45"/>
  <c r="II47" i="45"/>
  <c r="IJ47" i="45"/>
  <c r="IK47" i="45"/>
  <c r="IL47" i="45"/>
  <c r="IM47" i="45"/>
  <c r="IN47" i="45"/>
  <c r="IO47" i="45"/>
  <c r="IP47" i="45"/>
  <c r="IQ47" i="45"/>
  <c r="IR47" i="45"/>
  <c r="IS47" i="45"/>
  <c r="IT47" i="45"/>
  <c r="IU47" i="45"/>
  <c r="IV47" i="45"/>
  <c r="A46" i="45"/>
  <c r="B46" i="45"/>
  <c r="C46" i="45"/>
  <c r="D46" i="45"/>
  <c r="E46" i="45"/>
  <c r="F46" i="45"/>
  <c r="G46" i="45"/>
  <c r="H46" i="45"/>
  <c r="I46" i="45"/>
  <c r="J46" i="45"/>
  <c r="K46" i="45"/>
  <c r="L46" i="45"/>
  <c r="M46" i="45"/>
  <c r="N46" i="45"/>
  <c r="O46" i="45"/>
  <c r="P46" i="45"/>
  <c r="Q46" i="45"/>
  <c r="R46" i="45"/>
  <c r="S46" i="45"/>
  <c r="T46" i="45"/>
  <c r="U46" i="45"/>
  <c r="V46" i="45"/>
  <c r="W46" i="45"/>
  <c r="X46" i="45"/>
  <c r="Y46" i="45"/>
  <c r="Z46" i="45"/>
  <c r="AA46" i="45"/>
  <c r="AB46" i="45"/>
  <c r="AC46" i="45"/>
  <c r="AD46" i="45"/>
  <c r="AE46" i="45"/>
  <c r="AF46" i="45"/>
  <c r="AG46" i="45"/>
  <c r="AH46" i="45"/>
  <c r="AI46" i="45"/>
  <c r="AJ46" i="45"/>
  <c r="AK46" i="45"/>
  <c r="AL46" i="45"/>
  <c r="AM46" i="45"/>
  <c r="AN46" i="45"/>
  <c r="AO46" i="45"/>
  <c r="AP46" i="45"/>
  <c r="AQ46" i="45"/>
  <c r="AR46" i="45"/>
  <c r="AS46" i="45"/>
  <c r="AT46" i="45"/>
  <c r="AU46" i="45"/>
  <c r="AV46" i="45"/>
  <c r="AW46" i="45"/>
  <c r="AX46" i="45"/>
  <c r="AY46" i="45"/>
  <c r="AZ46" i="45"/>
  <c r="BA46" i="45"/>
  <c r="BB46" i="45"/>
  <c r="BC46" i="45"/>
  <c r="BD46" i="45"/>
  <c r="BE46" i="45"/>
  <c r="BF46" i="45"/>
  <c r="BG46" i="45"/>
  <c r="BH46" i="45"/>
  <c r="BI46" i="45"/>
  <c r="BJ46" i="45"/>
  <c r="BK46" i="45"/>
  <c r="BL46" i="45"/>
  <c r="BM46" i="45"/>
  <c r="BN46" i="45"/>
  <c r="BO46" i="45"/>
  <c r="BP46" i="45"/>
  <c r="BQ46" i="45"/>
  <c r="BR46" i="45"/>
  <c r="BS46" i="45"/>
  <c r="BT46" i="45"/>
  <c r="BU46" i="45"/>
  <c r="BV46" i="45"/>
  <c r="BW46" i="45"/>
  <c r="BX46" i="45"/>
  <c r="BY46" i="45"/>
  <c r="BZ46" i="45"/>
  <c r="CA46" i="45"/>
  <c r="CB46" i="45"/>
  <c r="CC46" i="45"/>
  <c r="CD46" i="45"/>
  <c r="CE46" i="45"/>
  <c r="CF46" i="45"/>
  <c r="CG46" i="45"/>
  <c r="CH46" i="45"/>
  <c r="CI46" i="45"/>
  <c r="CJ46" i="45"/>
  <c r="CK46" i="45"/>
  <c r="CL46" i="45"/>
  <c r="CM46" i="45"/>
  <c r="CN46" i="45"/>
  <c r="CO46" i="45"/>
  <c r="CP46" i="45"/>
  <c r="CQ46" i="45"/>
  <c r="CR46" i="45"/>
  <c r="CS46" i="45"/>
  <c r="CT46" i="45"/>
  <c r="CU46" i="45"/>
  <c r="CV46" i="45"/>
  <c r="CW46" i="45"/>
  <c r="CX46" i="45"/>
  <c r="CY46" i="45"/>
  <c r="CZ46" i="45"/>
  <c r="DA46" i="45"/>
  <c r="DB46" i="45"/>
  <c r="DC46" i="45"/>
  <c r="DD46" i="45"/>
  <c r="DE46" i="45"/>
  <c r="DF46" i="45"/>
  <c r="DG46" i="45"/>
  <c r="DH46" i="45"/>
  <c r="DI46" i="45"/>
  <c r="DJ46" i="45"/>
  <c r="DK46" i="45"/>
  <c r="DL46" i="45"/>
  <c r="DM46" i="45"/>
  <c r="DN46" i="45"/>
  <c r="DO46" i="45"/>
  <c r="DP46" i="45"/>
  <c r="DQ46" i="45"/>
  <c r="DR46" i="45"/>
  <c r="DS46" i="45"/>
  <c r="DT46" i="45"/>
  <c r="DU46" i="45"/>
  <c r="DV46" i="45"/>
  <c r="DW46" i="45"/>
  <c r="DX46" i="45"/>
  <c r="DY46" i="45"/>
  <c r="DZ46" i="45"/>
  <c r="EA46" i="45"/>
  <c r="EB46" i="45"/>
  <c r="EC46" i="45"/>
  <c r="ED46" i="45"/>
  <c r="EE46" i="45"/>
  <c r="EF46" i="45"/>
  <c r="EG46" i="45"/>
  <c r="EH46" i="45"/>
  <c r="EI46" i="45"/>
  <c r="EJ46" i="45"/>
  <c r="EK46" i="45"/>
  <c r="EL46" i="45"/>
  <c r="EM46" i="45"/>
  <c r="EN46" i="45"/>
  <c r="EO46" i="45"/>
  <c r="EP46" i="45"/>
  <c r="EQ46" i="45"/>
  <c r="ER46" i="45"/>
  <c r="ES46" i="45"/>
  <c r="ET46" i="45"/>
  <c r="EU46" i="45"/>
  <c r="EV46" i="45"/>
  <c r="EW46" i="45"/>
  <c r="EX46" i="45"/>
  <c r="EY46" i="45"/>
  <c r="EZ46" i="45"/>
  <c r="FA46" i="45"/>
  <c r="FB46" i="45"/>
  <c r="FC46" i="45"/>
  <c r="FD46" i="45"/>
  <c r="FE46" i="45"/>
  <c r="FF46" i="45"/>
  <c r="FG46" i="45"/>
  <c r="FH46" i="45"/>
  <c r="FI46" i="45"/>
  <c r="FJ46" i="45"/>
  <c r="FK46" i="45"/>
  <c r="FL46" i="45"/>
  <c r="FM46" i="45"/>
  <c r="FN46" i="45"/>
  <c r="FO46" i="45"/>
  <c r="FP46" i="45"/>
  <c r="FQ46" i="45"/>
  <c r="FR46" i="45"/>
  <c r="FS46" i="45"/>
  <c r="FT46" i="45"/>
  <c r="FU46" i="45"/>
  <c r="FV46" i="45"/>
  <c r="FW46" i="45"/>
  <c r="FX46" i="45"/>
  <c r="FY46" i="45"/>
  <c r="FZ46" i="45"/>
  <c r="GA46" i="45"/>
  <c r="GB46" i="45"/>
  <c r="GC46" i="45"/>
  <c r="GD46" i="45"/>
  <c r="GE46" i="45"/>
  <c r="GF46" i="45"/>
  <c r="GG46" i="45"/>
  <c r="GH46" i="45"/>
  <c r="GI46" i="45"/>
  <c r="GJ46" i="45"/>
  <c r="GK46" i="45"/>
  <c r="GL46" i="45"/>
  <c r="GM46" i="45"/>
  <c r="GN46" i="45"/>
  <c r="GO46" i="45"/>
  <c r="GP46" i="45"/>
  <c r="GQ46" i="45"/>
  <c r="GR46" i="45"/>
  <c r="GS46" i="45"/>
  <c r="GT46" i="45"/>
  <c r="GU46" i="45"/>
  <c r="GV46" i="45"/>
  <c r="GW46" i="45"/>
  <c r="GX46" i="45"/>
  <c r="GY46" i="45"/>
  <c r="GZ46" i="45"/>
  <c r="HA46" i="45"/>
  <c r="HB46" i="45"/>
  <c r="HC46" i="45"/>
  <c r="HD46" i="45"/>
  <c r="HE46" i="45"/>
  <c r="HF46" i="45"/>
  <c r="HG46" i="45"/>
  <c r="HH46" i="45"/>
  <c r="HI46" i="45"/>
  <c r="HJ46" i="45"/>
  <c r="HK46" i="45"/>
  <c r="HL46" i="45"/>
  <c r="HM46" i="45"/>
  <c r="HN46" i="45"/>
  <c r="HO46" i="45"/>
  <c r="HP46" i="45"/>
  <c r="HQ46" i="45"/>
  <c r="HR46" i="45"/>
  <c r="HS46" i="45"/>
  <c r="HT46" i="45"/>
  <c r="HU46" i="45"/>
  <c r="HV46" i="45"/>
  <c r="HW46" i="45"/>
  <c r="HX46" i="45"/>
  <c r="HY46" i="45"/>
  <c r="HZ46" i="45"/>
  <c r="IA46" i="45"/>
  <c r="IB46" i="45"/>
  <c r="IC46" i="45"/>
  <c r="ID46" i="45"/>
  <c r="IE46" i="45"/>
  <c r="IF46" i="45"/>
  <c r="IG46" i="45"/>
  <c r="IH46" i="45"/>
  <c r="II46" i="45"/>
  <c r="IJ46" i="45"/>
  <c r="IK46" i="45"/>
  <c r="IL46" i="45"/>
  <c r="IM46" i="45"/>
  <c r="IN46" i="45"/>
  <c r="IO46" i="45"/>
  <c r="IP46" i="45"/>
  <c r="IQ46" i="45"/>
  <c r="IR46" i="45"/>
  <c r="IS46" i="45"/>
  <c r="IT46" i="45"/>
  <c r="IU46" i="45"/>
  <c r="IV46" i="45"/>
  <c r="A45" i="45"/>
  <c r="B45" i="45"/>
  <c r="C45" i="45"/>
  <c r="D45" i="45"/>
  <c r="E45" i="45"/>
  <c r="F45" i="45"/>
  <c r="G45" i="45"/>
  <c r="H45" i="45"/>
  <c r="I45" i="45"/>
  <c r="J45" i="45"/>
  <c r="K45" i="45"/>
  <c r="L45" i="45"/>
  <c r="M45" i="45"/>
  <c r="N45" i="45"/>
  <c r="O45" i="45"/>
  <c r="P45" i="45"/>
  <c r="Q45" i="45"/>
  <c r="R45" i="45"/>
  <c r="S45" i="45"/>
  <c r="T45" i="45"/>
  <c r="U45" i="45"/>
  <c r="V45" i="45"/>
  <c r="W45" i="45"/>
  <c r="X45" i="45"/>
  <c r="Y45" i="45"/>
  <c r="Z45" i="45"/>
  <c r="AA45" i="45"/>
  <c r="AB45" i="45"/>
  <c r="AC45" i="45"/>
  <c r="AD45" i="45"/>
  <c r="AE45" i="45"/>
  <c r="AF45" i="45"/>
  <c r="AG45" i="45"/>
  <c r="AH45" i="45"/>
  <c r="AI45" i="45"/>
  <c r="AJ45" i="45"/>
  <c r="AK45" i="45"/>
  <c r="AL45" i="45"/>
  <c r="AM45" i="45"/>
  <c r="AN45" i="45"/>
  <c r="AO45" i="45"/>
  <c r="AP45" i="45"/>
  <c r="AQ45" i="45"/>
  <c r="AR45" i="45"/>
  <c r="AS45" i="45"/>
  <c r="AT45" i="45"/>
  <c r="AU45" i="45"/>
  <c r="AV45" i="45"/>
  <c r="AW45" i="45"/>
  <c r="AX45" i="45"/>
  <c r="AY45" i="45"/>
  <c r="AZ45" i="45"/>
  <c r="BA45" i="45"/>
  <c r="BB45" i="45"/>
  <c r="BC45" i="45"/>
  <c r="BD45" i="45"/>
  <c r="BE45" i="45"/>
  <c r="BF45" i="45"/>
  <c r="BG45" i="45"/>
  <c r="BH45" i="45"/>
  <c r="BI45" i="45"/>
  <c r="BJ45" i="45"/>
  <c r="BK45" i="45"/>
  <c r="BL45" i="45"/>
  <c r="BM45" i="45"/>
  <c r="BN45" i="45"/>
  <c r="BO45" i="45"/>
  <c r="BP45" i="45"/>
  <c r="BQ45" i="45"/>
  <c r="BR45" i="45"/>
  <c r="BS45" i="45"/>
  <c r="BT45" i="45"/>
  <c r="BU45" i="45"/>
  <c r="BV45" i="45"/>
  <c r="BW45" i="45"/>
  <c r="BX45" i="45"/>
  <c r="BY45" i="45"/>
  <c r="BZ45" i="45"/>
  <c r="CA45" i="45"/>
  <c r="CB45" i="45"/>
  <c r="CC45" i="45"/>
  <c r="CD45" i="45"/>
  <c r="CE45" i="45"/>
  <c r="CF45" i="45"/>
  <c r="CG45" i="45"/>
  <c r="CH45" i="45"/>
  <c r="CI45" i="45"/>
  <c r="CJ45" i="45"/>
  <c r="CK45" i="45"/>
  <c r="CL45" i="45"/>
  <c r="CM45" i="45"/>
  <c r="CN45" i="45"/>
  <c r="CO45" i="45"/>
  <c r="CP45" i="45"/>
  <c r="CQ45" i="45"/>
  <c r="CR45" i="45"/>
  <c r="CS45" i="45"/>
  <c r="CT45" i="45"/>
  <c r="CU45" i="45"/>
  <c r="CV45" i="45"/>
  <c r="CW45" i="45"/>
  <c r="CX45" i="45"/>
  <c r="CY45" i="45"/>
  <c r="CZ45" i="45"/>
  <c r="DA45" i="45"/>
  <c r="DB45" i="45"/>
  <c r="DC45" i="45"/>
  <c r="DD45" i="45"/>
  <c r="DE45" i="45"/>
  <c r="DF45" i="45"/>
  <c r="DG45" i="45"/>
  <c r="DH45" i="45"/>
  <c r="DI45" i="45"/>
  <c r="DJ45" i="45"/>
  <c r="DK45" i="45"/>
  <c r="DL45" i="45"/>
  <c r="DM45" i="45"/>
  <c r="DN45" i="45"/>
  <c r="DO45" i="45"/>
  <c r="DP45" i="45"/>
  <c r="DQ45" i="45"/>
  <c r="DR45" i="45"/>
  <c r="DS45" i="45"/>
  <c r="DT45" i="45"/>
  <c r="DU45" i="45"/>
  <c r="DV45" i="45"/>
  <c r="DW45" i="45"/>
  <c r="DX45" i="45"/>
  <c r="DY45" i="45"/>
  <c r="DZ45" i="45"/>
  <c r="EA45" i="45"/>
  <c r="EB45" i="45"/>
  <c r="EC45" i="45"/>
  <c r="ED45" i="45"/>
  <c r="EE45" i="45"/>
  <c r="EF45" i="45"/>
  <c r="EG45" i="45"/>
  <c r="EH45" i="45"/>
  <c r="EI45" i="45"/>
  <c r="EJ45" i="45"/>
  <c r="EK45" i="45"/>
  <c r="EL45" i="45"/>
  <c r="EM45" i="45"/>
  <c r="EN45" i="45"/>
  <c r="EO45" i="45"/>
  <c r="EP45" i="45"/>
  <c r="EQ45" i="45"/>
  <c r="ER45" i="45"/>
  <c r="ES45" i="45"/>
  <c r="ET45" i="45"/>
  <c r="EU45" i="45"/>
  <c r="EV45" i="45"/>
  <c r="EW45" i="45"/>
  <c r="EX45" i="45"/>
  <c r="EY45" i="45"/>
  <c r="EZ45" i="45"/>
  <c r="FA45" i="45"/>
  <c r="FB45" i="45"/>
  <c r="FC45" i="45"/>
  <c r="FD45" i="45"/>
  <c r="FE45" i="45"/>
  <c r="FF45" i="45"/>
  <c r="FG45" i="45"/>
  <c r="FH45" i="45"/>
  <c r="FI45" i="45"/>
  <c r="FJ45" i="45"/>
  <c r="FK45" i="45"/>
  <c r="FL45" i="45"/>
  <c r="FM45" i="45"/>
  <c r="FN45" i="45"/>
  <c r="FO45" i="45"/>
  <c r="FP45" i="45"/>
  <c r="FQ45" i="45"/>
  <c r="FR45" i="45"/>
  <c r="FS45" i="45"/>
  <c r="FT45" i="45"/>
  <c r="FU45" i="45"/>
  <c r="FV45" i="45"/>
  <c r="FW45" i="45"/>
  <c r="FX45" i="45"/>
  <c r="FY45" i="45"/>
  <c r="FZ45" i="45"/>
  <c r="GA45" i="45"/>
  <c r="GB45" i="45"/>
  <c r="GC45" i="45"/>
  <c r="GD45" i="45"/>
  <c r="GE45" i="45"/>
  <c r="GF45" i="45"/>
  <c r="GG45" i="45"/>
  <c r="GH45" i="45"/>
  <c r="GI45" i="45"/>
  <c r="GJ45" i="45"/>
  <c r="GK45" i="45"/>
  <c r="GL45" i="45"/>
  <c r="GM45" i="45"/>
  <c r="GN45" i="45"/>
  <c r="GO45" i="45"/>
  <c r="GP45" i="45"/>
  <c r="GQ45" i="45"/>
  <c r="GR45" i="45"/>
  <c r="GS45" i="45"/>
  <c r="GT45" i="45"/>
  <c r="GU45" i="45"/>
  <c r="GV45" i="45"/>
  <c r="GW45" i="45"/>
  <c r="GX45" i="45"/>
  <c r="GY45" i="45"/>
  <c r="GZ45" i="45"/>
  <c r="HA45" i="45"/>
  <c r="HB45" i="45"/>
  <c r="HC45" i="45"/>
  <c r="HD45" i="45"/>
  <c r="HE45" i="45"/>
  <c r="HF45" i="45"/>
  <c r="HG45" i="45"/>
  <c r="HH45" i="45"/>
  <c r="HI45" i="45"/>
  <c r="HJ45" i="45"/>
  <c r="HK45" i="45"/>
  <c r="HL45" i="45"/>
  <c r="HM45" i="45"/>
  <c r="HN45" i="45"/>
  <c r="HO45" i="45"/>
  <c r="HP45" i="45"/>
  <c r="HQ45" i="45"/>
  <c r="HR45" i="45"/>
  <c r="HS45" i="45"/>
  <c r="HT45" i="45"/>
  <c r="HU45" i="45"/>
  <c r="HV45" i="45"/>
  <c r="HW45" i="45"/>
  <c r="HX45" i="45"/>
  <c r="HY45" i="45"/>
  <c r="HZ45" i="45"/>
  <c r="IA45" i="45"/>
  <c r="IB45" i="45"/>
  <c r="IC45" i="45"/>
  <c r="ID45" i="45"/>
  <c r="IE45" i="45"/>
  <c r="IF45" i="45"/>
  <c r="IG45" i="45"/>
  <c r="IH45" i="45"/>
  <c r="II45" i="45"/>
  <c r="IJ45" i="45"/>
  <c r="IK45" i="45"/>
  <c r="IL45" i="45"/>
  <c r="IM45" i="45"/>
  <c r="IN45" i="45"/>
  <c r="IO45" i="45"/>
  <c r="IP45" i="45"/>
  <c r="IQ45" i="45"/>
  <c r="IR45" i="45"/>
  <c r="IS45" i="45"/>
  <c r="IT45" i="45"/>
  <c r="IU45" i="45"/>
  <c r="IV45" i="45"/>
  <c r="A44" i="45"/>
  <c r="B44" i="45"/>
  <c r="C44" i="45"/>
  <c r="D44" i="45"/>
  <c r="E44" i="45"/>
  <c r="F44" i="45"/>
  <c r="G44" i="45"/>
  <c r="H44" i="45"/>
  <c r="I44" i="45"/>
  <c r="J44" i="45"/>
  <c r="K44" i="45"/>
  <c r="L44" i="45"/>
  <c r="M44" i="45"/>
  <c r="N44" i="45"/>
  <c r="O44" i="45"/>
  <c r="P44" i="45"/>
  <c r="Q44" i="45"/>
  <c r="R44" i="45"/>
  <c r="S44" i="45"/>
  <c r="T44" i="45"/>
  <c r="U44" i="45"/>
  <c r="V44" i="45"/>
  <c r="W44" i="45"/>
  <c r="X44" i="45"/>
  <c r="Y44" i="45"/>
  <c r="Z44" i="45"/>
  <c r="AA44" i="45"/>
  <c r="AB44" i="45"/>
  <c r="AC44" i="45"/>
  <c r="AD44" i="45"/>
  <c r="AE44" i="45"/>
  <c r="AF44" i="45"/>
  <c r="AG44" i="45"/>
  <c r="AH44" i="45"/>
  <c r="AI44" i="45"/>
  <c r="AJ44" i="45"/>
  <c r="AK44" i="45"/>
  <c r="AL44" i="45"/>
  <c r="AM44" i="45"/>
  <c r="AN44" i="45"/>
  <c r="AO44" i="45"/>
  <c r="AP44" i="45"/>
  <c r="AQ44" i="45"/>
  <c r="AR44" i="45"/>
  <c r="AS44" i="45"/>
  <c r="AT44" i="45"/>
  <c r="AU44" i="45"/>
  <c r="AV44" i="45"/>
  <c r="AW44" i="45"/>
  <c r="AX44" i="45"/>
  <c r="AY44" i="45"/>
  <c r="AZ44" i="45"/>
  <c r="BA44" i="45"/>
  <c r="BB44" i="45"/>
  <c r="BC44" i="45"/>
  <c r="BD44" i="45"/>
  <c r="BE44" i="45"/>
  <c r="BF44" i="45"/>
  <c r="BG44" i="45"/>
  <c r="BH44" i="45"/>
  <c r="BI44" i="45"/>
  <c r="BJ44" i="45"/>
  <c r="BK44" i="45"/>
  <c r="BL44" i="45"/>
  <c r="BM44" i="45"/>
  <c r="BN44" i="45"/>
  <c r="BO44" i="45"/>
  <c r="BP44" i="45"/>
  <c r="BQ44" i="45"/>
  <c r="BR44" i="45"/>
  <c r="BS44" i="45"/>
  <c r="BT44" i="45"/>
  <c r="BU44" i="45"/>
  <c r="BV44" i="45"/>
  <c r="BW44" i="45"/>
  <c r="BX44" i="45"/>
  <c r="BY44" i="45"/>
  <c r="BZ44" i="45"/>
  <c r="CA44" i="45"/>
  <c r="CB44" i="45"/>
  <c r="CC44" i="45"/>
  <c r="CD44" i="45"/>
  <c r="CE44" i="45"/>
  <c r="CF44" i="45"/>
  <c r="CG44" i="45"/>
  <c r="CH44" i="45"/>
  <c r="CI44" i="45"/>
  <c r="CJ44" i="45"/>
  <c r="CK44" i="45"/>
  <c r="CL44" i="45"/>
  <c r="CM44" i="45"/>
  <c r="CN44" i="45"/>
  <c r="CO44" i="45"/>
  <c r="CP44" i="45"/>
  <c r="CQ44" i="45"/>
  <c r="CR44" i="45"/>
  <c r="CS44" i="45"/>
  <c r="CT44" i="45"/>
  <c r="CU44" i="45"/>
  <c r="CV44" i="45"/>
  <c r="CW44" i="45"/>
  <c r="CX44" i="45"/>
  <c r="CY44" i="45"/>
  <c r="CZ44" i="45"/>
  <c r="DA44" i="45"/>
  <c r="DB44" i="45"/>
  <c r="DC44" i="45"/>
  <c r="DD44" i="45"/>
  <c r="DE44" i="45"/>
  <c r="DF44" i="45"/>
  <c r="DG44" i="45"/>
  <c r="DH44" i="45"/>
  <c r="DI44" i="45"/>
  <c r="DJ44" i="45"/>
  <c r="DK44" i="45"/>
  <c r="DL44" i="45"/>
  <c r="DM44" i="45"/>
  <c r="DN44" i="45"/>
  <c r="DO44" i="45"/>
  <c r="DP44" i="45"/>
  <c r="DQ44" i="45"/>
  <c r="DR44" i="45"/>
  <c r="DS44" i="45"/>
  <c r="DT44" i="45"/>
  <c r="DU44" i="45"/>
  <c r="DV44" i="45"/>
  <c r="DW44" i="45"/>
  <c r="DX44" i="45"/>
  <c r="DY44" i="45"/>
  <c r="DZ44" i="45"/>
  <c r="EA44" i="45"/>
  <c r="EB44" i="45"/>
  <c r="EC44" i="45"/>
  <c r="ED44" i="45"/>
  <c r="EE44" i="45"/>
  <c r="EF44" i="45"/>
  <c r="EG44" i="45"/>
  <c r="EH44" i="45"/>
  <c r="EI44" i="45"/>
  <c r="EJ44" i="45"/>
  <c r="EK44" i="45"/>
  <c r="EL44" i="45"/>
  <c r="EM44" i="45"/>
  <c r="EN44" i="45"/>
  <c r="EO44" i="45"/>
  <c r="EP44" i="45"/>
  <c r="EQ44" i="45"/>
  <c r="ER44" i="45"/>
  <c r="ES44" i="45"/>
  <c r="ET44" i="45"/>
  <c r="EU44" i="45"/>
  <c r="EV44" i="45"/>
  <c r="EW44" i="45"/>
  <c r="EX44" i="45"/>
  <c r="EY44" i="45"/>
  <c r="EZ44" i="45"/>
  <c r="FA44" i="45"/>
  <c r="FB44" i="45"/>
  <c r="FC44" i="45"/>
  <c r="FD44" i="45"/>
  <c r="FE44" i="45"/>
  <c r="FF44" i="45"/>
  <c r="FG44" i="45"/>
  <c r="FH44" i="45"/>
  <c r="FI44" i="45"/>
  <c r="FJ44" i="45"/>
  <c r="FK44" i="45"/>
  <c r="FL44" i="45"/>
  <c r="FM44" i="45"/>
  <c r="FN44" i="45"/>
  <c r="FO44" i="45"/>
  <c r="FP44" i="45"/>
  <c r="FQ44" i="45"/>
  <c r="FR44" i="45"/>
  <c r="FS44" i="45"/>
  <c r="FT44" i="45"/>
  <c r="FU44" i="45"/>
  <c r="FV44" i="45"/>
  <c r="FW44" i="45"/>
  <c r="FX44" i="45"/>
  <c r="FY44" i="45"/>
  <c r="FZ44" i="45"/>
  <c r="GA44" i="45"/>
  <c r="GB44" i="45"/>
  <c r="GC44" i="45"/>
  <c r="GD44" i="45"/>
  <c r="GE44" i="45"/>
  <c r="GF44" i="45"/>
  <c r="GG44" i="45"/>
  <c r="GH44" i="45"/>
  <c r="GI44" i="45"/>
  <c r="GJ44" i="45"/>
  <c r="GK44" i="45"/>
  <c r="GL44" i="45"/>
  <c r="GM44" i="45"/>
  <c r="GN44" i="45"/>
  <c r="GO44" i="45"/>
  <c r="GP44" i="45"/>
  <c r="GQ44" i="45"/>
  <c r="GR44" i="45"/>
  <c r="GS44" i="45"/>
  <c r="GT44" i="45"/>
  <c r="GU44" i="45"/>
  <c r="GV44" i="45"/>
  <c r="GW44" i="45"/>
  <c r="GX44" i="45"/>
  <c r="GY44" i="45"/>
  <c r="GZ44" i="45"/>
  <c r="HA44" i="45"/>
  <c r="HB44" i="45"/>
  <c r="HC44" i="45"/>
  <c r="HD44" i="45"/>
  <c r="HE44" i="45"/>
  <c r="HF44" i="45"/>
  <c r="HG44" i="45"/>
  <c r="HH44" i="45"/>
  <c r="HI44" i="45"/>
  <c r="HJ44" i="45"/>
  <c r="HK44" i="45"/>
  <c r="HL44" i="45"/>
  <c r="HM44" i="45"/>
  <c r="HN44" i="45"/>
  <c r="HO44" i="45"/>
  <c r="HP44" i="45"/>
  <c r="HQ44" i="45"/>
  <c r="HR44" i="45"/>
  <c r="HS44" i="45"/>
  <c r="HT44" i="45"/>
  <c r="HU44" i="45"/>
  <c r="HV44" i="45"/>
  <c r="HW44" i="45"/>
  <c r="HX44" i="45"/>
  <c r="HY44" i="45"/>
  <c r="HZ44" i="45"/>
  <c r="IA44" i="45"/>
  <c r="IB44" i="45"/>
  <c r="IC44" i="45"/>
  <c r="ID44" i="45"/>
  <c r="IE44" i="45"/>
  <c r="IF44" i="45"/>
  <c r="IG44" i="45"/>
  <c r="IH44" i="45"/>
  <c r="II44" i="45"/>
  <c r="IJ44" i="45"/>
  <c r="IK44" i="45"/>
  <c r="IL44" i="45"/>
  <c r="IM44" i="45"/>
  <c r="IN44" i="45"/>
  <c r="IO44" i="45"/>
  <c r="IP44" i="45"/>
  <c r="IQ44" i="45"/>
  <c r="IR44" i="45"/>
  <c r="IS44" i="45"/>
  <c r="IT44" i="45"/>
  <c r="IU44" i="45"/>
  <c r="IV44" i="45"/>
  <c r="A43" i="45"/>
  <c r="B43" i="45"/>
  <c r="C43" i="45"/>
  <c r="D43" i="45"/>
  <c r="E43" i="45"/>
  <c r="F43" i="45"/>
  <c r="G43" i="45"/>
  <c r="H43" i="45"/>
  <c r="I43" i="45"/>
  <c r="J43" i="45"/>
  <c r="K43" i="45"/>
  <c r="L43" i="45"/>
  <c r="M43" i="45"/>
  <c r="N43" i="45"/>
  <c r="O43" i="45"/>
  <c r="P43" i="45"/>
  <c r="Q43" i="45"/>
  <c r="R43" i="45"/>
  <c r="S43" i="45"/>
  <c r="T43" i="45"/>
  <c r="U43" i="45"/>
  <c r="V43" i="45"/>
  <c r="W43" i="45"/>
  <c r="X43" i="45"/>
  <c r="Y43" i="45"/>
  <c r="Z43" i="45"/>
  <c r="AA43" i="45"/>
  <c r="AB43" i="45"/>
  <c r="AC43" i="45"/>
  <c r="AD43" i="45"/>
  <c r="AE43" i="45"/>
  <c r="AF43" i="45"/>
  <c r="AG43" i="45"/>
  <c r="AH43" i="45"/>
  <c r="AI43" i="45"/>
  <c r="AJ43" i="45"/>
  <c r="AK43" i="45"/>
  <c r="AL43" i="45"/>
  <c r="AM43" i="45"/>
  <c r="AN43" i="45"/>
  <c r="AO43" i="45"/>
  <c r="AP43" i="45"/>
  <c r="AQ43" i="45"/>
  <c r="AR43" i="45"/>
  <c r="AS43" i="45"/>
  <c r="AT43" i="45"/>
  <c r="AU43" i="45"/>
  <c r="AV43" i="45"/>
  <c r="AW43" i="45"/>
  <c r="AX43" i="45"/>
  <c r="AY43" i="45"/>
  <c r="AZ43" i="45"/>
  <c r="BA43" i="45"/>
  <c r="BB43" i="45"/>
  <c r="BC43" i="45"/>
  <c r="BD43" i="45"/>
  <c r="BE43" i="45"/>
  <c r="BF43" i="45"/>
  <c r="BG43" i="45"/>
  <c r="BH43" i="45"/>
  <c r="BI43" i="45"/>
  <c r="BJ43" i="45"/>
  <c r="BK43" i="45"/>
  <c r="BL43" i="45"/>
  <c r="BM43" i="45"/>
  <c r="BN43" i="45"/>
  <c r="BO43" i="45"/>
  <c r="BP43" i="45"/>
  <c r="BQ43" i="45"/>
  <c r="BR43" i="45"/>
  <c r="BS43" i="45"/>
  <c r="BT43" i="45"/>
  <c r="BU43" i="45"/>
  <c r="BV43" i="45"/>
  <c r="BW43" i="45"/>
  <c r="BX43" i="45"/>
  <c r="BY43" i="45"/>
  <c r="BZ43" i="45"/>
  <c r="CA43" i="45"/>
  <c r="CB43" i="45"/>
  <c r="CC43" i="45"/>
  <c r="CD43" i="45"/>
  <c r="CE43" i="45"/>
  <c r="CF43" i="45"/>
  <c r="CG43" i="45"/>
  <c r="CH43" i="45"/>
  <c r="CI43" i="45"/>
  <c r="CJ43" i="45"/>
  <c r="CK43" i="45"/>
  <c r="CL43" i="45"/>
  <c r="CM43" i="45"/>
  <c r="CN43" i="45"/>
  <c r="CO43" i="45"/>
  <c r="CP43" i="45"/>
  <c r="CQ43" i="45"/>
  <c r="CR43" i="45"/>
  <c r="CS43" i="45"/>
  <c r="CT43" i="45"/>
  <c r="CU43" i="45"/>
  <c r="CV43" i="45"/>
  <c r="CW43" i="45"/>
  <c r="CX43" i="45"/>
  <c r="CY43" i="45"/>
  <c r="CZ43" i="45"/>
  <c r="DA43" i="45"/>
  <c r="DB43" i="45"/>
  <c r="DC43" i="45"/>
  <c r="DD43" i="45"/>
  <c r="DE43" i="45"/>
  <c r="DF43" i="45"/>
  <c r="DG43" i="45"/>
  <c r="DH43" i="45"/>
  <c r="DI43" i="45"/>
  <c r="DJ43" i="45"/>
  <c r="DK43" i="45"/>
  <c r="DL43" i="45"/>
  <c r="DM43" i="45"/>
  <c r="DN43" i="45"/>
  <c r="DO43" i="45"/>
  <c r="DP43" i="45"/>
  <c r="DQ43" i="45"/>
  <c r="DR43" i="45"/>
  <c r="DS43" i="45"/>
  <c r="DT43" i="45"/>
  <c r="DU43" i="45"/>
  <c r="DV43" i="45"/>
  <c r="DW43" i="45"/>
  <c r="DX43" i="45"/>
  <c r="DY43" i="45"/>
  <c r="DZ43" i="45"/>
  <c r="EA43" i="45"/>
  <c r="EB43" i="45"/>
  <c r="EC43" i="45"/>
  <c r="ED43" i="45"/>
  <c r="EE43" i="45"/>
  <c r="EF43" i="45"/>
  <c r="EG43" i="45"/>
  <c r="EH43" i="45"/>
  <c r="EI43" i="45"/>
  <c r="EJ43" i="45"/>
  <c r="EK43" i="45"/>
  <c r="EL43" i="45"/>
  <c r="EM43" i="45"/>
  <c r="EN43" i="45"/>
  <c r="EO43" i="45"/>
  <c r="EP43" i="45"/>
  <c r="EQ43" i="45"/>
  <c r="ER43" i="45"/>
  <c r="ES43" i="45"/>
  <c r="ET43" i="45"/>
  <c r="EU43" i="45"/>
  <c r="EV43" i="45"/>
  <c r="EW43" i="45"/>
  <c r="EX43" i="45"/>
  <c r="EY43" i="45"/>
  <c r="EZ43" i="45"/>
  <c r="FA43" i="45"/>
  <c r="FB43" i="45"/>
  <c r="FC43" i="45"/>
  <c r="FD43" i="45"/>
  <c r="FE43" i="45"/>
  <c r="FF43" i="45"/>
  <c r="FG43" i="45"/>
  <c r="FH43" i="45"/>
  <c r="FI43" i="45"/>
  <c r="FJ43" i="45"/>
  <c r="FK43" i="45"/>
  <c r="FL43" i="45"/>
  <c r="FM43" i="45"/>
  <c r="FN43" i="45"/>
  <c r="FO43" i="45"/>
  <c r="FP43" i="45"/>
  <c r="FQ43" i="45"/>
  <c r="FR43" i="45"/>
  <c r="FS43" i="45"/>
  <c r="FT43" i="45"/>
  <c r="FU43" i="45"/>
  <c r="FV43" i="45"/>
  <c r="FW43" i="45"/>
  <c r="FX43" i="45"/>
  <c r="FY43" i="45"/>
  <c r="FZ43" i="45"/>
  <c r="GA43" i="45"/>
  <c r="GB43" i="45"/>
  <c r="GC43" i="45"/>
  <c r="GD43" i="45"/>
  <c r="GE43" i="45"/>
  <c r="GF43" i="45"/>
  <c r="GG43" i="45"/>
  <c r="GH43" i="45"/>
  <c r="GI43" i="45"/>
  <c r="GJ43" i="45"/>
  <c r="GK43" i="45"/>
  <c r="GL43" i="45"/>
  <c r="GM43" i="45"/>
  <c r="GN43" i="45"/>
  <c r="GO43" i="45"/>
  <c r="GP43" i="45"/>
  <c r="GQ43" i="45"/>
  <c r="GR43" i="45"/>
  <c r="GS43" i="45"/>
  <c r="GT43" i="45"/>
  <c r="GU43" i="45"/>
  <c r="GV43" i="45"/>
  <c r="GW43" i="45"/>
  <c r="GX43" i="45"/>
  <c r="GY43" i="45"/>
  <c r="GZ43" i="45"/>
  <c r="HA43" i="45"/>
  <c r="HB43" i="45"/>
  <c r="HC43" i="45"/>
  <c r="HD43" i="45"/>
  <c r="HE43" i="45"/>
  <c r="HF43" i="45"/>
  <c r="HG43" i="45"/>
  <c r="HH43" i="45"/>
  <c r="HI43" i="45"/>
  <c r="HJ43" i="45"/>
  <c r="HK43" i="45"/>
  <c r="HL43" i="45"/>
  <c r="HM43" i="45"/>
  <c r="HN43" i="45"/>
  <c r="HO43" i="45"/>
  <c r="HP43" i="45"/>
  <c r="HQ43" i="45"/>
  <c r="HR43" i="45"/>
  <c r="HS43" i="45"/>
  <c r="HT43" i="45"/>
  <c r="HU43" i="45"/>
  <c r="HV43" i="45"/>
  <c r="HW43" i="45"/>
  <c r="HX43" i="45"/>
  <c r="HY43" i="45"/>
  <c r="HZ43" i="45"/>
  <c r="IA43" i="45"/>
  <c r="IB43" i="45"/>
  <c r="IC43" i="45"/>
  <c r="ID43" i="45"/>
  <c r="IE43" i="45"/>
  <c r="IF43" i="45"/>
  <c r="IG43" i="45"/>
  <c r="IH43" i="45"/>
  <c r="II43" i="45"/>
  <c r="IJ43" i="45"/>
  <c r="IK43" i="45"/>
  <c r="IL43" i="45"/>
  <c r="IM43" i="45"/>
  <c r="IN43" i="45"/>
  <c r="IO43" i="45"/>
  <c r="IP43" i="45"/>
  <c r="IQ43" i="45"/>
  <c r="IR43" i="45"/>
  <c r="IS43" i="45"/>
  <c r="IT43" i="45"/>
  <c r="IU43" i="45"/>
  <c r="IV43" i="45"/>
  <c r="A42" i="45"/>
  <c r="B42" i="45"/>
  <c r="C42" i="45"/>
  <c r="D42" i="45"/>
  <c r="E42" i="45"/>
  <c r="F42" i="45"/>
  <c r="G42" i="45"/>
  <c r="H42" i="45"/>
  <c r="I42" i="45"/>
  <c r="J42" i="45"/>
  <c r="K42" i="45"/>
  <c r="L42" i="45"/>
  <c r="M42" i="45"/>
  <c r="N42" i="45"/>
  <c r="O42" i="45"/>
  <c r="P42" i="45"/>
  <c r="Q42" i="45"/>
  <c r="R42" i="45"/>
  <c r="S42" i="45"/>
  <c r="T42" i="45"/>
  <c r="U42" i="45"/>
  <c r="V42" i="45"/>
  <c r="W42" i="45"/>
  <c r="X42" i="45"/>
  <c r="Y42" i="45"/>
  <c r="Z42" i="45"/>
  <c r="AA42" i="45"/>
  <c r="AB42" i="45"/>
  <c r="AC42" i="45"/>
  <c r="AD42" i="45"/>
  <c r="AE42" i="45"/>
  <c r="AF42" i="45"/>
  <c r="AG42" i="45"/>
  <c r="AH42" i="45"/>
  <c r="AI42" i="45"/>
  <c r="AJ42" i="45"/>
  <c r="AK42" i="45"/>
  <c r="AL42" i="45"/>
  <c r="AM42" i="45"/>
  <c r="AN42" i="45"/>
  <c r="AO42" i="45"/>
  <c r="AP42" i="45"/>
  <c r="AQ42" i="45"/>
  <c r="AR42" i="45"/>
  <c r="AS42" i="45"/>
  <c r="AT42" i="45"/>
  <c r="AU42" i="45"/>
  <c r="AV42" i="45"/>
  <c r="AW42" i="45"/>
  <c r="AX42" i="45"/>
  <c r="AY42" i="45"/>
  <c r="AZ42" i="45"/>
  <c r="BA42" i="45"/>
  <c r="BB42" i="45"/>
  <c r="BC42" i="45"/>
  <c r="BD42" i="45"/>
  <c r="BE42" i="45"/>
  <c r="BF42" i="45"/>
  <c r="BG42" i="45"/>
  <c r="BH42" i="45"/>
  <c r="BI42" i="45"/>
  <c r="BJ42" i="45"/>
  <c r="BK42" i="45"/>
  <c r="BL42" i="45"/>
  <c r="BM42" i="45"/>
  <c r="BN42" i="45"/>
  <c r="BO42" i="45"/>
  <c r="BP42" i="45"/>
  <c r="BQ42" i="45"/>
  <c r="BR42" i="45"/>
  <c r="BS42" i="45"/>
  <c r="BT42" i="45"/>
  <c r="BU42" i="45"/>
  <c r="BV42" i="45"/>
  <c r="BW42" i="45"/>
  <c r="BX42" i="45"/>
  <c r="BY42" i="45"/>
  <c r="BZ42" i="45"/>
  <c r="CA42" i="45"/>
  <c r="CB42" i="45"/>
  <c r="CC42" i="45"/>
  <c r="CD42" i="45"/>
  <c r="CE42" i="45"/>
  <c r="CF42" i="45"/>
  <c r="CG42" i="45"/>
  <c r="CH42" i="45"/>
  <c r="CI42" i="45"/>
  <c r="CJ42" i="45"/>
  <c r="CK42" i="45"/>
  <c r="CL42" i="45"/>
  <c r="CM42" i="45"/>
  <c r="CN42" i="45"/>
  <c r="CO42" i="45"/>
  <c r="CP42" i="45"/>
  <c r="CQ42" i="45"/>
  <c r="CR42" i="45"/>
  <c r="CS42" i="45"/>
  <c r="CT42" i="45"/>
  <c r="CU42" i="45"/>
  <c r="CV42" i="45"/>
  <c r="CW42" i="45"/>
  <c r="CX42" i="45"/>
  <c r="CY42" i="45"/>
  <c r="CZ42" i="45"/>
  <c r="DA42" i="45"/>
  <c r="DB42" i="45"/>
  <c r="DC42" i="45"/>
  <c r="DD42" i="45"/>
  <c r="DE42" i="45"/>
  <c r="DF42" i="45"/>
  <c r="DG42" i="45"/>
  <c r="DH42" i="45"/>
  <c r="DI42" i="45"/>
  <c r="DJ42" i="45"/>
  <c r="DK42" i="45"/>
  <c r="DL42" i="45"/>
  <c r="DM42" i="45"/>
  <c r="DN42" i="45"/>
  <c r="DO42" i="45"/>
  <c r="DP42" i="45"/>
  <c r="DQ42" i="45"/>
  <c r="DR42" i="45"/>
  <c r="DS42" i="45"/>
  <c r="DT42" i="45"/>
  <c r="DU42" i="45"/>
  <c r="DV42" i="45"/>
  <c r="DW42" i="45"/>
  <c r="DX42" i="45"/>
  <c r="DY42" i="45"/>
  <c r="DZ42" i="45"/>
  <c r="EA42" i="45"/>
  <c r="EB42" i="45"/>
  <c r="EC42" i="45"/>
  <c r="ED42" i="45"/>
  <c r="EE42" i="45"/>
  <c r="EF42" i="45"/>
  <c r="EG42" i="45"/>
  <c r="EH42" i="45"/>
  <c r="EI42" i="45"/>
  <c r="EJ42" i="45"/>
  <c r="EK42" i="45"/>
  <c r="EL42" i="45"/>
  <c r="EM42" i="45"/>
  <c r="EN42" i="45"/>
  <c r="EO42" i="45"/>
  <c r="EP42" i="45"/>
  <c r="EQ42" i="45"/>
  <c r="ER42" i="45"/>
  <c r="ES42" i="45"/>
  <c r="ET42" i="45"/>
  <c r="EU42" i="45"/>
  <c r="EV42" i="45"/>
  <c r="EW42" i="45"/>
  <c r="EX42" i="45"/>
  <c r="EY42" i="45"/>
  <c r="EZ42" i="45"/>
  <c r="FA42" i="45"/>
  <c r="FB42" i="45"/>
  <c r="FC42" i="45"/>
  <c r="FD42" i="45"/>
  <c r="FE42" i="45"/>
  <c r="FF42" i="45"/>
  <c r="FG42" i="45"/>
  <c r="FH42" i="45"/>
  <c r="FI42" i="45"/>
  <c r="FJ42" i="45"/>
  <c r="FK42" i="45"/>
  <c r="FL42" i="45"/>
  <c r="FM42" i="45"/>
  <c r="FN42" i="45"/>
  <c r="FO42" i="45"/>
  <c r="FP42" i="45"/>
  <c r="FQ42" i="45"/>
  <c r="FR42" i="45"/>
  <c r="FS42" i="45"/>
  <c r="FT42" i="45"/>
  <c r="FU42" i="45"/>
  <c r="FV42" i="45"/>
  <c r="FW42" i="45"/>
  <c r="FX42" i="45"/>
  <c r="FY42" i="45"/>
  <c r="FZ42" i="45"/>
  <c r="GA42" i="45"/>
  <c r="GB42" i="45"/>
  <c r="GC42" i="45"/>
  <c r="GD42" i="45"/>
  <c r="GE42" i="45"/>
  <c r="GF42" i="45"/>
  <c r="GG42" i="45"/>
  <c r="GH42" i="45"/>
  <c r="GI42" i="45"/>
  <c r="GJ42" i="45"/>
  <c r="GK42" i="45"/>
  <c r="GL42" i="45"/>
  <c r="GM42" i="45"/>
  <c r="GN42" i="45"/>
  <c r="GO42" i="45"/>
  <c r="GP42" i="45"/>
  <c r="GQ42" i="45"/>
  <c r="GR42" i="45"/>
  <c r="GS42" i="45"/>
  <c r="GT42" i="45"/>
  <c r="GU42" i="45"/>
  <c r="GV42" i="45"/>
  <c r="GW42" i="45"/>
  <c r="GX42" i="45"/>
  <c r="GY42" i="45"/>
  <c r="GZ42" i="45"/>
  <c r="HA42" i="45"/>
  <c r="HB42" i="45"/>
  <c r="HC42" i="45"/>
  <c r="HD42" i="45"/>
  <c r="HE42" i="45"/>
  <c r="HF42" i="45"/>
  <c r="HG42" i="45"/>
  <c r="HH42" i="45"/>
  <c r="HI42" i="45"/>
  <c r="HJ42" i="45"/>
  <c r="HK42" i="45"/>
  <c r="HL42" i="45"/>
  <c r="HM42" i="45"/>
  <c r="HN42" i="45"/>
  <c r="HO42" i="45"/>
  <c r="HP42" i="45"/>
  <c r="HQ42" i="45"/>
  <c r="HR42" i="45"/>
  <c r="HS42" i="45"/>
  <c r="HT42" i="45"/>
  <c r="HU42" i="45"/>
  <c r="HV42" i="45"/>
  <c r="HW42" i="45"/>
  <c r="HX42" i="45"/>
  <c r="HY42" i="45"/>
  <c r="HZ42" i="45"/>
  <c r="IA42" i="45"/>
  <c r="IB42" i="45"/>
  <c r="IC42" i="45"/>
  <c r="ID42" i="45"/>
  <c r="IE42" i="45"/>
  <c r="IF42" i="45"/>
  <c r="IG42" i="45"/>
  <c r="IH42" i="45"/>
  <c r="II42" i="45"/>
  <c r="IJ42" i="45"/>
  <c r="IK42" i="45"/>
  <c r="IL42" i="45"/>
  <c r="IM42" i="45"/>
  <c r="IN42" i="45"/>
  <c r="IO42" i="45"/>
  <c r="IP42" i="45"/>
  <c r="IQ42" i="45"/>
  <c r="IR42" i="45"/>
  <c r="IS42" i="45"/>
  <c r="IT42" i="45"/>
  <c r="IU42" i="45"/>
  <c r="IV42" i="45"/>
  <c r="A41" i="45"/>
  <c r="B41" i="45"/>
  <c r="C41" i="45"/>
  <c r="D41" i="45"/>
  <c r="E41" i="45"/>
  <c r="F41" i="45"/>
  <c r="G41" i="45"/>
  <c r="H41" i="45"/>
  <c r="I41" i="45"/>
  <c r="J41" i="45"/>
  <c r="K41" i="45"/>
  <c r="L41" i="45"/>
  <c r="M41" i="45"/>
  <c r="N41" i="45"/>
  <c r="O41" i="45"/>
  <c r="P41" i="45"/>
  <c r="Q41" i="45"/>
  <c r="R41" i="45"/>
  <c r="S41" i="45"/>
  <c r="T41" i="45"/>
  <c r="U41" i="45"/>
  <c r="V41" i="45"/>
  <c r="W41" i="45"/>
  <c r="X41" i="45"/>
  <c r="Y41" i="45"/>
  <c r="Z41" i="45"/>
  <c r="AA41" i="45"/>
  <c r="AB41" i="45"/>
  <c r="AC41" i="45"/>
  <c r="AD41" i="45"/>
  <c r="AE41" i="45"/>
  <c r="AF41" i="45"/>
  <c r="AG41" i="45"/>
  <c r="AH41" i="45"/>
  <c r="AI41" i="45"/>
  <c r="AJ41" i="45"/>
  <c r="AK41" i="45"/>
  <c r="AL41" i="45"/>
  <c r="AM41" i="45"/>
  <c r="AN41" i="45"/>
  <c r="AO41" i="45"/>
  <c r="AP41" i="45"/>
  <c r="AQ41" i="45"/>
  <c r="AR41" i="45"/>
  <c r="AS41" i="45"/>
  <c r="AT41" i="45"/>
  <c r="AU41" i="45"/>
  <c r="AV41" i="45"/>
  <c r="AW41" i="45"/>
  <c r="AX41" i="45"/>
  <c r="AY41" i="45"/>
  <c r="AZ41" i="45"/>
  <c r="BA41" i="45"/>
  <c r="BB41" i="45"/>
  <c r="BC41" i="45"/>
  <c r="BD41" i="45"/>
  <c r="BE41" i="45"/>
  <c r="BF41" i="45"/>
  <c r="BG41" i="45"/>
  <c r="BH41" i="45"/>
  <c r="BI41" i="45"/>
  <c r="BJ41" i="45"/>
  <c r="BK41" i="45"/>
  <c r="BL41" i="45"/>
  <c r="BM41" i="45"/>
  <c r="BN41" i="45"/>
  <c r="BO41" i="45"/>
  <c r="BP41" i="45"/>
  <c r="BQ41" i="45"/>
  <c r="BR41" i="45"/>
  <c r="BS41" i="45"/>
  <c r="BT41" i="45"/>
  <c r="BU41" i="45"/>
  <c r="BV41" i="45"/>
  <c r="BW41" i="45"/>
  <c r="BX41" i="45"/>
  <c r="BY41" i="45"/>
  <c r="BZ41" i="45"/>
  <c r="CA41" i="45"/>
  <c r="CB41" i="45"/>
  <c r="CC41" i="45"/>
  <c r="CD41" i="45"/>
  <c r="CE41" i="45"/>
  <c r="CF41" i="45"/>
  <c r="CG41" i="45"/>
  <c r="CH41" i="45"/>
  <c r="CI41" i="45"/>
  <c r="CJ41" i="45"/>
  <c r="CK41" i="45"/>
  <c r="CL41" i="45"/>
  <c r="CM41" i="45"/>
  <c r="CN41" i="45"/>
  <c r="CO41" i="45"/>
  <c r="CP41" i="45"/>
  <c r="CQ41" i="45"/>
  <c r="CR41" i="45"/>
  <c r="CS41" i="45"/>
  <c r="CT41" i="45"/>
  <c r="CU41" i="45"/>
  <c r="CV41" i="45"/>
  <c r="CW41" i="45"/>
  <c r="CX41" i="45"/>
  <c r="CY41" i="45"/>
  <c r="CZ41" i="45"/>
  <c r="DA41" i="45"/>
  <c r="DB41" i="45"/>
  <c r="DC41" i="45"/>
  <c r="DD41" i="45"/>
  <c r="DE41" i="45"/>
  <c r="DF41" i="45"/>
  <c r="DG41" i="45"/>
  <c r="DH41" i="45"/>
  <c r="DI41" i="45"/>
  <c r="DJ41" i="45"/>
  <c r="DK41" i="45"/>
  <c r="DL41" i="45"/>
  <c r="DM41" i="45"/>
  <c r="DN41" i="45"/>
  <c r="DO41" i="45"/>
  <c r="DP41" i="45"/>
  <c r="DQ41" i="45"/>
  <c r="DR41" i="45"/>
  <c r="DS41" i="45"/>
  <c r="DT41" i="45"/>
  <c r="DU41" i="45"/>
  <c r="DV41" i="45"/>
  <c r="DW41" i="45"/>
  <c r="DX41" i="45"/>
  <c r="DY41" i="45"/>
  <c r="DZ41" i="45"/>
  <c r="EA41" i="45"/>
  <c r="EB41" i="45"/>
  <c r="EC41" i="45"/>
  <c r="ED41" i="45"/>
  <c r="EE41" i="45"/>
  <c r="EF41" i="45"/>
  <c r="EG41" i="45"/>
  <c r="EH41" i="45"/>
  <c r="EI41" i="45"/>
  <c r="EJ41" i="45"/>
  <c r="EK41" i="45"/>
  <c r="EL41" i="45"/>
  <c r="EM41" i="45"/>
  <c r="EN41" i="45"/>
  <c r="EO41" i="45"/>
  <c r="EP41" i="45"/>
  <c r="EQ41" i="45"/>
  <c r="ER41" i="45"/>
  <c r="ES41" i="45"/>
  <c r="ET41" i="45"/>
  <c r="EU41" i="45"/>
  <c r="EV41" i="45"/>
  <c r="EW41" i="45"/>
  <c r="EX41" i="45"/>
  <c r="EY41" i="45"/>
  <c r="EZ41" i="45"/>
  <c r="FA41" i="45"/>
  <c r="FB41" i="45"/>
  <c r="FC41" i="45"/>
  <c r="FD41" i="45"/>
  <c r="FE41" i="45"/>
  <c r="FF41" i="45"/>
  <c r="FG41" i="45"/>
  <c r="FH41" i="45"/>
  <c r="FI41" i="45"/>
  <c r="FJ41" i="45"/>
  <c r="FK41" i="45"/>
  <c r="FL41" i="45"/>
  <c r="FM41" i="45"/>
  <c r="FN41" i="45"/>
  <c r="FO41" i="45"/>
  <c r="FP41" i="45"/>
  <c r="FQ41" i="45"/>
  <c r="FR41" i="45"/>
  <c r="FS41" i="45"/>
  <c r="FT41" i="45"/>
  <c r="FU41" i="45"/>
  <c r="FV41" i="45"/>
  <c r="FW41" i="45"/>
  <c r="FX41" i="45"/>
  <c r="FY41" i="45"/>
  <c r="FZ41" i="45"/>
  <c r="GA41" i="45"/>
  <c r="GB41" i="45"/>
  <c r="GC41" i="45"/>
  <c r="GD41" i="45"/>
  <c r="GE41" i="45"/>
  <c r="GF41" i="45"/>
  <c r="GG41" i="45"/>
  <c r="GH41" i="45"/>
  <c r="GI41" i="45"/>
  <c r="GJ41" i="45"/>
  <c r="GK41" i="45"/>
  <c r="GL41" i="45"/>
  <c r="GM41" i="45"/>
  <c r="GN41" i="45"/>
  <c r="GO41" i="45"/>
  <c r="GP41" i="45"/>
  <c r="GQ41" i="45"/>
  <c r="GR41" i="45"/>
  <c r="GS41" i="45"/>
  <c r="GT41" i="45"/>
  <c r="GU41" i="45"/>
  <c r="GV41" i="45"/>
  <c r="GW41" i="45"/>
  <c r="GX41" i="45"/>
  <c r="GY41" i="45"/>
  <c r="GZ41" i="45"/>
  <c r="HA41" i="45"/>
  <c r="HB41" i="45"/>
  <c r="HC41" i="45"/>
  <c r="HD41" i="45"/>
  <c r="HE41" i="45"/>
  <c r="HF41" i="45"/>
  <c r="HG41" i="45"/>
  <c r="HH41" i="45"/>
  <c r="HI41" i="45"/>
  <c r="HJ41" i="45"/>
  <c r="HK41" i="45"/>
  <c r="HL41" i="45"/>
  <c r="HM41" i="45"/>
  <c r="HN41" i="45"/>
  <c r="HO41" i="45"/>
  <c r="HP41" i="45"/>
  <c r="HQ41" i="45"/>
  <c r="HR41" i="45"/>
  <c r="HS41" i="45"/>
  <c r="HT41" i="45"/>
  <c r="HU41" i="45"/>
  <c r="HV41" i="45"/>
  <c r="HW41" i="45"/>
  <c r="HX41" i="45"/>
  <c r="HY41" i="45"/>
  <c r="HZ41" i="45"/>
  <c r="IA41" i="45"/>
  <c r="IB41" i="45"/>
  <c r="IC41" i="45"/>
  <c r="ID41" i="45"/>
  <c r="IE41" i="45"/>
  <c r="IF41" i="45"/>
  <c r="IG41" i="45"/>
  <c r="IH41" i="45"/>
  <c r="II41" i="45"/>
  <c r="IJ41" i="45"/>
  <c r="IK41" i="45"/>
  <c r="IL41" i="45"/>
  <c r="IM41" i="45"/>
  <c r="IN41" i="45"/>
  <c r="IO41" i="45"/>
  <c r="IP41" i="45"/>
  <c r="IQ41" i="45"/>
  <c r="IR41" i="45"/>
  <c r="IS41" i="45"/>
  <c r="IT41" i="45"/>
  <c r="IU41" i="45"/>
  <c r="IV41" i="45"/>
  <c r="A40" i="45"/>
  <c r="B40" i="45"/>
  <c r="C40" i="45"/>
  <c r="D40" i="45"/>
  <c r="E40" i="45"/>
  <c r="F40" i="45"/>
  <c r="G40" i="45"/>
  <c r="H40" i="45"/>
  <c r="I40" i="45"/>
  <c r="J40" i="45"/>
  <c r="K40" i="45"/>
  <c r="L40" i="45"/>
  <c r="M40" i="45"/>
  <c r="N40" i="45"/>
  <c r="O40" i="45"/>
  <c r="P40" i="45"/>
  <c r="Q40" i="45"/>
  <c r="R40" i="45"/>
  <c r="S40" i="45"/>
  <c r="T40" i="45"/>
  <c r="U40" i="45"/>
  <c r="V40" i="45"/>
  <c r="W40" i="45"/>
  <c r="X40" i="45"/>
  <c r="Y40" i="45"/>
  <c r="Z40" i="45"/>
  <c r="AA40" i="45"/>
  <c r="AB40" i="45"/>
  <c r="AC40" i="45"/>
  <c r="AD40" i="45"/>
  <c r="AE40" i="45"/>
  <c r="AF40" i="45"/>
  <c r="AG40" i="45"/>
  <c r="AH40" i="45"/>
  <c r="AI40" i="45"/>
  <c r="AJ40" i="45"/>
  <c r="AK40" i="45"/>
  <c r="AL40" i="45"/>
  <c r="AM40" i="45"/>
  <c r="AN40" i="45"/>
  <c r="AO40" i="45"/>
  <c r="AP40" i="45"/>
  <c r="AQ40" i="45"/>
  <c r="AR40" i="45"/>
  <c r="AS40" i="45"/>
  <c r="AT40" i="45"/>
  <c r="AU40" i="45"/>
  <c r="AV40" i="45"/>
  <c r="AW40" i="45"/>
  <c r="AX40" i="45"/>
  <c r="AY40" i="45"/>
  <c r="AZ40" i="45"/>
  <c r="BA40" i="45"/>
  <c r="BB40" i="45"/>
  <c r="BC40" i="45"/>
  <c r="BD40" i="45"/>
  <c r="BE40" i="45"/>
  <c r="BF40" i="45"/>
  <c r="BG40" i="45"/>
  <c r="BH40" i="45"/>
  <c r="BI40" i="45"/>
  <c r="BJ40" i="45"/>
  <c r="BK40" i="45"/>
  <c r="BL40" i="45"/>
  <c r="BM40" i="45"/>
  <c r="BN40" i="45"/>
  <c r="BO40" i="45"/>
  <c r="BP40" i="45"/>
  <c r="BQ40" i="45"/>
  <c r="BR40" i="45"/>
  <c r="BS40" i="45"/>
  <c r="BT40" i="45"/>
  <c r="BU40" i="45"/>
  <c r="BV40" i="45"/>
  <c r="BW40" i="45"/>
  <c r="BX40" i="45"/>
  <c r="BY40" i="45"/>
  <c r="BZ40" i="45"/>
  <c r="CA40" i="45"/>
  <c r="CB40" i="45"/>
  <c r="CC40" i="45"/>
  <c r="CD40" i="45"/>
  <c r="CE40" i="45"/>
  <c r="CF40" i="45"/>
  <c r="CG40" i="45"/>
  <c r="CH40" i="45"/>
  <c r="CI40" i="45"/>
  <c r="CJ40" i="45"/>
  <c r="CK40" i="45"/>
  <c r="CL40" i="45"/>
  <c r="CM40" i="45"/>
  <c r="CN40" i="45"/>
  <c r="CO40" i="45"/>
  <c r="CP40" i="45"/>
  <c r="CQ40" i="45"/>
  <c r="CR40" i="45"/>
  <c r="CS40" i="45"/>
  <c r="CT40" i="45"/>
  <c r="CU40" i="45"/>
  <c r="CV40" i="45"/>
  <c r="CW40" i="45"/>
  <c r="CX40" i="45"/>
  <c r="CY40" i="45"/>
  <c r="CZ40" i="45"/>
  <c r="DA40" i="45"/>
  <c r="DB40" i="45"/>
  <c r="DC40" i="45"/>
  <c r="DD40" i="45"/>
  <c r="DE40" i="45"/>
  <c r="DF40" i="45"/>
  <c r="DG40" i="45"/>
  <c r="DH40" i="45"/>
  <c r="DI40" i="45"/>
  <c r="DJ40" i="45"/>
  <c r="DK40" i="45"/>
  <c r="DL40" i="45"/>
  <c r="DM40" i="45"/>
  <c r="DN40" i="45"/>
  <c r="DO40" i="45"/>
  <c r="DP40" i="45"/>
  <c r="DQ40" i="45"/>
  <c r="DR40" i="45"/>
  <c r="DS40" i="45"/>
  <c r="DT40" i="45"/>
  <c r="DU40" i="45"/>
  <c r="DV40" i="45"/>
  <c r="DW40" i="45"/>
  <c r="DX40" i="45"/>
  <c r="DY40" i="45"/>
  <c r="DZ40" i="45"/>
  <c r="EA40" i="45"/>
  <c r="EB40" i="45"/>
  <c r="EC40" i="45"/>
  <c r="ED40" i="45"/>
  <c r="EE40" i="45"/>
  <c r="EF40" i="45"/>
  <c r="EG40" i="45"/>
  <c r="EH40" i="45"/>
  <c r="EI40" i="45"/>
  <c r="EJ40" i="45"/>
  <c r="EK40" i="45"/>
  <c r="EL40" i="45"/>
  <c r="EM40" i="45"/>
  <c r="EN40" i="45"/>
  <c r="EO40" i="45"/>
  <c r="EP40" i="45"/>
  <c r="EQ40" i="45"/>
  <c r="ER40" i="45"/>
  <c r="ES40" i="45"/>
  <c r="ET40" i="45"/>
  <c r="EU40" i="45"/>
  <c r="EV40" i="45"/>
  <c r="EW40" i="45"/>
  <c r="EX40" i="45"/>
  <c r="EY40" i="45"/>
  <c r="EZ40" i="45"/>
  <c r="FA40" i="45"/>
  <c r="FB40" i="45"/>
  <c r="FC40" i="45"/>
  <c r="FD40" i="45"/>
  <c r="FE40" i="45"/>
  <c r="FF40" i="45"/>
  <c r="FG40" i="45"/>
  <c r="FH40" i="45"/>
  <c r="FI40" i="45"/>
  <c r="FJ40" i="45"/>
  <c r="FK40" i="45"/>
  <c r="FL40" i="45"/>
  <c r="FM40" i="45"/>
  <c r="FN40" i="45"/>
  <c r="FO40" i="45"/>
  <c r="FP40" i="45"/>
  <c r="FQ40" i="45"/>
  <c r="FR40" i="45"/>
  <c r="FS40" i="45"/>
  <c r="FT40" i="45"/>
  <c r="FU40" i="45"/>
  <c r="FV40" i="45"/>
  <c r="FW40" i="45"/>
  <c r="FX40" i="45"/>
  <c r="FY40" i="45"/>
  <c r="FZ40" i="45"/>
  <c r="GA40" i="45"/>
  <c r="GB40" i="45"/>
  <c r="GC40" i="45"/>
  <c r="GD40" i="45"/>
  <c r="GE40" i="45"/>
  <c r="GF40" i="45"/>
  <c r="GG40" i="45"/>
  <c r="GH40" i="45"/>
  <c r="GI40" i="45"/>
  <c r="GJ40" i="45"/>
  <c r="GK40" i="45"/>
  <c r="GL40" i="45"/>
  <c r="GM40" i="45"/>
  <c r="GN40" i="45"/>
  <c r="GO40" i="45"/>
  <c r="GP40" i="45"/>
  <c r="GQ40" i="45"/>
  <c r="GR40" i="45"/>
  <c r="GS40" i="45"/>
  <c r="GT40" i="45"/>
  <c r="GU40" i="45"/>
  <c r="GV40" i="45"/>
  <c r="GW40" i="45"/>
  <c r="GX40" i="45"/>
  <c r="GY40" i="45"/>
  <c r="GZ40" i="45"/>
  <c r="HA40" i="45"/>
  <c r="HB40" i="45"/>
  <c r="HC40" i="45"/>
  <c r="HD40" i="45"/>
  <c r="HE40" i="45"/>
  <c r="HF40" i="45"/>
  <c r="HG40" i="45"/>
  <c r="HH40" i="45"/>
  <c r="HI40" i="45"/>
  <c r="HJ40" i="45"/>
  <c r="HK40" i="45"/>
  <c r="HL40" i="45"/>
  <c r="HM40" i="45"/>
  <c r="HN40" i="45"/>
  <c r="HO40" i="45"/>
  <c r="HP40" i="45"/>
  <c r="HQ40" i="45"/>
  <c r="HR40" i="45"/>
  <c r="HS40" i="45"/>
  <c r="HT40" i="45"/>
  <c r="HU40" i="45"/>
  <c r="HV40" i="45"/>
  <c r="HW40" i="45"/>
  <c r="HX40" i="45"/>
  <c r="HY40" i="45"/>
  <c r="HZ40" i="45"/>
  <c r="IA40" i="45"/>
  <c r="IB40" i="45"/>
  <c r="IC40" i="45"/>
  <c r="ID40" i="45"/>
  <c r="IE40" i="45"/>
  <c r="IF40" i="45"/>
  <c r="IG40" i="45"/>
  <c r="IH40" i="45"/>
  <c r="II40" i="45"/>
  <c r="IJ40" i="45"/>
  <c r="IK40" i="45"/>
  <c r="IL40" i="45"/>
  <c r="IM40" i="45"/>
  <c r="IN40" i="45"/>
  <c r="IO40" i="45"/>
  <c r="IP40" i="45"/>
  <c r="IQ40" i="45"/>
  <c r="IR40" i="45"/>
  <c r="IS40" i="45"/>
  <c r="IT40" i="45"/>
  <c r="IU40" i="45"/>
  <c r="IV40" i="45"/>
  <c r="A39" i="45"/>
  <c r="B39" i="45"/>
  <c r="C39" i="45"/>
  <c r="D39" i="45"/>
  <c r="E39" i="45"/>
  <c r="F39" i="45"/>
  <c r="G39" i="45"/>
  <c r="H39" i="45"/>
  <c r="I39" i="45"/>
  <c r="J39" i="45"/>
  <c r="K39" i="45"/>
  <c r="L39" i="45"/>
  <c r="M39" i="45"/>
  <c r="N39" i="45"/>
  <c r="O39" i="45"/>
  <c r="P39" i="45"/>
  <c r="Q39" i="45"/>
  <c r="R39" i="45"/>
  <c r="S39" i="45"/>
  <c r="T39" i="45"/>
  <c r="U39" i="45"/>
  <c r="V39" i="45"/>
  <c r="W39" i="45"/>
  <c r="X39" i="45"/>
  <c r="Y39" i="45"/>
  <c r="Z39" i="45"/>
  <c r="AA39" i="45"/>
  <c r="AB39" i="45"/>
  <c r="AC39" i="45"/>
  <c r="AD39" i="45"/>
  <c r="AE39" i="45"/>
  <c r="AF39" i="45"/>
  <c r="AG39" i="45"/>
  <c r="AH39" i="45"/>
  <c r="AI39" i="45"/>
  <c r="AJ39" i="45"/>
  <c r="AK39" i="45"/>
  <c r="AL39" i="45"/>
  <c r="AM39" i="45"/>
  <c r="AN39" i="45"/>
  <c r="AO39" i="45"/>
  <c r="AP39" i="45"/>
  <c r="AQ39" i="45"/>
  <c r="AR39" i="45"/>
  <c r="AS39" i="45"/>
  <c r="AT39" i="45"/>
  <c r="AU39" i="45"/>
  <c r="AV39" i="45"/>
  <c r="AW39" i="45"/>
  <c r="AX39" i="45"/>
  <c r="AY39" i="45"/>
  <c r="AZ39" i="45"/>
  <c r="BA39" i="45"/>
  <c r="BB39" i="45"/>
  <c r="BC39" i="45"/>
  <c r="BD39" i="45"/>
  <c r="BE39" i="45"/>
  <c r="BF39" i="45"/>
  <c r="BG39" i="45"/>
  <c r="BH39" i="45"/>
  <c r="BI39" i="45"/>
  <c r="BJ39" i="45"/>
  <c r="BK39" i="45"/>
  <c r="BL39" i="45"/>
  <c r="BM39" i="45"/>
  <c r="BN39" i="45"/>
  <c r="BO39" i="45"/>
  <c r="BP39" i="45"/>
  <c r="BQ39" i="45"/>
  <c r="BR39" i="45"/>
  <c r="BS39" i="45"/>
  <c r="BT39" i="45"/>
  <c r="BU39" i="45"/>
  <c r="BV39" i="45"/>
  <c r="BW39" i="45"/>
  <c r="BX39" i="45"/>
  <c r="BY39" i="45"/>
  <c r="BZ39" i="45"/>
  <c r="CA39" i="45"/>
  <c r="CB39" i="45"/>
  <c r="CC39" i="45"/>
  <c r="CD39" i="45"/>
  <c r="CE39" i="45"/>
  <c r="CF39" i="45"/>
  <c r="CG39" i="45"/>
  <c r="CH39" i="45"/>
  <c r="CI39" i="45"/>
  <c r="CJ39" i="45"/>
  <c r="CK39" i="45"/>
  <c r="CL39" i="45"/>
  <c r="CM39" i="45"/>
  <c r="CN39" i="45"/>
  <c r="CO39" i="45"/>
  <c r="CP39" i="45"/>
  <c r="CQ39" i="45"/>
  <c r="CR39" i="45"/>
  <c r="CS39" i="45"/>
  <c r="CT39" i="45"/>
  <c r="CU39" i="45"/>
  <c r="CV39" i="45"/>
  <c r="CW39" i="45"/>
  <c r="CX39" i="45"/>
  <c r="CY39" i="45"/>
  <c r="CZ39" i="45"/>
  <c r="DA39" i="45"/>
  <c r="DB39" i="45"/>
  <c r="DC39" i="45"/>
  <c r="DD39" i="45"/>
  <c r="DE39" i="45"/>
  <c r="DF39" i="45"/>
  <c r="DG39" i="45"/>
  <c r="DH39" i="45"/>
  <c r="DI39" i="45"/>
  <c r="DJ39" i="45"/>
  <c r="DK39" i="45"/>
  <c r="DL39" i="45"/>
  <c r="DM39" i="45"/>
  <c r="DN39" i="45"/>
  <c r="DO39" i="45"/>
  <c r="DP39" i="45"/>
  <c r="DQ39" i="45"/>
  <c r="DR39" i="45"/>
  <c r="DS39" i="45"/>
  <c r="DT39" i="45"/>
  <c r="DU39" i="45"/>
  <c r="DV39" i="45"/>
  <c r="DW39" i="45"/>
  <c r="DX39" i="45"/>
  <c r="DY39" i="45"/>
  <c r="DZ39" i="45"/>
  <c r="EA39" i="45"/>
  <c r="EB39" i="45"/>
  <c r="EC39" i="45"/>
  <c r="ED39" i="45"/>
  <c r="EE39" i="45"/>
  <c r="EF39" i="45"/>
  <c r="EG39" i="45"/>
  <c r="EH39" i="45"/>
  <c r="EI39" i="45"/>
  <c r="EJ39" i="45"/>
  <c r="EK39" i="45"/>
  <c r="EL39" i="45"/>
  <c r="EM39" i="45"/>
  <c r="EN39" i="45"/>
  <c r="EO39" i="45"/>
  <c r="EP39" i="45"/>
  <c r="EQ39" i="45"/>
  <c r="ER39" i="45"/>
  <c r="ES39" i="45"/>
  <c r="ET39" i="45"/>
  <c r="EU39" i="45"/>
  <c r="EV39" i="45"/>
  <c r="EW39" i="45"/>
  <c r="EX39" i="45"/>
  <c r="EY39" i="45"/>
  <c r="EZ39" i="45"/>
  <c r="FA39" i="45"/>
  <c r="FB39" i="45"/>
  <c r="FC39" i="45"/>
  <c r="FD39" i="45"/>
  <c r="FE39" i="45"/>
  <c r="FF39" i="45"/>
  <c r="FG39" i="45"/>
  <c r="FH39" i="45"/>
  <c r="FI39" i="45"/>
  <c r="FJ39" i="45"/>
  <c r="FK39" i="45"/>
  <c r="FL39" i="45"/>
  <c r="FM39" i="45"/>
  <c r="FN39" i="45"/>
  <c r="FO39" i="45"/>
  <c r="FP39" i="45"/>
  <c r="FQ39" i="45"/>
  <c r="FR39" i="45"/>
  <c r="FS39" i="45"/>
  <c r="FT39" i="45"/>
  <c r="FU39" i="45"/>
  <c r="FV39" i="45"/>
  <c r="FW39" i="45"/>
  <c r="FX39" i="45"/>
  <c r="FY39" i="45"/>
  <c r="FZ39" i="45"/>
  <c r="GA39" i="45"/>
  <c r="GB39" i="45"/>
  <c r="GC39" i="45"/>
  <c r="GD39" i="45"/>
  <c r="GE39" i="45"/>
  <c r="GF39" i="45"/>
  <c r="GG39" i="45"/>
  <c r="GH39" i="45"/>
  <c r="GI39" i="45"/>
  <c r="GJ39" i="45"/>
  <c r="GK39" i="45"/>
  <c r="GL39" i="45"/>
  <c r="GM39" i="45"/>
  <c r="GN39" i="45"/>
  <c r="GO39" i="45"/>
  <c r="GP39" i="45"/>
  <c r="GQ39" i="45"/>
  <c r="GR39" i="45"/>
  <c r="GS39" i="45"/>
  <c r="GT39" i="45"/>
  <c r="GU39" i="45"/>
  <c r="GV39" i="45"/>
  <c r="GW39" i="45"/>
  <c r="GX39" i="45"/>
  <c r="GY39" i="45"/>
  <c r="GZ39" i="45"/>
  <c r="HA39" i="45"/>
  <c r="HB39" i="45"/>
  <c r="HC39" i="45"/>
  <c r="HD39" i="45"/>
  <c r="HE39" i="45"/>
  <c r="HF39" i="45"/>
  <c r="HG39" i="45"/>
  <c r="HH39" i="45"/>
  <c r="HI39" i="45"/>
  <c r="HJ39" i="45"/>
  <c r="HK39" i="45"/>
  <c r="HL39" i="45"/>
  <c r="HM39" i="45"/>
  <c r="HN39" i="45"/>
  <c r="HO39" i="45"/>
  <c r="HP39" i="45"/>
  <c r="HQ39" i="45"/>
  <c r="HR39" i="45"/>
  <c r="HS39" i="45"/>
  <c r="HT39" i="45"/>
  <c r="HU39" i="45"/>
  <c r="HV39" i="45"/>
  <c r="HW39" i="45"/>
  <c r="HX39" i="45"/>
  <c r="HY39" i="45"/>
  <c r="HZ39" i="45"/>
  <c r="IA39" i="45"/>
  <c r="IB39" i="45"/>
  <c r="IC39" i="45"/>
  <c r="ID39" i="45"/>
  <c r="IE39" i="45"/>
  <c r="IF39" i="45"/>
  <c r="IG39" i="45"/>
  <c r="IH39" i="45"/>
  <c r="II39" i="45"/>
  <c r="IJ39" i="45"/>
  <c r="IK39" i="45"/>
  <c r="IL39" i="45"/>
  <c r="IM39" i="45"/>
  <c r="IN39" i="45"/>
  <c r="IO39" i="45"/>
  <c r="IP39" i="45"/>
  <c r="IQ39" i="45"/>
  <c r="IR39" i="45"/>
  <c r="IS39" i="45"/>
  <c r="IT39" i="45"/>
  <c r="IU39" i="45"/>
  <c r="IV39" i="45"/>
  <c r="A38" i="45"/>
  <c r="B38" i="45"/>
  <c r="C38" i="45"/>
  <c r="D38" i="45"/>
  <c r="E38" i="45"/>
  <c r="F38" i="45"/>
  <c r="G38" i="45"/>
  <c r="H38" i="45"/>
  <c r="I38" i="45"/>
  <c r="J38" i="45"/>
  <c r="K38" i="45"/>
  <c r="L38" i="45"/>
  <c r="M38" i="45"/>
  <c r="N38" i="45"/>
  <c r="O38" i="45"/>
  <c r="P38" i="45"/>
  <c r="Q38" i="45"/>
  <c r="R38" i="45"/>
  <c r="S38" i="45"/>
  <c r="T38" i="45"/>
  <c r="U38" i="45"/>
  <c r="V38" i="45"/>
  <c r="W38" i="45"/>
  <c r="X38" i="45"/>
  <c r="Y38" i="45"/>
  <c r="Z38" i="45"/>
  <c r="AA38" i="45"/>
  <c r="AB38" i="45"/>
  <c r="AC38" i="45"/>
  <c r="AD38" i="45"/>
  <c r="AE38" i="45"/>
  <c r="AF38" i="45"/>
  <c r="AG38" i="45"/>
  <c r="AH38" i="45"/>
  <c r="AI38" i="45"/>
  <c r="AJ38" i="45"/>
  <c r="AK38" i="45"/>
  <c r="AL38" i="45"/>
  <c r="AM38" i="45"/>
  <c r="AN38" i="45"/>
  <c r="AO38" i="45"/>
  <c r="AP38" i="45"/>
  <c r="AQ38" i="45"/>
  <c r="AR38" i="45"/>
  <c r="AS38" i="45"/>
  <c r="AT38" i="45"/>
  <c r="AU38" i="45"/>
  <c r="AV38" i="45"/>
  <c r="AW38" i="45"/>
  <c r="AX38" i="45"/>
  <c r="AY38" i="45"/>
  <c r="AZ38" i="45"/>
  <c r="BA38" i="45"/>
  <c r="BB38" i="45"/>
  <c r="BC38" i="45"/>
  <c r="BD38" i="45"/>
  <c r="BE38" i="45"/>
  <c r="BF38" i="45"/>
  <c r="BG38" i="45"/>
  <c r="BH38" i="45"/>
  <c r="BI38" i="45"/>
  <c r="BJ38" i="45"/>
  <c r="BK38" i="45"/>
  <c r="BL38" i="45"/>
  <c r="BM38" i="45"/>
  <c r="BN38" i="45"/>
  <c r="BO38" i="45"/>
  <c r="BP38" i="45"/>
  <c r="BQ38" i="45"/>
  <c r="BR38" i="45"/>
  <c r="BS38" i="45"/>
  <c r="BT38" i="45"/>
  <c r="BU38" i="45"/>
  <c r="BV38" i="45"/>
  <c r="BW38" i="45"/>
  <c r="BX38" i="45"/>
  <c r="BY38" i="45"/>
  <c r="BZ38" i="45"/>
  <c r="CA38" i="45"/>
  <c r="CB38" i="45"/>
  <c r="CC38" i="45"/>
  <c r="CD38" i="45"/>
  <c r="CE38" i="45"/>
  <c r="CF38" i="45"/>
  <c r="CG38" i="45"/>
  <c r="CH38" i="45"/>
  <c r="CI38" i="45"/>
  <c r="CJ38" i="45"/>
  <c r="CK38" i="45"/>
  <c r="CL38" i="45"/>
  <c r="CM38" i="45"/>
  <c r="CN38" i="45"/>
  <c r="CO38" i="45"/>
  <c r="CP38" i="45"/>
  <c r="CQ38" i="45"/>
  <c r="CR38" i="45"/>
  <c r="CS38" i="45"/>
  <c r="CT38" i="45"/>
  <c r="CU38" i="45"/>
  <c r="CV38" i="45"/>
  <c r="CW38" i="45"/>
  <c r="CX38" i="45"/>
  <c r="CY38" i="45"/>
  <c r="CZ38" i="45"/>
  <c r="DA38" i="45"/>
  <c r="DB38" i="45"/>
  <c r="DC38" i="45"/>
  <c r="DD38" i="45"/>
  <c r="DE38" i="45"/>
  <c r="DF38" i="45"/>
  <c r="DG38" i="45"/>
  <c r="DH38" i="45"/>
  <c r="DI38" i="45"/>
  <c r="DJ38" i="45"/>
  <c r="DK38" i="45"/>
  <c r="DL38" i="45"/>
  <c r="DM38" i="45"/>
  <c r="DN38" i="45"/>
  <c r="DO38" i="45"/>
  <c r="DP38" i="45"/>
  <c r="DQ38" i="45"/>
  <c r="DR38" i="45"/>
  <c r="DS38" i="45"/>
  <c r="DT38" i="45"/>
  <c r="DU38" i="45"/>
  <c r="DV38" i="45"/>
  <c r="DW38" i="45"/>
  <c r="DX38" i="45"/>
  <c r="DY38" i="45"/>
  <c r="DZ38" i="45"/>
  <c r="EA38" i="45"/>
  <c r="EB38" i="45"/>
  <c r="EC38" i="45"/>
  <c r="ED38" i="45"/>
  <c r="EE38" i="45"/>
  <c r="EF38" i="45"/>
  <c r="EG38" i="45"/>
  <c r="EH38" i="45"/>
  <c r="EI38" i="45"/>
  <c r="EJ38" i="45"/>
  <c r="EK38" i="45"/>
  <c r="EL38" i="45"/>
  <c r="EM38" i="45"/>
  <c r="EN38" i="45"/>
  <c r="EO38" i="45"/>
  <c r="EP38" i="45"/>
  <c r="EQ38" i="45"/>
  <c r="ER38" i="45"/>
  <c r="ES38" i="45"/>
  <c r="ET38" i="45"/>
  <c r="EU38" i="45"/>
  <c r="EV38" i="45"/>
  <c r="EW38" i="45"/>
  <c r="EX38" i="45"/>
  <c r="EY38" i="45"/>
  <c r="EZ38" i="45"/>
  <c r="FA38" i="45"/>
  <c r="FB38" i="45"/>
  <c r="FC38" i="45"/>
  <c r="FD38" i="45"/>
  <c r="FE38" i="45"/>
  <c r="FF38" i="45"/>
  <c r="FG38" i="45"/>
  <c r="FH38" i="45"/>
  <c r="FI38" i="45"/>
  <c r="FJ38" i="45"/>
  <c r="FK38" i="45"/>
  <c r="FL38" i="45"/>
  <c r="FM38" i="45"/>
  <c r="FN38" i="45"/>
  <c r="FO38" i="45"/>
  <c r="FP38" i="45"/>
  <c r="FQ38" i="45"/>
  <c r="FR38" i="45"/>
  <c r="FS38" i="45"/>
  <c r="FT38" i="45"/>
  <c r="FU38" i="45"/>
  <c r="FV38" i="45"/>
  <c r="FW38" i="45"/>
  <c r="FX38" i="45"/>
  <c r="FY38" i="45"/>
  <c r="FZ38" i="45"/>
  <c r="GA38" i="45"/>
  <c r="GB38" i="45"/>
  <c r="GC38" i="45"/>
  <c r="GD38" i="45"/>
  <c r="GE38" i="45"/>
  <c r="GF38" i="45"/>
  <c r="GG38" i="45"/>
  <c r="GH38" i="45"/>
  <c r="GI38" i="45"/>
  <c r="GJ38" i="45"/>
  <c r="GK38" i="45"/>
  <c r="GL38" i="45"/>
  <c r="GM38" i="45"/>
  <c r="GN38" i="45"/>
  <c r="GO38" i="45"/>
  <c r="GP38" i="45"/>
  <c r="GQ38" i="45"/>
  <c r="GR38" i="45"/>
  <c r="GS38" i="45"/>
  <c r="GT38" i="45"/>
  <c r="GU38" i="45"/>
  <c r="GV38" i="45"/>
  <c r="GW38" i="45"/>
  <c r="GX38" i="45"/>
  <c r="GY38" i="45"/>
  <c r="GZ38" i="45"/>
  <c r="HA38" i="45"/>
  <c r="HB38" i="45"/>
  <c r="HC38" i="45"/>
  <c r="HD38" i="45"/>
  <c r="HE38" i="45"/>
  <c r="HF38" i="45"/>
  <c r="HG38" i="45"/>
  <c r="HH38" i="45"/>
  <c r="HI38" i="45"/>
  <c r="HJ38" i="45"/>
  <c r="HK38" i="45"/>
  <c r="HL38" i="45"/>
  <c r="HM38" i="45"/>
  <c r="HN38" i="45"/>
  <c r="HO38" i="45"/>
  <c r="HP38" i="45"/>
  <c r="HQ38" i="45"/>
  <c r="HR38" i="45"/>
  <c r="HS38" i="45"/>
  <c r="HT38" i="45"/>
  <c r="HU38" i="45"/>
  <c r="HV38" i="45"/>
  <c r="HW38" i="45"/>
  <c r="HX38" i="45"/>
  <c r="HY38" i="45"/>
  <c r="HZ38" i="45"/>
  <c r="IA38" i="45"/>
  <c r="IB38" i="45"/>
  <c r="IC38" i="45"/>
  <c r="ID38" i="45"/>
  <c r="IE38" i="45"/>
  <c r="IF38" i="45"/>
  <c r="IG38" i="45"/>
  <c r="IH38" i="45"/>
  <c r="II38" i="45"/>
  <c r="IJ38" i="45"/>
  <c r="IK38" i="45"/>
  <c r="IL38" i="45"/>
  <c r="IM38" i="45"/>
  <c r="IN38" i="45"/>
  <c r="IO38" i="45"/>
  <c r="IP38" i="45"/>
  <c r="IQ38" i="45"/>
  <c r="IR38" i="45"/>
  <c r="IS38" i="45"/>
  <c r="IT38" i="45"/>
  <c r="IU38" i="45"/>
  <c r="IV38" i="45"/>
  <c r="A37" i="45"/>
  <c r="B37" i="45"/>
  <c r="C37" i="45"/>
  <c r="D37" i="45"/>
  <c r="E37" i="45"/>
  <c r="F37" i="45"/>
  <c r="G37" i="45"/>
  <c r="H37" i="45"/>
  <c r="I37" i="45"/>
  <c r="J37" i="45"/>
  <c r="K37" i="45"/>
  <c r="L37" i="45"/>
  <c r="M37" i="45"/>
  <c r="N37" i="45"/>
  <c r="O37" i="45"/>
  <c r="P37" i="45"/>
  <c r="Q37" i="45"/>
  <c r="R37" i="45"/>
  <c r="S37" i="45"/>
  <c r="T37" i="45"/>
  <c r="U37" i="45"/>
  <c r="V37" i="45"/>
  <c r="W37" i="45"/>
  <c r="X37" i="45"/>
  <c r="Y37" i="45"/>
  <c r="Z37" i="45"/>
  <c r="AA37" i="45"/>
  <c r="AB37" i="45"/>
  <c r="AC37" i="45"/>
  <c r="AD37" i="45"/>
  <c r="AE37" i="45"/>
  <c r="AF37" i="45"/>
  <c r="AG37" i="45"/>
  <c r="AH37" i="45"/>
  <c r="AI37" i="45"/>
  <c r="AJ37" i="45"/>
  <c r="AK37" i="45"/>
  <c r="AL37" i="45"/>
  <c r="AM37" i="45"/>
  <c r="AN37" i="45"/>
  <c r="AO37" i="45"/>
  <c r="AP37" i="45"/>
  <c r="AQ37" i="45"/>
  <c r="AR37" i="45"/>
  <c r="AS37" i="45"/>
  <c r="AT37" i="45"/>
  <c r="AU37" i="45"/>
  <c r="AV37" i="45"/>
  <c r="AW37" i="45"/>
  <c r="AX37" i="45"/>
  <c r="AY37" i="45"/>
  <c r="AZ37" i="45"/>
  <c r="BA37" i="45"/>
  <c r="BB37" i="45"/>
  <c r="BC37" i="45"/>
  <c r="BD37" i="45"/>
  <c r="BE37" i="45"/>
  <c r="BF37" i="45"/>
  <c r="BG37" i="45"/>
  <c r="BH37" i="45"/>
  <c r="BI37" i="45"/>
  <c r="BJ37" i="45"/>
  <c r="BK37" i="45"/>
  <c r="BL37" i="45"/>
  <c r="BM37" i="45"/>
  <c r="BN37" i="45"/>
  <c r="BO37" i="45"/>
  <c r="BP37" i="45"/>
  <c r="BQ37" i="45"/>
  <c r="BR37" i="45"/>
  <c r="BS37" i="45"/>
  <c r="BT37" i="45"/>
  <c r="BU37" i="45"/>
  <c r="BV37" i="45"/>
  <c r="BW37" i="45"/>
  <c r="BX37" i="45"/>
  <c r="BY37" i="45"/>
  <c r="BZ37" i="45"/>
  <c r="CA37" i="45"/>
  <c r="CB37" i="45"/>
  <c r="CC37" i="45"/>
  <c r="CD37" i="45"/>
  <c r="CE37" i="45"/>
  <c r="CF37" i="45"/>
  <c r="CG37" i="45"/>
  <c r="CH37" i="45"/>
  <c r="CI37" i="45"/>
  <c r="CJ37" i="45"/>
  <c r="CK37" i="45"/>
  <c r="CL37" i="45"/>
  <c r="CM37" i="45"/>
  <c r="CN37" i="45"/>
  <c r="CO37" i="45"/>
  <c r="CP37" i="45"/>
  <c r="CQ37" i="45"/>
  <c r="CR37" i="45"/>
  <c r="CS37" i="45"/>
  <c r="CT37" i="45"/>
  <c r="CU37" i="45"/>
  <c r="CV37" i="45"/>
  <c r="CW37" i="45"/>
  <c r="CX37" i="45"/>
  <c r="CY37" i="45"/>
  <c r="CZ37" i="45"/>
  <c r="DA37" i="45"/>
  <c r="DB37" i="45"/>
  <c r="DC37" i="45"/>
  <c r="DD37" i="45"/>
  <c r="DE37" i="45"/>
  <c r="DF37" i="45"/>
  <c r="DG37" i="45"/>
  <c r="DH37" i="45"/>
  <c r="DI37" i="45"/>
  <c r="DJ37" i="45"/>
  <c r="DK37" i="45"/>
  <c r="DL37" i="45"/>
  <c r="DM37" i="45"/>
  <c r="DN37" i="45"/>
  <c r="DO37" i="45"/>
  <c r="DP37" i="45"/>
  <c r="DQ37" i="45"/>
  <c r="DR37" i="45"/>
  <c r="DS37" i="45"/>
  <c r="DT37" i="45"/>
  <c r="DU37" i="45"/>
  <c r="DV37" i="45"/>
  <c r="DW37" i="45"/>
  <c r="DX37" i="45"/>
  <c r="DY37" i="45"/>
  <c r="DZ37" i="45"/>
  <c r="EA37" i="45"/>
  <c r="EB37" i="45"/>
  <c r="EC37" i="45"/>
  <c r="ED37" i="45"/>
  <c r="EE37" i="45"/>
  <c r="EF37" i="45"/>
  <c r="EG37" i="45"/>
  <c r="EH37" i="45"/>
  <c r="EI37" i="45"/>
  <c r="EJ37" i="45"/>
  <c r="EK37" i="45"/>
  <c r="EL37" i="45"/>
  <c r="EM37" i="45"/>
  <c r="EN37" i="45"/>
  <c r="EO37" i="45"/>
  <c r="EP37" i="45"/>
  <c r="EQ37" i="45"/>
  <c r="ER37" i="45"/>
  <c r="ES37" i="45"/>
  <c r="ET37" i="45"/>
  <c r="EU37" i="45"/>
  <c r="EV37" i="45"/>
  <c r="EW37" i="45"/>
  <c r="EX37" i="45"/>
  <c r="EY37" i="45"/>
  <c r="EZ37" i="45"/>
  <c r="FA37" i="45"/>
  <c r="FB37" i="45"/>
  <c r="FC37" i="45"/>
  <c r="FD37" i="45"/>
  <c r="FE37" i="45"/>
  <c r="FF37" i="45"/>
  <c r="FG37" i="45"/>
  <c r="FH37" i="45"/>
  <c r="FI37" i="45"/>
  <c r="FJ37" i="45"/>
  <c r="FK37" i="45"/>
  <c r="FL37" i="45"/>
  <c r="FM37" i="45"/>
  <c r="FN37" i="45"/>
  <c r="FO37" i="45"/>
  <c r="FP37" i="45"/>
  <c r="FQ37" i="45"/>
  <c r="FR37" i="45"/>
  <c r="FS37" i="45"/>
  <c r="FT37" i="45"/>
  <c r="FU37" i="45"/>
  <c r="FV37" i="45"/>
  <c r="FW37" i="45"/>
  <c r="FX37" i="45"/>
  <c r="FY37" i="45"/>
  <c r="FZ37" i="45"/>
  <c r="GA37" i="45"/>
  <c r="GB37" i="45"/>
  <c r="GC37" i="45"/>
  <c r="GD37" i="45"/>
  <c r="GE37" i="45"/>
  <c r="GF37" i="45"/>
  <c r="GG37" i="45"/>
  <c r="GH37" i="45"/>
  <c r="GI37" i="45"/>
  <c r="GJ37" i="45"/>
  <c r="GK37" i="45"/>
  <c r="GL37" i="45"/>
  <c r="GM37" i="45"/>
  <c r="GN37" i="45"/>
  <c r="GO37" i="45"/>
  <c r="GP37" i="45"/>
  <c r="GQ37" i="45"/>
  <c r="GR37" i="45"/>
  <c r="GS37" i="45"/>
  <c r="GT37" i="45"/>
  <c r="GU37" i="45"/>
  <c r="GV37" i="45"/>
  <c r="GW37" i="45"/>
  <c r="GX37" i="45"/>
  <c r="GY37" i="45"/>
  <c r="GZ37" i="45"/>
  <c r="HA37" i="45"/>
  <c r="HB37" i="45"/>
  <c r="HC37" i="45"/>
  <c r="HD37" i="45"/>
  <c r="HE37" i="45"/>
  <c r="HF37" i="45"/>
  <c r="HG37" i="45"/>
  <c r="HH37" i="45"/>
  <c r="HI37" i="45"/>
  <c r="HJ37" i="45"/>
  <c r="HK37" i="45"/>
  <c r="HL37" i="45"/>
  <c r="HM37" i="45"/>
  <c r="HN37" i="45"/>
  <c r="HO37" i="45"/>
  <c r="HP37" i="45"/>
  <c r="HQ37" i="45"/>
  <c r="HR37" i="45"/>
  <c r="HS37" i="45"/>
  <c r="HT37" i="45"/>
  <c r="HU37" i="45"/>
  <c r="HV37" i="45"/>
  <c r="HW37" i="45"/>
  <c r="HX37" i="45"/>
  <c r="HY37" i="45"/>
  <c r="HZ37" i="45"/>
  <c r="IA37" i="45"/>
  <c r="IB37" i="45"/>
  <c r="IC37" i="45"/>
  <c r="ID37" i="45"/>
  <c r="IE37" i="45"/>
  <c r="IF37" i="45"/>
  <c r="IG37" i="45"/>
  <c r="IH37" i="45"/>
  <c r="II37" i="45"/>
  <c r="IJ37" i="45"/>
  <c r="IK37" i="45"/>
  <c r="IL37" i="45"/>
  <c r="IM37" i="45"/>
  <c r="IN37" i="45"/>
  <c r="IO37" i="45"/>
  <c r="IP37" i="45"/>
  <c r="IQ37" i="45"/>
  <c r="IR37" i="45"/>
  <c r="IS37" i="45"/>
  <c r="IT37" i="45"/>
  <c r="IU37" i="45"/>
  <c r="IV37" i="45"/>
  <c r="A36" i="45"/>
  <c r="B36" i="45"/>
  <c r="C36" i="45"/>
  <c r="D36" i="45"/>
  <c r="E36" i="45"/>
  <c r="F36" i="45"/>
  <c r="G36" i="45"/>
  <c r="H36" i="45"/>
  <c r="I36" i="45"/>
  <c r="J36" i="45"/>
  <c r="K36" i="45"/>
  <c r="L36" i="45"/>
  <c r="M36" i="45"/>
  <c r="N36" i="45"/>
  <c r="O36" i="45"/>
  <c r="P36" i="45"/>
  <c r="Q36" i="45"/>
  <c r="R36" i="45"/>
  <c r="S36" i="45"/>
  <c r="T36" i="45"/>
  <c r="U36" i="45"/>
  <c r="V36" i="45"/>
  <c r="W36" i="45"/>
  <c r="X36" i="45"/>
  <c r="Y36" i="45"/>
  <c r="Z36" i="45"/>
  <c r="AA36" i="45"/>
  <c r="AB36" i="45"/>
  <c r="AC36" i="45"/>
  <c r="AD36" i="45"/>
  <c r="AE36" i="45"/>
  <c r="AF36" i="45"/>
  <c r="AG36" i="45"/>
  <c r="AH36" i="45"/>
  <c r="AI36" i="45"/>
  <c r="AJ36" i="45"/>
  <c r="AK36" i="45"/>
  <c r="AL36" i="45"/>
  <c r="AM36" i="45"/>
  <c r="AN36" i="45"/>
  <c r="AO36" i="45"/>
  <c r="AP36" i="45"/>
  <c r="AQ36" i="45"/>
  <c r="AR36" i="45"/>
  <c r="AS36" i="45"/>
  <c r="AT36" i="45"/>
  <c r="AU36" i="45"/>
  <c r="AV36" i="45"/>
  <c r="AW36" i="45"/>
  <c r="AX36" i="45"/>
  <c r="AY36" i="45"/>
  <c r="AZ36" i="45"/>
  <c r="BA36" i="45"/>
  <c r="BB36" i="45"/>
  <c r="BC36" i="45"/>
  <c r="BD36" i="45"/>
  <c r="BE36" i="45"/>
  <c r="BF36" i="45"/>
  <c r="BG36" i="45"/>
  <c r="BH36" i="45"/>
  <c r="BI36" i="45"/>
  <c r="BJ36" i="45"/>
  <c r="BK36" i="45"/>
  <c r="BL36" i="45"/>
  <c r="BM36" i="45"/>
  <c r="BN36" i="45"/>
  <c r="BO36" i="45"/>
  <c r="BP36" i="45"/>
  <c r="BQ36" i="45"/>
  <c r="BR36" i="45"/>
  <c r="BS36" i="45"/>
  <c r="BT36" i="45"/>
  <c r="BU36" i="45"/>
  <c r="BV36" i="45"/>
  <c r="BW36" i="45"/>
  <c r="BX36" i="45"/>
  <c r="BY36" i="45"/>
  <c r="BZ36" i="45"/>
  <c r="CA36" i="45"/>
  <c r="CB36" i="45"/>
  <c r="CC36" i="45"/>
  <c r="CD36" i="45"/>
  <c r="CE36" i="45"/>
  <c r="CF36" i="45"/>
  <c r="CG36" i="45"/>
  <c r="CH36" i="45"/>
  <c r="CI36" i="45"/>
  <c r="CJ36" i="45"/>
  <c r="CK36" i="45"/>
  <c r="CL36" i="45"/>
  <c r="CM36" i="45"/>
  <c r="CN36" i="45"/>
  <c r="CO36" i="45"/>
  <c r="CP36" i="45"/>
  <c r="CQ36" i="45"/>
  <c r="CR36" i="45"/>
  <c r="CS36" i="45"/>
  <c r="CT36" i="45"/>
  <c r="CU36" i="45"/>
  <c r="CV36" i="45"/>
  <c r="CW36" i="45"/>
  <c r="CX36" i="45"/>
  <c r="CY36" i="45"/>
  <c r="CZ36" i="45"/>
  <c r="DA36" i="45"/>
  <c r="DB36" i="45"/>
  <c r="DC36" i="45"/>
  <c r="DD36" i="45"/>
  <c r="DE36" i="45"/>
  <c r="DF36" i="45"/>
  <c r="DG36" i="45"/>
  <c r="DH36" i="45"/>
  <c r="DI36" i="45"/>
  <c r="DJ36" i="45"/>
  <c r="DK36" i="45"/>
  <c r="DL36" i="45"/>
  <c r="DM36" i="45"/>
  <c r="DN36" i="45"/>
  <c r="DO36" i="45"/>
  <c r="DP36" i="45"/>
  <c r="DQ36" i="45"/>
  <c r="DR36" i="45"/>
  <c r="DS36" i="45"/>
  <c r="DT36" i="45"/>
  <c r="DU36" i="45"/>
  <c r="DV36" i="45"/>
  <c r="DW36" i="45"/>
  <c r="DX36" i="45"/>
  <c r="DY36" i="45"/>
  <c r="DZ36" i="45"/>
  <c r="EA36" i="45"/>
  <c r="EB36" i="45"/>
  <c r="EC36" i="45"/>
  <c r="ED36" i="45"/>
  <c r="EE36" i="45"/>
  <c r="EF36" i="45"/>
  <c r="EG36" i="45"/>
  <c r="EH36" i="45"/>
  <c r="EI36" i="45"/>
  <c r="EJ36" i="45"/>
  <c r="EK36" i="45"/>
  <c r="EL36" i="45"/>
  <c r="EM36" i="45"/>
  <c r="EN36" i="45"/>
  <c r="EO36" i="45"/>
  <c r="EP36" i="45"/>
  <c r="EQ36" i="45"/>
  <c r="ER36" i="45"/>
  <c r="ES36" i="45"/>
  <c r="ET36" i="45"/>
  <c r="EU36" i="45"/>
  <c r="EV36" i="45"/>
  <c r="EW36" i="45"/>
  <c r="EX36" i="45"/>
  <c r="EY36" i="45"/>
  <c r="EZ36" i="45"/>
  <c r="FA36" i="45"/>
  <c r="FB36" i="45"/>
  <c r="FC36" i="45"/>
  <c r="FD36" i="45"/>
  <c r="FE36" i="45"/>
  <c r="FF36" i="45"/>
  <c r="FG36" i="45"/>
  <c r="FH36" i="45"/>
  <c r="FI36" i="45"/>
  <c r="FJ36" i="45"/>
  <c r="FK36" i="45"/>
  <c r="FL36" i="45"/>
  <c r="FM36" i="45"/>
  <c r="FN36" i="45"/>
  <c r="FO36" i="45"/>
  <c r="FP36" i="45"/>
  <c r="FQ36" i="45"/>
  <c r="FR36" i="45"/>
  <c r="FS36" i="45"/>
  <c r="FT36" i="45"/>
  <c r="FU36" i="45"/>
  <c r="FV36" i="45"/>
  <c r="FW36" i="45"/>
  <c r="FX36" i="45"/>
  <c r="FY36" i="45"/>
  <c r="FZ36" i="45"/>
  <c r="GA36" i="45"/>
  <c r="GB36" i="45"/>
  <c r="GC36" i="45"/>
  <c r="GD36" i="45"/>
  <c r="GE36" i="45"/>
  <c r="GF36" i="45"/>
  <c r="GG36" i="45"/>
  <c r="GH36" i="45"/>
  <c r="GI36" i="45"/>
  <c r="GJ36" i="45"/>
  <c r="GK36" i="45"/>
  <c r="GL36" i="45"/>
  <c r="GM36" i="45"/>
  <c r="GN36" i="45"/>
  <c r="GO36" i="45"/>
  <c r="GP36" i="45"/>
  <c r="GQ36" i="45"/>
  <c r="GR36" i="45"/>
  <c r="GS36" i="45"/>
  <c r="GT36" i="45"/>
  <c r="GU36" i="45"/>
  <c r="GV36" i="45"/>
  <c r="GW36" i="45"/>
  <c r="GX36" i="45"/>
  <c r="GY36" i="45"/>
  <c r="GZ36" i="45"/>
  <c r="HA36" i="45"/>
  <c r="HB36" i="45"/>
  <c r="HC36" i="45"/>
  <c r="HD36" i="45"/>
  <c r="HE36" i="45"/>
  <c r="HF36" i="45"/>
  <c r="HG36" i="45"/>
  <c r="HH36" i="45"/>
  <c r="HI36" i="45"/>
  <c r="HJ36" i="45"/>
  <c r="HK36" i="45"/>
  <c r="HL36" i="45"/>
  <c r="HM36" i="45"/>
  <c r="HN36" i="45"/>
  <c r="HO36" i="45"/>
  <c r="HP36" i="45"/>
  <c r="HQ36" i="45"/>
  <c r="HR36" i="45"/>
  <c r="HS36" i="45"/>
  <c r="HT36" i="45"/>
  <c r="HU36" i="45"/>
  <c r="HV36" i="45"/>
  <c r="HW36" i="45"/>
  <c r="HX36" i="45"/>
  <c r="HY36" i="45"/>
  <c r="HZ36" i="45"/>
  <c r="IA36" i="45"/>
  <c r="IB36" i="45"/>
  <c r="IC36" i="45"/>
  <c r="ID36" i="45"/>
  <c r="IE36" i="45"/>
  <c r="IF36" i="45"/>
  <c r="IG36" i="45"/>
  <c r="IH36" i="45"/>
  <c r="II36" i="45"/>
  <c r="IJ36" i="45"/>
  <c r="IK36" i="45"/>
  <c r="IL36" i="45"/>
  <c r="IM36" i="45"/>
  <c r="IN36" i="45"/>
  <c r="IO36" i="45"/>
  <c r="IP36" i="45"/>
  <c r="IQ36" i="45"/>
  <c r="IR36" i="45"/>
  <c r="IS36" i="45"/>
  <c r="IT36" i="45"/>
  <c r="IU36" i="45"/>
  <c r="IV36" i="45"/>
  <c r="A35" i="45"/>
  <c r="B35" i="45"/>
  <c r="C35" i="45"/>
  <c r="D35" i="45"/>
  <c r="E35" i="45"/>
  <c r="F35" i="45"/>
  <c r="G35" i="45"/>
  <c r="H35" i="45"/>
  <c r="I35" i="45"/>
  <c r="J35" i="45"/>
  <c r="K35" i="45"/>
  <c r="L35" i="45"/>
  <c r="M35" i="45"/>
  <c r="N35" i="45"/>
  <c r="O35" i="45"/>
  <c r="P35" i="45"/>
  <c r="Q35" i="45"/>
  <c r="R35" i="45"/>
  <c r="S35" i="45"/>
  <c r="T35" i="45"/>
  <c r="U35" i="45"/>
  <c r="V35" i="45"/>
  <c r="W35" i="45"/>
  <c r="X35" i="45"/>
  <c r="Y35" i="45"/>
  <c r="Z35" i="45"/>
  <c r="AA35" i="45"/>
  <c r="AB35" i="45"/>
  <c r="AC35" i="45"/>
  <c r="AD35" i="45"/>
  <c r="AE35" i="45"/>
  <c r="AF35" i="45"/>
  <c r="AG35" i="45"/>
  <c r="AH35" i="45"/>
  <c r="AI35" i="45"/>
  <c r="AJ35" i="45"/>
  <c r="AK35" i="45"/>
  <c r="AL35" i="45"/>
  <c r="AM35" i="45"/>
  <c r="AN35" i="45"/>
  <c r="AO35" i="45"/>
  <c r="AP35" i="45"/>
  <c r="AQ35" i="45"/>
  <c r="AR35" i="45"/>
  <c r="AS35" i="45"/>
  <c r="AT35" i="45"/>
  <c r="AU35" i="45"/>
  <c r="AV35" i="45"/>
  <c r="AW35" i="45"/>
  <c r="AX35" i="45"/>
  <c r="AY35" i="45"/>
  <c r="AZ35" i="45"/>
  <c r="BA35" i="45"/>
  <c r="BB35" i="45"/>
  <c r="BC35" i="45"/>
  <c r="BD35" i="45"/>
  <c r="BE35" i="45"/>
  <c r="BF35" i="45"/>
  <c r="BG35" i="45"/>
  <c r="BH35" i="45"/>
  <c r="BI35" i="45"/>
  <c r="BJ35" i="45"/>
  <c r="BK35" i="45"/>
  <c r="BL35" i="45"/>
  <c r="BM35" i="45"/>
  <c r="BN35" i="45"/>
  <c r="BO35" i="45"/>
  <c r="BP35" i="45"/>
  <c r="BQ35" i="45"/>
  <c r="BR35" i="45"/>
  <c r="BS35" i="45"/>
  <c r="BT35" i="45"/>
  <c r="BU35" i="45"/>
  <c r="BV35" i="45"/>
  <c r="BW35" i="45"/>
  <c r="BX35" i="45"/>
  <c r="BY35" i="45"/>
  <c r="BZ35" i="45"/>
  <c r="CA35" i="45"/>
  <c r="CB35" i="45"/>
  <c r="CC35" i="45"/>
  <c r="CD35" i="45"/>
  <c r="CE35" i="45"/>
  <c r="CF35" i="45"/>
  <c r="CG35" i="45"/>
  <c r="CH35" i="45"/>
  <c r="CI35" i="45"/>
  <c r="CJ35" i="45"/>
  <c r="CK35" i="45"/>
  <c r="CL35" i="45"/>
  <c r="CM35" i="45"/>
  <c r="CN35" i="45"/>
  <c r="CO35" i="45"/>
  <c r="CP35" i="45"/>
  <c r="CQ35" i="45"/>
  <c r="CR35" i="45"/>
  <c r="CS35" i="45"/>
  <c r="CT35" i="45"/>
  <c r="CU35" i="45"/>
  <c r="CV35" i="45"/>
  <c r="CW35" i="45"/>
  <c r="CX35" i="45"/>
  <c r="CY35" i="45"/>
  <c r="CZ35" i="45"/>
  <c r="DA35" i="45"/>
  <c r="DB35" i="45"/>
  <c r="DC35" i="45"/>
  <c r="DD35" i="45"/>
  <c r="DE35" i="45"/>
  <c r="DF35" i="45"/>
  <c r="DG35" i="45"/>
  <c r="DH35" i="45"/>
  <c r="DI35" i="45"/>
  <c r="DJ35" i="45"/>
  <c r="DK35" i="45"/>
  <c r="DL35" i="45"/>
  <c r="DM35" i="45"/>
  <c r="DN35" i="45"/>
  <c r="DO35" i="45"/>
  <c r="DP35" i="45"/>
  <c r="DQ35" i="45"/>
  <c r="DR35" i="45"/>
  <c r="DS35" i="45"/>
  <c r="DT35" i="45"/>
  <c r="DU35" i="45"/>
  <c r="DV35" i="45"/>
  <c r="DW35" i="45"/>
  <c r="DX35" i="45"/>
  <c r="DY35" i="45"/>
  <c r="DZ35" i="45"/>
  <c r="EA35" i="45"/>
  <c r="EB35" i="45"/>
  <c r="EC35" i="45"/>
  <c r="ED35" i="45"/>
  <c r="EE35" i="45"/>
  <c r="EF35" i="45"/>
  <c r="EG35" i="45"/>
  <c r="EH35" i="45"/>
  <c r="EI35" i="45"/>
  <c r="EJ35" i="45"/>
  <c r="EK35" i="45"/>
  <c r="EL35" i="45"/>
  <c r="EM35" i="45"/>
  <c r="EN35" i="45"/>
  <c r="EO35" i="45"/>
  <c r="EP35" i="45"/>
  <c r="EQ35" i="45"/>
  <c r="ER35" i="45"/>
  <c r="ES35" i="45"/>
  <c r="ET35" i="45"/>
  <c r="EU35" i="45"/>
  <c r="EV35" i="45"/>
  <c r="EW35" i="45"/>
  <c r="EX35" i="45"/>
  <c r="EY35" i="45"/>
  <c r="EZ35" i="45"/>
  <c r="FA35" i="45"/>
  <c r="FB35" i="45"/>
  <c r="FC35" i="45"/>
  <c r="FD35" i="45"/>
  <c r="FE35" i="45"/>
  <c r="FF35" i="45"/>
  <c r="FG35" i="45"/>
  <c r="FH35" i="45"/>
  <c r="FI35" i="45"/>
  <c r="FJ35" i="45"/>
  <c r="FK35" i="45"/>
  <c r="FL35" i="45"/>
  <c r="FM35" i="45"/>
  <c r="FN35" i="45"/>
  <c r="FO35" i="45"/>
  <c r="FP35" i="45"/>
  <c r="FQ35" i="45"/>
  <c r="FR35" i="45"/>
  <c r="FS35" i="45"/>
  <c r="FT35" i="45"/>
  <c r="FU35" i="45"/>
  <c r="FV35" i="45"/>
  <c r="FW35" i="45"/>
  <c r="FX35" i="45"/>
  <c r="FY35" i="45"/>
  <c r="FZ35" i="45"/>
  <c r="GA35" i="45"/>
  <c r="GB35" i="45"/>
  <c r="GC35" i="45"/>
  <c r="GD35" i="45"/>
  <c r="GE35" i="45"/>
  <c r="GF35" i="45"/>
  <c r="GG35" i="45"/>
  <c r="GH35" i="45"/>
  <c r="GI35" i="45"/>
  <c r="GJ35" i="45"/>
  <c r="GK35" i="45"/>
  <c r="GL35" i="45"/>
  <c r="GM35" i="45"/>
  <c r="GN35" i="45"/>
  <c r="GO35" i="45"/>
  <c r="GP35" i="45"/>
  <c r="GQ35" i="45"/>
  <c r="GR35" i="45"/>
  <c r="GS35" i="45"/>
  <c r="GT35" i="45"/>
  <c r="GU35" i="45"/>
  <c r="GV35" i="45"/>
  <c r="GW35" i="45"/>
  <c r="GX35" i="45"/>
  <c r="GY35" i="45"/>
  <c r="GZ35" i="45"/>
  <c r="HA35" i="45"/>
  <c r="HB35" i="45"/>
  <c r="HC35" i="45"/>
  <c r="HD35" i="45"/>
  <c r="HE35" i="45"/>
  <c r="HF35" i="45"/>
  <c r="HG35" i="45"/>
  <c r="HH35" i="45"/>
  <c r="HI35" i="45"/>
  <c r="HJ35" i="45"/>
  <c r="HK35" i="45"/>
  <c r="HL35" i="45"/>
  <c r="HM35" i="45"/>
  <c r="HN35" i="45"/>
  <c r="HO35" i="45"/>
  <c r="HP35" i="45"/>
  <c r="HQ35" i="45"/>
  <c r="HR35" i="45"/>
  <c r="HS35" i="45"/>
  <c r="HT35" i="45"/>
  <c r="HU35" i="45"/>
  <c r="HV35" i="45"/>
  <c r="HW35" i="45"/>
  <c r="HX35" i="45"/>
  <c r="HY35" i="45"/>
  <c r="HZ35" i="45"/>
  <c r="IA35" i="45"/>
  <c r="IB35" i="45"/>
  <c r="IC35" i="45"/>
  <c r="ID35" i="45"/>
  <c r="IE35" i="45"/>
  <c r="IF35" i="45"/>
  <c r="IG35" i="45"/>
  <c r="IH35" i="45"/>
  <c r="II35" i="45"/>
  <c r="IJ35" i="45"/>
  <c r="IK35" i="45"/>
  <c r="IL35" i="45"/>
  <c r="IM35" i="45"/>
  <c r="IN35" i="45"/>
  <c r="IO35" i="45"/>
  <c r="IP35" i="45"/>
  <c r="IQ35" i="45"/>
  <c r="IR35" i="45"/>
  <c r="IS35" i="45"/>
  <c r="IT35" i="45"/>
  <c r="IU35" i="45"/>
  <c r="IV35" i="45"/>
  <c r="A34" i="45"/>
  <c r="B34" i="45"/>
  <c r="C34" i="45"/>
  <c r="D34" i="45"/>
  <c r="E34" i="45"/>
  <c r="F34" i="45"/>
  <c r="G34" i="45"/>
  <c r="H34" i="45"/>
  <c r="I34" i="45"/>
  <c r="J34" i="45"/>
  <c r="K34" i="45"/>
  <c r="L34" i="45"/>
  <c r="M34" i="45"/>
  <c r="N34" i="45"/>
  <c r="O34" i="45"/>
  <c r="P34" i="45"/>
  <c r="Q34" i="45"/>
  <c r="R34" i="45"/>
  <c r="S34" i="45"/>
  <c r="T34" i="45"/>
  <c r="U34" i="45"/>
  <c r="V34" i="45"/>
  <c r="W34" i="45"/>
  <c r="X34" i="45"/>
  <c r="Y34" i="45"/>
  <c r="Z34" i="45"/>
  <c r="AA34" i="45"/>
  <c r="AB34" i="45"/>
  <c r="AC34" i="45"/>
  <c r="AD34" i="45"/>
  <c r="AE34" i="45"/>
  <c r="AF34" i="45"/>
  <c r="AG34" i="45"/>
  <c r="AH34" i="45"/>
  <c r="AI34" i="45"/>
  <c r="AJ34" i="45"/>
  <c r="AK34" i="45"/>
  <c r="AL34" i="45"/>
  <c r="AM34" i="45"/>
  <c r="AN34" i="45"/>
  <c r="AO34" i="45"/>
  <c r="AP34" i="45"/>
  <c r="AQ34" i="45"/>
  <c r="AR34" i="45"/>
  <c r="AS34" i="45"/>
  <c r="AT34" i="45"/>
  <c r="AU34" i="45"/>
  <c r="AV34" i="45"/>
  <c r="AW34" i="45"/>
  <c r="AX34" i="45"/>
  <c r="AY34" i="45"/>
  <c r="AZ34" i="45"/>
  <c r="BA34" i="45"/>
  <c r="BB34" i="45"/>
  <c r="BC34" i="45"/>
  <c r="BD34" i="45"/>
  <c r="BE34" i="45"/>
  <c r="BF34" i="45"/>
  <c r="BG34" i="45"/>
  <c r="BH34" i="45"/>
  <c r="BI34" i="45"/>
  <c r="BJ34" i="45"/>
  <c r="BK34" i="45"/>
  <c r="BL34" i="45"/>
  <c r="BM34" i="45"/>
  <c r="BN34" i="45"/>
  <c r="BO34" i="45"/>
  <c r="BP34" i="45"/>
  <c r="BQ34" i="45"/>
  <c r="BR34" i="45"/>
  <c r="BS34" i="45"/>
  <c r="BT34" i="45"/>
  <c r="BU34" i="45"/>
  <c r="BV34" i="45"/>
  <c r="BW34" i="45"/>
  <c r="BX34" i="45"/>
  <c r="BY34" i="45"/>
  <c r="BZ34" i="45"/>
  <c r="CA34" i="45"/>
  <c r="CB34" i="45"/>
  <c r="CC34" i="45"/>
  <c r="CD34" i="45"/>
  <c r="CE34" i="45"/>
  <c r="CF34" i="45"/>
  <c r="CG34" i="45"/>
  <c r="CH34" i="45"/>
  <c r="CI34" i="45"/>
  <c r="CJ34" i="45"/>
  <c r="CK34" i="45"/>
  <c r="CL34" i="45"/>
  <c r="CM34" i="45"/>
  <c r="CN34" i="45"/>
  <c r="CO34" i="45"/>
  <c r="CP34" i="45"/>
  <c r="CQ34" i="45"/>
  <c r="CR34" i="45"/>
  <c r="CS34" i="45"/>
  <c r="CT34" i="45"/>
  <c r="CU34" i="45"/>
  <c r="CV34" i="45"/>
  <c r="CW34" i="45"/>
  <c r="CX34" i="45"/>
  <c r="CY34" i="45"/>
  <c r="CZ34" i="45"/>
  <c r="DA34" i="45"/>
  <c r="DB34" i="45"/>
  <c r="DC34" i="45"/>
  <c r="DD34" i="45"/>
  <c r="DE34" i="45"/>
  <c r="DF34" i="45"/>
  <c r="DG34" i="45"/>
  <c r="DH34" i="45"/>
  <c r="DI34" i="45"/>
  <c r="DJ34" i="45"/>
  <c r="DK34" i="45"/>
  <c r="DL34" i="45"/>
  <c r="DM34" i="45"/>
  <c r="DN34" i="45"/>
  <c r="DO34" i="45"/>
  <c r="DP34" i="45"/>
  <c r="DQ34" i="45"/>
  <c r="DR34" i="45"/>
  <c r="DS34" i="45"/>
  <c r="DT34" i="45"/>
  <c r="DU34" i="45"/>
  <c r="DV34" i="45"/>
  <c r="DW34" i="45"/>
  <c r="DX34" i="45"/>
  <c r="DY34" i="45"/>
  <c r="DZ34" i="45"/>
  <c r="EA34" i="45"/>
  <c r="EB34" i="45"/>
  <c r="EC34" i="45"/>
  <c r="ED34" i="45"/>
  <c r="EE34" i="45"/>
  <c r="EF34" i="45"/>
  <c r="EG34" i="45"/>
  <c r="EH34" i="45"/>
  <c r="EI34" i="45"/>
  <c r="EJ34" i="45"/>
  <c r="EK34" i="45"/>
  <c r="EL34" i="45"/>
  <c r="EM34" i="45"/>
  <c r="EN34" i="45"/>
  <c r="EO34" i="45"/>
  <c r="EP34" i="45"/>
  <c r="EQ34" i="45"/>
  <c r="ER34" i="45"/>
  <c r="ES34" i="45"/>
  <c r="ET34" i="45"/>
  <c r="EU34" i="45"/>
  <c r="EV34" i="45"/>
  <c r="EW34" i="45"/>
  <c r="EX34" i="45"/>
  <c r="EY34" i="45"/>
  <c r="EZ34" i="45"/>
  <c r="FA34" i="45"/>
  <c r="FB34" i="45"/>
  <c r="FC34" i="45"/>
  <c r="FD34" i="45"/>
  <c r="FE34" i="45"/>
  <c r="FF34" i="45"/>
  <c r="FG34" i="45"/>
  <c r="FH34" i="45"/>
  <c r="FI34" i="45"/>
  <c r="FJ34" i="45"/>
  <c r="FK34" i="45"/>
  <c r="FL34" i="45"/>
  <c r="FM34" i="45"/>
  <c r="FN34" i="45"/>
  <c r="FO34" i="45"/>
  <c r="FP34" i="45"/>
  <c r="FQ34" i="45"/>
  <c r="FR34" i="45"/>
  <c r="FS34" i="45"/>
  <c r="FT34" i="45"/>
  <c r="FU34" i="45"/>
  <c r="FV34" i="45"/>
  <c r="FW34" i="45"/>
  <c r="FX34" i="45"/>
  <c r="FY34" i="45"/>
  <c r="FZ34" i="45"/>
  <c r="GA34" i="45"/>
  <c r="GB34" i="45"/>
  <c r="GC34" i="45"/>
  <c r="GD34" i="45"/>
  <c r="GE34" i="45"/>
  <c r="GF34" i="45"/>
  <c r="GG34" i="45"/>
  <c r="GH34" i="45"/>
  <c r="GI34" i="45"/>
  <c r="GJ34" i="45"/>
  <c r="GK34" i="45"/>
  <c r="GL34" i="45"/>
  <c r="GM34" i="45"/>
  <c r="GN34" i="45"/>
  <c r="GO34" i="45"/>
  <c r="GP34" i="45"/>
  <c r="GQ34" i="45"/>
  <c r="GR34" i="45"/>
  <c r="GS34" i="45"/>
  <c r="GT34" i="45"/>
  <c r="GU34" i="45"/>
  <c r="GV34" i="45"/>
  <c r="GW34" i="45"/>
  <c r="GX34" i="45"/>
  <c r="GY34" i="45"/>
  <c r="GZ34" i="45"/>
  <c r="HA34" i="45"/>
  <c r="HB34" i="45"/>
  <c r="HC34" i="45"/>
  <c r="HD34" i="45"/>
  <c r="HE34" i="45"/>
  <c r="HF34" i="45"/>
  <c r="HG34" i="45"/>
  <c r="HH34" i="45"/>
  <c r="HI34" i="45"/>
  <c r="HJ34" i="45"/>
  <c r="HK34" i="45"/>
  <c r="HL34" i="45"/>
  <c r="HM34" i="45"/>
  <c r="HN34" i="45"/>
  <c r="HO34" i="45"/>
  <c r="HP34" i="45"/>
  <c r="HQ34" i="45"/>
  <c r="HR34" i="45"/>
  <c r="HS34" i="45"/>
  <c r="HT34" i="45"/>
  <c r="HU34" i="45"/>
  <c r="HV34" i="45"/>
  <c r="HW34" i="45"/>
  <c r="HX34" i="45"/>
  <c r="HY34" i="45"/>
  <c r="HZ34" i="45"/>
  <c r="IA34" i="45"/>
  <c r="IB34" i="45"/>
  <c r="IC34" i="45"/>
  <c r="ID34" i="45"/>
  <c r="IE34" i="45"/>
  <c r="IF34" i="45"/>
  <c r="IG34" i="45"/>
  <c r="IH34" i="45"/>
  <c r="II34" i="45"/>
  <c r="IJ34" i="45"/>
  <c r="IK34" i="45"/>
  <c r="IL34" i="45"/>
  <c r="IM34" i="45"/>
  <c r="IN34" i="45"/>
  <c r="IO34" i="45"/>
  <c r="IP34" i="45"/>
  <c r="IQ34" i="45"/>
  <c r="IR34" i="45"/>
  <c r="IS34" i="45"/>
  <c r="IT34" i="45"/>
  <c r="IU34" i="45"/>
  <c r="IV34" i="45"/>
  <c r="A33" i="45"/>
  <c r="B33" i="45"/>
  <c r="C33" i="45"/>
  <c r="D33" i="45"/>
  <c r="E33" i="45"/>
  <c r="F33" i="45"/>
  <c r="G33" i="45"/>
  <c r="H33" i="45"/>
  <c r="I33" i="45"/>
  <c r="J33" i="45"/>
  <c r="K33" i="45"/>
  <c r="L33" i="45"/>
  <c r="M33" i="45"/>
  <c r="N33" i="45"/>
  <c r="O33" i="45"/>
  <c r="P33" i="45"/>
  <c r="Q33" i="45"/>
  <c r="R33" i="45"/>
  <c r="S33" i="45"/>
  <c r="T33" i="45"/>
  <c r="U33" i="45"/>
  <c r="V33" i="45"/>
  <c r="W33" i="45"/>
  <c r="X33" i="45"/>
  <c r="Y33" i="45"/>
  <c r="Z33" i="45"/>
  <c r="AA33" i="45"/>
  <c r="AB33" i="45"/>
  <c r="AC33" i="45"/>
  <c r="AD33" i="45"/>
  <c r="AE33" i="45"/>
  <c r="AF33" i="45"/>
  <c r="AG33" i="45"/>
  <c r="AH33" i="45"/>
  <c r="AI33" i="45"/>
  <c r="AJ33" i="45"/>
  <c r="AK33" i="45"/>
  <c r="AL33" i="45"/>
  <c r="AM33" i="45"/>
  <c r="AN33" i="45"/>
  <c r="AO33" i="45"/>
  <c r="AP33" i="45"/>
  <c r="AQ33" i="45"/>
  <c r="AR33" i="45"/>
  <c r="AS33" i="45"/>
  <c r="AT33" i="45"/>
  <c r="AU33" i="45"/>
  <c r="AV33" i="45"/>
  <c r="AW33" i="45"/>
  <c r="AX33" i="45"/>
  <c r="AY33" i="45"/>
  <c r="AZ33" i="45"/>
  <c r="BA33" i="45"/>
  <c r="BB33" i="45"/>
  <c r="BC33" i="45"/>
  <c r="BD33" i="45"/>
  <c r="BE33" i="45"/>
  <c r="BF33" i="45"/>
  <c r="BG33" i="45"/>
  <c r="BH33" i="45"/>
  <c r="BI33" i="45"/>
  <c r="BJ33" i="45"/>
  <c r="BK33" i="45"/>
  <c r="BL33" i="45"/>
  <c r="BM33" i="45"/>
  <c r="BN33" i="45"/>
  <c r="BO33" i="45"/>
  <c r="BP33" i="45"/>
  <c r="BQ33" i="45"/>
  <c r="BR33" i="45"/>
  <c r="BS33" i="45"/>
  <c r="BT33" i="45"/>
  <c r="BU33" i="45"/>
  <c r="BV33" i="45"/>
  <c r="BW33" i="45"/>
  <c r="BX33" i="45"/>
  <c r="BY33" i="45"/>
  <c r="BZ33" i="45"/>
  <c r="CA33" i="45"/>
  <c r="CB33" i="45"/>
  <c r="CC33" i="45"/>
  <c r="CD33" i="45"/>
  <c r="CE33" i="45"/>
  <c r="CF33" i="45"/>
  <c r="CG33" i="45"/>
  <c r="CH33" i="45"/>
  <c r="CI33" i="45"/>
  <c r="CJ33" i="45"/>
  <c r="CK33" i="45"/>
  <c r="CL33" i="45"/>
  <c r="CM33" i="45"/>
  <c r="CN33" i="45"/>
  <c r="CO33" i="45"/>
  <c r="CP33" i="45"/>
  <c r="CQ33" i="45"/>
  <c r="CR33" i="45"/>
  <c r="CS33" i="45"/>
  <c r="CT33" i="45"/>
  <c r="CU33" i="45"/>
  <c r="CV33" i="45"/>
  <c r="CW33" i="45"/>
  <c r="CX33" i="45"/>
  <c r="CY33" i="45"/>
  <c r="CZ33" i="45"/>
  <c r="DA33" i="45"/>
  <c r="DB33" i="45"/>
  <c r="DC33" i="45"/>
  <c r="DD33" i="45"/>
  <c r="DE33" i="45"/>
  <c r="DF33" i="45"/>
  <c r="DG33" i="45"/>
  <c r="DH33" i="45"/>
  <c r="DI33" i="45"/>
  <c r="DJ33" i="45"/>
  <c r="DK33" i="45"/>
  <c r="DL33" i="45"/>
  <c r="DM33" i="45"/>
  <c r="DN33" i="45"/>
  <c r="DO33" i="45"/>
  <c r="DP33" i="45"/>
  <c r="DQ33" i="45"/>
  <c r="DR33" i="45"/>
  <c r="DS33" i="45"/>
  <c r="DT33" i="45"/>
  <c r="DU33" i="45"/>
  <c r="DV33" i="45"/>
  <c r="DW33" i="45"/>
  <c r="DX33" i="45"/>
  <c r="DY33" i="45"/>
  <c r="DZ33" i="45"/>
  <c r="EA33" i="45"/>
  <c r="EB33" i="45"/>
  <c r="EC33" i="45"/>
  <c r="ED33" i="45"/>
  <c r="EE33" i="45"/>
  <c r="EF33" i="45"/>
  <c r="EG33" i="45"/>
  <c r="EH33" i="45"/>
  <c r="EI33" i="45"/>
  <c r="EJ33" i="45"/>
  <c r="EK33" i="45"/>
  <c r="EL33" i="45"/>
  <c r="EM33" i="45"/>
  <c r="EN33" i="45"/>
  <c r="EO33" i="45"/>
  <c r="EP33" i="45"/>
  <c r="EQ33" i="45"/>
  <c r="ER33" i="45"/>
  <c r="ES33" i="45"/>
  <c r="ET33" i="45"/>
  <c r="EU33" i="45"/>
  <c r="EV33" i="45"/>
  <c r="EW33" i="45"/>
  <c r="EX33" i="45"/>
  <c r="EY33" i="45"/>
  <c r="EZ33" i="45"/>
  <c r="FA33" i="45"/>
  <c r="FB33" i="45"/>
  <c r="FC33" i="45"/>
  <c r="FD33" i="45"/>
  <c r="FE33" i="45"/>
  <c r="FF33" i="45"/>
  <c r="FG33" i="45"/>
  <c r="FH33" i="45"/>
  <c r="FI33" i="45"/>
  <c r="FJ33" i="45"/>
  <c r="FK33" i="45"/>
  <c r="FL33" i="45"/>
  <c r="FM33" i="45"/>
  <c r="FN33" i="45"/>
  <c r="FO33" i="45"/>
  <c r="FP33" i="45"/>
  <c r="FQ33" i="45"/>
  <c r="FR33" i="45"/>
  <c r="FS33" i="45"/>
  <c r="FT33" i="45"/>
  <c r="FU33" i="45"/>
  <c r="FV33" i="45"/>
  <c r="FW33" i="45"/>
  <c r="FX33" i="45"/>
  <c r="FY33" i="45"/>
  <c r="FZ33" i="45"/>
  <c r="GA33" i="45"/>
  <c r="GB33" i="45"/>
  <c r="GC33" i="45"/>
  <c r="GD33" i="45"/>
  <c r="GE33" i="45"/>
  <c r="GF33" i="45"/>
  <c r="GG33" i="45"/>
  <c r="GH33" i="45"/>
  <c r="GI33" i="45"/>
  <c r="GJ33" i="45"/>
  <c r="GK33" i="45"/>
  <c r="GL33" i="45"/>
  <c r="GM33" i="45"/>
  <c r="GN33" i="45"/>
  <c r="GO33" i="45"/>
  <c r="GP33" i="45"/>
  <c r="GQ33" i="45"/>
  <c r="GR33" i="45"/>
  <c r="GS33" i="45"/>
  <c r="GT33" i="45"/>
  <c r="GU33" i="45"/>
  <c r="GV33" i="45"/>
  <c r="GW33" i="45"/>
  <c r="GX33" i="45"/>
  <c r="GY33" i="45"/>
  <c r="GZ33" i="45"/>
  <c r="HA33" i="45"/>
  <c r="HB33" i="45"/>
  <c r="HC33" i="45"/>
  <c r="HD33" i="45"/>
  <c r="HE33" i="45"/>
  <c r="HF33" i="45"/>
  <c r="HG33" i="45"/>
  <c r="HH33" i="45"/>
  <c r="HI33" i="45"/>
  <c r="HJ33" i="45"/>
  <c r="HK33" i="45"/>
  <c r="HL33" i="45"/>
  <c r="HM33" i="45"/>
  <c r="HN33" i="45"/>
  <c r="HO33" i="45"/>
  <c r="HP33" i="45"/>
  <c r="HQ33" i="45"/>
  <c r="HR33" i="45"/>
  <c r="HS33" i="45"/>
  <c r="HT33" i="45"/>
  <c r="HU33" i="45"/>
  <c r="HV33" i="45"/>
  <c r="HW33" i="45"/>
  <c r="HX33" i="45"/>
  <c r="HY33" i="45"/>
  <c r="HZ33" i="45"/>
  <c r="IA33" i="45"/>
  <c r="IB33" i="45"/>
  <c r="IC33" i="45"/>
  <c r="ID33" i="45"/>
  <c r="IE33" i="45"/>
  <c r="IF33" i="45"/>
  <c r="IG33" i="45"/>
  <c r="IH33" i="45"/>
  <c r="II33" i="45"/>
  <c r="IJ33" i="45"/>
  <c r="IK33" i="45"/>
  <c r="IL33" i="45"/>
  <c r="IM33" i="45"/>
  <c r="IN33" i="45"/>
  <c r="IO33" i="45"/>
  <c r="IP33" i="45"/>
  <c r="IQ33" i="45"/>
  <c r="IR33" i="45"/>
  <c r="IS33" i="45"/>
  <c r="IT33" i="45"/>
  <c r="IU33" i="45"/>
  <c r="IV33" i="45"/>
  <c r="A32" i="45"/>
  <c r="B32" i="45"/>
  <c r="C32" i="45"/>
  <c r="D32" i="45"/>
  <c r="E32" i="45"/>
  <c r="F32" i="45"/>
  <c r="G32" i="45"/>
  <c r="H32" i="45"/>
  <c r="I32" i="45"/>
  <c r="J32" i="45"/>
  <c r="K32" i="45"/>
  <c r="L32" i="45"/>
  <c r="M32" i="45"/>
  <c r="N32" i="45"/>
  <c r="O32" i="45"/>
  <c r="P32" i="45"/>
  <c r="Q32" i="45"/>
  <c r="R32" i="45"/>
  <c r="S32" i="45"/>
  <c r="T32" i="45"/>
  <c r="U32" i="45"/>
  <c r="V32" i="45"/>
  <c r="W32" i="45"/>
  <c r="X32" i="45"/>
  <c r="Y32" i="45"/>
  <c r="Z32" i="45"/>
  <c r="AA32" i="45"/>
  <c r="AB32" i="45"/>
  <c r="AC32" i="45"/>
  <c r="AD32" i="45"/>
  <c r="AE32" i="45"/>
  <c r="AF32" i="45"/>
  <c r="AG32" i="45"/>
  <c r="AH32" i="45"/>
  <c r="AI32" i="45"/>
  <c r="AJ32" i="45"/>
  <c r="AK32" i="45"/>
  <c r="AL32" i="45"/>
  <c r="AM32" i="45"/>
  <c r="AN32" i="45"/>
  <c r="AO32" i="45"/>
  <c r="AP32" i="45"/>
  <c r="AQ32" i="45"/>
  <c r="AR32" i="45"/>
  <c r="AS32" i="45"/>
  <c r="AT32" i="45"/>
  <c r="AU32" i="45"/>
  <c r="AV32" i="45"/>
  <c r="AW32" i="45"/>
  <c r="AX32" i="45"/>
  <c r="AY32" i="45"/>
  <c r="AZ32" i="45"/>
  <c r="BA32" i="45"/>
  <c r="BB32" i="45"/>
  <c r="BC32" i="45"/>
  <c r="BD32" i="45"/>
  <c r="BE32" i="45"/>
  <c r="BF32" i="45"/>
  <c r="BG32" i="45"/>
  <c r="BH32" i="45"/>
  <c r="BI32" i="45"/>
  <c r="BJ32" i="45"/>
  <c r="BK32" i="45"/>
  <c r="BL32" i="45"/>
  <c r="BM32" i="45"/>
  <c r="BN32" i="45"/>
  <c r="BO32" i="45"/>
  <c r="BP32" i="45"/>
  <c r="BQ32" i="45"/>
  <c r="BR32" i="45"/>
  <c r="BS32" i="45"/>
  <c r="BT32" i="45"/>
  <c r="BU32" i="45"/>
  <c r="BV32" i="45"/>
  <c r="BW32" i="45"/>
  <c r="BX32" i="45"/>
  <c r="BY32" i="45"/>
  <c r="BZ32" i="45"/>
  <c r="CA32" i="45"/>
  <c r="CB32" i="45"/>
  <c r="CC32" i="45"/>
  <c r="CD32" i="45"/>
  <c r="CE32" i="45"/>
  <c r="CF32" i="45"/>
  <c r="CG32" i="45"/>
  <c r="CH32" i="45"/>
  <c r="CI32" i="45"/>
  <c r="CJ32" i="45"/>
  <c r="CK32" i="45"/>
  <c r="CL32" i="45"/>
  <c r="CM32" i="45"/>
  <c r="CN32" i="45"/>
  <c r="CO32" i="45"/>
  <c r="CP32" i="45"/>
  <c r="CQ32" i="45"/>
  <c r="CR32" i="45"/>
  <c r="CS32" i="45"/>
  <c r="CT32" i="45"/>
  <c r="CU32" i="45"/>
  <c r="CV32" i="45"/>
  <c r="CW32" i="45"/>
  <c r="CX32" i="45"/>
  <c r="CY32" i="45"/>
  <c r="CZ32" i="45"/>
  <c r="DA32" i="45"/>
  <c r="DB32" i="45"/>
  <c r="DC32" i="45"/>
  <c r="DD32" i="45"/>
  <c r="DE32" i="45"/>
  <c r="DF32" i="45"/>
  <c r="DG32" i="45"/>
  <c r="DH32" i="45"/>
  <c r="DI32" i="45"/>
  <c r="DJ32" i="45"/>
  <c r="DK32" i="45"/>
  <c r="DL32" i="45"/>
  <c r="DM32" i="45"/>
  <c r="DN32" i="45"/>
  <c r="DO32" i="45"/>
  <c r="DP32" i="45"/>
  <c r="DQ32" i="45"/>
  <c r="DR32" i="45"/>
  <c r="DS32" i="45"/>
  <c r="DT32" i="45"/>
  <c r="DU32" i="45"/>
  <c r="DV32" i="45"/>
  <c r="DW32" i="45"/>
  <c r="DX32" i="45"/>
  <c r="DY32" i="45"/>
  <c r="DZ32" i="45"/>
  <c r="EA32" i="45"/>
  <c r="EB32" i="45"/>
  <c r="EC32" i="45"/>
  <c r="ED32" i="45"/>
  <c r="EE32" i="45"/>
  <c r="EF32" i="45"/>
  <c r="EG32" i="45"/>
  <c r="EH32" i="45"/>
  <c r="EI32" i="45"/>
  <c r="EJ32" i="45"/>
  <c r="EK32" i="45"/>
  <c r="EL32" i="45"/>
  <c r="EM32" i="45"/>
  <c r="EN32" i="45"/>
  <c r="EO32" i="45"/>
  <c r="EP32" i="45"/>
  <c r="EQ32" i="45"/>
  <c r="ER32" i="45"/>
  <c r="ES32" i="45"/>
  <c r="ET32" i="45"/>
  <c r="EU32" i="45"/>
  <c r="EV32" i="45"/>
  <c r="EW32" i="45"/>
  <c r="EX32" i="45"/>
  <c r="EY32" i="45"/>
  <c r="EZ32" i="45"/>
  <c r="FA32" i="45"/>
  <c r="FB32" i="45"/>
  <c r="FC32" i="45"/>
  <c r="FD32" i="45"/>
  <c r="FE32" i="45"/>
  <c r="FF32" i="45"/>
  <c r="FG32" i="45"/>
  <c r="FH32" i="45"/>
  <c r="FI32" i="45"/>
  <c r="FJ32" i="45"/>
  <c r="FK32" i="45"/>
  <c r="FL32" i="45"/>
  <c r="FM32" i="45"/>
  <c r="FN32" i="45"/>
  <c r="FO32" i="45"/>
  <c r="FP32" i="45"/>
  <c r="FQ32" i="45"/>
  <c r="FR32" i="45"/>
  <c r="FS32" i="45"/>
  <c r="FT32" i="45"/>
  <c r="FU32" i="45"/>
  <c r="FV32" i="45"/>
  <c r="FW32" i="45"/>
  <c r="FX32" i="45"/>
  <c r="FY32" i="45"/>
  <c r="FZ32" i="45"/>
  <c r="GA32" i="45"/>
  <c r="GB32" i="45"/>
  <c r="GC32" i="45"/>
  <c r="GD32" i="45"/>
  <c r="GE32" i="45"/>
  <c r="GF32" i="45"/>
  <c r="GG32" i="45"/>
  <c r="GH32" i="45"/>
  <c r="GI32" i="45"/>
  <c r="GJ32" i="45"/>
  <c r="GK32" i="45"/>
  <c r="GL32" i="45"/>
  <c r="GM32" i="45"/>
  <c r="GN32" i="45"/>
  <c r="GO32" i="45"/>
  <c r="GP32" i="45"/>
  <c r="GQ32" i="45"/>
  <c r="GR32" i="45"/>
  <c r="GS32" i="45"/>
  <c r="GT32" i="45"/>
  <c r="GU32" i="45"/>
  <c r="GV32" i="45"/>
  <c r="GW32" i="45"/>
  <c r="GX32" i="45"/>
  <c r="GY32" i="45"/>
  <c r="GZ32" i="45"/>
  <c r="HA32" i="45"/>
  <c r="HB32" i="45"/>
  <c r="HC32" i="45"/>
  <c r="HD32" i="45"/>
  <c r="HE32" i="45"/>
  <c r="HF32" i="45"/>
  <c r="HG32" i="45"/>
  <c r="HH32" i="45"/>
  <c r="HI32" i="45"/>
  <c r="HJ32" i="45"/>
  <c r="HK32" i="45"/>
  <c r="HL32" i="45"/>
  <c r="HM32" i="45"/>
  <c r="HN32" i="45"/>
  <c r="HO32" i="45"/>
  <c r="HP32" i="45"/>
  <c r="HQ32" i="45"/>
  <c r="HR32" i="45"/>
  <c r="HS32" i="45"/>
  <c r="HT32" i="45"/>
  <c r="HU32" i="45"/>
  <c r="HV32" i="45"/>
  <c r="HW32" i="45"/>
  <c r="HX32" i="45"/>
  <c r="HY32" i="45"/>
  <c r="HZ32" i="45"/>
  <c r="IA32" i="45"/>
  <c r="IB32" i="45"/>
  <c r="IC32" i="45"/>
  <c r="ID32" i="45"/>
  <c r="IE32" i="45"/>
  <c r="IF32" i="45"/>
  <c r="IG32" i="45"/>
  <c r="IH32" i="45"/>
  <c r="II32" i="45"/>
  <c r="IJ32" i="45"/>
  <c r="IK32" i="45"/>
  <c r="IL32" i="45"/>
  <c r="IM32" i="45"/>
  <c r="IN32" i="45"/>
  <c r="IO32" i="45"/>
  <c r="IP32" i="45"/>
  <c r="IQ32" i="45"/>
  <c r="IR32" i="45"/>
  <c r="IS32" i="45"/>
  <c r="IT32" i="45"/>
  <c r="IU32" i="45"/>
  <c r="IV32" i="45"/>
  <c r="A31" i="45"/>
  <c r="B31" i="45"/>
  <c r="C31" i="45"/>
  <c r="D31" i="45"/>
  <c r="E31" i="45"/>
  <c r="F31" i="45"/>
  <c r="G31" i="45"/>
  <c r="H31" i="45"/>
  <c r="I31" i="45"/>
  <c r="J31" i="45"/>
  <c r="K31" i="45"/>
  <c r="L31" i="45"/>
  <c r="M31" i="45"/>
  <c r="N31" i="45"/>
  <c r="O31" i="45"/>
  <c r="P31" i="45"/>
  <c r="Q31" i="45"/>
  <c r="R31" i="45"/>
  <c r="S31" i="45"/>
  <c r="T31" i="45"/>
  <c r="U31" i="45"/>
  <c r="V31" i="45"/>
  <c r="W31" i="45"/>
  <c r="X31" i="45"/>
  <c r="Y31" i="45"/>
  <c r="Z31" i="45"/>
  <c r="AA31" i="45"/>
  <c r="AB31" i="45"/>
  <c r="AC31" i="45"/>
  <c r="AD31" i="45"/>
  <c r="AE31" i="45"/>
  <c r="AF31" i="45"/>
  <c r="AG31" i="45"/>
  <c r="AH31" i="45"/>
  <c r="AI31" i="45"/>
  <c r="AJ31" i="45"/>
  <c r="AK31" i="45"/>
  <c r="AL31" i="45"/>
  <c r="AM31" i="45"/>
  <c r="AN31" i="45"/>
  <c r="AO31" i="45"/>
  <c r="AP31" i="45"/>
  <c r="AQ31" i="45"/>
  <c r="AR31" i="45"/>
  <c r="AS31" i="45"/>
  <c r="AT31" i="45"/>
  <c r="AU31" i="45"/>
  <c r="AV31" i="45"/>
  <c r="AW31" i="45"/>
  <c r="AX31" i="45"/>
  <c r="AY31" i="45"/>
  <c r="AZ31" i="45"/>
  <c r="BA31" i="45"/>
  <c r="BB31" i="45"/>
  <c r="BC31" i="45"/>
  <c r="BD31" i="45"/>
  <c r="BE31" i="45"/>
  <c r="BF31" i="45"/>
  <c r="BG31" i="45"/>
  <c r="BH31" i="45"/>
  <c r="BI31" i="45"/>
  <c r="BJ31" i="45"/>
  <c r="BK31" i="45"/>
  <c r="BL31" i="45"/>
  <c r="BM31" i="45"/>
  <c r="BN31" i="45"/>
  <c r="BO31" i="45"/>
  <c r="BP31" i="45"/>
  <c r="BQ31" i="45"/>
  <c r="BR31" i="45"/>
  <c r="BS31" i="45"/>
  <c r="BT31" i="45"/>
  <c r="BU31" i="45"/>
  <c r="BV31" i="45"/>
  <c r="BW31" i="45"/>
  <c r="BX31" i="45"/>
  <c r="BY31" i="45"/>
  <c r="BZ31" i="45"/>
  <c r="CA31" i="45"/>
  <c r="CB31" i="45"/>
  <c r="CC31" i="45"/>
  <c r="CD31" i="45"/>
  <c r="CE31" i="45"/>
  <c r="CF31" i="45"/>
  <c r="CG31" i="45"/>
  <c r="CH31" i="45"/>
  <c r="CI31" i="45"/>
  <c r="CJ31" i="45"/>
  <c r="CK31" i="45"/>
  <c r="CL31" i="45"/>
  <c r="CM31" i="45"/>
  <c r="CN31" i="45"/>
  <c r="CO31" i="45"/>
  <c r="CP31" i="45"/>
  <c r="CQ31" i="45"/>
  <c r="CR31" i="45"/>
  <c r="CS31" i="45"/>
  <c r="CT31" i="45"/>
  <c r="CU31" i="45"/>
  <c r="CV31" i="45"/>
  <c r="CW31" i="45"/>
  <c r="CX31" i="45"/>
  <c r="CY31" i="45"/>
  <c r="CZ31" i="45"/>
  <c r="DA31" i="45"/>
  <c r="DB31" i="45"/>
  <c r="DC31" i="45"/>
  <c r="DD31" i="45"/>
  <c r="DE31" i="45"/>
  <c r="DF31" i="45"/>
  <c r="DG31" i="45"/>
  <c r="DH31" i="45"/>
  <c r="DI31" i="45"/>
  <c r="DJ31" i="45"/>
  <c r="DK31" i="45"/>
  <c r="DL31" i="45"/>
  <c r="DM31" i="45"/>
  <c r="DN31" i="45"/>
  <c r="DO31" i="45"/>
  <c r="DP31" i="45"/>
  <c r="DQ31" i="45"/>
  <c r="DR31" i="45"/>
  <c r="DS31" i="45"/>
  <c r="DT31" i="45"/>
  <c r="DU31" i="45"/>
  <c r="DV31" i="45"/>
  <c r="DW31" i="45"/>
  <c r="DX31" i="45"/>
  <c r="DY31" i="45"/>
  <c r="DZ31" i="45"/>
  <c r="EA31" i="45"/>
  <c r="EB31" i="45"/>
  <c r="EC31" i="45"/>
  <c r="ED31" i="45"/>
  <c r="EE31" i="45"/>
  <c r="EF31" i="45"/>
  <c r="EG31" i="45"/>
  <c r="EH31" i="45"/>
  <c r="EI31" i="45"/>
  <c r="EJ31" i="45"/>
  <c r="EK31" i="45"/>
  <c r="EL31" i="45"/>
  <c r="EM31" i="45"/>
  <c r="EN31" i="45"/>
  <c r="EO31" i="45"/>
  <c r="EP31" i="45"/>
  <c r="EQ31" i="45"/>
  <c r="ER31" i="45"/>
  <c r="ES31" i="45"/>
  <c r="ET31" i="45"/>
  <c r="EU31" i="45"/>
  <c r="EV31" i="45"/>
  <c r="EW31" i="45"/>
  <c r="EX31" i="45"/>
  <c r="EY31" i="45"/>
  <c r="EZ31" i="45"/>
  <c r="FA31" i="45"/>
  <c r="FB31" i="45"/>
  <c r="FC31" i="45"/>
  <c r="FD31" i="45"/>
  <c r="FE31" i="45"/>
  <c r="FF31" i="45"/>
  <c r="FG31" i="45"/>
  <c r="FH31" i="45"/>
  <c r="FI31" i="45"/>
  <c r="FJ31" i="45"/>
  <c r="FK31" i="45"/>
  <c r="FL31" i="45"/>
  <c r="FM31" i="45"/>
  <c r="FN31" i="45"/>
  <c r="FO31" i="45"/>
  <c r="FP31" i="45"/>
  <c r="FQ31" i="45"/>
  <c r="FR31" i="45"/>
  <c r="FS31" i="45"/>
  <c r="FT31" i="45"/>
  <c r="FU31" i="45"/>
  <c r="FV31" i="45"/>
  <c r="FW31" i="45"/>
  <c r="FX31" i="45"/>
  <c r="FY31" i="45"/>
  <c r="FZ31" i="45"/>
  <c r="GA31" i="45"/>
  <c r="GB31" i="45"/>
  <c r="GC31" i="45"/>
  <c r="GD31" i="45"/>
  <c r="GE31" i="45"/>
  <c r="GF31" i="45"/>
  <c r="GG31" i="45"/>
  <c r="GH31" i="45"/>
  <c r="GI31" i="45"/>
  <c r="GJ31" i="45"/>
  <c r="GK31" i="45"/>
  <c r="GL31" i="45"/>
  <c r="GM31" i="45"/>
  <c r="GN31" i="45"/>
  <c r="GO31" i="45"/>
  <c r="GP31" i="45"/>
  <c r="GQ31" i="45"/>
  <c r="GR31" i="45"/>
  <c r="GS31" i="45"/>
  <c r="GT31" i="45"/>
  <c r="GU31" i="45"/>
  <c r="GV31" i="45"/>
  <c r="GW31" i="45"/>
  <c r="GX31" i="45"/>
  <c r="GY31" i="45"/>
  <c r="GZ31" i="45"/>
  <c r="HA31" i="45"/>
  <c r="HB31" i="45"/>
  <c r="HC31" i="45"/>
  <c r="HD31" i="45"/>
  <c r="HE31" i="45"/>
  <c r="HF31" i="45"/>
  <c r="HG31" i="45"/>
  <c r="HH31" i="45"/>
  <c r="HI31" i="45"/>
  <c r="HJ31" i="45"/>
  <c r="HK31" i="45"/>
  <c r="HL31" i="45"/>
  <c r="HM31" i="45"/>
  <c r="HN31" i="45"/>
  <c r="HO31" i="45"/>
  <c r="HP31" i="45"/>
  <c r="HQ31" i="45"/>
  <c r="HR31" i="45"/>
  <c r="HS31" i="45"/>
  <c r="HT31" i="45"/>
  <c r="HU31" i="45"/>
  <c r="HV31" i="45"/>
  <c r="HW31" i="45"/>
  <c r="HX31" i="45"/>
  <c r="HY31" i="45"/>
  <c r="HZ31" i="45"/>
  <c r="IA31" i="45"/>
  <c r="IB31" i="45"/>
  <c r="IC31" i="45"/>
  <c r="ID31" i="45"/>
  <c r="IE31" i="45"/>
  <c r="IF31" i="45"/>
  <c r="IG31" i="45"/>
  <c r="IH31" i="45"/>
  <c r="II31" i="45"/>
  <c r="IJ31" i="45"/>
  <c r="IK31" i="45"/>
  <c r="IL31" i="45"/>
  <c r="IM31" i="45"/>
  <c r="IN31" i="45"/>
  <c r="IO31" i="45"/>
  <c r="IP31" i="45"/>
  <c r="IQ31" i="45"/>
  <c r="IR31" i="45"/>
  <c r="IS31" i="45"/>
  <c r="IT31" i="45"/>
  <c r="IU31" i="45"/>
  <c r="IV31" i="45"/>
  <c r="A30" i="45"/>
  <c r="B30" i="45"/>
  <c r="C30" i="45"/>
  <c r="D30" i="45"/>
  <c r="E30" i="45"/>
  <c r="F30" i="45"/>
  <c r="G30" i="45"/>
  <c r="H30" i="45"/>
  <c r="I30" i="45"/>
  <c r="J30" i="45"/>
  <c r="K30" i="45"/>
  <c r="L30" i="45"/>
  <c r="M30" i="45"/>
  <c r="N30" i="45"/>
  <c r="O30" i="45"/>
  <c r="P30" i="45"/>
  <c r="Q30" i="45"/>
  <c r="R30" i="45"/>
  <c r="S30" i="45"/>
  <c r="T30" i="45"/>
  <c r="U30" i="45"/>
  <c r="V30" i="45"/>
  <c r="W30" i="45"/>
  <c r="X30" i="45"/>
  <c r="Y30" i="45"/>
  <c r="Z30" i="45"/>
  <c r="AA30" i="45"/>
  <c r="AB30" i="45"/>
  <c r="AC30" i="45"/>
  <c r="AD30" i="45"/>
  <c r="AE30" i="45"/>
  <c r="AF30" i="45"/>
  <c r="AG30" i="45"/>
  <c r="AH30" i="45"/>
  <c r="AI30" i="45"/>
  <c r="AJ30" i="45"/>
  <c r="AK30" i="45"/>
  <c r="AL30" i="45"/>
  <c r="AM30" i="45"/>
  <c r="AN30" i="45"/>
  <c r="AO30" i="45"/>
  <c r="AP30" i="45"/>
  <c r="AQ30" i="45"/>
  <c r="AR30" i="45"/>
  <c r="AS30" i="45"/>
  <c r="AT30" i="45"/>
  <c r="AU30" i="45"/>
  <c r="AV30" i="45"/>
  <c r="AW30" i="45"/>
  <c r="AX30" i="45"/>
  <c r="AY30" i="45"/>
  <c r="AZ30" i="45"/>
  <c r="BA30" i="45"/>
  <c r="BB30" i="45"/>
  <c r="BC30" i="45"/>
  <c r="BD30" i="45"/>
  <c r="BE30" i="45"/>
  <c r="BF30" i="45"/>
  <c r="BG30" i="45"/>
  <c r="BH30" i="45"/>
  <c r="BI30" i="45"/>
  <c r="BJ30" i="45"/>
  <c r="BK30" i="45"/>
  <c r="BL30" i="45"/>
  <c r="BM30" i="45"/>
  <c r="BN30" i="45"/>
  <c r="BO30" i="45"/>
  <c r="BP30" i="45"/>
  <c r="BQ30" i="45"/>
  <c r="BR30" i="45"/>
  <c r="BS30" i="45"/>
  <c r="BT30" i="45"/>
  <c r="BU30" i="45"/>
  <c r="BV30" i="45"/>
  <c r="BW30" i="45"/>
  <c r="BX30" i="45"/>
  <c r="BY30" i="45"/>
  <c r="BZ30" i="45"/>
  <c r="CA30" i="45"/>
  <c r="CB30" i="45"/>
  <c r="CC30" i="45"/>
  <c r="CD30" i="45"/>
  <c r="CE30" i="45"/>
  <c r="CF30" i="45"/>
  <c r="CG30" i="45"/>
  <c r="CH30" i="45"/>
  <c r="CI30" i="45"/>
  <c r="CJ30" i="45"/>
  <c r="CK30" i="45"/>
  <c r="CL30" i="45"/>
  <c r="CM30" i="45"/>
  <c r="CN30" i="45"/>
  <c r="CO30" i="45"/>
  <c r="CP30" i="45"/>
  <c r="CQ30" i="45"/>
  <c r="CR30" i="45"/>
  <c r="CS30" i="45"/>
  <c r="CT30" i="45"/>
  <c r="CU30" i="45"/>
  <c r="CV30" i="45"/>
  <c r="CW30" i="45"/>
  <c r="CX30" i="45"/>
  <c r="CY30" i="45"/>
  <c r="CZ30" i="45"/>
  <c r="DA30" i="45"/>
  <c r="DB30" i="45"/>
  <c r="DC30" i="45"/>
  <c r="DD30" i="45"/>
  <c r="DE30" i="45"/>
  <c r="DF30" i="45"/>
  <c r="DG30" i="45"/>
  <c r="DH30" i="45"/>
  <c r="DI30" i="45"/>
  <c r="DJ30" i="45"/>
  <c r="DK30" i="45"/>
  <c r="DL30" i="45"/>
  <c r="DM30" i="45"/>
  <c r="DN30" i="45"/>
  <c r="DO30" i="45"/>
  <c r="DP30" i="45"/>
  <c r="DQ30" i="45"/>
  <c r="DR30" i="45"/>
  <c r="DS30" i="45"/>
  <c r="DT30" i="45"/>
  <c r="DU30" i="45"/>
  <c r="DV30" i="45"/>
  <c r="DW30" i="45"/>
  <c r="DX30" i="45"/>
  <c r="DY30" i="45"/>
  <c r="DZ30" i="45"/>
  <c r="EA30" i="45"/>
  <c r="EB30" i="45"/>
  <c r="EC30" i="45"/>
  <c r="ED30" i="45"/>
  <c r="EE30" i="45"/>
  <c r="EF30" i="45"/>
  <c r="EG30" i="45"/>
  <c r="EH30" i="45"/>
  <c r="EI30" i="45"/>
  <c r="EJ30" i="45"/>
  <c r="EK30" i="45"/>
  <c r="EL30" i="45"/>
  <c r="EM30" i="45"/>
  <c r="EN30" i="45"/>
  <c r="EO30" i="45"/>
  <c r="EP30" i="45"/>
  <c r="EQ30" i="45"/>
  <c r="ER30" i="45"/>
  <c r="ES30" i="45"/>
  <c r="ET30" i="45"/>
  <c r="EU30" i="45"/>
  <c r="EV30" i="45"/>
  <c r="EW30" i="45"/>
  <c r="EX30" i="45"/>
  <c r="EY30" i="45"/>
  <c r="EZ30" i="45"/>
  <c r="FA30" i="45"/>
  <c r="FB30" i="45"/>
  <c r="FC30" i="45"/>
  <c r="FD30" i="45"/>
  <c r="FE30" i="45"/>
  <c r="FF30" i="45"/>
  <c r="FG30" i="45"/>
  <c r="FH30" i="45"/>
  <c r="FI30" i="45"/>
  <c r="FJ30" i="45"/>
  <c r="FK30" i="45"/>
  <c r="FL30" i="45"/>
  <c r="FM30" i="45"/>
  <c r="FN30" i="45"/>
  <c r="FO30" i="45"/>
  <c r="FP30" i="45"/>
  <c r="FQ30" i="45"/>
  <c r="FR30" i="45"/>
  <c r="FS30" i="45"/>
  <c r="FT30" i="45"/>
  <c r="FU30" i="45"/>
  <c r="FV30" i="45"/>
  <c r="FW30" i="45"/>
  <c r="FX30" i="45"/>
  <c r="FY30" i="45"/>
  <c r="FZ30" i="45"/>
  <c r="GA30" i="45"/>
  <c r="GB30" i="45"/>
  <c r="GC30" i="45"/>
  <c r="GD30" i="45"/>
  <c r="GE30" i="45"/>
  <c r="GF30" i="45"/>
  <c r="GG30" i="45"/>
  <c r="GH30" i="45"/>
  <c r="GI30" i="45"/>
  <c r="GJ30" i="45"/>
  <c r="GK30" i="45"/>
  <c r="GL30" i="45"/>
  <c r="GM30" i="45"/>
  <c r="GN30" i="45"/>
  <c r="GO30" i="45"/>
  <c r="GP30" i="45"/>
  <c r="GQ30" i="45"/>
  <c r="GR30" i="45"/>
  <c r="GS30" i="45"/>
  <c r="GT30" i="45"/>
  <c r="GU30" i="45"/>
  <c r="GV30" i="45"/>
  <c r="GW30" i="45"/>
  <c r="GX30" i="45"/>
  <c r="GY30" i="45"/>
  <c r="GZ30" i="45"/>
  <c r="HA30" i="45"/>
  <c r="HB30" i="45"/>
  <c r="HC30" i="45"/>
  <c r="HD30" i="45"/>
  <c r="HE30" i="45"/>
  <c r="HF30" i="45"/>
  <c r="HG30" i="45"/>
  <c r="HH30" i="45"/>
  <c r="HI30" i="45"/>
  <c r="HJ30" i="45"/>
  <c r="HK30" i="45"/>
  <c r="HL30" i="45"/>
  <c r="HM30" i="45"/>
  <c r="HN30" i="45"/>
  <c r="HO30" i="45"/>
  <c r="HP30" i="45"/>
  <c r="HQ30" i="45"/>
  <c r="HR30" i="45"/>
  <c r="HS30" i="45"/>
  <c r="HT30" i="45"/>
  <c r="HU30" i="45"/>
  <c r="HV30" i="45"/>
  <c r="HW30" i="45"/>
  <c r="HX30" i="45"/>
  <c r="HY30" i="45"/>
  <c r="HZ30" i="45"/>
  <c r="IA30" i="45"/>
  <c r="IB30" i="45"/>
  <c r="IC30" i="45"/>
  <c r="ID30" i="45"/>
  <c r="IE30" i="45"/>
  <c r="IF30" i="45"/>
  <c r="IG30" i="45"/>
  <c r="IH30" i="45"/>
  <c r="II30" i="45"/>
  <c r="IJ30" i="45"/>
  <c r="IK30" i="45"/>
  <c r="IL30" i="45"/>
  <c r="IM30" i="45"/>
  <c r="IN30" i="45"/>
  <c r="IO30" i="45"/>
  <c r="IP30" i="45"/>
  <c r="IQ30" i="45"/>
  <c r="IR30" i="45"/>
  <c r="IS30" i="45"/>
  <c r="IT30" i="45"/>
  <c r="IU30" i="45"/>
  <c r="IV30" i="45"/>
  <c r="A29" i="45"/>
  <c r="B29" i="45"/>
  <c r="C29" i="45"/>
  <c r="D29" i="45"/>
  <c r="E29" i="45"/>
  <c r="F29" i="45"/>
  <c r="G29" i="45"/>
  <c r="H29" i="45"/>
  <c r="I29" i="45"/>
  <c r="J29" i="45"/>
  <c r="K29" i="45"/>
  <c r="L29" i="45"/>
  <c r="M29" i="45"/>
  <c r="N29" i="45"/>
  <c r="O29" i="45"/>
  <c r="P29" i="45"/>
  <c r="Q29" i="45"/>
  <c r="R29" i="45"/>
  <c r="S29" i="45"/>
  <c r="T29" i="45"/>
  <c r="U29" i="45"/>
  <c r="V29" i="45"/>
  <c r="W29" i="45"/>
  <c r="X29" i="45"/>
  <c r="Y29" i="45"/>
  <c r="Z29" i="45"/>
  <c r="AA29" i="45"/>
  <c r="AB29" i="45"/>
  <c r="AC29" i="45"/>
  <c r="AD29" i="45"/>
  <c r="AE29" i="45"/>
  <c r="AF29" i="45"/>
  <c r="AG29" i="45"/>
  <c r="AH29" i="45"/>
  <c r="AI29" i="45"/>
  <c r="AJ29" i="45"/>
  <c r="AK29" i="45"/>
  <c r="AL29" i="45"/>
  <c r="AM29" i="45"/>
  <c r="AN29" i="45"/>
  <c r="AO29" i="45"/>
  <c r="AP29" i="45"/>
  <c r="AQ29" i="45"/>
  <c r="AR29" i="45"/>
  <c r="AS29" i="45"/>
  <c r="AT29" i="45"/>
  <c r="AU29" i="45"/>
  <c r="AV29" i="45"/>
  <c r="AW29" i="45"/>
  <c r="AX29" i="45"/>
  <c r="AY29" i="45"/>
  <c r="AZ29" i="45"/>
  <c r="BA29" i="45"/>
  <c r="BB29" i="45"/>
  <c r="BC29" i="45"/>
  <c r="BD29" i="45"/>
  <c r="BE29" i="45"/>
  <c r="BF29" i="45"/>
  <c r="BG29" i="45"/>
  <c r="BH29" i="45"/>
  <c r="BI29" i="45"/>
  <c r="BJ29" i="45"/>
  <c r="BK29" i="45"/>
  <c r="BL29" i="45"/>
  <c r="BM29" i="45"/>
  <c r="BN29" i="45"/>
  <c r="BO29" i="45"/>
  <c r="BP29" i="45"/>
  <c r="BQ29" i="45"/>
  <c r="BR29" i="45"/>
  <c r="BS29" i="45"/>
  <c r="BT29" i="45"/>
  <c r="BU29" i="45"/>
  <c r="BV29" i="45"/>
  <c r="BW29" i="45"/>
  <c r="BX29" i="45"/>
  <c r="BY29" i="45"/>
  <c r="BZ29" i="45"/>
  <c r="CA29" i="45"/>
  <c r="CB29" i="45"/>
  <c r="CC29" i="45"/>
  <c r="CD29" i="45"/>
  <c r="CE29" i="45"/>
  <c r="CF29" i="45"/>
  <c r="CG29" i="45"/>
  <c r="CH29" i="45"/>
  <c r="CI29" i="45"/>
  <c r="CJ29" i="45"/>
  <c r="CK29" i="45"/>
  <c r="CL29" i="45"/>
  <c r="CM29" i="45"/>
  <c r="CN29" i="45"/>
  <c r="CO29" i="45"/>
  <c r="CP29" i="45"/>
  <c r="CQ29" i="45"/>
  <c r="CR29" i="45"/>
  <c r="CS29" i="45"/>
  <c r="CT29" i="45"/>
  <c r="CU29" i="45"/>
  <c r="CV29" i="45"/>
  <c r="CW29" i="45"/>
  <c r="CX29" i="45"/>
  <c r="CY29" i="45"/>
  <c r="CZ29" i="45"/>
  <c r="DA29" i="45"/>
  <c r="DB29" i="45"/>
  <c r="DC29" i="45"/>
  <c r="DD29" i="45"/>
  <c r="DE29" i="45"/>
  <c r="DF29" i="45"/>
  <c r="DG29" i="45"/>
  <c r="DH29" i="45"/>
  <c r="DI29" i="45"/>
  <c r="DJ29" i="45"/>
  <c r="DK29" i="45"/>
  <c r="DL29" i="45"/>
  <c r="DM29" i="45"/>
  <c r="DN29" i="45"/>
  <c r="DO29" i="45"/>
  <c r="DP29" i="45"/>
  <c r="DQ29" i="45"/>
  <c r="DR29" i="45"/>
  <c r="DS29" i="45"/>
  <c r="DT29" i="45"/>
  <c r="DU29" i="45"/>
  <c r="DV29" i="45"/>
  <c r="DW29" i="45"/>
  <c r="DX29" i="45"/>
  <c r="DY29" i="45"/>
  <c r="DZ29" i="45"/>
  <c r="EA29" i="45"/>
  <c r="EB29" i="45"/>
  <c r="EC29" i="45"/>
  <c r="ED29" i="45"/>
  <c r="EE29" i="45"/>
  <c r="EF29" i="45"/>
  <c r="EG29" i="45"/>
  <c r="EH29" i="45"/>
  <c r="EI29" i="45"/>
  <c r="EJ29" i="45"/>
  <c r="EK29" i="45"/>
  <c r="EL29" i="45"/>
  <c r="EM29" i="45"/>
  <c r="EN29" i="45"/>
  <c r="EO29" i="45"/>
  <c r="EP29" i="45"/>
  <c r="EQ29" i="45"/>
  <c r="ER29" i="45"/>
  <c r="ES29" i="45"/>
  <c r="ET29" i="45"/>
  <c r="EU29" i="45"/>
  <c r="EV29" i="45"/>
  <c r="EW29" i="45"/>
  <c r="EX29" i="45"/>
  <c r="EY29" i="45"/>
  <c r="EZ29" i="45"/>
  <c r="FA29" i="45"/>
  <c r="FB29" i="45"/>
  <c r="FC29" i="45"/>
  <c r="FD29" i="45"/>
  <c r="FE29" i="45"/>
  <c r="FF29" i="45"/>
  <c r="FG29" i="45"/>
  <c r="FH29" i="45"/>
  <c r="FI29" i="45"/>
  <c r="FJ29" i="45"/>
  <c r="FK29" i="45"/>
  <c r="FL29" i="45"/>
  <c r="FM29" i="45"/>
  <c r="FN29" i="45"/>
  <c r="FO29" i="45"/>
  <c r="FP29" i="45"/>
  <c r="FQ29" i="45"/>
  <c r="FR29" i="45"/>
  <c r="FS29" i="45"/>
  <c r="FT29" i="45"/>
  <c r="FU29" i="45"/>
  <c r="FV29" i="45"/>
  <c r="FW29" i="45"/>
  <c r="FX29" i="45"/>
  <c r="FY29" i="45"/>
  <c r="FZ29" i="45"/>
  <c r="GA29" i="45"/>
  <c r="GB29" i="45"/>
  <c r="GC29" i="45"/>
  <c r="GD29" i="45"/>
  <c r="GE29" i="45"/>
  <c r="GF29" i="45"/>
  <c r="GG29" i="45"/>
  <c r="GH29" i="45"/>
  <c r="GI29" i="45"/>
  <c r="GJ29" i="45"/>
  <c r="GK29" i="45"/>
  <c r="GL29" i="45"/>
  <c r="GM29" i="45"/>
  <c r="GN29" i="45"/>
  <c r="GO29" i="45"/>
  <c r="GP29" i="45"/>
  <c r="GQ29" i="45"/>
  <c r="GR29" i="45"/>
  <c r="GS29" i="45"/>
  <c r="GT29" i="45"/>
  <c r="GU29" i="45"/>
  <c r="GV29" i="45"/>
  <c r="GW29" i="45"/>
  <c r="GX29" i="45"/>
  <c r="GY29" i="45"/>
  <c r="GZ29" i="45"/>
  <c r="HA29" i="45"/>
  <c r="HB29" i="45"/>
  <c r="HC29" i="45"/>
  <c r="HD29" i="45"/>
  <c r="HE29" i="45"/>
  <c r="HF29" i="45"/>
  <c r="HG29" i="45"/>
  <c r="HH29" i="45"/>
  <c r="HI29" i="45"/>
  <c r="HJ29" i="45"/>
  <c r="HK29" i="45"/>
  <c r="HL29" i="45"/>
  <c r="HM29" i="45"/>
  <c r="HN29" i="45"/>
  <c r="HO29" i="45"/>
  <c r="HP29" i="45"/>
  <c r="HQ29" i="45"/>
  <c r="HR29" i="45"/>
  <c r="HS29" i="45"/>
  <c r="HT29" i="45"/>
  <c r="HU29" i="45"/>
  <c r="HV29" i="45"/>
  <c r="HW29" i="45"/>
  <c r="HX29" i="45"/>
  <c r="HY29" i="45"/>
  <c r="HZ29" i="45"/>
  <c r="IA29" i="45"/>
  <c r="IB29" i="45"/>
  <c r="IC29" i="45"/>
  <c r="ID29" i="45"/>
  <c r="IE29" i="45"/>
  <c r="IF29" i="45"/>
  <c r="IG29" i="45"/>
  <c r="IH29" i="45"/>
  <c r="II29" i="45"/>
  <c r="IJ29" i="45"/>
  <c r="IK29" i="45"/>
  <c r="IL29" i="45"/>
  <c r="IM29" i="45"/>
  <c r="IN29" i="45"/>
  <c r="IO29" i="45"/>
  <c r="IP29" i="45"/>
  <c r="IQ29" i="45"/>
  <c r="IR29" i="45"/>
  <c r="IS29" i="45"/>
  <c r="IT29" i="45"/>
  <c r="IU29" i="45"/>
  <c r="IV29" i="45"/>
  <c r="A28" i="45"/>
  <c r="B28" i="45"/>
  <c r="C28" i="45"/>
  <c r="D28" i="45"/>
  <c r="E28" i="45"/>
  <c r="F28" i="45"/>
  <c r="G28" i="45"/>
  <c r="H28" i="45"/>
  <c r="I28" i="45"/>
  <c r="J28" i="45"/>
  <c r="K28" i="45"/>
  <c r="L28" i="45"/>
  <c r="M28" i="45"/>
  <c r="N28" i="45"/>
  <c r="O28" i="45"/>
  <c r="P28" i="45"/>
  <c r="Q28" i="45"/>
  <c r="R28" i="45"/>
  <c r="S28" i="45"/>
  <c r="T28" i="45"/>
  <c r="U28" i="45"/>
  <c r="V28" i="45"/>
  <c r="W28" i="45"/>
  <c r="X28" i="45"/>
  <c r="Y28" i="45"/>
  <c r="Z28" i="45"/>
  <c r="AA28" i="45"/>
  <c r="AB28" i="45"/>
  <c r="AC28" i="45"/>
  <c r="AD28" i="45"/>
  <c r="AE28" i="45"/>
  <c r="AF28" i="45"/>
  <c r="AG28" i="45"/>
  <c r="AH28" i="45"/>
  <c r="AI28" i="45"/>
  <c r="AJ28" i="45"/>
  <c r="AK28" i="45"/>
  <c r="AL28" i="45"/>
  <c r="AM28" i="45"/>
  <c r="AN28" i="45"/>
  <c r="AO28" i="45"/>
  <c r="AP28" i="45"/>
  <c r="AQ28" i="45"/>
  <c r="AR28" i="45"/>
  <c r="AS28" i="45"/>
  <c r="AT28" i="45"/>
  <c r="AU28" i="45"/>
  <c r="AV28" i="45"/>
  <c r="AW28" i="45"/>
  <c r="AX28" i="45"/>
  <c r="AY28" i="45"/>
  <c r="AZ28" i="45"/>
  <c r="BA28" i="45"/>
  <c r="BB28" i="45"/>
  <c r="BC28" i="45"/>
  <c r="BD28" i="45"/>
  <c r="BE28" i="45"/>
  <c r="BF28" i="45"/>
  <c r="BG28" i="45"/>
  <c r="BH28" i="45"/>
  <c r="BI28" i="45"/>
  <c r="BJ28" i="45"/>
  <c r="BK28" i="45"/>
  <c r="BL28" i="45"/>
  <c r="BM28" i="45"/>
  <c r="BN28" i="45"/>
  <c r="BO28" i="45"/>
  <c r="BP28" i="45"/>
  <c r="BQ28" i="45"/>
  <c r="BR28" i="45"/>
  <c r="BS28" i="45"/>
  <c r="BT28" i="45"/>
  <c r="BU28" i="45"/>
  <c r="BV28" i="45"/>
  <c r="BW28" i="45"/>
  <c r="BX28" i="45"/>
  <c r="BY28" i="45"/>
  <c r="BZ28" i="45"/>
  <c r="CA28" i="45"/>
  <c r="CB28" i="45"/>
  <c r="CC28" i="45"/>
  <c r="CD28" i="45"/>
  <c r="CE28" i="45"/>
  <c r="CF28" i="45"/>
  <c r="CG28" i="45"/>
  <c r="CH28" i="45"/>
  <c r="CI28" i="45"/>
  <c r="CJ28" i="45"/>
  <c r="CK28" i="45"/>
  <c r="CL28" i="45"/>
  <c r="CM28" i="45"/>
  <c r="CN28" i="45"/>
  <c r="CO28" i="45"/>
  <c r="CP28" i="45"/>
  <c r="CQ28" i="45"/>
  <c r="CR28" i="45"/>
  <c r="CS28" i="45"/>
  <c r="CT28" i="45"/>
  <c r="CU28" i="45"/>
  <c r="CV28" i="45"/>
  <c r="CW28" i="45"/>
  <c r="CX28" i="45"/>
  <c r="CY28" i="45"/>
  <c r="CZ28" i="45"/>
  <c r="DA28" i="45"/>
  <c r="DB28" i="45"/>
  <c r="DC28" i="45"/>
  <c r="DD28" i="45"/>
  <c r="DE28" i="45"/>
  <c r="DF28" i="45"/>
  <c r="DG28" i="45"/>
  <c r="DH28" i="45"/>
  <c r="DI28" i="45"/>
  <c r="DJ28" i="45"/>
  <c r="DK28" i="45"/>
  <c r="DL28" i="45"/>
  <c r="DM28" i="45"/>
  <c r="DN28" i="45"/>
  <c r="DO28" i="45"/>
  <c r="DP28" i="45"/>
  <c r="DQ28" i="45"/>
  <c r="DR28" i="45"/>
  <c r="DS28" i="45"/>
  <c r="DT28" i="45"/>
  <c r="DU28" i="45"/>
  <c r="DV28" i="45"/>
  <c r="DW28" i="45"/>
  <c r="DX28" i="45"/>
  <c r="DY28" i="45"/>
  <c r="DZ28" i="45"/>
  <c r="EA28" i="45"/>
  <c r="EB28" i="45"/>
  <c r="EC28" i="45"/>
  <c r="ED28" i="45"/>
  <c r="EE28" i="45"/>
  <c r="EF28" i="45"/>
  <c r="EG28" i="45"/>
  <c r="EH28" i="45"/>
  <c r="EI28" i="45"/>
  <c r="EJ28" i="45"/>
  <c r="EK28" i="45"/>
  <c r="EL28" i="45"/>
  <c r="EM28" i="45"/>
  <c r="EN28" i="45"/>
  <c r="EO28" i="45"/>
  <c r="EP28" i="45"/>
  <c r="EQ28" i="45"/>
  <c r="ER28" i="45"/>
  <c r="ES28" i="45"/>
  <c r="ET28" i="45"/>
  <c r="EU28" i="45"/>
  <c r="EV28" i="45"/>
  <c r="EW28" i="45"/>
  <c r="EX28" i="45"/>
  <c r="EY28" i="45"/>
  <c r="EZ28" i="45"/>
  <c r="FA28" i="45"/>
  <c r="FB28" i="45"/>
  <c r="FC28" i="45"/>
  <c r="FD28" i="45"/>
  <c r="FE28" i="45"/>
  <c r="FF28" i="45"/>
  <c r="FG28" i="45"/>
  <c r="FH28" i="45"/>
  <c r="FI28" i="45"/>
  <c r="FJ28" i="45"/>
  <c r="FK28" i="45"/>
  <c r="FL28" i="45"/>
  <c r="FM28" i="45"/>
  <c r="FN28" i="45"/>
  <c r="FO28" i="45"/>
  <c r="FP28" i="45"/>
  <c r="FQ28" i="45"/>
  <c r="FR28" i="45"/>
  <c r="FS28" i="45"/>
  <c r="FT28" i="45"/>
  <c r="FU28" i="45"/>
  <c r="FV28" i="45"/>
  <c r="FW28" i="45"/>
  <c r="FX28" i="45"/>
  <c r="FY28" i="45"/>
  <c r="FZ28" i="45"/>
  <c r="GA28" i="45"/>
  <c r="GB28" i="45"/>
  <c r="GC28" i="45"/>
  <c r="GD28" i="45"/>
  <c r="GE28" i="45"/>
  <c r="GF28" i="45"/>
  <c r="GG28" i="45"/>
  <c r="GH28" i="45"/>
  <c r="GI28" i="45"/>
  <c r="GJ28" i="45"/>
  <c r="GK28" i="45"/>
  <c r="GL28" i="45"/>
  <c r="GM28" i="45"/>
  <c r="GN28" i="45"/>
  <c r="GO28" i="45"/>
  <c r="GP28" i="45"/>
  <c r="GQ28" i="45"/>
  <c r="GR28" i="45"/>
  <c r="GS28" i="45"/>
  <c r="GT28" i="45"/>
  <c r="GU28" i="45"/>
  <c r="GV28" i="45"/>
  <c r="GW28" i="45"/>
  <c r="GX28" i="45"/>
  <c r="GY28" i="45"/>
  <c r="GZ28" i="45"/>
  <c r="HA28" i="45"/>
  <c r="HB28" i="45"/>
  <c r="HC28" i="45"/>
  <c r="HD28" i="45"/>
  <c r="HE28" i="45"/>
  <c r="HF28" i="45"/>
  <c r="HG28" i="45"/>
  <c r="HH28" i="45"/>
  <c r="HI28" i="45"/>
  <c r="HJ28" i="45"/>
  <c r="HK28" i="45"/>
  <c r="HL28" i="45"/>
  <c r="HM28" i="45"/>
  <c r="HN28" i="45"/>
  <c r="HO28" i="45"/>
  <c r="HP28" i="45"/>
  <c r="HQ28" i="45"/>
  <c r="HR28" i="45"/>
  <c r="HS28" i="45"/>
  <c r="HT28" i="45"/>
  <c r="HU28" i="45"/>
  <c r="HV28" i="45"/>
  <c r="HW28" i="45"/>
  <c r="HX28" i="45"/>
  <c r="HY28" i="45"/>
  <c r="HZ28" i="45"/>
  <c r="IA28" i="45"/>
  <c r="IB28" i="45"/>
  <c r="IC28" i="45"/>
  <c r="ID28" i="45"/>
  <c r="IE28" i="45"/>
  <c r="IF28" i="45"/>
  <c r="IG28" i="45"/>
  <c r="IH28" i="45"/>
  <c r="II28" i="45"/>
  <c r="IJ28" i="45"/>
  <c r="IK28" i="45"/>
  <c r="IL28" i="45"/>
  <c r="IM28" i="45"/>
  <c r="IN28" i="45"/>
  <c r="IO28" i="45"/>
  <c r="IP28" i="45"/>
  <c r="IQ28" i="45"/>
  <c r="IR28" i="45"/>
  <c r="IS28" i="45"/>
  <c r="IT28" i="45"/>
  <c r="IU28" i="45"/>
  <c r="IV28" i="45"/>
  <c r="A27" i="45"/>
  <c r="B27" i="45"/>
  <c r="C27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Q27" i="45"/>
  <c r="R27" i="45"/>
  <c r="S27" i="45"/>
  <c r="T27" i="45"/>
  <c r="U27" i="45"/>
  <c r="V27" i="45"/>
  <c r="W27" i="45"/>
  <c r="X27" i="45"/>
  <c r="Y27" i="45"/>
  <c r="Z27" i="45"/>
  <c r="AA27" i="45"/>
  <c r="AB27" i="45"/>
  <c r="AC27" i="45"/>
  <c r="AD27" i="45"/>
  <c r="AE27" i="45"/>
  <c r="AF27" i="45"/>
  <c r="AG27" i="45"/>
  <c r="AH27" i="45"/>
  <c r="AI27" i="45"/>
  <c r="AJ27" i="45"/>
  <c r="AK27" i="45"/>
  <c r="AL27" i="45"/>
  <c r="AM27" i="45"/>
  <c r="AN27" i="45"/>
  <c r="AO27" i="45"/>
  <c r="AP27" i="45"/>
  <c r="AQ27" i="45"/>
  <c r="AR27" i="45"/>
  <c r="AS27" i="45"/>
  <c r="AT27" i="45"/>
  <c r="AU27" i="45"/>
  <c r="AV27" i="45"/>
  <c r="AW27" i="45"/>
  <c r="AX27" i="45"/>
  <c r="AY27" i="45"/>
  <c r="AZ27" i="45"/>
  <c r="BA27" i="45"/>
  <c r="BB27" i="45"/>
  <c r="BC27" i="45"/>
  <c r="BD27" i="45"/>
  <c r="BE27" i="45"/>
  <c r="BF27" i="45"/>
  <c r="BG27" i="45"/>
  <c r="BH27" i="45"/>
  <c r="BI27" i="45"/>
  <c r="BJ27" i="45"/>
  <c r="BK27" i="45"/>
  <c r="BL27" i="45"/>
  <c r="BM27" i="45"/>
  <c r="BN27" i="45"/>
  <c r="BO27" i="45"/>
  <c r="BP27" i="45"/>
  <c r="BQ27" i="45"/>
  <c r="BR27" i="45"/>
  <c r="BS27" i="45"/>
  <c r="BT27" i="45"/>
  <c r="BU27" i="45"/>
  <c r="BV27" i="45"/>
  <c r="BW27" i="45"/>
  <c r="BX27" i="45"/>
  <c r="BY27" i="45"/>
  <c r="BZ27" i="45"/>
  <c r="CA27" i="45"/>
  <c r="CB27" i="45"/>
  <c r="CC27" i="45"/>
  <c r="CD27" i="45"/>
  <c r="CE27" i="45"/>
  <c r="CF27" i="45"/>
  <c r="CG27" i="45"/>
  <c r="CH27" i="45"/>
  <c r="CI27" i="45"/>
  <c r="CJ27" i="45"/>
  <c r="CK27" i="45"/>
  <c r="CL27" i="45"/>
  <c r="CM27" i="45"/>
  <c r="CN27" i="45"/>
  <c r="CO27" i="45"/>
  <c r="CP27" i="45"/>
  <c r="CQ27" i="45"/>
  <c r="CR27" i="45"/>
  <c r="CS27" i="45"/>
  <c r="CT27" i="45"/>
  <c r="CU27" i="45"/>
  <c r="CV27" i="45"/>
  <c r="CW27" i="45"/>
  <c r="CX27" i="45"/>
  <c r="CY27" i="45"/>
  <c r="CZ27" i="45"/>
  <c r="DA27" i="45"/>
  <c r="DB27" i="45"/>
  <c r="DC27" i="45"/>
  <c r="DD27" i="45"/>
  <c r="DE27" i="45"/>
  <c r="DF27" i="45"/>
  <c r="DG27" i="45"/>
  <c r="DH27" i="45"/>
  <c r="DI27" i="45"/>
  <c r="DJ27" i="45"/>
  <c r="DK27" i="45"/>
  <c r="DL27" i="45"/>
  <c r="DM27" i="45"/>
  <c r="DN27" i="45"/>
  <c r="DO27" i="45"/>
  <c r="DP27" i="45"/>
  <c r="DQ27" i="45"/>
  <c r="DR27" i="45"/>
  <c r="DS27" i="45"/>
  <c r="DT27" i="45"/>
  <c r="DU27" i="45"/>
  <c r="DV27" i="45"/>
  <c r="DW27" i="45"/>
  <c r="DX27" i="45"/>
  <c r="DY27" i="45"/>
  <c r="DZ27" i="45"/>
  <c r="EA27" i="45"/>
  <c r="EB27" i="45"/>
  <c r="EC27" i="45"/>
  <c r="ED27" i="45"/>
  <c r="EE27" i="45"/>
  <c r="EF27" i="45"/>
  <c r="EG27" i="45"/>
  <c r="EH27" i="45"/>
  <c r="EI27" i="45"/>
  <c r="EJ27" i="45"/>
  <c r="EK27" i="45"/>
  <c r="EL27" i="45"/>
  <c r="EM27" i="45"/>
  <c r="EN27" i="45"/>
  <c r="EO27" i="45"/>
  <c r="EP27" i="45"/>
  <c r="EQ27" i="45"/>
  <c r="ER27" i="45"/>
  <c r="ES27" i="45"/>
  <c r="ET27" i="45"/>
  <c r="EU27" i="45"/>
  <c r="EV27" i="45"/>
  <c r="EW27" i="45"/>
  <c r="EX27" i="45"/>
  <c r="EY27" i="45"/>
  <c r="EZ27" i="45"/>
  <c r="FA27" i="45"/>
  <c r="FB27" i="45"/>
  <c r="FC27" i="45"/>
  <c r="FD27" i="45"/>
  <c r="FE27" i="45"/>
  <c r="FF27" i="45"/>
  <c r="FG27" i="45"/>
  <c r="FH27" i="45"/>
  <c r="FI27" i="45"/>
  <c r="FJ27" i="45"/>
  <c r="FK27" i="45"/>
  <c r="FL27" i="45"/>
  <c r="FM27" i="45"/>
  <c r="FN27" i="45"/>
  <c r="FO27" i="45"/>
  <c r="FP27" i="45"/>
  <c r="FQ27" i="45"/>
  <c r="FR27" i="45"/>
  <c r="FS27" i="45"/>
  <c r="FT27" i="45"/>
  <c r="FU27" i="45"/>
  <c r="FV27" i="45"/>
  <c r="FW27" i="45"/>
  <c r="FX27" i="45"/>
  <c r="FY27" i="45"/>
  <c r="FZ27" i="45"/>
  <c r="GA27" i="45"/>
  <c r="GB27" i="45"/>
  <c r="GC27" i="45"/>
  <c r="GD27" i="45"/>
  <c r="GE27" i="45"/>
  <c r="GF27" i="45"/>
  <c r="GG27" i="45"/>
  <c r="GH27" i="45"/>
  <c r="GI27" i="45"/>
  <c r="GJ27" i="45"/>
  <c r="GK27" i="45"/>
  <c r="GL27" i="45"/>
  <c r="GM27" i="45"/>
  <c r="GN27" i="45"/>
  <c r="GO27" i="45"/>
  <c r="GP27" i="45"/>
  <c r="GQ27" i="45"/>
  <c r="GR27" i="45"/>
  <c r="GS27" i="45"/>
  <c r="GT27" i="45"/>
  <c r="GU27" i="45"/>
  <c r="GV27" i="45"/>
  <c r="GW27" i="45"/>
  <c r="GX27" i="45"/>
  <c r="GY27" i="45"/>
  <c r="GZ27" i="45"/>
  <c r="HA27" i="45"/>
  <c r="HB27" i="45"/>
  <c r="HC27" i="45"/>
  <c r="HD27" i="45"/>
  <c r="HE27" i="45"/>
  <c r="HF27" i="45"/>
  <c r="HG27" i="45"/>
  <c r="HH27" i="45"/>
  <c r="HI27" i="45"/>
  <c r="HJ27" i="45"/>
  <c r="HK27" i="45"/>
  <c r="HL27" i="45"/>
  <c r="HM27" i="45"/>
  <c r="HN27" i="45"/>
  <c r="HO27" i="45"/>
  <c r="HP27" i="45"/>
  <c r="HQ27" i="45"/>
  <c r="HR27" i="45"/>
  <c r="HS27" i="45"/>
  <c r="HT27" i="45"/>
  <c r="HU27" i="45"/>
  <c r="HV27" i="45"/>
  <c r="HW27" i="45"/>
  <c r="HX27" i="45"/>
  <c r="HY27" i="45"/>
  <c r="HZ27" i="45"/>
  <c r="IA27" i="45"/>
  <c r="IB27" i="45"/>
  <c r="IC27" i="45"/>
  <c r="ID27" i="45"/>
  <c r="IE27" i="45"/>
  <c r="IF27" i="45"/>
  <c r="IG27" i="45"/>
  <c r="IH27" i="45"/>
  <c r="II27" i="45"/>
  <c r="IJ27" i="45"/>
  <c r="IK27" i="45"/>
  <c r="IL27" i="45"/>
  <c r="IM27" i="45"/>
  <c r="IN27" i="45"/>
  <c r="IO27" i="45"/>
  <c r="IP27" i="45"/>
  <c r="IQ27" i="45"/>
  <c r="IR27" i="45"/>
  <c r="IS27" i="45"/>
  <c r="IT27" i="45"/>
  <c r="IU27" i="45"/>
  <c r="IV27" i="45"/>
  <c r="A26" i="45"/>
  <c r="B26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Q26" i="45"/>
  <c r="R26" i="45"/>
  <c r="S26" i="45"/>
  <c r="T26" i="45"/>
  <c r="U26" i="45"/>
  <c r="V26" i="45"/>
  <c r="W26" i="45"/>
  <c r="X26" i="45"/>
  <c r="Y26" i="45"/>
  <c r="Z26" i="45"/>
  <c r="AA26" i="45"/>
  <c r="AB26" i="45"/>
  <c r="AC26" i="45"/>
  <c r="AD26" i="45"/>
  <c r="AE26" i="45"/>
  <c r="AF26" i="45"/>
  <c r="AG26" i="45"/>
  <c r="AH26" i="45"/>
  <c r="AI26" i="45"/>
  <c r="AJ26" i="45"/>
  <c r="AK26" i="45"/>
  <c r="AL26" i="45"/>
  <c r="AM26" i="45"/>
  <c r="AN26" i="45"/>
  <c r="AO26" i="45"/>
  <c r="AP26" i="45"/>
  <c r="AQ26" i="45"/>
  <c r="AR26" i="45"/>
  <c r="AS26" i="45"/>
  <c r="AT26" i="45"/>
  <c r="AU26" i="45"/>
  <c r="AV26" i="45"/>
  <c r="AW26" i="45"/>
  <c r="AX26" i="45"/>
  <c r="AY26" i="45"/>
  <c r="AZ26" i="45"/>
  <c r="BA26" i="45"/>
  <c r="BB26" i="45"/>
  <c r="BC26" i="45"/>
  <c r="BD26" i="45"/>
  <c r="BE26" i="45"/>
  <c r="BF26" i="45"/>
  <c r="BG26" i="45"/>
  <c r="BH26" i="45"/>
  <c r="BI26" i="45"/>
  <c r="BJ26" i="45"/>
  <c r="BK26" i="45"/>
  <c r="BL26" i="45"/>
  <c r="BM26" i="45"/>
  <c r="BN26" i="45"/>
  <c r="BO26" i="45"/>
  <c r="BP26" i="45"/>
  <c r="BQ26" i="45"/>
  <c r="BR26" i="45"/>
  <c r="BS26" i="45"/>
  <c r="BT26" i="45"/>
  <c r="BU26" i="45"/>
  <c r="BV26" i="45"/>
  <c r="BW26" i="45"/>
  <c r="BX26" i="45"/>
  <c r="BY26" i="45"/>
  <c r="BZ26" i="45"/>
  <c r="CA26" i="45"/>
  <c r="CB26" i="45"/>
  <c r="CC26" i="45"/>
  <c r="CD26" i="45"/>
  <c r="CE26" i="45"/>
  <c r="CF26" i="45"/>
  <c r="CG26" i="45"/>
  <c r="CH26" i="45"/>
  <c r="CI26" i="45"/>
  <c r="CJ26" i="45"/>
  <c r="CK26" i="45"/>
  <c r="CL26" i="45"/>
  <c r="CM26" i="45"/>
  <c r="CN26" i="45"/>
  <c r="CO26" i="45"/>
  <c r="CP26" i="45"/>
  <c r="CQ26" i="45"/>
  <c r="CR26" i="45"/>
  <c r="CS26" i="45"/>
  <c r="CT26" i="45"/>
  <c r="CU26" i="45"/>
  <c r="CV26" i="45"/>
  <c r="CW26" i="45"/>
  <c r="CX26" i="45"/>
  <c r="CY26" i="45"/>
  <c r="CZ26" i="45"/>
  <c r="DA26" i="45"/>
  <c r="DB26" i="45"/>
  <c r="DC26" i="45"/>
  <c r="DD26" i="45"/>
  <c r="DE26" i="45"/>
  <c r="DF26" i="45"/>
  <c r="DG26" i="45"/>
  <c r="DH26" i="45"/>
  <c r="DI26" i="45"/>
  <c r="DJ26" i="45"/>
  <c r="DK26" i="45"/>
  <c r="DL26" i="45"/>
  <c r="DM26" i="45"/>
  <c r="DN26" i="45"/>
  <c r="DO26" i="45"/>
  <c r="DP26" i="45"/>
  <c r="DQ26" i="45"/>
  <c r="DR26" i="45"/>
  <c r="DS26" i="45"/>
  <c r="DT26" i="45"/>
  <c r="DU26" i="45"/>
  <c r="DV26" i="45"/>
  <c r="DW26" i="45"/>
  <c r="DX26" i="45"/>
  <c r="DY26" i="45"/>
  <c r="DZ26" i="45"/>
  <c r="EA26" i="45"/>
  <c r="EB26" i="45"/>
  <c r="EC26" i="45"/>
  <c r="ED26" i="45"/>
  <c r="EE26" i="45"/>
  <c r="EF26" i="45"/>
  <c r="EG26" i="45"/>
  <c r="EH26" i="45"/>
  <c r="EI26" i="45"/>
  <c r="EJ26" i="45"/>
  <c r="EK26" i="45"/>
  <c r="EL26" i="45"/>
  <c r="EM26" i="45"/>
  <c r="EN26" i="45"/>
  <c r="EO26" i="45"/>
  <c r="EP26" i="45"/>
  <c r="EQ26" i="45"/>
  <c r="ER26" i="45"/>
  <c r="ES26" i="45"/>
  <c r="ET26" i="45"/>
  <c r="EU26" i="45"/>
  <c r="EV26" i="45"/>
  <c r="EW26" i="45"/>
  <c r="EX26" i="45"/>
  <c r="EY26" i="45"/>
  <c r="EZ26" i="45"/>
  <c r="FA26" i="45"/>
  <c r="FB26" i="45"/>
  <c r="FC26" i="45"/>
  <c r="FD26" i="45"/>
  <c r="FE26" i="45"/>
  <c r="FF26" i="45"/>
  <c r="FG26" i="45"/>
  <c r="FH26" i="45"/>
  <c r="FI26" i="45"/>
  <c r="FJ26" i="45"/>
  <c r="FK26" i="45"/>
  <c r="FL26" i="45"/>
  <c r="FM26" i="45"/>
  <c r="FN26" i="45"/>
  <c r="FO26" i="45"/>
  <c r="FP26" i="45"/>
  <c r="FQ26" i="45"/>
  <c r="FR26" i="45"/>
  <c r="FS26" i="45"/>
  <c r="FT26" i="45"/>
  <c r="FU26" i="45"/>
  <c r="FV26" i="45"/>
  <c r="FW26" i="45"/>
  <c r="FX26" i="45"/>
  <c r="FY26" i="45"/>
  <c r="FZ26" i="45"/>
  <c r="GA26" i="45"/>
  <c r="GB26" i="45"/>
  <c r="GC26" i="45"/>
  <c r="GD26" i="45"/>
  <c r="GE26" i="45"/>
  <c r="GF26" i="45"/>
  <c r="GG26" i="45"/>
  <c r="GH26" i="45"/>
  <c r="GI26" i="45"/>
  <c r="GJ26" i="45"/>
  <c r="GK26" i="45"/>
  <c r="GL26" i="45"/>
  <c r="GM26" i="45"/>
  <c r="GN26" i="45"/>
  <c r="GO26" i="45"/>
  <c r="GP26" i="45"/>
  <c r="GQ26" i="45"/>
  <c r="GR26" i="45"/>
  <c r="GS26" i="45"/>
  <c r="GT26" i="45"/>
  <c r="GU26" i="45"/>
  <c r="GV26" i="45"/>
  <c r="GW26" i="45"/>
  <c r="GX26" i="45"/>
  <c r="GY26" i="45"/>
  <c r="GZ26" i="45"/>
  <c r="HA26" i="45"/>
  <c r="HB26" i="45"/>
  <c r="HC26" i="45"/>
  <c r="HD26" i="45"/>
  <c r="HE26" i="45"/>
  <c r="HF26" i="45"/>
  <c r="HG26" i="45"/>
  <c r="HH26" i="45"/>
  <c r="HI26" i="45"/>
  <c r="HJ26" i="45"/>
  <c r="HK26" i="45"/>
  <c r="HL26" i="45"/>
  <c r="HM26" i="45"/>
  <c r="HN26" i="45"/>
  <c r="HO26" i="45"/>
  <c r="HP26" i="45"/>
  <c r="HQ26" i="45"/>
  <c r="HR26" i="45"/>
  <c r="HS26" i="45"/>
  <c r="HT26" i="45"/>
  <c r="HU26" i="45"/>
  <c r="HV26" i="45"/>
  <c r="HW26" i="45"/>
  <c r="HX26" i="45"/>
  <c r="HY26" i="45"/>
  <c r="HZ26" i="45"/>
  <c r="IA26" i="45"/>
  <c r="IB26" i="45"/>
  <c r="IC26" i="45"/>
  <c r="ID26" i="45"/>
  <c r="IE26" i="45"/>
  <c r="IF26" i="45"/>
  <c r="IG26" i="45"/>
  <c r="IH26" i="45"/>
  <c r="II26" i="45"/>
  <c r="IJ26" i="45"/>
  <c r="IK26" i="45"/>
  <c r="IL26" i="45"/>
  <c r="IM26" i="45"/>
  <c r="IN26" i="45"/>
  <c r="IO26" i="45"/>
  <c r="IP26" i="45"/>
  <c r="IQ26" i="45"/>
  <c r="IR26" i="45"/>
  <c r="IS26" i="45"/>
  <c r="IT26" i="45"/>
  <c r="IU26" i="45"/>
  <c r="IV26" i="45"/>
  <c r="A25" i="45"/>
  <c r="B25" i="45"/>
  <c r="C25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Q25" i="45"/>
  <c r="R25" i="45"/>
  <c r="S25" i="45"/>
  <c r="T25" i="45"/>
  <c r="U25" i="45"/>
  <c r="V25" i="45"/>
  <c r="W25" i="45"/>
  <c r="X25" i="45"/>
  <c r="Y25" i="45"/>
  <c r="Z25" i="45"/>
  <c r="AA25" i="45"/>
  <c r="AB25" i="45"/>
  <c r="AC25" i="45"/>
  <c r="AD25" i="45"/>
  <c r="AE25" i="45"/>
  <c r="AF25" i="45"/>
  <c r="AG25" i="45"/>
  <c r="AH25" i="45"/>
  <c r="AI25" i="45"/>
  <c r="AJ25" i="45"/>
  <c r="AK25" i="45"/>
  <c r="AL25" i="45"/>
  <c r="AM25" i="45"/>
  <c r="AN25" i="45"/>
  <c r="AO25" i="45"/>
  <c r="AP25" i="45"/>
  <c r="AQ25" i="45"/>
  <c r="AR25" i="45"/>
  <c r="AS25" i="45"/>
  <c r="AT25" i="45"/>
  <c r="AU25" i="45"/>
  <c r="AV25" i="45"/>
  <c r="AW25" i="45"/>
  <c r="AX25" i="45"/>
  <c r="AY25" i="45"/>
  <c r="AZ25" i="45"/>
  <c r="BA25" i="45"/>
  <c r="BB25" i="45"/>
  <c r="BC25" i="45"/>
  <c r="BD25" i="45"/>
  <c r="BE25" i="45"/>
  <c r="BF25" i="45"/>
  <c r="BG25" i="45"/>
  <c r="BH25" i="45"/>
  <c r="BI25" i="45"/>
  <c r="BJ25" i="45"/>
  <c r="BK25" i="45"/>
  <c r="BL25" i="45"/>
  <c r="BM25" i="45"/>
  <c r="BN25" i="45"/>
  <c r="BO25" i="45"/>
  <c r="BP25" i="45"/>
  <c r="BQ25" i="45"/>
  <c r="BR25" i="45"/>
  <c r="BS25" i="45"/>
  <c r="BT25" i="45"/>
  <c r="BU25" i="45"/>
  <c r="BV25" i="45"/>
  <c r="BW25" i="45"/>
  <c r="BX25" i="45"/>
  <c r="BY25" i="45"/>
  <c r="BZ25" i="45"/>
  <c r="CA25" i="45"/>
  <c r="CB25" i="45"/>
  <c r="CC25" i="45"/>
  <c r="CD25" i="45"/>
  <c r="CE25" i="45"/>
  <c r="CF25" i="45"/>
  <c r="CG25" i="45"/>
  <c r="CH25" i="45"/>
  <c r="CI25" i="45"/>
  <c r="CJ25" i="45"/>
  <c r="CK25" i="45"/>
  <c r="CL25" i="45"/>
  <c r="CM25" i="45"/>
  <c r="CN25" i="45"/>
  <c r="CO25" i="45"/>
  <c r="CP25" i="45"/>
  <c r="CQ25" i="45"/>
  <c r="CR25" i="45"/>
  <c r="CS25" i="45"/>
  <c r="CT25" i="45"/>
  <c r="CU25" i="45"/>
  <c r="CV25" i="45"/>
  <c r="CW25" i="45"/>
  <c r="CX25" i="45"/>
  <c r="CY25" i="45"/>
  <c r="CZ25" i="45"/>
  <c r="DA25" i="45"/>
  <c r="DB25" i="45"/>
  <c r="DC25" i="45"/>
  <c r="DD25" i="45"/>
  <c r="DE25" i="45"/>
  <c r="DF25" i="45"/>
  <c r="DG25" i="45"/>
  <c r="DH25" i="45"/>
  <c r="DI25" i="45"/>
  <c r="DJ25" i="45"/>
  <c r="DK25" i="45"/>
  <c r="DL25" i="45"/>
  <c r="DM25" i="45"/>
  <c r="DN25" i="45"/>
  <c r="DO25" i="45"/>
  <c r="DP25" i="45"/>
  <c r="DQ25" i="45"/>
  <c r="DR25" i="45"/>
  <c r="DS25" i="45"/>
  <c r="DT25" i="45"/>
  <c r="DU25" i="45"/>
  <c r="DV25" i="45"/>
  <c r="DW25" i="45"/>
  <c r="DX25" i="45"/>
  <c r="DY25" i="45"/>
  <c r="DZ25" i="45"/>
  <c r="EA25" i="45"/>
  <c r="EB25" i="45"/>
  <c r="EC25" i="45"/>
  <c r="ED25" i="45"/>
  <c r="EE25" i="45"/>
  <c r="EF25" i="45"/>
  <c r="EG25" i="45"/>
  <c r="EH25" i="45"/>
  <c r="EI25" i="45"/>
  <c r="EJ25" i="45"/>
  <c r="EK25" i="45"/>
  <c r="EL25" i="45"/>
  <c r="EM25" i="45"/>
  <c r="EN25" i="45"/>
  <c r="EO25" i="45"/>
  <c r="EP25" i="45"/>
  <c r="EQ25" i="45"/>
  <c r="ER25" i="45"/>
  <c r="ES25" i="45"/>
  <c r="ET25" i="45"/>
  <c r="EU25" i="45"/>
  <c r="EV25" i="45"/>
  <c r="EW25" i="45"/>
  <c r="EX25" i="45"/>
  <c r="EY25" i="45"/>
  <c r="EZ25" i="45"/>
  <c r="FA25" i="45"/>
  <c r="FB25" i="45"/>
  <c r="FC25" i="45"/>
  <c r="FD25" i="45"/>
  <c r="FE25" i="45"/>
  <c r="FF25" i="45"/>
  <c r="FG25" i="45"/>
  <c r="FH25" i="45"/>
  <c r="FI25" i="45"/>
  <c r="FJ25" i="45"/>
  <c r="FK25" i="45"/>
  <c r="FL25" i="45"/>
  <c r="FM25" i="45"/>
  <c r="FN25" i="45"/>
  <c r="FO25" i="45"/>
  <c r="FP25" i="45"/>
  <c r="FQ25" i="45"/>
  <c r="FR25" i="45"/>
  <c r="FS25" i="45"/>
  <c r="FT25" i="45"/>
  <c r="FU25" i="45"/>
  <c r="FV25" i="45"/>
  <c r="FW25" i="45"/>
  <c r="FX25" i="45"/>
  <c r="FY25" i="45"/>
  <c r="FZ25" i="45"/>
  <c r="GA25" i="45"/>
  <c r="GB25" i="45"/>
  <c r="GC25" i="45"/>
  <c r="GD25" i="45"/>
  <c r="GE25" i="45"/>
  <c r="GF25" i="45"/>
  <c r="GG25" i="45"/>
  <c r="GH25" i="45"/>
  <c r="GI25" i="45"/>
  <c r="GJ25" i="45"/>
  <c r="GK25" i="45"/>
  <c r="GL25" i="45"/>
  <c r="GM25" i="45"/>
  <c r="GN25" i="45"/>
  <c r="GO25" i="45"/>
  <c r="GP25" i="45"/>
  <c r="GQ25" i="45"/>
  <c r="GR25" i="45"/>
  <c r="GS25" i="45"/>
  <c r="GT25" i="45"/>
  <c r="GU25" i="45"/>
  <c r="GV25" i="45"/>
  <c r="GW25" i="45"/>
  <c r="GX25" i="45"/>
  <c r="GY25" i="45"/>
  <c r="GZ25" i="45"/>
  <c r="HA25" i="45"/>
  <c r="HB25" i="45"/>
  <c r="HC25" i="45"/>
  <c r="HD25" i="45"/>
  <c r="HE25" i="45"/>
  <c r="HF25" i="45"/>
  <c r="HG25" i="45"/>
  <c r="HH25" i="45"/>
  <c r="HI25" i="45"/>
  <c r="HJ25" i="45"/>
  <c r="HK25" i="45"/>
  <c r="HL25" i="45"/>
  <c r="HM25" i="45"/>
  <c r="HN25" i="45"/>
  <c r="HO25" i="45"/>
  <c r="HP25" i="45"/>
  <c r="HQ25" i="45"/>
  <c r="HR25" i="45"/>
  <c r="HS25" i="45"/>
  <c r="HT25" i="45"/>
  <c r="HU25" i="45"/>
  <c r="HV25" i="45"/>
  <c r="HW25" i="45"/>
  <c r="HX25" i="45"/>
  <c r="HY25" i="45"/>
  <c r="HZ25" i="45"/>
  <c r="IA25" i="45"/>
  <c r="IB25" i="45"/>
  <c r="IC25" i="45"/>
  <c r="ID25" i="45"/>
  <c r="IE25" i="45"/>
  <c r="IF25" i="45"/>
  <c r="IG25" i="45"/>
  <c r="IH25" i="45"/>
  <c r="II25" i="45"/>
  <c r="IJ25" i="45"/>
  <c r="IK25" i="45"/>
  <c r="IL25" i="45"/>
  <c r="IM25" i="45"/>
  <c r="IN25" i="45"/>
  <c r="IO25" i="45"/>
  <c r="IP25" i="45"/>
  <c r="IQ25" i="45"/>
  <c r="IR25" i="45"/>
  <c r="IS25" i="45"/>
  <c r="IT25" i="45"/>
  <c r="IU25" i="45"/>
  <c r="IV25" i="45"/>
  <c r="A24" i="45"/>
  <c r="B24" i="45"/>
  <c r="C24" i="45"/>
  <c r="D24" i="45"/>
  <c r="E24" i="45"/>
  <c r="F24" i="45"/>
  <c r="G24" i="45"/>
  <c r="H24" i="45"/>
  <c r="I24" i="45"/>
  <c r="J24" i="45"/>
  <c r="K24" i="45"/>
  <c r="L24" i="45"/>
  <c r="M24" i="45"/>
  <c r="N24" i="45"/>
  <c r="O24" i="45"/>
  <c r="P24" i="45"/>
  <c r="Q24" i="45"/>
  <c r="R24" i="45"/>
  <c r="S24" i="45"/>
  <c r="T24" i="45"/>
  <c r="U24" i="45"/>
  <c r="V24" i="45"/>
  <c r="W24" i="45"/>
  <c r="X24" i="45"/>
  <c r="Y24" i="45"/>
  <c r="Z24" i="45"/>
  <c r="AA24" i="45"/>
  <c r="AB24" i="45"/>
  <c r="AC24" i="45"/>
  <c r="AD24" i="45"/>
  <c r="AE24" i="45"/>
  <c r="AF24" i="45"/>
  <c r="AG24" i="45"/>
  <c r="AH24" i="45"/>
  <c r="AI24" i="45"/>
  <c r="AJ24" i="45"/>
  <c r="AK24" i="45"/>
  <c r="AL24" i="45"/>
  <c r="AM24" i="45"/>
  <c r="AN24" i="45"/>
  <c r="AO24" i="45"/>
  <c r="AP24" i="45"/>
  <c r="AQ24" i="45"/>
  <c r="AR24" i="45"/>
  <c r="AS24" i="45"/>
  <c r="AT24" i="45"/>
  <c r="AU24" i="45"/>
  <c r="AV24" i="45"/>
  <c r="AW24" i="45"/>
  <c r="AX24" i="45"/>
  <c r="AY24" i="45"/>
  <c r="AZ24" i="45"/>
  <c r="BA24" i="45"/>
  <c r="BB24" i="45"/>
  <c r="BC24" i="45"/>
  <c r="BD24" i="45"/>
  <c r="BE24" i="45"/>
  <c r="BF24" i="45"/>
  <c r="BG24" i="45"/>
  <c r="BH24" i="45"/>
  <c r="BI24" i="45"/>
  <c r="BJ24" i="45"/>
  <c r="BK24" i="45"/>
  <c r="BL24" i="45"/>
  <c r="BM24" i="45"/>
  <c r="BN24" i="45"/>
  <c r="BO24" i="45"/>
  <c r="BP24" i="45"/>
  <c r="BQ24" i="45"/>
  <c r="BR24" i="45"/>
  <c r="BS24" i="45"/>
  <c r="BT24" i="45"/>
  <c r="BU24" i="45"/>
  <c r="BV24" i="45"/>
  <c r="BW24" i="45"/>
  <c r="BX24" i="45"/>
  <c r="BY24" i="45"/>
  <c r="BZ24" i="45"/>
  <c r="CA24" i="45"/>
  <c r="CB24" i="45"/>
  <c r="CC24" i="45"/>
  <c r="CD24" i="45"/>
  <c r="CE24" i="45"/>
  <c r="CF24" i="45"/>
  <c r="CG24" i="45"/>
  <c r="CH24" i="45"/>
  <c r="CI24" i="45"/>
  <c r="CJ24" i="45"/>
  <c r="CK24" i="45"/>
  <c r="CL24" i="45"/>
  <c r="CM24" i="45"/>
  <c r="CN24" i="45"/>
  <c r="CO24" i="45"/>
  <c r="CP24" i="45"/>
  <c r="CQ24" i="45"/>
  <c r="CR24" i="45"/>
  <c r="CS24" i="45"/>
  <c r="CT24" i="45"/>
  <c r="CU24" i="45"/>
  <c r="CV24" i="45"/>
  <c r="CW24" i="45"/>
  <c r="CX24" i="45"/>
  <c r="CY24" i="45"/>
  <c r="CZ24" i="45"/>
  <c r="DA24" i="45"/>
  <c r="DB24" i="45"/>
  <c r="DC24" i="45"/>
  <c r="DD24" i="45"/>
  <c r="DE24" i="45"/>
  <c r="DF24" i="45"/>
  <c r="DG24" i="45"/>
  <c r="DH24" i="45"/>
  <c r="DI24" i="45"/>
  <c r="DJ24" i="45"/>
  <c r="DK24" i="45"/>
  <c r="DL24" i="45"/>
  <c r="DM24" i="45"/>
  <c r="DN24" i="45"/>
  <c r="DO24" i="45"/>
  <c r="DP24" i="45"/>
  <c r="DQ24" i="45"/>
  <c r="DR24" i="45"/>
  <c r="DS24" i="45"/>
  <c r="DT24" i="45"/>
  <c r="DU24" i="45"/>
  <c r="DV24" i="45"/>
  <c r="DW24" i="45"/>
  <c r="DX24" i="45"/>
  <c r="DY24" i="45"/>
  <c r="DZ24" i="45"/>
  <c r="EA24" i="45"/>
  <c r="EB24" i="45"/>
  <c r="EC24" i="45"/>
  <c r="ED24" i="45"/>
  <c r="EE24" i="45"/>
  <c r="EF24" i="45"/>
  <c r="EG24" i="45"/>
  <c r="EH24" i="45"/>
  <c r="EI24" i="45"/>
  <c r="EJ24" i="45"/>
  <c r="EK24" i="45"/>
  <c r="EL24" i="45"/>
  <c r="EM24" i="45"/>
  <c r="EN24" i="45"/>
  <c r="EO24" i="45"/>
  <c r="EP24" i="45"/>
  <c r="EQ24" i="45"/>
  <c r="ER24" i="45"/>
  <c r="ES24" i="45"/>
  <c r="ET24" i="45"/>
  <c r="EU24" i="45"/>
  <c r="EV24" i="45"/>
  <c r="EW24" i="45"/>
  <c r="EX24" i="45"/>
  <c r="EY24" i="45"/>
  <c r="EZ24" i="45"/>
  <c r="FA24" i="45"/>
  <c r="FB24" i="45"/>
  <c r="FC24" i="45"/>
  <c r="FD24" i="45"/>
  <c r="FE24" i="45"/>
  <c r="FF24" i="45"/>
  <c r="FG24" i="45"/>
  <c r="FH24" i="45"/>
  <c r="FI24" i="45"/>
  <c r="FJ24" i="45"/>
  <c r="FK24" i="45"/>
  <c r="FL24" i="45"/>
  <c r="FM24" i="45"/>
  <c r="FN24" i="45"/>
  <c r="FO24" i="45"/>
  <c r="FP24" i="45"/>
  <c r="FQ24" i="45"/>
  <c r="FR24" i="45"/>
  <c r="FS24" i="45"/>
  <c r="FT24" i="45"/>
  <c r="FU24" i="45"/>
  <c r="FV24" i="45"/>
  <c r="FW24" i="45"/>
  <c r="FX24" i="45"/>
  <c r="FY24" i="45"/>
  <c r="FZ24" i="45"/>
  <c r="GA24" i="45"/>
  <c r="GB24" i="45"/>
  <c r="GC24" i="45"/>
  <c r="GD24" i="45"/>
  <c r="GE24" i="45"/>
  <c r="GF24" i="45"/>
  <c r="GG24" i="45"/>
  <c r="GH24" i="45"/>
  <c r="GI24" i="45"/>
  <c r="GJ24" i="45"/>
  <c r="GK24" i="45"/>
  <c r="GL24" i="45"/>
  <c r="GM24" i="45"/>
  <c r="GN24" i="45"/>
  <c r="GO24" i="45"/>
  <c r="GP24" i="45"/>
  <c r="GQ24" i="45"/>
  <c r="GR24" i="45"/>
  <c r="GS24" i="45"/>
  <c r="GT24" i="45"/>
  <c r="GU24" i="45"/>
  <c r="GV24" i="45"/>
  <c r="GW24" i="45"/>
  <c r="GX24" i="45"/>
  <c r="GY24" i="45"/>
  <c r="GZ24" i="45"/>
  <c r="HA24" i="45"/>
  <c r="HB24" i="45"/>
  <c r="HC24" i="45"/>
  <c r="HD24" i="45"/>
  <c r="HE24" i="45"/>
  <c r="HF24" i="45"/>
  <c r="HG24" i="45"/>
  <c r="HH24" i="45"/>
  <c r="HI24" i="45"/>
  <c r="HJ24" i="45"/>
  <c r="HK24" i="45"/>
  <c r="HL24" i="45"/>
  <c r="HM24" i="45"/>
  <c r="HN24" i="45"/>
  <c r="HO24" i="45"/>
  <c r="HP24" i="45"/>
  <c r="HQ24" i="45"/>
  <c r="HR24" i="45"/>
  <c r="HS24" i="45"/>
  <c r="HT24" i="45"/>
  <c r="HU24" i="45"/>
  <c r="HV24" i="45"/>
  <c r="HW24" i="45"/>
  <c r="HX24" i="45"/>
  <c r="HY24" i="45"/>
  <c r="HZ24" i="45"/>
  <c r="IA24" i="45"/>
  <c r="IB24" i="45"/>
  <c r="IC24" i="45"/>
  <c r="ID24" i="45"/>
  <c r="IE24" i="45"/>
  <c r="IF24" i="45"/>
  <c r="IG24" i="45"/>
  <c r="IH24" i="45"/>
  <c r="II24" i="45"/>
  <c r="IJ24" i="45"/>
  <c r="IK24" i="45"/>
  <c r="IL24" i="45"/>
  <c r="IM24" i="45"/>
  <c r="IN24" i="45"/>
  <c r="IO24" i="45"/>
  <c r="IP24" i="45"/>
  <c r="IQ24" i="45"/>
  <c r="IR24" i="45"/>
  <c r="IS24" i="45"/>
  <c r="IT24" i="45"/>
  <c r="IU24" i="45"/>
  <c r="IV24" i="45"/>
  <c r="A23" i="45"/>
  <c r="B23" i="45"/>
  <c r="C23" i="45"/>
  <c r="D23" i="45"/>
  <c r="E23" i="45"/>
  <c r="F23" i="45"/>
  <c r="G23" i="45"/>
  <c r="H23" i="45"/>
  <c r="I23" i="45"/>
  <c r="J23" i="45"/>
  <c r="K23" i="45"/>
  <c r="L23" i="45"/>
  <c r="M23" i="45"/>
  <c r="N23" i="45"/>
  <c r="O23" i="45"/>
  <c r="P23" i="45"/>
  <c r="Q23" i="45"/>
  <c r="R23" i="45"/>
  <c r="S23" i="45"/>
  <c r="T23" i="45"/>
  <c r="U23" i="45"/>
  <c r="V23" i="45"/>
  <c r="W23" i="45"/>
  <c r="X23" i="45"/>
  <c r="Y23" i="45"/>
  <c r="Z23" i="45"/>
  <c r="AA23" i="45"/>
  <c r="AB23" i="45"/>
  <c r="AC23" i="45"/>
  <c r="AD23" i="45"/>
  <c r="AE23" i="45"/>
  <c r="AF23" i="45"/>
  <c r="AG23" i="45"/>
  <c r="AH23" i="45"/>
  <c r="AI23" i="45"/>
  <c r="AJ23" i="45"/>
  <c r="AK23" i="45"/>
  <c r="AL23" i="45"/>
  <c r="AM23" i="45"/>
  <c r="AN23" i="45"/>
  <c r="AO23" i="45"/>
  <c r="AP23" i="45"/>
  <c r="AQ23" i="45"/>
  <c r="AR23" i="45"/>
  <c r="AS23" i="45"/>
  <c r="AT23" i="45"/>
  <c r="AU23" i="45"/>
  <c r="AV23" i="45"/>
  <c r="AW23" i="45"/>
  <c r="AX23" i="45"/>
  <c r="AY23" i="45"/>
  <c r="AZ23" i="45"/>
  <c r="BA23" i="45"/>
  <c r="BB23" i="45"/>
  <c r="BC23" i="45"/>
  <c r="BD23" i="45"/>
  <c r="BE23" i="45"/>
  <c r="BF23" i="45"/>
  <c r="BG23" i="45"/>
  <c r="BH23" i="45"/>
  <c r="BI23" i="45"/>
  <c r="BJ23" i="45"/>
  <c r="BK23" i="45"/>
  <c r="BL23" i="45"/>
  <c r="BM23" i="45"/>
  <c r="BN23" i="45"/>
  <c r="BO23" i="45"/>
  <c r="BP23" i="45"/>
  <c r="BQ23" i="45"/>
  <c r="BR23" i="45"/>
  <c r="BS23" i="45"/>
  <c r="BT23" i="45"/>
  <c r="BU23" i="45"/>
  <c r="BV23" i="45"/>
  <c r="BW23" i="45"/>
  <c r="BX23" i="45"/>
  <c r="BY23" i="45"/>
  <c r="BZ23" i="45"/>
  <c r="CA23" i="45"/>
  <c r="CB23" i="45"/>
  <c r="CC23" i="45"/>
  <c r="CD23" i="45"/>
  <c r="CE23" i="45"/>
  <c r="CF23" i="45"/>
  <c r="CG23" i="45"/>
  <c r="CH23" i="45"/>
  <c r="CI23" i="45"/>
  <c r="CJ23" i="45"/>
  <c r="CK23" i="45"/>
  <c r="CL23" i="45"/>
  <c r="CM23" i="45"/>
  <c r="CN23" i="45"/>
  <c r="CO23" i="45"/>
  <c r="CP23" i="45"/>
  <c r="CQ23" i="45"/>
  <c r="CR23" i="45"/>
  <c r="CS23" i="45"/>
  <c r="CT23" i="45"/>
  <c r="CU23" i="45"/>
  <c r="CV23" i="45"/>
  <c r="CW23" i="45"/>
  <c r="CX23" i="45"/>
  <c r="CY23" i="45"/>
  <c r="CZ23" i="45"/>
  <c r="DA23" i="45"/>
  <c r="DB23" i="45"/>
  <c r="DC23" i="45"/>
  <c r="DD23" i="45"/>
  <c r="DE23" i="45"/>
  <c r="DF23" i="45"/>
  <c r="DG23" i="45"/>
  <c r="DH23" i="45"/>
  <c r="DI23" i="45"/>
  <c r="DJ23" i="45"/>
  <c r="DK23" i="45"/>
  <c r="DL23" i="45"/>
  <c r="DM23" i="45"/>
  <c r="DN23" i="45"/>
  <c r="DO23" i="45"/>
  <c r="DP23" i="45"/>
  <c r="DQ23" i="45"/>
  <c r="DR23" i="45"/>
  <c r="DS23" i="45"/>
  <c r="DT23" i="45"/>
  <c r="DU23" i="45"/>
  <c r="DV23" i="45"/>
  <c r="DW23" i="45"/>
  <c r="DX23" i="45"/>
  <c r="DY23" i="45"/>
  <c r="DZ23" i="45"/>
  <c r="EA23" i="45"/>
  <c r="EB23" i="45"/>
  <c r="EC23" i="45"/>
  <c r="ED23" i="45"/>
  <c r="EE23" i="45"/>
  <c r="EF23" i="45"/>
  <c r="EG23" i="45"/>
  <c r="EH23" i="45"/>
  <c r="EI23" i="45"/>
  <c r="EJ23" i="45"/>
  <c r="EK23" i="45"/>
  <c r="EL23" i="45"/>
  <c r="EM23" i="45"/>
  <c r="EN23" i="45"/>
  <c r="EO23" i="45"/>
  <c r="EP23" i="45"/>
  <c r="EQ23" i="45"/>
  <c r="ER23" i="45"/>
  <c r="ES23" i="45"/>
  <c r="ET23" i="45"/>
  <c r="EU23" i="45"/>
  <c r="EV23" i="45"/>
  <c r="EW23" i="45"/>
  <c r="EX23" i="45"/>
  <c r="EY23" i="45"/>
  <c r="EZ23" i="45"/>
  <c r="FA23" i="45"/>
  <c r="FB23" i="45"/>
  <c r="FC23" i="45"/>
  <c r="FD23" i="45"/>
  <c r="FE23" i="45"/>
  <c r="FF23" i="45"/>
  <c r="FG23" i="45"/>
  <c r="FH23" i="45"/>
  <c r="FI23" i="45"/>
  <c r="FJ23" i="45"/>
  <c r="FK23" i="45"/>
  <c r="FL23" i="45"/>
  <c r="FM23" i="45"/>
  <c r="FN23" i="45"/>
  <c r="FO23" i="45"/>
  <c r="FP23" i="45"/>
  <c r="FQ23" i="45"/>
  <c r="FR23" i="45"/>
  <c r="FS23" i="45"/>
  <c r="FT23" i="45"/>
  <c r="FU23" i="45"/>
  <c r="FV23" i="45"/>
  <c r="FW23" i="45"/>
  <c r="FX23" i="45"/>
  <c r="FY23" i="45"/>
  <c r="FZ23" i="45"/>
  <c r="GA23" i="45"/>
  <c r="GB23" i="45"/>
  <c r="GC23" i="45"/>
  <c r="GD23" i="45"/>
  <c r="GE23" i="45"/>
  <c r="GF23" i="45"/>
  <c r="GG23" i="45"/>
  <c r="GH23" i="45"/>
  <c r="GI23" i="45"/>
  <c r="GJ23" i="45"/>
  <c r="GK23" i="45"/>
  <c r="GL23" i="45"/>
  <c r="GM23" i="45"/>
  <c r="GN23" i="45"/>
  <c r="GO23" i="45"/>
  <c r="GP23" i="45"/>
  <c r="GQ23" i="45"/>
  <c r="GR23" i="45"/>
  <c r="GS23" i="45"/>
  <c r="GT23" i="45"/>
  <c r="GU23" i="45"/>
  <c r="GV23" i="45"/>
  <c r="GW23" i="45"/>
  <c r="GX23" i="45"/>
  <c r="GY23" i="45"/>
  <c r="GZ23" i="45"/>
  <c r="HA23" i="45"/>
  <c r="HB23" i="45"/>
  <c r="HC23" i="45"/>
  <c r="HD23" i="45"/>
  <c r="HE23" i="45"/>
  <c r="HF23" i="45"/>
  <c r="HG23" i="45"/>
  <c r="HH23" i="45"/>
  <c r="HI23" i="45"/>
  <c r="HJ23" i="45"/>
  <c r="HK23" i="45"/>
  <c r="HL23" i="45"/>
  <c r="HM23" i="45"/>
  <c r="HN23" i="45"/>
  <c r="HO23" i="45"/>
  <c r="HP23" i="45"/>
  <c r="HQ23" i="45"/>
  <c r="HR23" i="45"/>
  <c r="HS23" i="45"/>
  <c r="HT23" i="45"/>
  <c r="HU23" i="45"/>
  <c r="HV23" i="45"/>
  <c r="HW23" i="45"/>
  <c r="HX23" i="45"/>
  <c r="HY23" i="45"/>
  <c r="HZ23" i="45"/>
  <c r="IA23" i="45"/>
  <c r="IB23" i="45"/>
  <c r="IC23" i="45"/>
  <c r="ID23" i="45"/>
  <c r="IE23" i="45"/>
  <c r="IF23" i="45"/>
  <c r="IG23" i="45"/>
  <c r="IH23" i="45"/>
  <c r="II23" i="45"/>
  <c r="IJ23" i="45"/>
  <c r="IK23" i="45"/>
  <c r="IL23" i="45"/>
  <c r="IM23" i="45"/>
  <c r="IN23" i="45"/>
  <c r="IO23" i="45"/>
  <c r="IP23" i="45"/>
  <c r="IQ23" i="45"/>
  <c r="IR23" i="45"/>
  <c r="IS23" i="45"/>
  <c r="IT23" i="45"/>
  <c r="IU23" i="45"/>
  <c r="IV23" i="45"/>
  <c r="A22" i="45"/>
  <c r="B22" i="45"/>
  <c r="C22" i="45"/>
  <c r="D22" i="45"/>
  <c r="E22" i="45"/>
  <c r="F22" i="45"/>
  <c r="G22" i="45"/>
  <c r="H22" i="45"/>
  <c r="I22" i="45"/>
  <c r="J22" i="45"/>
  <c r="K22" i="45"/>
  <c r="L22" i="45"/>
  <c r="M22" i="45"/>
  <c r="N22" i="45"/>
  <c r="O22" i="45"/>
  <c r="P22" i="45"/>
  <c r="Q22" i="45"/>
  <c r="R22" i="45"/>
  <c r="S22" i="45"/>
  <c r="T22" i="45"/>
  <c r="U22" i="45"/>
  <c r="V22" i="45"/>
  <c r="W22" i="45"/>
  <c r="X22" i="45"/>
  <c r="Y22" i="45"/>
  <c r="Z22" i="45"/>
  <c r="AA22" i="45"/>
  <c r="AB22" i="45"/>
  <c r="AC22" i="45"/>
  <c r="AD22" i="45"/>
  <c r="AE22" i="45"/>
  <c r="AF22" i="45"/>
  <c r="AG22" i="45"/>
  <c r="AH22" i="45"/>
  <c r="AI22" i="45"/>
  <c r="AJ22" i="45"/>
  <c r="AK22" i="45"/>
  <c r="AL22" i="45"/>
  <c r="AM22" i="45"/>
  <c r="AN22" i="45"/>
  <c r="AO22" i="45"/>
  <c r="AP22" i="45"/>
  <c r="AQ22" i="45"/>
  <c r="AR22" i="45"/>
  <c r="AS22" i="45"/>
  <c r="AT22" i="45"/>
  <c r="AU22" i="45"/>
  <c r="AV22" i="45"/>
  <c r="AW22" i="45"/>
  <c r="AX22" i="45"/>
  <c r="AY22" i="45"/>
  <c r="AZ22" i="45"/>
  <c r="BA22" i="45"/>
  <c r="BB22" i="45"/>
  <c r="BC22" i="45"/>
  <c r="BD22" i="45"/>
  <c r="BE22" i="45"/>
  <c r="BF22" i="45"/>
  <c r="BG22" i="45"/>
  <c r="BH22" i="45"/>
  <c r="BI22" i="45"/>
  <c r="BJ22" i="45"/>
  <c r="BK22" i="45"/>
  <c r="BL22" i="45"/>
  <c r="BM22" i="45"/>
  <c r="BN22" i="45"/>
  <c r="BO22" i="45"/>
  <c r="BP22" i="45"/>
  <c r="BQ22" i="45"/>
  <c r="BR22" i="45"/>
  <c r="BS22" i="45"/>
  <c r="BT22" i="45"/>
  <c r="BU22" i="45"/>
  <c r="BV22" i="45"/>
  <c r="BW22" i="45"/>
  <c r="BX22" i="45"/>
  <c r="BY22" i="45"/>
  <c r="BZ22" i="45"/>
  <c r="CA22" i="45"/>
  <c r="CB22" i="45"/>
  <c r="CC22" i="45"/>
  <c r="CD22" i="45"/>
  <c r="CE22" i="45"/>
  <c r="CF22" i="45"/>
  <c r="CG22" i="45"/>
  <c r="CH22" i="45"/>
  <c r="CI22" i="45"/>
  <c r="CJ22" i="45"/>
  <c r="CK22" i="45"/>
  <c r="CL22" i="45"/>
  <c r="CM22" i="45"/>
  <c r="CN22" i="45"/>
  <c r="CO22" i="45"/>
  <c r="CP22" i="45"/>
  <c r="CQ22" i="45"/>
  <c r="CR22" i="45"/>
  <c r="CS22" i="45"/>
  <c r="CT22" i="45"/>
  <c r="CU22" i="45"/>
  <c r="CV22" i="45"/>
  <c r="CW22" i="45"/>
  <c r="CX22" i="45"/>
  <c r="CY22" i="45"/>
  <c r="CZ22" i="45"/>
  <c r="DA22" i="45"/>
  <c r="DB22" i="45"/>
  <c r="DC22" i="45"/>
  <c r="DD22" i="45"/>
  <c r="DE22" i="45"/>
  <c r="DF22" i="45"/>
  <c r="DG22" i="45"/>
  <c r="DH22" i="45"/>
  <c r="DI22" i="45"/>
  <c r="DJ22" i="45"/>
  <c r="DK22" i="45"/>
  <c r="DL22" i="45"/>
  <c r="DM22" i="45"/>
  <c r="DN22" i="45"/>
  <c r="DO22" i="45"/>
  <c r="DP22" i="45"/>
  <c r="DQ22" i="45"/>
  <c r="DR22" i="45"/>
  <c r="DS22" i="45"/>
  <c r="DT22" i="45"/>
  <c r="DU22" i="45"/>
  <c r="DV22" i="45"/>
  <c r="DW22" i="45"/>
  <c r="DX22" i="45"/>
  <c r="DY22" i="45"/>
  <c r="DZ22" i="45"/>
  <c r="EA22" i="45"/>
  <c r="EB22" i="45"/>
  <c r="EC22" i="45"/>
  <c r="ED22" i="45"/>
  <c r="EE22" i="45"/>
  <c r="EF22" i="45"/>
  <c r="EG22" i="45"/>
  <c r="EH22" i="45"/>
  <c r="EI22" i="45"/>
  <c r="EJ22" i="45"/>
  <c r="EK22" i="45"/>
  <c r="EL22" i="45"/>
  <c r="EM22" i="45"/>
  <c r="EN22" i="45"/>
  <c r="EO22" i="45"/>
  <c r="EP22" i="45"/>
  <c r="EQ22" i="45"/>
  <c r="ER22" i="45"/>
  <c r="ES22" i="45"/>
  <c r="ET22" i="45"/>
  <c r="EU22" i="45"/>
  <c r="EV22" i="45"/>
  <c r="EW22" i="45"/>
  <c r="EX22" i="45"/>
  <c r="EY22" i="45"/>
  <c r="EZ22" i="45"/>
  <c r="FA22" i="45"/>
  <c r="FB22" i="45"/>
  <c r="FC22" i="45"/>
  <c r="FD22" i="45"/>
  <c r="FE22" i="45"/>
  <c r="FF22" i="45"/>
  <c r="FG22" i="45"/>
  <c r="FH22" i="45"/>
  <c r="FI22" i="45"/>
  <c r="FJ22" i="45"/>
  <c r="FK22" i="45"/>
  <c r="FL22" i="45"/>
  <c r="FM22" i="45"/>
  <c r="FN22" i="45"/>
  <c r="FO22" i="45"/>
  <c r="FP22" i="45"/>
  <c r="FQ22" i="45"/>
  <c r="FR22" i="45"/>
  <c r="FS22" i="45"/>
  <c r="FT22" i="45"/>
  <c r="FU22" i="45"/>
  <c r="FV22" i="45"/>
  <c r="FW22" i="45"/>
  <c r="FX22" i="45"/>
  <c r="FY22" i="45"/>
  <c r="FZ22" i="45"/>
  <c r="GA22" i="45"/>
  <c r="GB22" i="45"/>
  <c r="GC22" i="45"/>
  <c r="GD22" i="45"/>
  <c r="GE22" i="45"/>
  <c r="GF22" i="45"/>
  <c r="GG22" i="45"/>
  <c r="GH22" i="45"/>
  <c r="GI22" i="45"/>
  <c r="GJ22" i="45"/>
  <c r="GK22" i="45"/>
  <c r="GL22" i="45"/>
  <c r="GM22" i="45"/>
  <c r="GN22" i="45"/>
  <c r="GO22" i="45"/>
  <c r="GP22" i="45"/>
  <c r="GQ22" i="45"/>
  <c r="GR22" i="45"/>
  <c r="GS22" i="45"/>
  <c r="GT22" i="45"/>
  <c r="GU22" i="45"/>
  <c r="GV22" i="45"/>
  <c r="GW22" i="45"/>
  <c r="GX22" i="45"/>
  <c r="GY22" i="45"/>
  <c r="GZ22" i="45"/>
  <c r="HA22" i="45"/>
  <c r="HB22" i="45"/>
  <c r="HC22" i="45"/>
  <c r="HD22" i="45"/>
  <c r="HE22" i="45"/>
  <c r="HF22" i="45"/>
  <c r="HG22" i="45"/>
  <c r="HH22" i="45"/>
  <c r="HI22" i="45"/>
  <c r="HJ22" i="45"/>
  <c r="HK22" i="45"/>
  <c r="HL22" i="45"/>
  <c r="HM22" i="45"/>
  <c r="HN22" i="45"/>
  <c r="HO22" i="45"/>
  <c r="HP22" i="45"/>
  <c r="HQ22" i="45"/>
  <c r="HR22" i="45"/>
  <c r="HS22" i="45"/>
  <c r="HT22" i="45"/>
  <c r="HU22" i="45"/>
  <c r="HV22" i="45"/>
  <c r="HW22" i="45"/>
  <c r="HX22" i="45"/>
  <c r="HY22" i="45"/>
  <c r="HZ22" i="45"/>
  <c r="IA22" i="45"/>
  <c r="IB22" i="45"/>
  <c r="IC22" i="45"/>
  <c r="ID22" i="45"/>
  <c r="IE22" i="45"/>
  <c r="IF22" i="45"/>
  <c r="IG22" i="45"/>
  <c r="IH22" i="45"/>
  <c r="II22" i="45"/>
  <c r="IJ22" i="45"/>
  <c r="IK22" i="45"/>
  <c r="IL22" i="45"/>
  <c r="IM22" i="45"/>
  <c r="IN22" i="45"/>
  <c r="IO22" i="45"/>
  <c r="IP22" i="45"/>
  <c r="IQ22" i="45"/>
  <c r="IR22" i="45"/>
  <c r="IS22" i="45"/>
  <c r="IT22" i="45"/>
  <c r="IU22" i="45"/>
  <c r="IV22" i="45"/>
  <c r="A21" i="45"/>
  <c r="B21" i="45"/>
  <c r="C21" i="45"/>
  <c r="D21" i="45"/>
  <c r="E21" i="45"/>
  <c r="F21" i="45"/>
  <c r="G21" i="45"/>
  <c r="H21" i="45"/>
  <c r="I21" i="45"/>
  <c r="J21" i="45"/>
  <c r="K21" i="45"/>
  <c r="L21" i="45"/>
  <c r="M21" i="45"/>
  <c r="N21" i="45"/>
  <c r="O21" i="45"/>
  <c r="P21" i="45"/>
  <c r="Q21" i="45"/>
  <c r="R21" i="45"/>
  <c r="S21" i="45"/>
  <c r="T21" i="45"/>
  <c r="U21" i="45"/>
  <c r="V21" i="45"/>
  <c r="W21" i="45"/>
  <c r="X21" i="45"/>
  <c r="Y21" i="45"/>
  <c r="Z21" i="45"/>
  <c r="AA21" i="45"/>
  <c r="AB21" i="45"/>
  <c r="AC21" i="45"/>
  <c r="AD21" i="45"/>
  <c r="AE21" i="45"/>
  <c r="AF21" i="45"/>
  <c r="AG21" i="45"/>
  <c r="AH21" i="45"/>
  <c r="AI21" i="45"/>
  <c r="AJ21" i="45"/>
  <c r="AK21" i="45"/>
  <c r="AL21" i="45"/>
  <c r="AM21" i="45"/>
  <c r="AN21" i="45"/>
  <c r="AO21" i="45"/>
  <c r="AP21" i="45"/>
  <c r="AQ21" i="45"/>
  <c r="AR21" i="45"/>
  <c r="AS21" i="45"/>
  <c r="AT21" i="45"/>
  <c r="AU21" i="45"/>
  <c r="AV21" i="45"/>
  <c r="AW21" i="45"/>
  <c r="AX21" i="45"/>
  <c r="AY21" i="45"/>
  <c r="AZ21" i="45"/>
  <c r="BA21" i="45"/>
  <c r="BB21" i="45"/>
  <c r="BC21" i="45"/>
  <c r="BD21" i="45"/>
  <c r="BE21" i="45"/>
  <c r="BF21" i="45"/>
  <c r="BG21" i="45"/>
  <c r="BH21" i="45"/>
  <c r="BI21" i="45"/>
  <c r="BJ21" i="45"/>
  <c r="BK21" i="45"/>
  <c r="BL21" i="45"/>
  <c r="BM21" i="45"/>
  <c r="BN21" i="45"/>
  <c r="BO21" i="45"/>
  <c r="BP21" i="45"/>
  <c r="BQ21" i="45"/>
  <c r="BR21" i="45"/>
  <c r="BS21" i="45"/>
  <c r="BT21" i="45"/>
  <c r="BU21" i="45"/>
  <c r="BV21" i="45"/>
  <c r="BW21" i="45"/>
  <c r="BX21" i="45"/>
  <c r="BY21" i="45"/>
  <c r="BZ21" i="45"/>
  <c r="CA21" i="45"/>
  <c r="CB21" i="45"/>
  <c r="CC21" i="45"/>
  <c r="CD21" i="45"/>
  <c r="CE21" i="45"/>
  <c r="CF21" i="45"/>
  <c r="CG21" i="45"/>
  <c r="CH21" i="45"/>
  <c r="CI21" i="45"/>
  <c r="CJ21" i="45"/>
  <c r="CK21" i="45"/>
  <c r="CL21" i="45"/>
  <c r="CM21" i="45"/>
  <c r="CN21" i="45"/>
  <c r="CO21" i="45"/>
  <c r="CP21" i="45"/>
  <c r="CQ21" i="45"/>
  <c r="CR21" i="45"/>
  <c r="CS21" i="45"/>
  <c r="CT21" i="45"/>
  <c r="CU21" i="45"/>
  <c r="CV21" i="45"/>
  <c r="CW21" i="45"/>
  <c r="CX21" i="45"/>
  <c r="CY21" i="45"/>
  <c r="CZ21" i="45"/>
  <c r="DA21" i="45"/>
  <c r="DB21" i="45"/>
  <c r="DC21" i="45"/>
  <c r="DD21" i="45"/>
  <c r="DE21" i="45"/>
  <c r="DF21" i="45"/>
  <c r="DG21" i="45"/>
  <c r="DH21" i="45"/>
  <c r="DI21" i="45"/>
  <c r="DJ21" i="45"/>
  <c r="DK21" i="45"/>
  <c r="DL21" i="45"/>
  <c r="DM21" i="45"/>
  <c r="DN21" i="45"/>
  <c r="DO21" i="45"/>
  <c r="DP21" i="45"/>
  <c r="DQ21" i="45"/>
  <c r="DR21" i="45"/>
  <c r="DS21" i="45"/>
  <c r="DT21" i="45"/>
  <c r="DU21" i="45"/>
  <c r="DV21" i="45"/>
  <c r="DW21" i="45"/>
  <c r="DX21" i="45"/>
  <c r="DY21" i="45"/>
  <c r="DZ21" i="45"/>
  <c r="EA21" i="45"/>
  <c r="EB21" i="45"/>
  <c r="EC21" i="45"/>
  <c r="ED21" i="45"/>
  <c r="EE21" i="45"/>
  <c r="EF21" i="45"/>
  <c r="EG21" i="45"/>
  <c r="EH21" i="45"/>
  <c r="EI21" i="45"/>
  <c r="EJ21" i="45"/>
  <c r="EK21" i="45"/>
  <c r="EL21" i="45"/>
  <c r="EM21" i="45"/>
  <c r="EN21" i="45"/>
  <c r="EO21" i="45"/>
  <c r="EP21" i="45"/>
  <c r="EQ21" i="45"/>
  <c r="ER21" i="45"/>
  <c r="ES21" i="45"/>
  <c r="ET21" i="45"/>
  <c r="EU21" i="45"/>
  <c r="EV21" i="45"/>
  <c r="EW21" i="45"/>
  <c r="EX21" i="45"/>
  <c r="EY21" i="45"/>
  <c r="EZ21" i="45"/>
  <c r="FA21" i="45"/>
  <c r="FB21" i="45"/>
  <c r="FC21" i="45"/>
  <c r="FD21" i="45"/>
  <c r="FE21" i="45"/>
  <c r="FF21" i="45"/>
  <c r="FG21" i="45"/>
  <c r="FH21" i="45"/>
  <c r="FI21" i="45"/>
  <c r="FJ21" i="45"/>
  <c r="FK21" i="45"/>
  <c r="FL21" i="45"/>
  <c r="FM21" i="45"/>
  <c r="FN21" i="45"/>
  <c r="FO21" i="45"/>
  <c r="FP21" i="45"/>
  <c r="FQ21" i="45"/>
  <c r="FR21" i="45"/>
  <c r="FS21" i="45"/>
  <c r="FT21" i="45"/>
  <c r="FU21" i="45"/>
  <c r="FV21" i="45"/>
  <c r="FW21" i="45"/>
  <c r="FX21" i="45"/>
  <c r="FY21" i="45"/>
  <c r="FZ21" i="45"/>
  <c r="GA21" i="45"/>
  <c r="GB21" i="45"/>
  <c r="GC21" i="45"/>
  <c r="GD21" i="45"/>
  <c r="GE21" i="45"/>
  <c r="GF21" i="45"/>
  <c r="GG21" i="45"/>
  <c r="GH21" i="45"/>
  <c r="GI21" i="45"/>
  <c r="GJ21" i="45"/>
  <c r="GK21" i="45"/>
  <c r="GL21" i="45"/>
  <c r="GM21" i="45"/>
  <c r="GN21" i="45"/>
  <c r="GO21" i="45"/>
  <c r="GP21" i="45"/>
  <c r="GQ21" i="45"/>
  <c r="GR21" i="45"/>
  <c r="GS21" i="45"/>
  <c r="GT21" i="45"/>
  <c r="GU21" i="45"/>
  <c r="GV21" i="45"/>
  <c r="GW21" i="45"/>
  <c r="GX21" i="45"/>
  <c r="GY21" i="45"/>
  <c r="GZ21" i="45"/>
  <c r="HA21" i="45"/>
  <c r="HB21" i="45"/>
  <c r="HC21" i="45"/>
  <c r="HD21" i="45"/>
  <c r="HE21" i="45"/>
  <c r="HF21" i="45"/>
  <c r="HG21" i="45"/>
  <c r="HH21" i="45"/>
  <c r="HI21" i="45"/>
  <c r="HJ21" i="45"/>
  <c r="HK21" i="45"/>
  <c r="HL21" i="45"/>
  <c r="HM21" i="45"/>
  <c r="HN21" i="45"/>
  <c r="HO21" i="45"/>
  <c r="HP21" i="45"/>
  <c r="HQ21" i="45"/>
  <c r="HR21" i="45"/>
  <c r="HS21" i="45"/>
  <c r="HT21" i="45"/>
  <c r="HU21" i="45"/>
  <c r="HV21" i="45"/>
  <c r="HW21" i="45"/>
  <c r="HX21" i="45"/>
  <c r="HY21" i="45"/>
  <c r="HZ21" i="45"/>
  <c r="IA21" i="45"/>
  <c r="IB21" i="45"/>
  <c r="IC21" i="45"/>
  <c r="ID21" i="45"/>
  <c r="IE21" i="45"/>
  <c r="IF21" i="45"/>
  <c r="IG21" i="45"/>
  <c r="IH21" i="45"/>
  <c r="II21" i="45"/>
  <c r="IJ21" i="45"/>
  <c r="IK21" i="45"/>
  <c r="IL21" i="45"/>
  <c r="IM21" i="45"/>
  <c r="IN21" i="45"/>
  <c r="IO21" i="45"/>
  <c r="IP21" i="45"/>
  <c r="IQ21" i="45"/>
  <c r="IR21" i="45"/>
  <c r="IS21" i="45"/>
  <c r="IT21" i="45"/>
  <c r="IU21" i="45"/>
  <c r="IV21" i="45"/>
  <c r="A20" i="45"/>
  <c r="B20" i="45"/>
  <c r="C20" i="45"/>
  <c r="D20" i="45"/>
  <c r="E20" i="45"/>
  <c r="F20" i="45"/>
  <c r="G20" i="45"/>
  <c r="H20" i="45"/>
  <c r="I20" i="45"/>
  <c r="J20" i="45"/>
  <c r="K20" i="45"/>
  <c r="L20" i="45"/>
  <c r="M20" i="45"/>
  <c r="N20" i="45"/>
  <c r="O20" i="45"/>
  <c r="P20" i="45"/>
  <c r="Q20" i="45"/>
  <c r="R20" i="45"/>
  <c r="S20" i="45"/>
  <c r="T20" i="45"/>
  <c r="U20" i="45"/>
  <c r="V20" i="45"/>
  <c r="W20" i="45"/>
  <c r="X20" i="45"/>
  <c r="Y20" i="45"/>
  <c r="Z20" i="45"/>
  <c r="AA20" i="45"/>
  <c r="AB20" i="45"/>
  <c r="AC20" i="45"/>
  <c r="AD20" i="45"/>
  <c r="AE20" i="45"/>
  <c r="AF20" i="45"/>
  <c r="AG20" i="45"/>
  <c r="AH20" i="45"/>
  <c r="AI20" i="45"/>
  <c r="AJ20" i="45"/>
  <c r="AK20" i="45"/>
  <c r="AL20" i="45"/>
  <c r="AM20" i="45"/>
  <c r="AN20" i="45"/>
  <c r="AO20" i="45"/>
  <c r="AP20" i="45"/>
  <c r="AQ20" i="45"/>
  <c r="AR20" i="45"/>
  <c r="AS20" i="45"/>
  <c r="AT20" i="45"/>
  <c r="AU20" i="45"/>
  <c r="AV20" i="45"/>
  <c r="AW20" i="45"/>
  <c r="AX20" i="45"/>
  <c r="AY20" i="45"/>
  <c r="AZ20" i="45"/>
  <c r="BA20" i="45"/>
  <c r="BB20" i="45"/>
  <c r="BC20" i="45"/>
  <c r="BD20" i="45"/>
  <c r="BE20" i="45"/>
  <c r="BF20" i="45"/>
  <c r="BG20" i="45"/>
  <c r="BH20" i="45"/>
  <c r="BI20" i="45"/>
  <c r="BJ20" i="45"/>
  <c r="BK20" i="45"/>
  <c r="BL20" i="45"/>
  <c r="BM20" i="45"/>
  <c r="BN20" i="45"/>
  <c r="BO20" i="45"/>
  <c r="BP20" i="45"/>
  <c r="BQ20" i="45"/>
  <c r="BR20" i="45"/>
  <c r="BS20" i="45"/>
  <c r="BT20" i="45"/>
  <c r="BU20" i="45"/>
  <c r="BV20" i="45"/>
  <c r="BW20" i="45"/>
  <c r="BX20" i="45"/>
  <c r="BY20" i="45"/>
  <c r="BZ20" i="45"/>
  <c r="CA20" i="45"/>
  <c r="CB20" i="45"/>
  <c r="CC20" i="45"/>
  <c r="CD20" i="45"/>
  <c r="CE20" i="45"/>
  <c r="CF20" i="45"/>
  <c r="CG20" i="45"/>
  <c r="CH20" i="45"/>
  <c r="CI20" i="45"/>
  <c r="CJ20" i="45"/>
  <c r="CK20" i="45"/>
  <c r="CL20" i="45"/>
  <c r="CM20" i="45"/>
  <c r="CN20" i="45"/>
  <c r="CO20" i="45"/>
  <c r="CP20" i="45"/>
  <c r="CQ20" i="45"/>
  <c r="CR20" i="45"/>
  <c r="CS20" i="45"/>
  <c r="CT20" i="45"/>
  <c r="CU20" i="45"/>
  <c r="CV20" i="45"/>
  <c r="CW20" i="45"/>
  <c r="CX20" i="45"/>
  <c r="CY20" i="45"/>
  <c r="CZ20" i="45"/>
  <c r="DA20" i="45"/>
  <c r="DB20" i="45"/>
  <c r="DC20" i="45"/>
  <c r="DD20" i="45"/>
  <c r="DE20" i="45"/>
  <c r="DF20" i="45"/>
  <c r="DG20" i="45"/>
  <c r="DH20" i="45"/>
  <c r="DI20" i="45"/>
  <c r="DJ20" i="45"/>
  <c r="DK20" i="45"/>
  <c r="DL20" i="45"/>
  <c r="DM20" i="45"/>
  <c r="DN20" i="45"/>
  <c r="DO20" i="45"/>
  <c r="DP20" i="45"/>
  <c r="DQ20" i="45"/>
  <c r="DR20" i="45"/>
  <c r="DS20" i="45"/>
  <c r="DT20" i="45"/>
  <c r="DU20" i="45"/>
  <c r="DV20" i="45"/>
  <c r="DW20" i="45"/>
  <c r="DX20" i="45"/>
  <c r="DY20" i="45"/>
  <c r="DZ20" i="45"/>
  <c r="EA20" i="45"/>
  <c r="EB20" i="45"/>
  <c r="EC20" i="45"/>
  <c r="ED20" i="45"/>
  <c r="EE20" i="45"/>
  <c r="EF20" i="45"/>
  <c r="EG20" i="45"/>
  <c r="EH20" i="45"/>
  <c r="EI20" i="45"/>
  <c r="EJ20" i="45"/>
  <c r="EK20" i="45"/>
  <c r="EL20" i="45"/>
  <c r="EM20" i="45"/>
  <c r="EN20" i="45"/>
  <c r="EO20" i="45"/>
  <c r="EP20" i="45"/>
  <c r="EQ20" i="45"/>
  <c r="ER20" i="45"/>
  <c r="ES20" i="45"/>
  <c r="ET20" i="45"/>
  <c r="EU20" i="45"/>
  <c r="EV20" i="45"/>
  <c r="EW20" i="45"/>
  <c r="EX20" i="45"/>
  <c r="EY20" i="45"/>
  <c r="EZ20" i="45"/>
  <c r="FA20" i="45"/>
  <c r="FB20" i="45"/>
  <c r="FC20" i="45"/>
  <c r="FD20" i="45"/>
  <c r="FE20" i="45"/>
  <c r="FF20" i="45"/>
  <c r="FG20" i="45"/>
  <c r="FH20" i="45"/>
  <c r="FI20" i="45"/>
  <c r="FJ20" i="45"/>
  <c r="FK20" i="45"/>
  <c r="FL20" i="45"/>
  <c r="FM20" i="45"/>
  <c r="FN20" i="45"/>
  <c r="FO20" i="45"/>
  <c r="FP20" i="45"/>
  <c r="FQ20" i="45"/>
  <c r="FR20" i="45"/>
  <c r="FS20" i="45"/>
  <c r="FT20" i="45"/>
  <c r="FU20" i="45"/>
  <c r="FV20" i="45"/>
  <c r="FW20" i="45"/>
  <c r="FX20" i="45"/>
  <c r="FY20" i="45"/>
  <c r="FZ20" i="45"/>
  <c r="GA20" i="45"/>
  <c r="GB20" i="45"/>
  <c r="GC20" i="45"/>
  <c r="GD20" i="45"/>
  <c r="GE20" i="45"/>
  <c r="GF20" i="45"/>
  <c r="GG20" i="45"/>
  <c r="GH20" i="45"/>
  <c r="GI20" i="45"/>
  <c r="GJ20" i="45"/>
  <c r="GK20" i="45"/>
  <c r="GL20" i="45"/>
  <c r="GM20" i="45"/>
  <c r="GN20" i="45"/>
  <c r="GO20" i="45"/>
  <c r="GP20" i="45"/>
  <c r="GQ20" i="45"/>
  <c r="GR20" i="45"/>
  <c r="GS20" i="45"/>
  <c r="GT20" i="45"/>
  <c r="GU20" i="45"/>
  <c r="GV20" i="45"/>
  <c r="GW20" i="45"/>
  <c r="GX20" i="45"/>
  <c r="GY20" i="45"/>
  <c r="GZ20" i="45"/>
  <c r="HA20" i="45"/>
  <c r="HB20" i="45"/>
  <c r="HC20" i="45"/>
  <c r="HD20" i="45"/>
  <c r="HE20" i="45"/>
  <c r="HF20" i="45"/>
  <c r="HG20" i="45"/>
  <c r="HH20" i="45"/>
  <c r="HI20" i="45"/>
  <c r="HJ20" i="45"/>
  <c r="HK20" i="45"/>
  <c r="HL20" i="45"/>
  <c r="HM20" i="45"/>
  <c r="HN20" i="45"/>
  <c r="HO20" i="45"/>
  <c r="HP20" i="45"/>
  <c r="HQ20" i="45"/>
  <c r="HR20" i="45"/>
  <c r="HS20" i="45"/>
  <c r="HT20" i="45"/>
  <c r="HU20" i="45"/>
  <c r="HV20" i="45"/>
  <c r="HW20" i="45"/>
  <c r="HX20" i="45"/>
  <c r="HY20" i="45"/>
  <c r="HZ20" i="45"/>
  <c r="IA20" i="45"/>
  <c r="IB20" i="45"/>
  <c r="IC20" i="45"/>
  <c r="ID20" i="45"/>
  <c r="IE20" i="45"/>
  <c r="IF20" i="45"/>
  <c r="IG20" i="45"/>
  <c r="IH20" i="45"/>
  <c r="II20" i="45"/>
  <c r="IJ20" i="45"/>
  <c r="IK20" i="45"/>
  <c r="IL20" i="45"/>
  <c r="IM20" i="45"/>
  <c r="IN20" i="45"/>
  <c r="IO20" i="45"/>
  <c r="IP20" i="45"/>
  <c r="IQ20" i="45"/>
  <c r="IR20" i="45"/>
  <c r="IS20" i="45"/>
  <c r="IT20" i="45"/>
  <c r="IU20" i="45"/>
  <c r="IV20" i="45"/>
  <c r="A19" i="45"/>
  <c r="B19" i="45"/>
  <c r="C19" i="45"/>
  <c r="D19" i="45"/>
  <c r="E19" i="45"/>
  <c r="F19" i="45"/>
  <c r="G19" i="45"/>
  <c r="H19" i="45"/>
  <c r="I19" i="45"/>
  <c r="J19" i="45"/>
  <c r="K19" i="45"/>
  <c r="L19" i="45"/>
  <c r="M19" i="45"/>
  <c r="N19" i="45"/>
  <c r="O19" i="45"/>
  <c r="P19" i="45"/>
  <c r="Q19" i="45"/>
  <c r="R19" i="45"/>
  <c r="S19" i="45"/>
  <c r="T19" i="45"/>
  <c r="U19" i="45"/>
  <c r="V19" i="45"/>
  <c r="W19" i="45"/>
  <c r="X19" i="45"/>
  <c r="Y19" i="45"/>
  <c r="Z19" i="45"/>
  <c r="AA19" i="45"/>
  <c r="AB19" i="45"/>
  <c r="AC19" i="45"/>
  <c r="AD19" i="45"/>
  <c r="AE19" i="45"/>
  <c r="AF19" i="45"/>
  <c r="AG19" i="45"/>
  <c r="AH19" i="45"/>
  <c r="AI19" i="45"/>
  <c r="AJ19" i="45"/>
  <c r="AK19" i="45"/>
  <c r="AL19" i="45"/>
  <c r="AM19" i="45"/>
  <c r="AN19" i="45"/>
  <c r="AO19" i="45"/>
  <c r="AP19" i="45"/>
  <c r="AQ19" i="45"/>
  <c r="AR19" i="45"/>
  <c r="AS19" i="45"/>
  <c r="AT19" i="45"/>
  <c r="AU19" i="45"/>
  <c r="AV19" i="45"/>
  <c r="AW19" i="45"/>
  <c r="AX19" i="45"/>
  <c r="AY19" i="45"/>
  <c r="AZ19" i="45"/>
  <c r="BA19" i="45"/>
  <c r="BB19" i="45"/>
  <c r="BC19" i="45"/>
  <c r="BD19" i="45"/>
  <c r="BE19" i="45"/>
  <c r="BF19" i="45"/>
  <c r="BG19" i="45"/>
  <c r="BH19" i="45"/>
  <c r="BI19" i="45"/>
  <c r="BJ19" i="45"/>
  <c r="BK19" i="45"/>
  <c r="BL19" i="45"/>
  <c r="BM19" i="45"/>
  <c r="BN19" i="45"/>
  <c r="BO19" i="45"/>
  <c r="BP19" i="45"/>
  <c r="BQ19" i="45"/>
  <c r="BR19" i="45"/>
  <c r="BS19" i="45"/>
  <c r="BT19" i="45"/>
  <c r="BU19" i="45"/>
  <c r="BV19" i="45"/>
  <c r="BW19" i="45"/>
  <c r="BX19" i="45"/>
  <c r="BY19" i="45"/>
  <c r="BZ19" i="45"/>
  <c r="CA19" i="45"/>
  <c r="CB19" i="45"/>
  <c r="CC19" i="45"/>
  <c r="CD19" i="45"/>
  <c r="CE19" i="45"/>
  <c r="CF19" i="45"/>
  <c r="CG19" i="45"/>
  <c r="CH19" i="45"/>
  <c r="CI19" i="45"/>
  <c r="CJ19" i="45"/>
  <c r="CK19" i="45"/>
  <c r="CL19" i="45"/>
  <c r="CM19" i="45"/>
  <c r="CN19" i="45"/>
  <c r="CO19" i="45"/>
  <c r="CP19" i="45"/>
  <c r="CQ19" i="45"/>
  <c r="CR19" i="45"/>
  <c r="CS19" i="45"/>
  <c r="CT19" i="45"/>
  <c r="CU19" i="45"/>
  <c r="CV19" i="45"/>
  <c r="CW19" i="45"/>
  <c r="CX19" i="45"/>
  <c r="CY19" i="45"/>
  <c r="CZ19" i="45"/>
  <c r="DA19" i="45"/>
  <c r="DB19" i="45"/>
  <c r="DC19" i="45"/>
  <c r="DD19" i="45"/>
  <c r="DE19" i="45"/>
  <c r="DF19" i="45"/>
  <c r="DG19" i="45"/>
  <c r="DH19" i="45"/>
  <c r="DI19" i="45"/>
  <c r="DJ19" i="45"/>
  <c r="DK19" i="45"/>
  <c r="DL19" i="45"/>
  <c r="DM19" i="45"/>
  <c r="DN19" i="45"/>
  <c r="DO19" i="45"/>
  <c r="DP19" i="45"/>
  <c r="DQ19" i="45"/>
  <c r="DR19" i="45"/>
  <c r="DS19" i="45"/>
  <c r="DT19" i="45"/>
  <c r="DU19" i="45"/>
  <c r="DV19" i="45"/>
  <c r="DW19" i="45"/>
  <c r="DX19" i="45"/>
  <c r="DY19" i="45"/>
  <c r="DZ19" i="45"/>
  <c r="EA19" i="45"/>
  <c r="EB19" i="45"/>
  <c r="EC19" i="45"/>
  <c r="ED19" i="45"/>
  <c r="EE19" i="45"/>
  <c r="EF19" i="45"/>
  <c r="EG19" i="45"/>
  <c r="EH19" i="45"/>
  <c r="EI19" i="45"/>
  <c r="EJ19" i="45"/>
  <c r="EK19" i="45"/>
  <c r="EL19" i="45"/>
  <c r="EM19" i="45"/>
  <c r="EN19" i="45"/>
  <c r="EO19" i="45"/>
  <c r="EP19" i="45"/>
  <c r="EQ19" i="45"/>
  <c r="ER19" i="45"/>
  <c r="ES19" i="45"/>
  <c r="ET19" i="45"/>
  <c r="EU19" i="45"/>
  <c r="EV19" i="45"/>
  <c r="EW19" i="45"/>
  <c r="EX19" i="45"/>
  <c r="EY19" i="45"/>
  <c r="EZ19" i="45"/>
  <c r="FA19" i="45"/>
  <c r="FB19" i="45"/>
  <c r="FC19" i="45"/>
  <c r="FD19" i="45"/>
  <c r="FE19" i="45"/>
  <c r="FF19" i="45"/>
  <c r="FG19" i="45"/>
  <c r="FH19" i="45"/>
  <c r="FI19" i="45"/>
  <c r="FJ19" i="45"/>
  <c r="FK19" i="45"/>
  <c r="FL19" i="45"/>
  <c r="FM19" i="45"/>
  <c r="FN19" i="45"/>
  <c r="FO19" i="45"/>
  <c r="FP19" i="45"/>
  <c r="FQ19" i="45"/>
  <c r="FR19" i="45"/>
  <c r="FS19" i="45"/>
  <c r="FT19" i="45"/>
  <c r="FU19" i="45"/>
  <c r="FV19" i="45"/>
  <c r="FW19" i="45"/>
  <c r="FX19" i="45"/>
  <c r="FY19" i="45"/>
  <c r="FZ19" i="45"/>
  <c r="GA19" i="45"/>
  <c r="GB19" i="45"/>
  <c r="GC19" i="45"/>
  <c r="GD19" i="45"/>
  <c r="GE19" i="45"/>
  <c r="GF19" i="45"/>
  <c r="GG19" i="45"/>
  <c r="GH19" i="45"/>
  <c r="GI19" i="45"/>
  <c r="GJ19" i="45"/>
  <c r="GK19" i="45"/>
  <c r="GL19" i="45"/>
  <c r="GM19" i="45"/>
  <c r="GN19" i="45"/>
  <c r="GO19" i="45"/>
  <c r="GP19" i="45"/>
  <c r="GQ19" i="45"/>
  <c r="GR19" i="45"/>
  <c r="GS19" i="45"/>
  <c r="GT19" i="45"/>
  <c r="GU19" i="45"/>
  <c r="GV19" i="45"/>
  <c r="GW19" i="45"/>
  <c r="GX19" i="45"/>
  <c r="GY19" i="45"/>
  <c r="GZ19" i="45"/>
  <c r="HA19" i="45"/>
  <c r="HB19" i="45"/>
  <c r="HC19" i="45"/>
  <c r="HD19" i="45"/>
  <c r="HE19" i="45"/>
  <c r="HF19" i="45"/>
  <c r="HG19" i="45"/>
  <c r="HH19" i="45"/>
  <c r="HI19" i="45"/>
  <c r="HJ19" i="45"/>
  <c r="HK19" i="45"/>
  <c r="HL19" i="45"/>
  <c r="HM19" i="45"/>
  <c r="HN19" i="45"/>
  <c r="HO19" i="45"/>
  <c r="HP19" i="45"/>
  <c r="HQ19" i="45"/>
  <c r="HR19" i="45"/>
  <c r="HS19" i="45"/>
  <c r="HT19" i="45"/>
  <c r="HU19" i="45"/>
  <c r="HV19" i="45"/>
  <c r="HW19" i="45"/>
  <c r="HX19" i="45"/>
  <c r="HY19" i="45"/>
  <c r="HZ19" i="45"/>
  <c r="IA19" i="45"/>
  <c r="IB19" i="45"/>
  <c r="IC19" i="45"/>
  <c r="ID19" i="45"/>
  <c r="IE19" i="45"/>
  <c r="IF19" i="45"/>
  <c r="IG19" i="45"/>
  <c r="IH19" i="45"/>
  <c r="II19" i="45"/>
  <c r="IJ19" i="45"/>
  <c r="IK19" i="45"/>
  <c r="IL19" i="45"/>
  <c r="IM19" i="45"/>
  <c r="IN19" i="45"/>
  <c r="IO19" i="45"/>
  <c r="IP19" i="45"/>
  <c r="IQ19" i="45"/>
  <c r="IR19" i="45"/>
  <c r="IS19" i="45"/>
  <c r="IT19" i="45"/>
  <c r="IU19" i="45"/>
  <c r="IV19" i="45"/>
  <c r="A18" i="45"/>
  <c r="B18" i="45"/>
  <c r="C18" i="45"/>
  <c r="D18" i="45"/>
  <c r="E18" i="45"/>
  <c r="F18" i="45"/>
  <c r="G18" i="45"/>
  <c r="H18" i="45"/>
  <c r="I18" i="45"/>
  <c r="J18" i="45"/>
  <c r="K18" i="45"/>
  <c r="L18" i="45"/>
  <c r="M18" i="45"/>
  <c r="N18" i="45"/>
  <c r="O18" i="45"/>
  <c r="P18" i="45"/>
  <c r="Q18" i="45"/>
  <c r="R18" i="45"/>
  <c r="S18" i="45"/>
  <c r="T18" i="45"/>
  <c r="U18" i="45"/>
  <c r="V18" i="45"/>
  <c r="W18" i="45"/>
  <c r="X18" i="45"/>
  <c r="Y18" i="45"/>
  <c r="Z18" i="45"/>
  <c r="AA18" i="45"/>
  <c r="AB18" i="45"/>
  <c r="AC18" i="45"/>
  <c r="AD18" i="45"/>
  <c r="AE18" i="45"/>
  <c r="AF18" i="45"/>
  <c r="AG18" i="45"/>
  <c r="AH18" i="45"/>
  <c r="AI18" i="45"/>
  <c r="AJ18" i="45"/>
  <c r="AK18" i="45"/>
  <c r="AL18" i="45"/>
  <c r="AM18" i="45"/>
  <c r="AN18" i="45"/>
  <c r="AO18" i="45"/>
  <c r="AP18" i="45"/>
  <c r="AQ18" i="45"/>
  <c r="AR18" i="45"/>
  <c r="AS18" i="45"/>
  <c r="AT18" i="45"/>
  <c r="AU18" i="45"/>
  <c r="AV18" i="45"/>
  <c r="AW18" i="45"/>
  <c r="AX18" i="45"/>
  <c r="AY18" i="45"/>
  <c r="AZ18" i="45"/>
  <c r="BA18" i="45"/>
  <c r="BB18" i="45"/>
  <c r="BC18" i="45"/>
  <c r="BD18" i="45"/>
  <c r="BE18" i="45"/>
  <c r="BF18" i="45"/>
  <c r="BG18" i="45"/>
  <c r="BH18" i="45"/>
  <c r="BI18" i="45"/>
  <c r="BJ18" i="45"/>
  <c r="BK18" i="45"/>
  <c r="BL18" i="45"/>
  <c r="BM18" i="45"/>
  <c r="BN18" i="45"/>
  <c r="BO18" i="45"/>
  <c r="BP18" i="45"/>
  <c r="BQ18" i="45"/>
  <c r="BR18" i="45"/>
  <c r="BS18" i="45"/>
  <c r="BT18" i="45"/>
  <c r="BU18" i="45"/>
  <c r="BV18" i="45"/>
  <c r="BW18" i="45"/>
  <c r="BX18" i="45"/>
  <c r="BY18" i="45"/>
  <c r="BZ18" i="45"/>
  <c r="CA18" i="45"/>
  <c r="CB18" i="45"/>
  <c r="CC18" i="45"/>
  <c r="CD18" i="45"/>
  <c r="CE18" i="45"/>
  <c r="CF18" i="45"/>
  <c r="CG18" i="45"/>
  <c r="CH18" i="45"/>
  <c r="CI18" i="45"/>
  <c r="CJ18" i="45"/>
  <c r="CK18" i="45"/>
  <c r="CL18" i="45"/>
  <c r="CM18" i="45"/>
  <c r="CN18" i="45"/>
  <c r="CO18" i="45"/>
  <c r="CP18" i="45"/>
  <c r="CQ18" i="45"/>
  <c r="CR18" i="45"/>
  <c r="CS18" i="45"/>
  <c r="CT18" i="45"/>
  <c r="CU18" i="45"/>
  <c r="CV18" i="45"/>
  <c r="CW18" i="45"/>
  <c r="CX18" i="45"/>
  <c r="CY18" i="45"/>
  <c r="CZ18" i="45"/>
  <c r="DA18" i="45"/>
  <c r="DB18" i="45"/>
  <c r="DC18" i="45"/>
  <c r="DD18" i="45"/>
  <c r="DE18" i="45"/>
  <c r="DF18" i="45"/>
  <c r="DG18" i="45"/>
  <c r="DH18" i="45"/>
  <c r="DI18" i="45"/>
  <c r="DJ18" i="45"/>
  <c r="DK18" i="45"/>
  <c r="DL18" i="45"/>
  <c r="DM18" i="45"/>
  <c r="DN18" i="45"/>
  <c r="DO18" i="45"/>
  <c r="DP18" i="45"/>
  <c r="DQ18" i="45"/>
  <c r="DR18" i="45"/>
  <c r="DS18" i="45"/>
  <c r="DT18" i="45"/>
  <c r="DU18" i="45"/>
  <c r="DV18" i="45"/>
  <c r="DW18" i="45"/>
  <c r="DX18" i="45"/>
  <c r="DY18" i="45"/>
  <c r="DZ18" i="45"/>
  <c r="EA18" i="45"/>
  <c r="EB18" i="45"/>
  <c r="EC18" i="45"/>
  <c r="ED18" i="45"/>
  <c r="EE18" i="45"/>
  <c r="EF18" i="45"/>
  <c r="EG18" i="45"/>
  <c r="EH18" i="45"/>
  <c r="EI18" i="45"/>
  <c r="EJ18" i="45"/>
  <c r="EK18" i="45"/>
  <c r="EL18" i="45"/>
  <c r="EM18" i="45"/>
  <c r="EN18" i="45"/>
  <c r="EO18" i="45"/>
  <c r="EP18" i="45"/>
  <c r="EQ18" i="45"/>
  <c r="ER18" i="45"/>
  <c r="ES18" i="45"/>
  <c r="ET18" i="45"/>
  <c r="EU18" i="45"/>
  <c r="EV18" i="45"/>
  <c r="EW18" i="45"/>
  <c r="EX18" i="45"/>
  <c r="EY18" i="45"/>
  <c r="EZ18" i="45"/>
  <c r="FA18" i="45"/>
  <c r="FB18" i="45"/>
  <c r="FC18" i="45"/>
  <c r="FD18" i="45"/>
  <c r="FE18" i="45"/>
  <c r="FF18" i="45"/>
  <c r="FG18" i="45"/>
  <c r="FH18" i="45"/>
  <c r="FI18" i="45"/>
  <c r="FJ18" i="45"/>
  <c r="FK18" i="45"/>
  <c r="FL18" i="45"/>
  <c r="FM18" i="45"/>
  <c r="FN18" i="45"/>
  <c r="FO18" i="45"/>
  <c r="FP18" i="45"/>
  <c r="FQ18" i="45"/>
  <c r="FR18" i="45"/>
  <c r="FS18" i="45"/>
  <c r="FT18" i="45"/>
  <c r="FU18" i="45"/>
  <c r="FV18" i="45"/>
  <c r="FW18" i="45"/>
  <c r="FX18" i="45"/>
  <c r="FY18" i="45"/>
  <c r="FZ18" i="45"/>
  <c r="GA18" i="45"/>
  <c r="GB18" i="45"/>
  <c r="GC18" i="45"/>
  <c r="GD18" i="45"/>
  <c r="GE18" i="45"/>
  <c r="GF18" i="45"/>
  <c r="GG18" i="45"/>
  <c r="GH18" i="45"/>
  <c r="GI18" i="45"/>
  <c r="GJ18" i="45"/>
  <c r="GK18" i="45"/>
  <c r="GL18" i="45"/>
  <c r="GM18" i="45"/>
  <c r="GN18" i="45"/>
  <c r="GO18" i="45"/>
  <c r="GP18" i="45"/>
  <c r="GQ18" i="45"/>
  <c r="GR18" i="45"/>
  <c r="GS18" i="45"/>
  <c r="GT18" i="45"/>
  <c r="GU18" i="45"/>
  <c r="GV18" i="45"/>
  <c r="GW18" i="45"/>
  <c r="GX18" i="45"/>
  <c r="GY18" i="45"/>
  <c r="GZ18" i="45"/>
  <c r="HA18" i="45"/>
  <c r="HB18" i="45"/>
  <c r="HC18" i="45"/>
  <c r="HD18" i="45"/>
  <c r="HE18" i="45"/>
  <c r="HF18" i="45"/>
  <c r="HG18" i="45"/>
  <c r="HH18" i="45"/>
  <c r="HI18" i="45"/>
  <c r="HJ18" i="45"/>
  <c r="HK18" i="45"/>
  <c r="HL18" i="45"/>
  <c r="HM18" i="45"/>
  <c r="HN18" i="45"/>
  <c r="HO18" i="45"/>
  <c r="HP18" i="45"/>
  <c r="HQ18" i="45"/>
  <c r="HR18" i="45"/>
  <c r="HS18" i="45"/>
  <c r="HT18" i="45"/>
  <c r="HU18" i="45"/>
  <c r="HV18" i="45"/>
  <c r="HW18" i="45"/>
  <c r="HX18" i="45"/>
  <c r="HY18" i="45"/>
  <c r="HZ18" i="45"/>
  <c r="IA18" i="45"/>
  <c r="IB18" i="45"/>
  <c r="IC18" i="45"/>
  <c r="ID18" i="45"/>
  <c r="IE18" i="45"/>
  <c r="IF18" i="45"/>
  <c r="IG18" i="45"/>
  <c r="IH18" i="45"/>
  <c r="II18" i="45"/>
  <c r="IJ18" i="45"/>
  <c r="IK18" i="45"/>
  <c r="IL18" i="45"/>
  <c r="IM18" i="45"/>
  <c r="IN18" i="45"/>
  <c r="IO18" i="45"/>
  <c r="IP18" i="45"/>
  <c r="IQ18" i="45"/>
  <c r="IR18" i="45"/>
  <c r="IS18" i="45"/>
  <c r="IT18" i="45"/>
  <c r="IU18" i="45"/>
  <c r="IV18" i="45"/>
  <c r="A17" i="45"/>
  <c r="B17" i="45"/>
  <c r="C17" i="45"/>
  <c r="D17" i="45"/>
  <c r="E17" i="45"/>
  <c r="F17" i="45"/>
  <c r="G17" i="45"/>
  <c r="H17" i="45"/>
  <c r="I17" i="45"/>
  <c r="J17" i="45"/>
  <c r="K17" i="45"/>
  <c r="L17" i="45"/>
  <c r="M17" i="45"/>
  <c r="N17" i="45"/>
  <c r="O17" i="45"/>
  <c r="P17" i="45"/>
  <c r="Q17" i="45"/>
  <c r="R17" i="45"/>
  <c r="S17" i="45"/>
  <c r="T17" i="45"/>
  <c r="U17" i="45"/>
  <c r="V17" i="45"/>
  <c r="W17" i="45"/>
  <c r="X17" i="45"/>
  <c r="Y17" i="45"/>
  <c r="Z17" i="45"/>
  <c r="AA17" i="45"/>
  <c r="AB17" i="45"/>
  <c r="AC17" i="45"/>
  <c r="AD17" i="45"/>
  <c r="AE17" i="45"/>
  <c r="AF17" i="45"/>
  <c r="AG17" i="45"/>
  <c r="AH17" i="45"/>
  <c r="AI17" i="45"/>
  <c r="AJ17" i="45"/>
  <c r="AK17" i="45"/>
  <c r="AL17" i="45"/>
  <c r="AM17" i="45"/>
  <c r="AN17" i="45"/>
  <c r="AO17" i="45"/>
  <c r="AP17" i="45"/>
  <c r="AQ17" i="45"/>
  <c r="AR17" i="45"/>
  <c r="AS17" i="45"/>
  <c r="AT17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A17" i="45"/>
  <c r="CB17" i="45"/>
  <c r="CC17" i="45"/>
  <c r="CD17" i="45"/>
  <c r="CE17" i="45"/>
  <c r="CF17" i="45"/>
  <c r="CG17" i="45"/>
  <c r="CH17" i="45"/>
  <c r="CI17" i="45"/>
  <c r="CJ17" i="45"/>
  <c r="CK17" i="45"/>
  <c r="CL17" i="45"/>
  <c r="CM17" i="45"/>
  <c r="CN17" i="45"/>
  <c r="CO17" i="45"/>
  <c r="CP17" i="45"/>
  <c r="CQ17" i="45"/>
  <c r="CR17" i="45"/>
  <c r="CS17" i="45"/>
  <c r="CT17" i="45"/>
  <c r="CU17" i="45"/>
  <c r="CV17" i="45"/>
  <c r="CW17" i="45"/>
  <c r="CX17" i="45"/>
  <c r="CY17" i="45"/>
  <c r="CZ17" i="45"/>
  <c r="DA17" i="45"/>
  <c r="DB17" i="45"/>
  <c r="DC17" i="45"/>
  <c r="DD17" i="45"/>
  <c r="DE17" i="45"/>
  <c r="DF17" i="45"/>
  <c r="DG17" i="45"/>
  <c r="DH17" i="45"/>
  <c r="DI17" i="45"/>
  <c r="DJ17" i="45"/>
  <c r="DK17" i="45"/>
  <c r="DL17" i="45"/>
  <c r="DM17" i="45"/>
  <c r="DN17" i="45"/>
  <c r="DO17" i="45"/>
  <c r="DP17" i="45"/>
  <c r="DQ17" i="45"/>
  <c r="DR17" i="45"/>
  <c r="DS17" i="45"/>
  <c r="DT17" i="45"/>
  <c r="DU17" i="45"/>
  <c r="DV17" i="45"/>
  <c r="DW17" i="45"/>
  <c r="DX17" i="45"/>
  <c r="DY17" i="45"/>
  <c r="DZ17" i="45"/>
  <c r="EA17" i="45"/>
  <c r="EB17" i="45"/>
  <c r="EC17" i="45"/>
  <c r="ED17" i="45"/>
  <c r="EE17" i="45"/>
  <c r="EF17" i="45"/>
  <c r="EG17" i="45"/>
  <c r="EH17" i="45"/>
  <c r="EI17" i="45"/>
  <c r="EJ17" i="45"/>
  <c r="EK17" i="45"/>
  <c r="EL17" i="45"/>
  <c r="EM17" i="45"/>
  <c r="EN17" i="45"/>
  <c r="EO17" i="45"/>
  <c r="EP17" i="45"/>
  <c r="EQ17" i="45"/>
  <c r="ER17" i="45"/>
  <c r="ES17" i="45"/>
  <c r="ET17" i="45"/>
  <c r="EU17" i="45"/>
  <c r="EV17" i="45"/>
  <c r="EW17" i="45"/>
  <c r="EX17" i="45"/>
  <c r="EY17" i="45"/>
  <c r="EZ17" i="45"/>
  <c r="FA17" i="45"/>
  <c r="FB17" i="45"/>
  <c r="FC17" i="45"/>
  <c r="FD17" i="45"/>
  <c r="FE17" i="45"/>
  <c r="FF17" i="45"/>
  <c r="FG17" i="45"/>
  <c r="FH17" i="45"/>
  <c r="FI17" i="45"/>
  <c r="FJ17" i="45"/>
  <c r="FK17" i="45"/>
  <c r="FL17" i="45"/>
  <c r="FM17" i="45"/>
  <c r="FN17" i="45"/>
  <c r="FO17" i="45"/>
  <c r="FP17" i="45"/>
  <c r="FQ17" i="45"/>
  <c r="FR17" i="45"/>
  <c r="FS17" i="45"/>
  <c r="FT17" i="45"/>
  <c r="FU17" i="45"/>
  <c r="FV17" i="45"/>
  <c r="FW17" i="45"/>
  <c r="FX17" i="45"/>
  <c r="FY17" i="45"/>
  <c r="FZ17" i="45"/>
  <c r="GA17" i="45"/>
  <c r="GB17" i="45"/>
  <c r="GC17" i="45"/>
  <c r="GD17" i="45"/>
  <c r="GE17" i="45"/>
  <c r="GF17" i="45"/>
  <c r="GG17" i="45"/>
  <c r="GH17" i="45"/>
  <c r="GI17" i="45"/>
  <c r="GJ17" i="45"/>
  <c r="GK17" i="45"/>
  <c r="GL17" i="45"/>
  <c r="GM17" i="45"/>
  <c r="GN17" i="45"/>
  <c r="GO17" i="45"/>
  <c r="GP17" i="45"/>
  <c r="GQ17" i="45"/>
  <c r="GR17" i="45"/>
  <c r="GS17" i="45"/>
  <c r="GT17" i="45"/>
  <c r="GU17" i="45"/>
  <c r="GV17" i="45"/>
  <c r="GW17" i="45"/>
  <c r="GX17" i="45"/>
  <c r="GY17" i="45"/>
  <c r="GZ17" i="45"/>
  <c r="HA17" i="45"/>
  <c r="HB17" i="45"/>
  <c r="HC17" i="45"/>
  <c r="HD17" i="45"/>
  <c r="HE17" i="45"/>
  <c r="HF17" i="45"/>
  <c r="HG17" i="45"/>
  <c r="HH17" i="45"/>
  <c r="HI17" i="45"/>
  <c r="HJ17" i="45"/>
  <c r="HK17" i="45"/>
  <c r="HL17" i="45"/>
  <c r="HM17" i="45"/>
  <c r="HN17" i="45"/>
  <c r="HO17" i="45"/>
  <c r="HP17" i="45"/>
  <c r="HQ17" i="45"/>
  <c r="HR17" i="45"/>
  <c r="HS17" i="45"/>
  <c r="HT17" i="45"/>
  <c r="HU17" i="45"/>
  <c r="HV17" i="45"/>
  <c r="HW17" i="45"/>
  <c r="HX17" i="45"/>
  <c r="HY17" i="45"/>
  <c r="HZ17" i="45"/>
  <c r="IA17" i="45"/>
  <c r="IB17" i="45"/>
  <c r="IC17" i="45"/>
  <c r="ID17" i="45"/>
  <c r="IE17" i="45"/>
  <c r="IF17" i="45"/>
  <c r="IG17" i="45"/>
  <c r="IH17" i="45"/>
  <c r="II17" i="45"/>
  <c r="IJ17" i="45"/>
  <c r="IK17" i="45"/>
  <c r="IL17" i="45"/>
  <c r="IM17" i="45"/>
  <c r="IN17" i="45"/>
  <c r="IO17" i="45"/>
  <c r="IP17" i="45"/>
  <c r="IQ17" i="45"/>
  <c r="IR17" i="45"/>
  <c r="IS17" i="45"/>
  <c r="IT17" i="45"/>
  <c r="IU17" i="45"/>
  <c r="IV17" i="45"/>
  <c r="A16" i="45"/>
  <c r="B16" i="45"/>
  <c r="C16" i="45"/>
  <c r="D16" i="45"/>
  <c r="E16" i="45"/>
  <c r="F16" i="45"/>
  <c r="G16" i="45"/>
  <c r="H16" i="45"/>
  <c r="I16" i="45"/>
  <c r="J16" i="45"/>
  <c r="K16" i="45"/>
  <c r="L16" i="45"/>
  <c r="M16" i="45"/>
  <c r="N16" i="45"/>
  <c r="O16" i="45"/>
  <c r="P16" i="45"/>
  <c r="Q16" i="45"/>
  <c r="R16" i="45"/>
  <c r="S16" i="45"/>
  <c r="T16" i="45"/>
  <c r="U16" i="45"/>
  <c r="V16" i="45"/>
  <c r="W16" i="45"/>
  <c r="X16" i="45"/>
  <c r="Y16" i="45"/>
  <c r="Z16" i="45"/>
  <c r="AA16" i="45"/>
  <c r="AB16" i="45"/>
  <c r="AC16" i="45"/>
  <c r="AD16" i="45"/>
  <c r="AE16" i="45"/>
  <c r="AF16" i="45"/>
  <c r="AG16" i="45"/>
  <c r="AH16" i="45"/>
  <c r="AI16" i="45"/>
  <c r="AJ16" i="45"/>
  <c r="AK16" i="45"/>
  <c r="AL16" i="45"/>
  <c r="AM16" i="45"/>
  <c r="AN16" i="45"/>
  <c r="AO16" i="45"/>
  <c r="AP16" i="45"/>
  <c r="AQ16" i="45"/>
  <c r="AR16" i="45"/>
  <c r="AS16" i="45"/>
  <c r="AT16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A16" i="45"/>
  <c r="CB16" i="45"/>
  <c r="CC16" i="45"/>
  <c r="CD16" i="45"/>
  <c r="CE16" i="45"/>
  <c r="CF16" i="45"/>
  <c r="CG16" i="45"/>
  <c r="CH16" i="45"/>
  <c r="CI16" i="45"/>
  <c r="CJ16" i="45"/>
  <c r="CK16" i="45"/>
  <c r="CL16" i="45"/>
  <c r="CM16" i="45"/>
  <c r="CN16" i="45"/>
  <c r="CO16" i="45"/>
  <c r="CP16" i="45"/>
  <c r="CQ16" i="45"/>
  <c r="CR16" i="45"/>
  <c r="CS16" i="45"/>
  <c r="CT16" i="45"/>
  <c r="CU16" i="45"/>
  <c r="CV16" i="45"/>
  <c r="CW16" i="45"/>
  <c r="CX16" i="45"/>
  <c r="CY16" i="45"/>
  <c r="CZ16" i="45"/>
  <c r="DA16" i="45"/>
  <c r="DB16" i="45"/>
  <c r="DC16" i="45"/>
  <c r="DD16" i="45"/>
  <c r="DE16" i="45"/>
  <c r="DF16" i="45"/>
  <c r="DG16" i="45"/>
  <c r="DH16" i="45"/>
  <c r="DI16" i="45"/>
  <c r="DJ16" i="45"/>
  <c r="DK16" i="45"/>
  <c r="DL16" i="45"/>
  <c r="DM16" i="45"/>
  <c r="DN16" i="45"/>
  <c r="DO16" i="45"/>
  <c r="DP16" i="45"/>
  <c r="DQ16" i="45"/>
  <c r="DR16" i="45"/>
  <c r="DS16" i="45"/>
  <c r="DT16" i="45"/>
  <c r="DU16" i="45"/>
  <c r="DV16" i="45"/>
  <c r="DW16" i="45"/>
  <c r="DX16" i="45"/>
  <c r="DY16" i="45"/>
  <c r="DZ16" i="45"/>
  <c r="EA16" i="45"/>
  <c r="EB16" i="45"/>
  <c r="EC16" i="45"/>
  <c r="ED16" i="45"/>
  <c r="EE16" i="45"/>
  <c r="EF16" i="45"/>
  <c r="EG16" i="45"/>
  <c r="EH16" i="45"/>
  <c r="EI16" i="45"/>
  <c r="EJ16" i="45"/>
  <c r="EK16" i="45"/>
  <c r="EL16" i="45"/>
  <c r="EM16" i="45"/>
  <c r="EN16" i="45"/>
  <c r="EO16" i="45"/>
  <c r="EP16" i="45"/>
  <c r="EQ16" i="45"/>
  <c r="ER16" i="45"/>
  <c r="ES16" i="45"/>
  <c r="ET16" i="45"/>
  <c r="EU16" i="45"/>
  <c r="EV16" i="45"/>
  <c r="EW16" i="45"/>
  <c r="EX16" i="45"/>
  <c r="EY16" i="45"/>
  <c r="EZ16" i="45"/>
  <c r="FA16" i="45"/>
  <c r="FB16" i="45"/>
  <c r="FC16" i="45"/>
  <c r="FD16" i="45"/>
  <c r="FE16" i="45"/>
  <c r="FF16" i="45"/>
  <c r="FG16" i="45"/>
  <c r="FH16" i="45"/>
  <c r="FI16" i="45"/>
  <c r="FJ16" i="45"/>
  <c r="FK16" i="45"/>
  <c r="FL16" i="45"/>
  <c r="FM16" i="45"/>
  <c r="FN16" i="45"/>
  <c r="FO16" i="45"/>
  <c r="FP16" i="45"/>
  <c r="FQ16" i="45"/>
  <c r="FR16" i="45"/>
  <c r="FS16" i="45"/>
  <c r="FT16" i="45"/>
  <c r="FU16" i="45"/>
  <c r="FV16" i="45"/>
  <c r="FW16" i="45"/>
  <c r="FX16" i="45"/>
  <c r="FY16" i="45"/>
  <c r="FZ16" i="45"/>
  <c r="GA16" i="45"/>
  <c r="GB16" i="45"/>
  <c r="GC16" i="45"/>
  <c r="GD16" i="45"/>
  <c r="GE16" i="45"/>
  <c r="GF16" i="45"/>
  <c r="GG16" i="45"/>
  <c r="GH16" i="45"/>
  <c r="GI16" i="45"/>
  <c r="GJ16" i="45"/>
  <c r="GK16" i="45"/>
  <c r="GL16" i="45"/>
  <c r="GM16" i="45"/>
  <c r="GN16" i="45"/>
  <c r="GO16" i="45"/>
  <c r="GP16" i="45"/>
  <c r="GQ16" i="45"/>
  <c r="GR16" i="45"/>
  <c r="GS16" i="45"/>
  <c r="GT16" i="45"/>
  <c r="GU16" i="45"/>
  <c r="GV16" i="45"/>
  <c r="GW16" i="45"/>
  <c r="GX16" i="45"/>
  <c r="GY16" i="45"/>
  <c r="GZ16" i="45"/>
  <c r="HA16" i="45"/>
  <c r="HB16" i="45"/>
  <c r="HC16" i="45"/>
  <c r="HD16" i="45"/>
  <c r="HE16" i="45"/>
  <c r="HF16" i="45"/>
  <c r="HG16" i="45"/>
  <c r="HH16" i="45"/>
  <c r="HI16" i="45"/>
  <c r="HJ16" i="45"/>
  <c r="HK16" i="45"/>
  <c r="HL16" i="45"/>
  <c r="HM16" i="45"/>
  <c r="HN16" i="45"/>
  <c r="HO16" i="45"/>
  <c r="HP16" i="45"/>
  <c r="HQ16" i="45"/>
  <c r="HR16" i="45"/>
  <c r="HS16" i="45"/>
  <c r="HT16" i="45"/>
  <c r="HU16" i="45"/>
  <c r="HV16" i="45"/>
  <c r="HW16" i="45"/>
  <c r="HX16" i="45"/>
  <c r="HY16" i="45"/>
  <c r="HZ16" i="45"/>
  <c r="IA16" i="45"/>
  <c r="IB16" i="45"/>
  <c r="IC16" i="45"/>
  <c r="ID16" i="45"/>
  <c r="IE16" i="45"/>
  <c r="IF16" i="45"/>
  <c r="IG16" i="45"/>
  <c r="IH16" i="45"/>
  <c r="II16" i="45"/>
  <c r="IJ16" i="45"/>
  <c r="IK16" i="45"/>
  <c r="IL16" i="45"/>
  <c r="IM16" i="45"/>
  <c r="IN16" i="45"/>
  <c r="IO16" i="45"/>
  <c r="IP16" i="45"/>
  <c r="IQ16" i="45"/>
  <c r="IR16" i="45"/>
  <c r="IS16" i="45"/>
  <c r="IT16" i="45"/>
  <c r="IU16" i="45"/>
  <c r="IV16" i="45"/>
  <c r="A15" i="45"/>
  <c r="B15" i="45"/>
  <c r="C15" i="45"/>
  <c r="D15" i="45"/>
  <c r="E15" i="45"/>
  <c r="F15" i="45"/>
  <c r="G15" i="45"/>
  <c r="H15" i="45"/>
  <c r="I15" i="45"/>
  <c r="J15" i="45"/>
  <c r="K15" i="45"/>
  <c r="L15" i="45"/>
  <c r="M15" i="45"/>
  <c r="N15" i="45"/>
  <c r="O15" i="45"/>
  <c r="P15" i="45"/>
  <c r="Q15" i="45"/>
  <c r="R15" i="45"/>
  <c r="S15" i="45"/>
  <c r="T15" i="45"/>
  <c r="U15" i="45"/>
  <c r="V15" i="45"/>
  <c r="W15" i="45"/>
  <c r="X15" i="45"/>
  <c r="Y15" i="45"/>
  <c r="Z15" i="45"/>
  <c r="AA15" i="45"/>
  <c r="AB15" i="45"/>
  <c r="AC15" i="45"/>
  <c r="AD15" i="45"/>
  <c r="AE15" i="45"/>
  <c r="AF15" i="45"/>
  <c r="AG15" i="45"/>
  <c r="AH15" i="45"/>
  <c r="AI15" i="45"/>
  <c r="AJ15" i="45"/>
  <c r="AK15" i="45"/>
  <c r="AL15" i="45"/>
  <c r="AM15" i="45"/>
  <c r="AN15" i="45"/>
  <c r="AO15" i="45"/>
  <c r="AP15" i="45"/>
  <c r="AQ15" i="45"/>
  <c r="AR15" i="45"/>
  <c r="AS15" i="45"/>
  <c r="AT15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BW15" i="45"/>
  <c r="BX15" i="45"/>
  <c r="BY15" i="45"/>
  <c r="BZ15" i="45"/>
  <c r="CA15" i="45"/>
  <c r="CB15" i="45"/>
  <c r="CC15" i="45"/>
  <c r="CD15" i="45"/>
  <c r="CE15" i="45"/>
  <c r="CF15" i="45"/>
  <c r="CG15" i="45"/>
  <c r="CH15" i="45"/>
  <c r="CI15" i="45"/>
  <c r="CJ15" i="45"/>
  <c r="CK15" i="45"/>
  <c r="CL15" i="45"/>
  <c r="CM15" i="45"/>
  <c r="CN15" i="45"/>
  <c r="CO15" i="45"/>
  <c r="CP15" i="45"/>
  <c r="CQ15" i="45"/>
  <c r="CR15" i="45"/>
  <c r="CS15" i="45"/>
  <c r="CT15" i="45"/>
  <c r="CU15" i="45"/>
  <c r="CV15" i="45"/>
  <c r="CW15" i="45"/>
  <c r="CX15" i="45"/>
  <c r="CY15" i="45"/>
  <c r="CZ15" i="45"/>
  <c r="DA15" i="45"/>
  <c r="DB15" i="45"/>
  <c r="DC15" i="45"/>
  <c r="DD15" i="45"/>
  <c r="DE15" i="45"/>
  <c r="DF15" i="45"/>
  <c r="DG15" i="45"/>
  <c r="DH15" i="45"/>
  <c r="DI15" i="45"/>
  <c r="DJ15" i="45"/>
  <c r="DK15" i="45"/>
  <c r="DL15" i="45"/>
  <c r="DM15" i="45"/>
  <c r="DN15" i="45"/>
  <c r="DO15" i="45"/>
  <c r="DP15" i="45"/>
  <c r="DQ15" i="45"/>
  <c r="DR15" i="45"/>
  <c r="DS15" i="45"/>
  <c r="DT15" i="45"/>
  <c r="DU15" i="45"/>
  <c r="DV15" i="45"/>
  <c r="DW15" i="45"/>
  <c r="DX15" i="45"/>
  <c r="DY15" i="45"/>
  <c r="DZ15" i="45"/>
  <c r="EA15" i="45"/>
  <c r="EB15" i="45"/>
  <c r="EC15" i="45"/>
  <c r="ED15" i="45"/>
  <c r="EE15" i="45"/>
  <c r="EF15" i="45"/>
  <c r="EG15" i="45"/>
  <c r="EH15" i="45"/>
  <c r="EI15" i="45"/>
  <c r="EJ15" i="45"/>
  <c r="EK15" i="45"/>
  <c r="EL15" i="45"/>
  <c r="EM15" i="45"/>
  <c r="EN15" i="45"/>
  <c r="EO15" i="45"/>
  <c r="EP15" i="45"/>
  <c r="EQ15" i="45"/>
  <c r="ER15" i="45"/>
  <c r="ES15" i="45"/>
  <c r="ET15" i="45"/>
  <c r="EU15" i="45"/>
  <c r="EV15" i="45"/>
  <c r="EW15" i="45"/>
  <c r="EX15" i="45"/>
  <c r="EY15" i="45"/>
  <c r="EZ15" i="45"/>
  <c r="FA15" i="45"/>
  <c r="FB15" i="45"/>
  <c r="FC15" i="45"/>
  <c r="FD15" i="45"/>
  <c r="FE15" i="45"/>
  <c r="FF15" i="45"/>
  <c r="FG15" i="45"/>
  <c r="FH15" i="45"/>
  <c r="FI15" i="45"/>
  <c r="FJ15" i="45"/>
  <c r="FK15" i="45"/>
  <c r="FL15" i="45"/>
  <c r="FM15" i="45"/>
  <c r="FN15" i="45"/>
  <c r="FO15" i="45"/>
  <c r="FP15" i="45"/>
  <c r="FQ15" i="45"/>
  <c r="FR15" i="45"/>
  <c r="FS15" i="45"/>
  <c r="FT15" i="45"/>
  <c r="FU15" i="45"/>
  <c r="FV15" i="45"/>
  <c r="FW15" i="45"/>
  <c r="FX15" i="45"/>
  <c r="FY15" i="45"/>
  <c r="FZ15" i="45"/>
  <c r="GA15" i="45"/>
  <c r="GB15" i="45"/>
  <c r="GC15" i="45"/>
  <c r="GD15" i="45"/>
  <c r="GE15" i="45"/>
  <c r="GF15" i="45"/>
  <c r="GG15" i="45"/>
  <c r="GH15" i="45"/>
  <c r="GI15" i="45"/>
  <c r="GJ15" i="45"/>
  <c r="GK15" i="45"/>
  <c r="GL15" i="45"/>
  <c r="GM15" i="45"/>
  <c r="GN15" i="45"/>
  <c r="GO15" i="45"/>
  <c r="GP15" i="45"/>
  <c r="GQ15" i="45"/>
  <c r="GR15" i="45"/>
  <c r="GS15" i="45"/>
  <c r="GT15" i="45"/>
  <c r="GU15" i="45"/>
  <c r="GV15" i="45"/>
  <c r="GW15" i="45"/>
  <c r="GX15" i="45"/>
  <c r="GY15" i="45"/>
  <c r="GZ15" i="45"/>
  <c r="HA15" i="45"/>
  <c r="HB15" i="45"/>
  <c r="HC15" i="45"/>
  <c r="HD15" i="45"/>
  <c r="HE15" i="45"/>
  <c r="HF15" i="45"/>
  <c r="HG15" i="45"/>
  <c r="HH15" i="45"/>
  <c r="HI15" i="45"/>
  <c r="HJ15" i="45"/>
  <c r="HK15" i="45"/>
  <c r="HL15" i="45"/>
  <c r="HM15" i="45"/>
  <c r="HN15" i="45"/>
  <c r="HO15" i="45"/>
  <c r="HP15" i="45"/>
  <c r="HQ15" i="45"/>
  <c r="HR15" i="45"/>
  <c r="HS15" i="45"/>
  <c r="HT15" i="45"/>
  <c r="HU15" i="45"/>
  <c r="HV15" i="45"/>
  <c r="HW15" i="45"/>
  <c r="HX15" i="45"/>
  <c r="HY15" i="45"/>
  <c r="HZ15" i="45"/>
  <c r="IA15" i="45"/>
  <c r="IB15" i="45"/>
  <c r="IC15" i="45"/>
  <c r="ID15" i="45"/>
  <c r="IE15" i="45"/>
  <c r="IF15" i="45"/>
  <c r="IG15" i="45"/>
  <c r="IH15" i="45"/>
  <c r="II15" i="45"/>
  <c r="IJ15" i="45"/>
  <c r="IK15" i="45"/>
  <c r="IL15" i="45"/>
  <c r="IM15" i="45"/>
  <c r="IN15" i="45"/>
  <c r="IO15" i="45"/>
  <c r="IP15" i="45"/>
  <c r="IQ15" i="45"/>
  <c r="IR15" i="45"/>
  <c r="IS15" i="45"/>
  <c r="IT15" i="45"/>
  <c r="IU15" i="45"/>
  <c r="IV15" i="45"/>
  <c r="A14" i="45"/>
  <c r="B14" i="45"/>
  <c r="C14" i="45"/>
  <c r="D14" i="45"/>
  <c r="E14" i="45"/>
  <c r="F14" i="45"/>
  <c r="G14" i="45"/>
  <c r="H14" i="45"/>
  <c r="I14" i="45"/>
  <c r="J14" i="45"/>
  <c r="K14" i="45"/>
  <c r="L14" i="45"/>
  <c r="M14" i="45"/>
  <c r="N14" i="45"/>
  <c r="O14" i="45"/>
  <c r="P14" i="45"/>
  <c r="Q14" i="45"/>
  <c r="R14" i="45"/>
  <c r="S14" i="45"/>
  <c r="T14" i="45"/>
  <c r="U14" i="45"/>
  <c r="V14" i="45"/>
  <c r="W14" i="45"/>
  <c r="X14" i="45"/>
  <c r="Y14" i="45"/>
  <c r="Z14" i="45"/>
  <c r="AA14" i="45"/>
  <c r="AB14" i="45"/>
  <c r="AC14" i="45"/>
  <c r="AD14" i="45"/>
  <c r="AE14" i="45"/>
  <c r="AF14" i="45"/>
  <c r="AG14" i="45"/>
  <c r="AH14" i="45"/>
  <c r="AI14" i="45"/>
  <c r="AJ14" i="45"/>
  <c r="AK14" i="45"/>
  <c r="AL14" i="45"/>
  <c r="AM14" i="45"/>
  <c r="AN14" i="45"/>
  <c r="AO14" i="45"/>
  <c r="AP14" i="45"/>
  <c r="AQ14" i="45"/>
  <c r="AR14" i="45"/>
  <c r="AS14" i="45"/>
  <c r="AT14" i="45"/>
  <c r="AU14" i="45"/>
  <c r="AV14" i="45"/>
  <c r="AW14" i="45"/>
  <c r="AX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A14" i="45"/>
  <c r="CB14" i="45"/>
  <c r="CC14" i="45"/>
  <c r="CD14" i="45"/>
  <c r="CE14" i="45"/>
  <c r="CF14" i="45"/>
  <c r="CG14" i="45"/>
  <c r="CH14" i="45"/>
  <c r="CI14" i="45"/>
  <c r="CJ14" i="45"/>
  <c r="CK14" i="45"/>
  <c r="CL14" i="45"/>
  <c r="CM14" i="45"/>
  <c r="CN14" i="45"/>
  <c r="CO14" i="45"/>
  <c r="CP14" i="45"/>
  <c r="CQ14" i="45"/>
  <c r="CR14" i="45"/>
  <c r="CS14" i="45"/>
  <c r="CT14" i="45"/>
  <c r="CU14" i="45"/>
  <c r="CV14" i="45"/>
  <c r="CW14" i="45"/>
  <c r="CX14" i="45"/>
  <c r="CY14" i="45"/>
  <c r="CZ14" i="45"/>
  <c r="DA14" i="45"/>
  <c r="DB14" i="45"/>
  <c r="DC14" i="45"/>
  <c r="DD14" i="45"/>
  <c r="DE14" i="45"/>
  <c r="DF14" i="45"/>
  <c r="DG14" i="45"/>
  <c r="DH14" i="45"/>
  <c r="DI14" i="45"/>
  <c r="DJ14" i="45"/>
  <c r="DK14" i="45"/>
  <c r="DL14" i="45"/>
  <c r="DM14" i="45"/>
  <c r="DN14" i="45"/>
  <c r="DO14" i="45"/>
  <c r="DP14" i="45"/>
  <c r="DQ14" i="45"/>
  <c r="DR14" i="45"/>
  <c r="DS14" i="45"/>
  <c r="DT14" i="45"/>
  <c r="DU14" i="45"/>
  <c r="DV14" i="45"/>
  <c r="DW14" i="45"/>
  <c r="DX14" i="45"/>
  <c r="DY14" i="45"/>
  <c r="DZ14" i="45"/>
  <c r="EA14" i="45"/>
  <c r="EB14" i="45"/>
  <c r="EC14" i="45"/>
  <c r="ED14" i="45"/>
  <c r="EE14" i="45"/>
  <c r="EF14" i="45"/>
  <c r="EG14" i="45"/>
  <c r="EH14" i="45"/>
  <c r="EI14" i="45"/>
  <c r="EJ14" i="45"/>
  <c r="EK14" i="45"/>
  <c r="EL14" i="45"/>
  <c r="EM14" i="45"/>
  <c r="EN14" i="45"/>
  <c r="EO14" i="45"/>
  <c r="EP14" i="45"/>
  <c r="EQ14" i="45"/>
  <c r="ER14" i="45"/>
  <c r="ES14" i="45"/>
  <c r="ET14" i="45"/>
  <c r="EU14" i="45"/>
  <c r="EV14" i="45"/>
  <c r="EW14" i="45"/>
  <c r="EX14" i="45"/>
  <c r="EY14" i="45"/>
  <c r="EZ14" i="45"/>
  <c r="FA14" i="45"/>
  <c r="FB14" i="45"/>
  <c r="FC14" i="45"/>
  <c r="FD14" i="45"/>
  <c r="FE14" i="45"/>
  <c r="FF14" i="45"/>
  <c r="FG14" i="45"/>
  <c r="FH14" i="45"/>
  <c r="FI14" i="45"/>
  <c r="FJ14" i="45"/>
  <c r="FK14" i="45"/>
  <c r="FL14" i="45"/>
  <c r="FM14" i="45"/>
  <c r="FN14" i="45"/>
  <c r="FO14" i="45"/>
  <c r="FP14" i="45"/>
  <c r="FQ14" i="45"/>
  <c r="FR14" i="45"/>
  <c r="FS14" i="45"/>
  <c r="FT14" i="45"/>
  <c r="FU14" i="45"/>
  <c r="FV14" i="45"/>
  <c r="FW14" i="45"/>
  <c r="FX14" i="45"/>
  <c r="FY14" i="45"/>
  <c r="FZ14" i="45"/>
  <c r="GA14" i="45"/>
  <c r="GB14" i="45"/>
  <c r="GC14" i="45"/>
  <c r="GD14" i="45"/>
  <c r="GE14" i="45"/>
  <c r="GF14" i="45"/>
  <c r="GG14" i="45"/>
  <c r="GH14" i="45"/>
  <c r="GI14" i="45"/>
  <c r="GJ14" i="45"/>
  <c r="GK14" i="45"/>
  <c r="GL14" i="45"/>
  <c r="GM14" i="45"/>
  <c r="GN14" i="45"/>
  <c r="GO14" i="45"/>
  <c r="GP14" i="45"/>
  <c r="GQ14" i="45"/>
  <c r="GR14" i="45"/>
  <c r="GS14" i="45"/>
  <c r="GT14" i="45"/>
  <c r="GU14" i="45"/>
  <c r="GV14" i="45"/>
  <c r="GW14" i="45"/>
  <c r="GX14" i="45"/>
  <c r="GY14" i="45"/>
  <c r="GZ14" i="45"/>
  <c r="HA14" i="45"/>
  <c r="HB14" i="45"/>
  <c r="HC14" i="45"/>
  <c r="HD14" i="45"/>
  <c r="HE14" i="45"/>
  <c r="HF14" i="45"/>
  <c r="HG14" i="45"/>
  <c r="HH14" i="45"/>
  <c r="HI14" i="45"/>
  <c r="HJ14" i="45"/>
  <c r="HK14" i="45"/>
  <c r="HL14" i="45"/>
  <c r="HM14" i="45"/>
  <c r="HN14" i="45"/>
  <c r="HO14" i="45"/>
  <c r="HP14" i="45"/>
  <c r="HQ14" i="45"/>
  <c r="HR14" i="45"/>
  <c r="HS14" i="45"/>
  <c r="HT14" i="45"/>
  <c r="HU14" i="45"/>
  <c r="HV14" i="45"/>
  <c r="HW14" i="45"/>
  <c r="HX14" i="45"/>
  <c r="HY14" i="45"/>
  <c r="HZ14" i="45"/>
  <c r="IA14" i="45"/>
  <c r="IB14" i="45"/>
  <c r="IC14" i="45"/>
  <c r="ID14" i="45"/>
  <c r="IE14" i="45"/>
  <c r="IF14" i="45"/>
  <c r="IG14" i="45"/>
  <c r="IH14" i="45"/>
  <c r="II14" i="45"/>
  <c r="IJ14" i="45"/>
  <c r="IK14" i="45"/>
  <c r="IL14" i="45"/>
  <c r="IM14" i="45"/>
  <c r="IN14" i="45"/>
  <c r="IO14" i="45"/>
  <c r="IP14" i="45"/>
  <c r="IQ14" i="45"/>
  <c r="IR14" i="45"/>
  <c r="IS14" i="45"/>
  <c r="IT14" i="45"/>
  <c r="IU14" i="45"/>
  <c r="IV14" i="45"/>
  <c r="A13" i="45"/>
  <c r="B13" i="45"/>
  <c r="C13" i="45"/>
  <c r="D13" i="45"/>
  <c r="E13" i="45"/>
  <c r="F13" i="45"/>
  <c r="G13" i="45"/>
  <c r="H13" i="45"/>
  <c r="I13" i="45"/>
  <c r="J13" i="45"/>
  <c r="K13" i="45"/>
  <c r="L13" i="45"/>
  <c r="M13" i="45"/>
  <c r="N13" i="45"/>
  <c r="O13" i="45"/>
  <c r="P13" i="45"/>
  <c r="Q13" i="45"/>
  <c r="R13" i="45"/>
  <c r="S13" i="45"/>
  <c r="T13" i="45"/>
  <c r="U13" i="45"/>
  <c r="V13" i="45"/>
  <c r="W13" i="45"/>
  <c r="X13" i="45"/>
  <c r="Y13" i="45"/>
  <c r="Z13" i="45"/>
  <c r="AA13" i="45"/>
  <c r="AB13" i="45"/>
  <c r="AC13" i="45"/>
  <c r="AD13" i="45"/>
  <c r="AE13" i="45"/>
  <c r="AF13" i="45"/>
  <c r="AG13" i="45"/>
  <c r="AH13" i="45"/>
  <c r="AI13" i="45"/>
  <c r="AJ13" i="45"/>
  <c r="AK13" i="45"/>
  <c r="AL13" i="45"/>
  <c r="AM13" i="45"/>
  <c r="AN13" i="45"/>
  <c r="AO13" i="45"/>
  <c r="AP13" i="45"/>
  <c r="AQ13" i="45"/>
  <c r="AR13" i="45"/>
  <c r="AS13" i="45"/>
  <c r="AT13" i="45"/>
  <c r="AU13" i="45"/>
  <c r="AV13" i="45"/>
  <c r="AW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A13" i="45"/>
  <c r="CB13" i="45"/>
  <c r="CC13" i="45"/>
  <c r="CD13" i="45"/>
  <c r="CE13" i="45"/>
  <c r="CF13" i="45"/>
  <c r="CG13" i="45"/>
  <c r="CH13" i="45"/>
  <c r="CI13" i="45"/>
  <c r="CJ13" i="45"/>
  <c r="CK13" i="45"/>
  <c r="CL13" i="45"/>
  <c r="CM13" i="45"/>
  <c r="CN13" i="45"/>
  <c r="CO13" i="45"/>
  <c r="CP13" i="45"/>
  <c r="CQ13" i="45"/>
  <c r="CR13" i="45"/>
  <c r="CS13" i="45"/>
  <c r="CT13" i="45"/>
  <c r="CU13" i="45"/>
  <c r="CV13" i="45"/>
  <c r="CW13" i="45"/>
  <c r="CX13" i="45"/>
  <c r="CY13" i="45"/>
  <c r="CZ13" i="45"/>
  <c r="DA13" i="45"/>
  <c r="DB13" i="45"/>
  <c r="DC13" i="45"/>
  <c r="DD13" i="45"/>
  <c r="DE13" i="45"/>
  <c r="DF13" i="45"/>
  <c r="DG13" i="45"/>
  <c r="DH13" i="45"/>
  <c r="DI13" i="45"/>
  <c r="DJ13" i="45"/>
  <c r="DK13" i="45"/>
  <c r="DL13" i="45"/>
  <c r="DM13" i="45"/>
  <c r="DN13" i="45"/>
  <c r="DO13" i="45"/>
  <c r="DP13" i="45"/>
  <c r="DQ13" i="45"/>
  <c r="DR13" i="45"/>
  <c r="DS13" i="45"/>
  <c r="DT13" i="45"/>
  <c r="DU13" i="45"/>
  <c r="DV13" i="45"/>
  <c r="DW13" i="45"/>
  <c r="DX13" i="45"/>
  <c r="DY13" i="45"/>
  <c r="DZ13" i="45"/>
  <c r="EA13" i="45"/>
  <c r="EB13" i="45"/>
  <c r="EC13" i="45"/>
  <c r="ED13" i="45"/>
  <c r="EE13" i="45"/>
  <c r="EF13" i="45"/>
  <c r="EG13" i="45"/>
  <c r="EH13" i="45"/>
  <c r="EI13" i="45"/>
  <c r="EJ13" i="45"/>
  <c r="EK13" i="45"/>
  <c r="EL13" i="45"/>
  <c r="EM13" i="45"/>
  <c r="EN13" i="45"/>
  <c r="EO13" i="45"/>
  <c r="EP13" i="45"/>
  <c r="EQ13" i="45"/>
  <c r="ER13" i="45"/>
  <c r="ES13" i="45"/>
  <c r="ET13" i="45"/>
  <c r="EU13" i="45"/>
  <c r="EV13" i="45"/>
  <c r="EW13" i="45"/>
  <c r="EX13" i="45"/>
  <c r="EY13" i="45"/>
  <c r="EZ13" i="45"/>
  <c r="FA13" i="45"/>
  <c r="FB13" i="45"/>
  <c r="FC13" i="45"/>
  <c r="FD13" i="45"/>
  <c r="FE13" i="45"/>
  <c r="FF13" i="45"/>
  <c r="FG13" i="45"/>
  <c r="FH13" i="45"/>
  <c r="FI13" i="45"/>
  <c r="FJ13" i="45"/>
  <c r="FK13" i="45"/>
  <c r="FL13" i="45"/>
  <c r="FM13" i="45"/>
  <c r="FN13" i="45"/>
  <c r="FO13" i="45"/>
  <c r="FP13" i="45"/>
  <c r="FQ13" i="45"/>
  <c r="FR13" i="45"/>
  <c r="FS13" i="45"/>
  <c r="FT13" i="45"/>
  <c r="FU13" i="45"/>
  <c r="FV13" i="45"/>
  <c r="FW13" i="45"/>
  <c r="FX13" i="45"/>
  <c r="FY13" i="45"/>
  <c r="FZ13" i="45"/>
  <c r="GA13" i="45"/>
  <c r="GB13" i="45"/>
  <c r="GC13" i="45"/>
  <c r="GD13" i="45"/>
  <c r="GE13" i="45"/>
  <c r="GF13" i="45"/>
  <c r="GG13" i="45"/>
  <c r="GH13" i="45"/>
  <c r="GI13" i="45"/>
  <c r="GJ13" i="45"/>
  <c r="GK13" i="45"/>
  <c r="GL13" i="45"/>
  <c r="GM13" i="45"/>
  <c r="GN13" i="45"/>
  <c r="GO13" i="45"/>
  <c r="GP13" i="45"/>
  <c r="GQ13" i="45"/>
  <c r="GR13" i="45"/>
  <c r="GS13" i="45"/>
  <c r="GT13" i="45"/>
  <c r="GU13" i="45"/>
  <c r="GV13" i="45"/>
  <c r="GW13" i="45"/>
  <c r="GX13" i="45"/>
  <c r="GY13" i="45"/>
  <c r="GZ13" i="45"/>
  <c r="HA13" i="45"/>
  <c r="HB13" i="45"/>
  <c r="HC13" i="45"/>
  <c r="HD13" i="45"/>
  <c r="HE13" i="45"/>
  <c r="HF13" i="45"/>
  <c r="HG13" i="45"/>
  <c r="HH13" i="45"/>
  <c r="HI13" i="45"/>
  <c r="HJ13" i="45"/>
  <c r="HK13" i="45"/>
  <c r="HL13" i="45"/>
  <c r="HM13" i="45"/>
  <c r="HN13" i="45"/>
  <c r="HO13" i="45"/>
  <c r="HP13" i="45"/>
  <c r="HQ13" i="45"/>
  <c r="HR13" i="45"/>
  <c r="HS13" i="45"/>
  <c r="HT13" i="45"/>
  <c r="HU13" i="45"/>
  <c r="HV13" i="45"/>
  <c r="HW13" i="45"/>
  <c r="HX13" i="45"/>
  <c r="HY13" i="45"/>
  <c r="HZ13" i="45"/>
  <c r="IA13" i="45"/>
  <c r="IB13" i="45"/>
  <c r="IC13" i="45"/>
  <c r="ID13" i="45"/>
  <c r="IE13" i="45"/>
  <c r="IF13" i="45"/>
  <c r="IG13" i="45"/>
  <c r="IH13" i="45"/>
  <c r="II13" i="45"/>
  <c r="IJ13" i="45"/>
  <c r="IK13" i="45"/>
  <c r="IL13" i="45"/>
  <c r="IM13" i="45"/>
  <c r="IN13" i="45"/>
  <c r="IO13" i="45"/>
  <c r="IP13" i="45"/>
  <c r="IQ13" i="45"/>
  <c r="IR13" i="45"/>
  <c r="IS13" i="45"/>
  <c r="IT13" i="45"/>
  <c r="IU13" i="45"/>
  <c r="IV13" i="45"/>
  <c r="A12" i="45"/>
  <c r="B12" i="45"/>
  <c r="C12" i="45"/>
  <c r="D12" i="45"/>
  <c r="E12" i="45"/>
  <c r="F12" i="45"/>
  <c r="G12" i="45"/>
  <c r="H12" i="45"/>
  <c r="I12" i="45"/>
  <c r="J12" i="45"/>
  <c r="K12" i="45"/>
  <c r="L12" i="45"/>
  <c r="M12" i="45"/>
  <c r="N12" i="45"/>
  <c r="O12" i="45"/>
  <c r="P12" i="45"/>
  <c r="Q12" i="45"/>
  <c r="R12" i="45"/>
  <c r="S12" i="45"/>
  <c r="T12" i="45"/>
  <c r="U12" i="45"/>
  <c r="V12" i="45"/>
  <c r="W12" i="45"/>
  <c r="X12" i="45"/>
  <c r="Y12" i="45"/>
  <c r="Z12" i="45"/>
  <c r="AA12" i="45"/>
  <c r="AB12" i="45"/>
  <c r="AC12" i="45"/>
  <c r="AD12" i="45"/>
  <c r="AE12" i="45"/>
  <c r="AF12" i="45"/>
  <c r="AG12" i="45"/>
  <c r="AH12" i="45"/>
  <c r="AI12" i="45"/>
  <c r="AJ12" i="45"/>
  <c r="AK12" i="45"/>
  <c r="AL12" i="45"/>
  <c r="AM12" i="45"/>
  <c r="AN12" i="45"/>
  <c r="AO12" i="45"/>
  <c r="AP12" i="45"/>
  <c r="AQ12" i="45"/>
  <c r="AR12" i="45"/>
  <c r="AS12" i="45"/>
  <c r="AT12" i="45"/>
  <c r="AU12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A12" i="45"/>
  <c r="CB12" i="45"/>
  <c r="CC12" i="45"/>
  <c r="CD12" i="45"/>
  <c r="CE12" i="45"/>
  <c r="CF12" i="45"/>
  <c r="CG12" i="45"/>
  <c r="CH12" i="45"/>
  <c r="CI12" i="45"/>
  <c r="CJ12" i="45"/>
  <c r="CK12" i="45"/>
  <c r="CL12" i="45"/>
  <c r="CM12" i="45"/>
  <c r="CN12" i="45"/>
  <c r="CO12" i="45"/>
  <c r="CP12" i="45"/>
  <c r="CQ12" i="45"/>
  <c r="CR12" i="45"/>
  <c r="CS12" i="45"/>
  <c r="CT12" i="45"/>
  <c r="CU12" i="45"/>
  <c r="CV12" i="45"/>
  <c r="CW12" i="45"/>
  <c r="CX12" i="45"/>
  <c r="CY12" i="45"/>
  <c r="CZ12" i="45"/>
  <c r="DA12" i="45"/>
  <c r="DB12" i="45"/>
  <c r="DC12" i="45"/>
  <c r="DD12" i="45"/>
  <c r="DE12" i="45"/>
  <c r="DF12" i="45"/>
  <c r="DG12" i="45"/>
  <c r="DH12" i="45"/>
  <c r="DI12" i="45"/>
  <c r="DJ12" i="45"/>
  <c r="DK12" i="45"/>
  <c r="DL12" i="45"/>
  <c r="DM12" i="45"/>
  <c r="DN12" i="45"/>
  <c r="DO12" i="45"/>
  <c r="DP12" i="45"/>
  <c r="DQ12" i="45"/>
  <c r="DR12" i="45"/>
  <c r="DS12" i="45"/>
  <c r="DT12" i="45"/>
  <c r="DU12" i="45"/>
  <c r="DV12" i="45"/>
  <c r="DW12" i="45"/>
  <c r="DX12" i="45"/>
  <c r="DY12" i="45"/>
  <c r="DZ12" i="45"/>
  <c r="EA12" i="45"/>
  <c r="EB12" i="45"/>
  <c r="EC12" i="45"/>
  <c r="ED12" i="45"/>
  <c r="EE12" i="45"/>
  <c r="EF12" i="45"/>
  <c r="EG12" i="45"/>
  <c r="EH12" i="45"/>
  <c r="EI12" i="45"/>
  <c r="EJ12" i="45"/>
  <c r="EK12" i="45"/>
  <c r="EL12" i="45"/>
  <c r="EM12" i="45"/>
  <c r="EN12" i="45"/>
  <c r="EO12" i="45"/>
  <c r="EP12" i="45"/>
  <c r="EQ12" i="45"/>
  <c r="ER12" i="45"/>
  <c r="ES12" i="45"/>
  <c r="ET12" i="45"/>
  <c r="EU12" i="45"/>
  <c r="EV12" i="45"/>
  <c r="EW12" i="45"/>
  <c r="EX12" i="45"/>
  <c r="EY12" i="45"/>
  <c r="EZ12" i="45"/>
  <c r="FA12" i="45"/>
  <c r="FB12" i="45"/>
  <c r="FC12" i="45"/>
  <c r="FD12" i="45"/>
  <c r="FE12" i="45"/>
  <c r="FF12" i="45"/>
  <c r="FG12" i="45"/>
  <c r="FH12" i="45"/>
  <c r="FI12" i="45"/>
  <c r="FJ12" i="45"/>
  <c r="FK12" i="45"/>
  <c r="FL12" i="45"/>
  <c r="FM12" i="45"/>
  <c r="FN12" i="45"/>
  <c r="FO12" i="45"/>
  <c r="FP12" i="45"/>
  <c r="FQ12" i="45"/>
  <c r="FR12" i="45"/>
  <c r="FS12" i="45"/>
  <c r="FT12" i="45"/>
  <c r="FU12" i="45"/>
  <c r="FV12" i="45"/>
  <c r="FW12" i="45"/>
  <c r="FX12" i="45"/>
  <c r="FY12" i="45"/>
  <c r="FZ12" i="45"/>
  <c r="GA12" i="45"/>
  <c r="GB12" i="45"/>
  <c r="GC12" i="45"/>
  <c r="GD12" i="45"/>
  <c r="GE12" i="45"/>
  <c r="GF12" i="45"/>
  <c r="GG12" i="45"/>
  <c r="GH12" i="45"/>
  <c r="GI12" i="45"/>
  <c r="GJ12" i="45"/>
  <c r="GK12" i="45"/>
  <c r="GL12" i="45"/>
  <c r="GM12" i="45"/>
  <c r="GN12" i="45"/>
  <c r="GO12" i="45"/>
  <c r="GP12" i="45"/>
  <c r="GQ12" i="45"/>
  <c r="GR12" i="45"/>
  <c r="GS12" i="45"/>
  <c r="GT12" i="45"/>
  <c r="GU12" i="45"/>
  <c r="GV12" i="45"/>
  <c r="GW12" i="45"/>
  <c r="GX12" i="45"/>
  <c r="GY12" i="45"/>
  <c r="GZ12" i="45"/>
  <c r="HA12" i="45"/>
  <c r="HB12" i="45"/>
  <c r="HC12" i="45"/>
  <c r="HD12" i="45"/>
  <c r="HE12" i="45"/>
  <c r="HF12" i="45"/>
  <c r="HG12" i="45"/>
  <c r="HH12" i="45"/>
  <c r="HI12" i="45"/>
  <c r="HJ12" i="45"/>
  <c r="HK12" i="45"/>
  <c r="HL12" i="45"/>
  <c r="HM12" i="45"/>
  <c r="HN12" i="45"/>
  <c r="HO12" i="45"/>
  <c r="HP12" i="45"/>
  <c r="HQ12" i="45"/>
  <c r="HR12" i="45"/>
  <c r="HS12" i="45"/>
  <c r="HT12" i="45"/>
  <c r="HU12" i="45"/>
  <c r="HV12" i="45"/>
  <c r="HW12" i="45"/>
  <c r="HX12" i="45"/>
  <c r="HY12" i="45"/>
  <c r="HZ12" i="45"/>
  <c r="IA12" i="45"/>
  <c r="IB12" i="45"/>
  <c r="IC12" i="45"/>
  <c r="ID12" i="45"/>
  <c r="IE12" i="45"/>
  <c r="IF12" i="45"/>
  <c r="IG12" i="45"/>
  <c r="IH12" i="45"/>
  <c r="II12" i="45"/>
  <c r="IJ12" i="45"/>
  <c r="IK12" i="45"/>
  <c r="IL12" i="45"/>
  <c r="IM12" i="45"/>
  <c r="IN12" i="45"/>
  <c r="IO12" i="45"/>
  <c r="IP12" i="45"/>
  <c r="IQ12" i="45"/>
  <c r="IR12" i="45"/>
  <c r="IS12" i="45"/>
  <c r="IT12" i="45"/>
  <c r="IU12" i="45"/>
  <c r="IV12" i="45"/>
  <c r="A11" i="45"/>
  <c r="B11" i="45"/>
  <c r="C11" i="45"/>
  <c r="D11" i="45"/>
  <c r="E11" i="45"/>
  <c r="F11" i="45"/>
  <c r="G11" i="45"/>
  <c r="H11" i="45"/>
  <c r="I11" i="45"/>
  <c r="J11" i="45"/>
  <c r="K11" i="45"/>
  <c r="L11" i="45"/>
  <c r="M11" i="45"/>
  <c r="N11" i="45"/>
  <c r="O11" i="45"/>
  <c r="P11" i="45"/>
  <c r="Q11" i="45"/>
  <c r="R11" i="45"/>
  <c r="S11" i="45"/>
  <c r="T11" i="45"/>
  <c r="U11" i="45"/>
  <c r="V11" i="45"/>
  <c r="W11" i="45"/>
  <c r="X11" i="45"/>
  <c r="Y11" i="45"/>
  <c r="Z11" i="45"/>
  <c r="AA11" i="45"/>
  <c r="AB11" i="45"/>
  <c r="AC11" i="45"/>
  <c r="AD11" i="45"/>
  <c r="AE11" i="45"/>
  <c r="AF11" i="45"/>
  <c r="AG11" i="45"/>
  <c r="AH11" i="45"/>
  <c r="AI11" i="45"/>
  <c r="AJ11" i="45"/>
  <c r="AK11" i="45"/>
  <c r="AL11" i="45"/>
  <c r="AM11" i="45"/>
  <c r="AN11" i="45"/>
  <c r="AO11" i="45"/>
  <c r="AP11" i="45"/>
  <c r="AQ11" i="45"/>
  <c r="AR11" i="45"/>
  <c r="AS11" i="45"/>
  <c r="AT11" i="45"/>
  <c r="AU11" i="45"/>
  <c r="AV11" i="45"/>
  <c r="AW11" i="45"/>
  <c r="AX11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A11" i="45"/>
  <c r="CB11" i="45"/>
  <c r="CC11" i="45"/>
  <c r="CD11" i="45"/>
  <c r="CE11" i="45"/>
  <c r="CF11" i="45"/>
  <c r="CG11" i="45"/>
  <c r="CH11" i="45"/>
  <c r="CI11" i="45"/>
  <c r="CJ11" i="45"/>
  <c r="CK11" i="45"/>
  <c r="CL11" i="45"/>
  <c r="CM11" i="45"/>
  <c r="CN11" i="45"/>
  <c r="CO11" i="45"/>
  <c r="CP11" i="45"/>
  <c r="CQ11" i="45"/>
  <c r="CR11" i="45"/>
  <c r="CS11" i="45"/>
  <c r="CT11" i="45"/>
  <c r="CU11" i="45"/>
  <c r="CV11" i="45"/>
  <c r="CW11" i="45"/>
  <c r="CX11" i="45"/>
  <c r="CY11" i="45"/>
  <c r="CZ11" i="45"/>
  <c r="DA11" i="45"/>
  <c r="DB11" i="45"/>
  <c r="DC11" i="45"/>
  <c r="DD11" i="45"/>
  <c r="DE11" i="45"/>
  <c r="DF11" i="45"/>
  <c r="DG11" i="45"/>
  <c r="DH11" i="45"/>
  <c r="DI11" i="45"/>
  <c r="DJ11" i="45"/>
  <c r="DK11" i="45"/>
  <c r="DL11" i="45"/>
  <c r="DM11" i="45"/>
  <c r="DN11" i="45"/>
  <c r="DO11" i="45"/>
  <c r="DP11" i="45"/>
  <c r="DQ11" i="45"/>
  <c r="DR11" i="45"/>
  <c r="DS11" i="45"/>
  <c r="DT11" i="45"/>
  <c r="DU11" i="45"/>
  <c r="DV11" i="45"/>
  <c r="DW11" i="45"/>
  <c r="DX11" i="45"/>
  <c r="DY11" i="45"/>
  <c r="DZ11" i="45"/>
  <c r="EA11" i="45"/>
  <c r="EB11" i="45"/>
  <c r="EC11" i="45"/>
  <c r="ED11" i="45"/>
  <c r="EE11" i="45"/>
  <c r="EF11" i="45"/>
  <c r="EG11" i="45"/>
  <c r="EH11" i="45"/>
  <c r="EI11" i="45"/>
  <c r="EJ11" i="45"/>
  <c r="EK11" i="45"/>
  <c r="EL11" i="45"/>
  <c r="EM11" i="45"/>
  <c r="EN11" i="45"/>
  <c r="EO11" i="45"/>
  <c r="EP11" i="45"/>
  <c r="EQ11" i="45"/>
  <c r="ER11" i="45"/>
  <c r="ES11" i="45"/>
  <c r="ET11" i="45"/>
  <c r="EU11" i="45"/>
  <c r="EV11" i="45"/>
  <c r="EW11" i="45"/>
  <c r="EX11" i="45"/>
  <c r="EY11" i="45"/>
  <c r="EZ11" i="45"/>
  <c r="FA11" i="45"/>
  <c r="FB11" i="45"/>
  <c r="FC11" i="45"/>
  <c r="FD11" i="45"/>
  <c r="FE11" i="45"/>
  <c r="FF11" i="45"/>
  <c r="FG11" i="45"/>
  <c r="FH11" i="45"/>
  <c r="FI11" i="45"/>
  <c r="FJ11" i="45"/>
  <c r="FK11" i="45"/>
  <c r="FL11" i="45"/>
  <c r="FM11" i="45"/>
  <c r="FN11" i="45"/>
  <c r="FO11" i="45"/>
  <c r="FP11" i="45"/>
  <c r="FQ11" i="45"/>
  <c r="FR11" i="45"/>
  <c r="FS11" i="45"/>
  <c r="FT11" i="45"/>
  <c r="FU11" i="45"/>
  <c r="FV11" i="45"/>
  <c r="FW11" i="45"/>
  <c r="FX11" i="45"/>
  <c r="FY11" i="45"/>
  <c r="FZ11" i="45"/>
  <c r="GA11" i="45"/>
  <c r="GB11" i="45"/>
  <c r="GC11" i="45"/>
  <c r="GD11" i="45"/>
  <c r="GE11" i="45"/>
  <c r="GF11" i="45"/>
  <c r="GG11" i="45"/>
  <c r="GH11" i="45"/>
  <c r="GI11" i="45"/>
  <c r="GJ11" i="45"/>
  <c r="GK11" i="45"/>
  <c r="GL11" i="45"/>
  <c r="GM11" i="45"/>
  <c r="GN11" i="45"/>
  <c r="GO11" i="45"/>
  <c r="GP11" i="45"/>
  <c r="GQ11" i="45"/>
  <c r="GR11" i="45"/>
  <c r="GS11" i="45"/>
  <c r="GT11" i="45"/>
  <c r="GU11" i="45"/>
  <c r="GV11" i="45"/>
  <c r="GW11" i="45"/>
  <c r="GX11" i="45"/>
  <c r="GY11" i="45"/>
  <c r="GZ11" i="45"/>
  <c r="HA11" i="45"/>
  <c r="HB11" i="45"/>
  <c r="HC11" i="45"/>
  <c r="HD11" i="45"/>
  <c r="HE11" i="45"/>
  <c r="HF11" i="45"/>
  <c r="HG11" i="45"/>
  <c r="HH11" i="45"/>
  <c r="HI11" i="45"/>
  <c r="HJ11" i="45"/>
  <c r="HK11" i="45"/>
  <c r="HL11" i="45"/>
  <c r="HM11" i="45"/>
  <c r="HN11" i="45"/>
  <c r="HO11" i="45"/>
  <c r="HP11" i="45"/>
  <c r="HQ11" i="45"/>
  <c r="HR11" i="45"/>
  <c r="HS11" i="45"/>
  <c r="HT11" i="45"/>
  <c r="HU11" i="45"/>
  <c r="HV11" i="45"/>
  <c r="HW11" i="45"/>
  <c r="HX11" i="45"/>
  <c r="HY11" i="45"/>
  <c r="HZ11" i="45"/>
  <c r="IA11" i="45"/>
  <c r="IB11" i="45"/>
  <c r="IC11" i="45"/>
  <c r="ID11" i="45"/>
  <c r="IE11" i="45"/>
  <c r="IF11" i="45"/>
  <c r="IG11" i="45"/>
  <c r="IH11" i="45"/>
  <c r="II11" i="45"/>
  <c r="IJ11" i="45"/>
  <c r="IK11" i="45"/>
  <c r="IL11" i="45"/>
  <c r="IM11" i="45"/>
  <c r="IN11" i="45"/>
  <c r="IO11" i="45"/>
  <c r="IP11" i="45"/>
  <c r="IQ11" i="45"/>
  <c r="IR11" i="45"/>
  <c r="IS11" i="45"/>
  <c r="IT11" i="45"/>
  <c r="IU11" i="45"/>
  <c r="IV11" i="45"/>
  <c r="A10" i="45"/>
  <c r="B10" i="45"/>
  <c r="C10" i="45"/>
  <c r="D10" i="45"/>
  <c r="E10" i="45"/>
  <c r="F10" i="45"/>
  <c r="G10" i="45"/>
  <c r="H10" i="45"/>
  <c r="I10" i="45"/>
  <c r="J10" i="45"/>
  <c r="K10" i="45"/>
  <c r="L10" i="45"/>
  <c r="M10" i="45"/>
  <c r="N10" i="45"/>
  <c r="O10" i="45"/>
  <c r="P10" i="45"/>
  <c r="Q10" i="45"/>
  <c r="R10" i="45"/>
  <c r="S10" i="45"/>
  <c r="T10" i="45"/>
  <c r="U10" i="45"/>
  <c r="V10" i="45"/>
  <c r="W10" i="45"/>
  <c r="X10" i="45"/>
  <c r="Y10" i="45"/>
  <c r="Z10" i="45"/>
  <c r="AA10" i="45"/>
  <c r="AB10" i="45"/>
  <c r="AC10" i="45"/>
  <c r="AD10" i="45"/>
  <c r="AE10" i="45"/>
  <c r="AF10" i="45"/>
  <c r="AG10" i="45"/>
  <c r="AH10" i="45"/>
  <c r="AI10" i="45"/>
  <c r="AJ10" i="45"/>
  <c r="AK10" i="45"/>
  <c r="AL10" i="45"/>
  <c r="AM10" i="45"/>
  <c r="AN10" i="45"/>
  <c r="AO10" i="45"/>
  <c r="AP10" i="45"/>
  <c r="AQ10" i="45"/>
  <c r="AR10" i="45"/>
  <c r="AS10" i="45"/>
  <c r="AT10" i="45"/>
  <c r="AU10" i="45"/>
  <c r="AV10" i="45"/>
  <c r="AW10" i="45"/>
  <c r="AX10" i="45"/>
  <c r="AY10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A10" i="45"/>
  <c r="CB10" i="45"/>
  <c r="CC10" i="45"/>
  <c r="CD10" i="45"/>
  <c r="CE10" i="45"/>
  <c r="CF10" i="45"/>
  <c r="CG10" i="45"/>
  <c r="CH10" i="45"/>
  <c r="CI10" i="45"/>
  <c r="CJ10" i="45"/>
  <c r="CK10" i="45"/>
  <c r="CL10" i="45"/>
  <c r="CM10" i="45"/>
  <c r="CN10" i="45"/>
  <c r="CO10" i="45"/>
  <c r="CP10" i="45"/>
  <c r="CQ10" i="45"/>
  <c r="CR10" i="45"/>
  <c r="CS10" i="45"/>
  <c r="CT10" i="45"/>
  <c r="CU10" i="45"/>
  <c r="CV10" i="45"/>
  <c r="CW10" i="45"/>
  <c r="CX10" i="45"/>
  <c r="CY10" i="45"/>
  <c r="CZ10" i="45"/>
  <c r="DA10" i="45"/>
  <c r="DB10" i="45"/>
  <c r="DC10" i="45"/>
  <c r="DD10" i="45"/>
  <c r="DE10" i="45"/>
  <c r="DF10" i="45"/>
  <c r="DG10" i="45"/>
  <c r="DH10" i="45"/>
  <c r="DI10" i="45"/>
  <c r="DJ10" i="45"/>
  <c r="DK10" i="45"/>
  <c r="DL10" i="45"/>
  <c r="DM10" i="45"/>
  <c r="DN10" i="45"/>
  <c r="DO10" i="45"/>
  <c r="DP10" i="45"/>
  <c r="DQ10" i="45"/>
  <c r="DR10" i="45"/>
  <c r="DS10" i="45"/>
  <c r="DT10" i="45"/>
  <c r="DU10" i="45"/>
  <c r="DV10" i="45"/>
  <c r="DW10" i="45"/>
  <c r="DX10" i="45"/>
  <c r="DY10" i="45"/>
  <c r="DZ10" i="45"/>
  <c r="EA10" i="45"/>
  <c r="EB10" i="45"/>
  <c r="EC10" i="45"/>
  <c r="ED10" i="45"/>
  <c r="EE10" i="45"/>
  <c r="EF10" i="45"/>
  <c r="EG10" i="45"/>
  <c r="EH10" i="45"/>
  <c r="EI10" i="45"/>
  <c r="EJ10" i="45"/>
  <c r="EK10" i="45"/>
  <c r="EL10" i="45"/>
  <c r="EM10" i="45"/>
  <c r="EN10" i="45"/>
  <c r="EO10" i="45"/>
  <c r="EP10" i="45"/>
  <c r="EQ10" i="45"/>
  <c r="ER10" i="45"/>
  <c r="ES10" i="45"/>
  <c r="ET10" i="45"/>
  <c r="EU10" i="45"/>
  <c r="EV10" i="45"/>
  <c r="EW10" i="45"/>
  <c r="EX10" i="45"/>
  <c r="EY10" i="45"/>
  <c r="EZ10" i="45"/>
  <c r="FA10" i="45"/>
  <c r="FB10" i="45"/>
  <c r="FC10" i="45"/>
  <c r="FD10" i="45"/>
  <c r="FE10" i="45"/>
  <c r="FF10" i="45"/>
  <c r="FG10" i="45"/>
  <c r="FH10" i="45"/>
  <c r="FI10" i="45"/>
  <c r="FJ10" i="45"/>
  <c r="FK10" i="45"/>
  <c r="FL10" i="45"/>
  <c r="FM10" i="45"/>
  <c r="FN10" i="45"/>
  <c r="FO10" i="45"/>
  <c r="FP10" i="45"/>
  <c r="FQ10" i="45"/>
  <c r="FR10" i="45"/>
  <c r="FS10" i="45"/>
  <c r="FT10" i="45"/>
  <c r="FU10" i="45"/>
  <c r="FV10" i="45"/>
  <c r="FW10" i="45"/>
  <c r="FX10" i="45"/>
  <c r="FY10" i="45"/>
  <c r="FZ10" i="45"/>
  <c r="GA10" i="45"/>
  <c r="GB10" i="45"/>
  <c r="GC10" i="45"/>
  <c r="GD10" i="45"/>
  <c r="GE10" i="45"/>
  <c r="GF10" i="45"/>
  <c r="GG10" i="45"/>
  <c r="GH10" i="45"/>
  <c r="GI10" i="45"/>
  <c r="GJ10" i="45"/>
  <c r="GK10" i="45"/>
  <c r="GL10" i="45"/>
  <c r="GM10" i="45"/>
  <c r="GN10" i="45"/>
  <c r="GO10" i="45"/>
  <c r="GP10" i="45"/>
  <c r="GQ10" i="45"/>
  <c r="GR10" i="45"/>
  <c r="GS10" i="45"/>
  <c r="GT10" i="45"/>
  <c r="GU10" i="45"/>
  <c r="GV10" i="45"/>
  <c r="GW10" i="45"/>
  <c r="GX10" i="45"/>
  <c r="GY10" i="45"/>
  <c r="GZ10" i="45"/>
  <c r="HA10" i="45"/>
  <c r="HB10" i="45"/>
  <c r="HC10" i="45"/>
  <c r="HD10" i="45"/>
  <c r="HE10" i="45"/>
  <c r="HF10" i="45"/>
  <c r="HG10" i="45"/>
  <c r="HH10" i="45"/>
  <c r="HI10" i="45"/>
  <c r="HJ10" i="45"/>
  <c r="HK10" i="45"/>
  <c r="HL10" i="45"/>
  <c r="HM10" i="45"/>
  <c r="HN10" i="45"/>
  <c r="HO10" i="45"/>
  <c r="HP10" i="45"/>
  <c r="HQ10" i="45"/>
  <c r="HR10" i="45"/>
  <c r="HS10" i="45"/>
  <c r="HT10" i="45"/>
  <c r="HU10" i="45"/>
  <c r="HV10" i="45"/>
  <c r="HW10" i="45"/>
  <c r="HX10" i="45"/>
  <c r="HY10" i="45"/>
  <c r="HZ10" i="45"/>
  <c r="IA10" i="45"/>
  <c r="IB10" i="45"/>
  <c r="IC10" i="45"/>
  <c r="ID10" i="45"/>
  <c r="IE10" i="45"/>
  <c r="IF10" i="45"/>
  <c r="IG10" i="45"/>
  <c r="IH10" i="45"/>
  <c r="II10" i="45"/>
  <c r="IJ10" i="45"/>
  <c r="IK10" i="45"/>
  <c r="IL10" i="45"/>
  <c r="IM10" i="45"/>
  <c r="IN10" i="45"/>
  <c r="IO10" i="45"/>
  <c r="IP10" i="45"/>
  <c r="IQ10" i="45"/>
  <c r="IR10" i="45"/>
  <c r="IS10" i="45"/>
  <c r="IT10" i="45"/>
  <c r="IU10" i="45"/>
  <c r="IV10" i="45"/>
  <c r="A9" i="45"/>
  <c r="B9" i="45"/>
  <c r="C9" i="45"/>
  <c r="D9" i="45"/>
  <c r="E9" i="45"/>
  <c r="F9" i="45"/>
  <c r="G9" i="45"/>
  <c r="H9" i="45"/>
  <c r="I9" i="45"/>
  <c r="J9" i="45"/>
  <c r="K9" i="45"/>
  <c r="L9" i="45"/>
  <c r="M9" i="45"/>
  <c r="N9" i="45"/>
  <c r="O9" i="45"/>
  <c r="P9" i="45"/>
  <c r="Q9" i="45"/>
  <c r="R9" i="45"/>
  <c r="S9" i="45"/>
  <c r="T9" i="45"/>
  <c r="U9" i="45"/>
  <c r="V9" i="45"/>
  <c r="W9" i="45"/>
  <c r="X9" i="45"/>
  <c r="Y9" i="45"/>
  <c r="Z9" i="45"/>
  <c r="AA9" i="45"/>
  <c r="AB9" i="45"/>
  <c r="AC9" i="45"/>
  <c r="AD9" i="45"/>
  <c r="AE9" i="45"/>
  <c r="AF9" i="45"/>
  <c r="AG9" i="45"/>
  <c r="AH9" i="45"/>
  <c r="AI9" i="45"/>
  <c r="AJ9" i="45"/>
  <c r="AK9" i="45"/>
  <c r="AL9" i="45"/>
  <c r="AM9" i="45"/>
  <c r="AN9" i="45"/>
  <c r="AO9" i="45"/>
  <c r="AP9" i="45"/>
  <c r="AQ9" i="45"/>
  <c r="AR9" i="45"/>
  <c r="AS9" i="45"/>
  <c r="AT9" i="45"/>
  <c r="AU9" i="45"/>
  <c r="AV9" i="45"/>
  <c r="AW9" i="45"/>
  <c r="AX9" i="45"/>
  <c r="AY9" i="45"/>
  <c r="AZ9" i="45"/>
  <c r="BA9" i="45"/>
  <c r="BB9" i="45"/>
  <c r="BC9" i="45"/>
  <c r="BD9" i="45"/>
  <c r="BE9" i="45"/>
  <c r="BF9" i="45"/>
  <c r="BG9" i="45"/>
  <c r="BH9" i="45"/>
  <c r="BI9" i="45"/>
  <c r="BJ9" i="45"/>
  <c r="BK9" i="45"/>
  <c r="BL9" i="45"/>
  <c r="BM9" i="45"/>
  <c r="BN9" i="45"/>
  <c r="BO9" i="45"/>
  <c r="BP9" i="45"/>
  <c r="BQ9" i="45"/>
  <c r="BR9" i="45"/>
  <c r="BS9" i="45"/>
  <c r="BT9" i="45"/>
  <c r="BU9" i="45"/>
  <c r="BV9" i="45"/>
  <c r="BW9" i="45"/>
  <c r="BX9" i="45"/>
  <c r="BY9" i="45"/>
  <c r="BZ9" i="45"/>
  <c r="CA9" i="45"/>
  <c r="CB9" i="45"/>
  <c r="CC9" i="45"/>
  <c r="CD9" i="45"/>
  <c r="CE9" i="45"/>
  <c r="CF9" i="45"/>
  <c r="CG9" i="45"/>
  <c r="CH9" i="45"/>
  <c r="CI9" i="45"/>
  <c r="CJ9" i="45"/>
  <c r="CK9" i="45"/>
  <c r="CL9" i="45"/>
  <c r="CM9" i="45"/>
  <c r="CN9" i="45"/>
  <c r="CO9" i="45"/>
  <c r="CP9" i="45"/>
  <c r="CQ9" i="45"/>
  <c r="CR9" i="45"/>
  <c r="CS9" i="45"/>
  <c r="CT9" i="45"/>
  <c r="CU9" i="45"/>
  <c r="CV9" i="45"/>
  <c r="CW9" i="45"/>
  <c r="CX9" i="45"/>
  <c r="CY9" i="45"/>
  <c r="CZ9" i="45"/>
  <c r="DA9" i="45"/>
  <c r="DB9" i="45"/>
  <c r="DC9" i="45"/>
  <c r="DD9" i="45"/>
  <c r="DE9" i="45"/>
  <c r="DF9" i="45"/>
  <c r="DG9" i="45"/>
  <c r="DH9" i="45"/>
  <c r="DI9" i="45"/>
  <c r="DJ9" i="45"/>
  <c r="DK9" i="45"/>
  <c r="DL9" i="45"/>
  <c r="DM9" i="45"/>
  <c r="DN9" i="45"/>
  <c r="DO9" i="45"/>
  <c r="DP9" i="45"/>
  <c r="DQ9" i="45"/>
  <c r="DR9" i="45"/>
  <c r="DS9" i="45"/>
  <c r="DT9" i="45"/>
  <c r="DU9" i="45"/>
  <c r="DV9" i="45"/>
  <c r="DW9" i="45"/>
  <c r="DX9" i="45"/>
  <c r="DY9" i="45"/>
  <c r="DZ9" i="45"/>
  <c r="EA9" i="45"/>
  <c r="EB9" i="45"/>
  <c r="EC9" i="45"/>
  <c r="ED9" i="45"/>
  <c r="EE9" i="45"/>
  <c r="EF9" i="45"/>
  <c r="EG9" i="45"/>
  <c r="EH9" i="45"/>
  <c r="EI9" i="45"/>
  <c r="EJ9" i="45"/>
  <c r="EK9" i="45"/>
  <c r="EL9" i="45"/>
  <c r="EM9" i="45"/>
  <c r="EN9" i="45"/>
  <c r="EO9" i="45"/>
  <c r="EP9" i="45"/>
  <c r="EQ9" i="45"/>
  <c r="ER9" i="45"/>
  <c r="ES9" i="45"/>
  <c r="ET9" i="45"/>
  <c r="EU9" i="45"/>
  <c r="EV9" i="45"/>
  <c r="EW9" i="45"/>
  <c r="EX9" i="45"/>
  <c r="EY9" i="45"/>
  <c r="EZ9" i="45"/>
  <c r="FA9" i="45"/>
  <c r="FB9" i="45"/>
  <c r="FC9" i="45"/>
  <c r="FD9" i="45"/>
  <c r="FE9" i="45"/>
  <c r="FF9" i="45"/>
  <c r="FG9" i="45"/>
  <c r="FH9" i="45"/>
  <c r="FI9" i="45"/>
  <c r="FJ9" i="45"/>
  <c r="FK9" i="45"/>
  <c r="FL9" i="45"/>
  <c r="FM9" i="45"/>
  <c r="FN9" i="45"/>
  <c r="FO9" i="45"/>
  <c r="FP9" i="45"/>
  <c r="FQ9" i="45"/>
  <c r="FR9" i="45"/>
  <c r="FS9" i="45"/>
  <c r="FT9" i="45"/>
  <c r="FU9" i="45"/>
  <c r="FV9" i="45"/>
  <c r="FW9" i="45"/>
  <c r="FX9" i="45"/>
  <c r="FY9" i="45"/>
  <c r="FZ9" i="45"/>
  <c r="GA9" i="45"/>
  <c r="GB9" i="45"/>
  <c r="GC9" i="45"/>
  <c r="GD9" i="45"/>
  <c r="GE9" i="45"/>
  <c r="GF9" i="45"/>
  <c r="GG9" i="45"/>
  <c r="GH9" i="45"/>
  <c r="GI9" i="45"/>
  <c r="GJ9" i="45"/>
  <c r="GK9" i="45"/>
  <c r="GL9" i="45"/>
  <c r="GM9" i="45"/>
  <c r="GN9" i="45"/>
  <c r="GO9" i="45"/>
  <c r="GP9" i="45"/>
  <c r="GQ9" i="45"/>
  <c r="GR9" i="45"/>
  <c r="GS9" i="45"/>
  <c r="GT9" i="45"/>
  <c r="GU9" i="45"/>
  <c r="GV9" i="45"/>
  <c r="GW9" i="45"/>
  <c r="GX9" i="45"/>
  <c r="GY9" i="45"/>
  <c r="GZ9" i="45"/>
  <c r="HA9" i="45"/>
  <c r="HB9" i="45"/>
  <c r="HC9" i="45"/>
  <c r="HD9" i="45"/>
  <c r="HE9" i="45"/>
  <c r="HF9" i="45"/>
  <c r="HG9" i="45"/>
  <c r="HH9" i="45"/>
  <c r="HI9" i="45"/>
  <c r="HJ9" i="45"/>
  <c r="HK9" i="45"/>
  <c r="HL9" i="45"/>
  <c r="HM9" i="45"/>
  <c r="HN9" i="45"/>
  <c r="HO9" i="45"/>
  <c r="HP9" i="45"/>
  <c r="HQ9" i="45"/>
  <c r="HR9" i="45"/>
  <c r="HS9" i="45"/>
  <c r="HT9" i="45"/>
  <c r="HU9" i="45"/>
  <c r="HV9" i="45"/>
  <c r="HW9" i="45"/>
  <c r="HX9" i="45"/>
  <c r="HY9" i="45"/>
  <c r="HZ9" i="45"/>
  <c r="IA9" i="45"/>
  <c r="IB9" i="45"/>
  <c r="IC9" i="45"/>
  <c r="ID9" i="45"/>
  <c r="IE9" i="45"/>
  <c r="IF9" i="45"/>
  <c r="IG9" i="45"/>
  <c r="IH9" i="45"/>
  <c r="II9" i="45"/>
  <c r="IJ9" i="45"/>
  <c r="IK9" i="45"/>
  <c r="IL9" i="45"/>
  <c r="IM9" i="45"/>
  <c r="IN9" i="45"/>
  <c r="IO9" i="45"/>
  <c r="IP9" i="45"/>
  <c r="IQ9" i="45"/>
  <c r="IR9" i="45"/>
  <c r="IS9" i="45"/>
  <c r="IT9" i="45"/>
  <c r="IU9" i="45"/>
  <c r="IV9" i="45"/>
  <c r="A8" i="45"/>
  <c r="B8" i="45"/>
  <c r="C8" i="45"/>
  <c r="D8" i="45"/>
  <c r="E8" i="45"/>
  <c r="F8" i="45"/>
  <c r="G8" i="45"/>
  <c r="H8" i="45"/>
  <c r="I8" i="45"/>
  <c r="J8" i="45"/>
  <c r="K8" i="45"/>
  <c r="L8" i="45"/>
  <c r="M8" i="45"/>
  <c r="N8" i="45"/>
  <c r="O8" i="45"/>
  <c r="P8" i="45"/>
  <c r="Q8" i="45"/>
  <c r="R8" i="45"/>
  <c r="S8" i="45"/>
  <c r="T8" i="45"/>
  <c r="U8" i="45"/>
  <c r="V8" i="45"/>
  <c r="W8" i="45"/>
  <c r="X8" i="45"/>
  <c r="Y8" i="45"/>
  <c r="Z8" i="45"/>
  <c r="AA8" i="45"/>
  <c r="AB8" i="45"/>
  <c r="AC8" i="45"/>
  <c r="AD8" i="45"/>
  <c r="AE8" i="45"/>
  <c r="AF8" i="45"/>
  <c r="AG8" i="45"/>
  <c r="AH8" i="45"/>
  <c r="AI8" i="45"/>
  <c r="AJ8" i="45"/>
  <c r="AK8" i="45"/>
  <c r="AL8" i="45"/>
  <c r="AM8" i="45"/>
  <c r="AN8" i="45"/>
  <c r="AO8" i="45"/>
  <c r="AP8" i="45"/>
  <c r="AQ8" i="45"/>
  <c r="AR8" i="45"/>
  <c r="AS8" i="45"/>
  <c r="AT8" i="45"/>
  <c r="AU8" i="45"/>
  <c r="AV8" i="45"/>
  <c r="AW8" i="45"/>
  <c r="AX8" i="45"/>
  <c r="AY8" i="45"/>
  <c r="AZ8" i="45"/>
  <c r="BA8" i="45"/>
  <c r="BB8" i="45"/>
  <c r="BC8" i="45"/>
  <c r="BD8" i="45"/>
  <c r="BE8" i="45"/>
  <c r="BF8" i="45"/>
  <c r="BG8" i="45"/>
  <c r="BH8" i="45"/>
  <c r="BI8" i="45"/>
  <c r="BJ8" i="45"/>
  <c r="BK8" i="45"/>
  <c r="BL8" i="45"/>
  <c r="BM8" i="45"/>
  <c r="BN8" i="45"/>
  <c r="BO8" i="45"/>
  <c r="BP8" i="45"/>
  <c r="BQ8" i="45"/>
  <c r="BR8" i="45"/>
  <c r="BS8" i="45"/>
  <c r="BT8" i="45"/>
  <c r="BU8" i="45"/>
  <c r="BV8" i="45"/>
  <c r="BW8" i="45"/>
  <c r="BX8" i="45"/>
  <c r="BY8" i="45"/>
  <c r="BZ8" i="45"/>
  <c r="CA8" i="45"/>
  <c r="CB8" i="45"/>
  <c r="CC8" i="45"/>
  <c r="CD8" i="45"/>
  <c r="CE8" i="45"/>
  <c r="CF8" i="45"/>
  <c r="CG8" i="45"/>
  <c r="CH8" i="45"/>
  <c r="CI8" i="45"/>
  <c r="CJ8" i="45"/>
  <c r="CK8" i="45"/>
  <c r="CL8" i="45"/>
  <c r="CM8" i="45"/>
  <c r="CN8" i="45"/>
  <c r="CO8" i="45"/>
  <c r="CP8" i="45"/>
  <c r="CQ8" i="45"/>
  <c r="CR8" i="45"/>
  <c r="CS8" i="45"/>
  <c r="CT8" i="45"/>
  <c r="CU8" i="45"/>
  <c r="CV8" i="45"/>
  <c r="CW8" i="45"/>
  <c r="CX8" i="45"/>
  <c r="CY8" i="45"/>
  <c r="CZ8" i="45"/>
  <c r="DA8" i="45"/>
  <c r="DB8" i="45"/>
  <c r="DC8" i="45"/>
  <c r="DD8" i="45"/>
  <c r="DE8" i="45"/>
  <c r="DF8" i="45"/>
  <c r="DG8" i="45"/>
  <c r="DH8" i="45"/>
  <c r="DI8" i="45"/>
  <c r="DJ8" i="45"/>
  <c r="DK8" i="45"/>
  <c r="DL8" i="45"/>
  <c r="DM8" i="45"/>
  <c r="DN8" i="45"/>
  <c r="DO8" i="45"/>
  <c r="DP8" i="45"/>
  <c r="DQ8" i="45"/>
  <c r="DR8" i="45"/>
  <c r="DS8" i="45"/>
  <c r="DT8" i="45"/>
  <c r="DU8" i="45"/>
  <c r="DV8" i="45"/>
  <c r="DW8" i="45"/>
  <c r="DX8" i="45"/>
  <c r="DY8" i="45"/>
  <c r="DZ8" i="45"/>
  <c r="EA8" i="45"/>
  <c r="EB8" i="45"/>
  <c r="EC8" i="45"/>
  <c r="ED8" i="45"/>
  <c r="EE8" i="45"/>
  <c r="EF8" i="45"/>
  <c r="EG8" i="45"/>
  <c r="EH8" i="45"/>
  <c r="EI8" i="45"/>
  <c r="EJ8" i="45"/>
  <c r="EK8" i="45"/>
  <c r="EL8" i="45"/>
  <c r="EM8" i="45"/>
  <c r="EN8" i="45"/>
  <c r="EO8" i="45"/>
  <c r="EP8" i="45"/>
  <c r="EQ8" i="45"/>
  <c r="ER8" i="45"/>
  <c r="ES8" i="45"/>
  <c r="ET8" i="45"/>
  <c r="EU8" i="45"/>
  <c r="EV8" i="45"/>
  <c r="EW8" i="45"/>
  <c r="EX8" i="45"/>
  <c r="EY8" i="45"/>
  <c r="EZ8" i="45"/>
  <c r="FA8" i="45"/>
  <c r="FB8" i="45"/>
  <c r="FC8" i="45"/>
  <c r="FD8" i="45"/>
  <c r="FE8" i="45"/>
  <c r="FF8" i="45"/>
  <c r="FG8" i="45"/>
  <c r="FH8" i="45"/>
  <c r="FI8" i="45"/>
  <c r="FJ8" i="45"/>
  <c r="FK8" i="45"/>
  <c r="FL8" i="45"/>
  <c r="FM8" i="45"/>
  <c r="FN8" i="45"/>
  <c r="FO8" i="45"/>
  <c r="FP8" i="45"/>
  <c r="FQ8" i="45"/>
  <c r="FR8" i="45"/>
  <c r="FS8" i="45"/>
  <c r="FT8" i="45"/>
  <c r="FU8" i="45"/>
  <c r="FV8" i="45"/>
  <c r="FW8" i="45"/>
  <c r="FX8" i="45"/>
  <c r="FY8" i="45"/>
  <c r="FZ8" i="45"/>
  <c r="GA8" i="45"/>
  <c r="GB8" i="45"/>
  <c r="GC8" i="45"/>
  <c r="GD8" i="45"/>
  <c r="GE8" i="45"/>
  <c r="GF8" i="45"/>
  <c r="GG8" i="45"/>
  <c r="GH8" i="45"/>
  <c r="GI8" i="45"/>
  <c r="GJ8" i="45"/>
  <c r="GK8" i="45"/>
  <c r="GL8" i="45"/>
  <c r="GM8" i="45"/>
  <c r="GN8" i="45"/>
  <c r="GO8" i="45"/>
  <c r="GP8" i="45"/>
  <c r="GQ8" i="45"/>
  <c r="GR8" i="45"/>
  <c r="GS8" i="45"/>
  <c r="GT8" i="45"/>
  <c r="GU8" i="45"/>
  <c r="GV8" i="45"/>
  <c r="GW8" i="45"/>
  <c r="GX8" i="45"/>
  <c r="GY8" i="45"/>
  <c r="GZ8" i="45"/>
  <c r="HA8" i="45"/>
  <c r="HB8" i="45"/>
  <c r="HC8" i="45"/>
  <c r="HD8" i="45"/>
  <c r="HE8" i="45"/>
  <c r="HF8" i="45"/>
  <c r="HG8" i="45"/>
  <c r="HH8" i="45"/>
  <c r="HI8" i="45"/>
  <c r="HJ8" i="45"/>
  <c r="HK8" i="45"/>
  <c r="HL8" i="45"/>
  <c r="HM8" i="45"/>
  <c r="HN8" i="45"/>
  <c r="HO8" i="45"/>
  <c r="HP8" i="45"/>
  <c r="HQ8" i="45"/>
  <c r="HR8" i="45"/>
  <c r="HS8" i="45"/>
  <c r="HT8" i="45"/>
  <c r="HU8" i="45"/>
  <c r="HV8" i="45"/>
  <c r="HW8" i="45"/>
  <c r="HX8" i="45"/>
  <c r="HY8" i="45"/>
  <c r="HZ8" i="45"/>
  <c r="IA8" i="45"/>
  <c r="IB8" i="45"/>
  <c r="IC8" i="45"/>
  <c r="ID8" i="45"/>
  <c r="IE8" i="45"/>
  <c r="IF8" i="45"/>
  <c r="IG8" i="45"/>
  <c r="IH8" i="45"/>
  <c r="II8" i="45"/>
  <c r="IJ8" i="45"/>
  <c r="IK8" i="45"/>
  <c r="IL8" i="45"/>
  <c r="IM8" i="45"/>
  <c r="IN8" i="45"/>
  <c r="IO8" i="45"/>
  <c r="IP8" i="45"/>
  <c r="IQ8" i="45"/>
  <c r="IR8" i="45"/>
  <c r="IS8" i="45"/>
  <c r="IT8" i="45"/>
  <c r="IU8" i="45"/>
  <c r="IV8" i="45"/>
  <c r="A7" i="45"/>
  <c r="B7" i="45"/>
  <c r="C7" i="45"/>
  <c r="D7" i="45"/>
  <c r="E7" i="45"/>
  <c r="F7" i="45"/>
  <c r="G7" i="45"/>
  <c r="H7" i="45"/>
  <c r="I7" i="45"/>
  <c r="J7" i="45"/>
  <c r="K7" i="45"/>
  <c r="L7" i="45"/>
  <c r="M7" i="45"/>
  <c r="N7" i="45"/>
  <c r="O7" i="45"/>
  <c r="P7" i="45"/>
  <c r="Q7" i="45"/>
  <c r="R7" i="45"/>
  <c r="S7" i="45"/>
  <c r="T7" i="45"/>
  <c r="U7" i="45"/>
  <c r="V7" i="45"/>
  <c r="W7" i="45"/>
  <c r="X7" i="45"/>
  <c r="Y7" i="45"/>
  <c r="Z7" i="45"/>
  <c r="AA7" i="45"/>
  <c r="AB7" i="45"/>
  <c r="AC7" i="45"/>
  <c r="AD7" i="45"/>
  <c r="AE7" i="45"/>
  <c r="AF7" i="45"/>
  <c r="AG7" i="45"/>
  <c r="AH7" i="45"/>
  <c r="AI7" i="45"/>
  <c r="AJ7" i="45"/>
  <c r="AK7" i="45"/>
  <c r="AL7" i="45"/>
  <c r="AM7" i="45"/>
  <c r="AN7" i="45"/>
  <c r="AO7" i="45"/>
  <c r="AP7" i="45"/>
  <c r="AQ7" i="45"/>
  <c r="AR7" i="45"/>
  <c r="AS7" i="45"/>
  <c r="AT7" i="45"/>
  <c r="AU7" i="45"/>
  <c r="AV7" i="45"/>
  <c r="AW7" i="45"/>
  <c r="AX7" i="45"/>
  <c r="AY7" i="45"/>
  <c r="AZ7" i="45"/>
  <c r="BA7" i="45"/>
  <c r="BB7" i="45"/>
  <c r="BC7" i="45"/>
  <c r="BD7" i="45"/>
  <c r="BE7" i="45"/>
  <c r="BF7" i="45"/>
  <c r="BG7" i="45"/>
  <c r="BH7" i="45"/>
  <c r="BI7" i="45"/>
  <c r="BJ7" i="45"/>
  <c r="BK7" i="45"/>
  <c r="BL7" i="45"/>
  <c r="BM7" i="45"/>
  <c r="BN7" i="45"/>
  <c r="BO7" i="45"/>
  <c r="BP7" i="45"/>
  <c r="BQ7" i="45"/>
  <c r="BR7" i="45"/>
  <c r="BS7" i="45"/>
  <c r="BT7" i="45"/>
  <c r="BU7" i="45"/>
  <c r="BV7" i="45"/>
  <c r="BW7" i="45"/>
  <c r="BX7" i="45"/>
  <c r="BY7" i="45"/>
  <c r="BZ7" i="45"/>
  <c r="CA7" i="45"/>
  <c r="CB7" i="45"/>
  <c r="CC7" i="45"/>
  <c r="CD7" i="45"/>
  <c r="CE7" i="45"/>
  <c r="CF7" i="45"/>
  <c r="CG7" i="45"/>
  <c r="CH7" i="45"/>
  <c r="CI7" i="45"/>
  <c r="CJ7" i="45"/>
  <c r="CK7" i="45"/>
  <c r="CL7" i="45"/>
  <c r="CM7" i="45"/>
  <c r="CN7" i="45"/>
  <c r="CO7" i="45"/>
  <c r="CP7" i="45"/>
  <c r="CQ7" i="45"/>
  <c r="CR7" i="45"/>
  <c r="CS7" i="45"/>
  <c r="CT7" i="45"/>
  <c r="CU7" i="45"/>
  <c r="CV7" i="45"/>
  <c r="CW7" i="45"/>
  <c r="CX7" i="45"/>
  <c r="CY7" i="45"/>
  <c r="CZ7" i="45"/>
  <c r="DA7" i="45"/>
  <c r="DB7" i="45"/>
  <c r="DC7" i="45"/>
  <c r="DD7" i="45"/>
  <c r="DE7" i="45"/>
  <c r="DF7" i="45"/>
  <c r="DG7" i="45"/>
  <c r="DH7" i="45"/>
  <c r="DI7" i="45"/>
  <c r="DJ7" i="45"/>
  <c r="DK7" i="45"/>
  <c r="DL7" i="45"/>
  <c r="DM7" i="45"/>
  <c r="DN7" i="45"/>
  <c r="DO7" i="45"/>
  <c r="DP7" i="45"/>
  <c r="DQ7" i="45"/>
  <c r="DR7" i="45"/>
  <c r="DS7" i="45"/>
  <c r="DT7" i="45"/>
  <c r="DU7" i="45"/>
  <c r="DV7" i="45"/>
  <c r="DW7" i="45"/>
  <c r="DX7" i="45"/>
  <c r="DY7" i="45"/>
  <c r="DZ7" i="45"/>
  <c r="EA7" i="45"/>
  <c r="EB7" i="45"/>
  <c r="EC7" i="45"/>
  <c r="ED7" i="45"/>
  <c r="EE7" i="45"/>
  <c r="EF7" i="45"/>
  <c r="EG7" i="45"/>
  <c r="EH7" i="45"/>
  <c r="EI7" i="45"/>
  <c r="EJ7" i="45"/>
  <c r="EK7" i="45"/>
  <c r="EL7" i="45"/>
  <c r="EM7" i="45"/>
  <c r="EN7" i="45"/>
  <c r="EO7" i="45"/>
  <c r="EP7" i="45"/>
  <c r="EQ7" i="45"/>
  <c r="ER7" i="45"/>
  <c r="ES7" i="45"/>
  <c r="ET7" i="45"/>
  <c r="EU7" i="45"/>
  <c r="EV7" i="45"/>
  <c r="EW7" i="45"/>
  <c r="EX7" i="45"/>
  <c r="EY7" i="45"/>
  <c r="EZ7" i="45"/>
  <c r="FA7" i="45"/>
  <c r="FB7" i="45"/>
  <c r="FC7" i="45"/>
  <c r="FD7" i="45"/>
  <c r="FE7" i="45"/>
  <c r="FF7" i="45"/>
  <c r="FG7" i="45"/>
  <c r="FH7" i="45"/>
  <c r="FI7" i="45"/>
  <c r="FJ7" i="45"/>
  <c r="FK7" i="45"/>
  <c r="FL7" i="45"/>
  <c r="FM7" i="45"/>
  <c r="FN7" i="45"/>
  <c r="FO7" i="45"/>
  <c r="FP7" i="45"/>
  <c r="FQ7" i="45"/>
  <c r="FR7" i="45"/>
  <c r="FS7" i="45"/>
  <c r="FT7" i="45"/>
  <c r="FU7" i="45"/>
  <c r="FV7" i="45"/>
  <c r="FW7" i="45"/>
  <c r="FX7" i="45"/>
  <c r="FY7" i="45"/>
  <c r="FZ7" i="45"/>
  <c r="GA7" i="45"/>
  <c r="GB7" i="45"/>
  <c r="GC7" i="45"/>
  <c r="GD7" i="45"/>
  <c r="GE7" i="45"/>
  <c r="GF7" i="45"/>
  <c r="GG7" i="45"/>
  <c r="GH7" i="45"/>
  <c r="GI7" i="45"/>
  <c r="GJ7" i="45"/>
  <c r="GK7" i="45"/>
  <c r="GL7" i="45"/>
  <c r="GM7" i="45"/>
  <c r="GN7" i="45"/>
  <c r="GO7" i="45"/>
  <c r="GP7" i="45"/>
  <c r="GQ7" i="45"/>
  <c r="GR7" i="45"/>
  <c r="GS7" i="45"/>
  <c r="GT7" i="45"/>
  <c r="GU7" i="45"/>
  <c r="GV7" i="45"/>
  <c r="GW7" i="45"/>
  <c r="GX7" i="45"/>
  <c r="GY7" i="45"/>
  <c r="GZ7" i="45"/>
  <c r="HA7" i="45"/>
  <c r="HB7" i="45"/>
  <c r="HC7" i="45"/>
  <c r="HD7" i="45"/>
  <c r="HE7" i="45"/>
  <c r="HF7" i="45"/>
  <c r="HG7" i="45"/>
  <c r="HH7" i="45"/>
  <c r="HI7" i="45"/>
  <c r="HJ7" i="45"/>
  <c r="HK7" i="45"/>
  <c r="HL7" i="45"/>
  <c r="HM7" i="45"/>
  <c r="HN7" i="45"/>
  <c r="HO7" i="45"/>
  <c r="HP7" i="45"/>
  <c r="HQ7" i="45"/>
  <c r="HR7" i="45"/>
  <c r="HS7" i="45"/>
  <c r="HT7" i="45"/>
  <c r="HU7" i="45"/>
  <c r="HV7" i="45"/>
  <c r="HW7" i="45"/>
  <c r="HX7" i="45"/>
  <c r="HY7" i="45"/>
  <c r="HZ7" i="45"/>
  <c r="IA7" i="45"/>
  <c r="IB7" i="45"/>
  <c r="IC7" i="45"/>
  <c r="ID7" i="45"/>
  <c r="IE7" i="45"/>
  <c r="IF7" i="45"/>
  <c r="IG7" i="45"/>
  <c r="IH7" i="45"/>
  <c r="II7" i="45"/>
  <c r="IJ7" i="45"/>
  <c r="IK7" i="45"/>
  <c r="IL7" i="45"/>
  <c r="IM7" i="45"/>
  <c r="IN7" i="45"/>
  <c r="IO7" i="45"/>
  <c r="IP7" i="45"/>
  <c r="IQ7" i="45"/>
  <c r="IR7" i="45"/>
  <c r="IS7" i="45"/>
  <c r="IT7" i="45"/>
  <c r="IU7" i="45"/>
  <c r="IV7" i="45"/>
  <c r="A6" i="45"/>
  <c r="B6" i="45"/>
  <c r="C6" i="45"/>
  <c r="D6" i="45"/>
  <c r="E6" i="45"/>
  <c r="F6" i="45"/>
  <c r="G6" i="45"/>
  <c r="H6" i="45"/>
  <c r="I6" i="45"/>
  <c r="J6" i="45"/>
  <c r="K6" i="45"/>
  <c r="L6" i="45"/>
  <c r="M6" i="45"/>
  <c r="N6" i="45"/>
  <c r="O6" i="45"/>
  <c r="P6" i="45"/>
  <c r="Q6" i="45"/>
  <c r="R6" i="45"/>
  <c r="S6" i="45"/>
  <c r="T6" i="45"/>
  <c r="U6" i="45"/>
  <c r="V6" i="45"/>
  <c r="W6" i="45"/>
  <c r="X6" i="45"/>
  <c r="Y6" i="45"/>
  <c r="Z6" i="45"/>
  <c r="AA6" i="45"/>
  <c r="AB6" i="45"/>
  <c r="AC6" i="45"/>
  <c r="AD6" i="45"/>
  <c r="AE6" i="45"/>
  <c r="AF6" i="45"/>
  <c r="AG6" i="45"/>
  <c r="AH6" i="45"/>
  <c r="AI6" i="45"/>
  <c r="AJ6" i="45"/>
  <c r="AK6" i="45"/>
  <c r="AL6" i="45"/>
  <c r="AM6" i="45"/>
  <c r="AN6" i="45"/>
  <c r="AO6" i="45"/>
  <c r="AP6" i="45"/>
  <c r="AQ6" i="45"/>
  <c r="AR6" i="45"/>
  <c r="AS6" i="45"/>
  <c r="AT6" i="45"/>
  <c r="AU6" i="45"/>
  <c r="AV6" i="45"/>
  <c r="AW6" i="45"/>
  <c r="AX6" i="45"/>
  <c r="AY6" i="45"/>
  <c r="AZ6" i="45"/>
  <c r="BA6" i="45"/>
  <c r="BB6" i="45"/>
  <c r="BC6" i="45"/>
  <c r="BD6" i="45"/>
  <c r="BE6" i="45"/>
  <c r="BF6" i="45"/>
  <c r="BG6" i="45"/>
  <c r="BH6" i="45"/>
  <c r="BI6" i="45"/>
  <c r="BJ6" i="45"/>
  <c r="BK6" i="45"/>
  <c r="BL6" i="45"/>
  <c r="BM6" i="45"/>
  <c r="BN6" i="45"/>
  <c r="BO6" i="45"/>
  <c r="BP6" i="45"/>
  <c r="BQ6" i="45"/>
  <c r="BR6" i="45"/>
  <c r="BS6" i="45"/>
  <c r="BT6" i="45"/>
  <c r="BU6" i="45"/>
  <c r="BV6" i="45"/>
  <c r="BW6" i="45"/>
  <c r="BX6" i="45"/>
  <c r="BY6" i="45"/>
  <c r="BZ6" i="45"/>
  <c r="CA6" i="45"/>
  <c r="CB6" i="45"/>
  <c r="CC6" i="45"/>
  <c r="CD6" i="45"/>
  <c r="CE6" i="45"/>
  <c r="CF6" i="45"/>
  <c r="CG6" i="45"/>
  <c r="CH6" i="45"/>
  <c r="CI6" i="45"/>
  <c r="CJ6" i="45"/>
  <c r="CK6" i="45"/>
  <c r="CL6" i="45"/>
  <c r="CM6" i="45"/>
  <c r="CN6" i="45"/>
  <c r="CO6" i="45"/>
  <c r="CP6" i="45"/>
  <c r="CQ6" i="45"/>
  <c r="CR6" i="45"/>
  <c r="CS6" i="45"/>
  <c r="CT6" i="45"/>
  <c r="CU6" i="45"/>
  <c r="CV6" i="45"/>
  <c r="CW6" i="45"/>
  <c r="CX6" i="45"/>
  <c r="CY6" i="45"/>
  <c r="CZ6" i="45"/>
  <c r="DA6" i="45"/>
  <c r="DB6" i="45"/>
  <c r="DC6" i="45"/>
  <c r="DD6" i="45"/>
  <c r="DE6" i="45"/>
  <c r="DF6" i="45"/>
  <c r="DG6" i="45"/>
  <c r="DH6" i="45"/>
  <c r="DI6" i="45"/>
  <c r="DJ6" i="45"/>
  <c r="DK6" i="45"/>
  <c r="DL6" i="45"/>
  <c r="DM6" i="45"/>
  <c r="DN6" i="45"/>
  <c r="DO6" i="45"/>
  <c r="DP6" i="45"/>
  <c r="DQ6" i="45"/>
  <c r="DR6" i="45"/>
  <c r="DS6" i="45"/>
  <c r="DT6" i="45"/>
  <c r="DU6" i="45"/>
  <c r="DV6" i="45"/>
  <c r="DW6" i="45"/>
  <c r="DX6" i="45"/>
  <c r="DY6" i="45"/>
  <c r="DZ6" i="45"/>
  <c r="EA6" i="45"/>
  <c r="EB6" i="45"/>
  <c r="EC6" i="45"/>
  <c r="ED6" i="45"/>
  <c r="EE6" i="45"/>
  <c r="EF6" i="45"/>
  <c r="EG6" i="45"/>
  <c r="EH6" i="45"/>
  <c r="EI6" i="45"/>
  <c r="EJ6" i="45"/>
  <c r="EK6" i="45"/>
  <c r="EL6" i="45"/>
  <c r="EM6" i="45"/>
  <c r="EN6" i="45"/>
  <c r="EO6" i="45"/>
  <c r="EP6" i="45"/>
  <c r="EQ6" i="45"/>
  <c r="ER6" i="45"/>
  <c r="ES6" i="45"/>
  <c r="ET6" i="45"/>
  <c r="EU6" i="45"/>
  <c r="EV6" i="45"/>
  <c r="EW6" i="45"/>
  <c r="EX6" i="45"/>
  <c r="EY6" i="45"/>
  <c r="EZ6" i="45"/>
  <c r="FA6" i="45"/>
  <c r="FB6" i="45"/>
  <c r="FC6" i="45"/>
  <c r="FD6" i="45"/>
  <c r="FE6" i="45"/>
  <c r="FF6" i="45"/>
  <c r="FG6" i="45"/>
  <c r="FH6" i="45"/>
  <c r="FI6" i="45"/>
  <c r="FJ6" i="45"/>
  <c r="FK6" i="45"/>
  <c r="FL6" i="45"/>
  <c r="FM6" i="45"/>
  <c r="FN6" i="45"/>
  <c r="FO6" i="45"/>
  <c r="FP6" i="45"/>
  <c r="FQ6" i="45"/>
  <c r="FR6" i="45"/>
  <c r="FS6" i="45"/>
  <c r="FT6" i="45"/>
  <c r="FU6" i="45"/>
  <c r="FV6" i="45"/>
  <c r="FW6" i="45"/>
  <c r="FX6" i="45"/>
  <c r="FY6" i="45"/>
  <c r="FZ6" i="45"/>
  <c r="GA6" i="45"/>
  <c r="GB6" i="45"/>
  <c r="GC6" i="45"/>
  <c r="GD6" i="45"/>
  <c r="GE6" i="45"/>
  <c r="GF6" i="45"/>
  <c r="GG6" i="45"/>
  <c r="GH6" i="45"/>
  <c r="GI6" i="45"/>
  <c r="GJ6" i="45"/>
  <c r="GK6" i="45"/>
  <c r="GL6" i="45"/>
  <c r="GM6" i="45"/>
  <c r="GN6" i="45"/>
  <c r="GO6" i="45"/>
  <c r="GP6" i="45"/>
  <c r="GQ6" i="45"/>
  <c r="GR6" i="45"/>
  <c r="GS6" i="45"/>
  <c r="GT6" i="45"/>
  <c r="GU6" i="45"/>
  <c r="GV6" i="45"/>
  <c r="GW6" i="45"/>
  <c r="GX6" i="45"/>
  <c r="GY6" i="45"/>
  <c r="GZ6" i="45"/>
  <c r="HA6" i="45"/>
  <c r="HB6" i="45"/>
  <c r="HC6" i="45"/>
  <c r="HD6" i="45"/>
  <c r="HE6" i="45"/>
  <c r="HF6" i="45"/>
  <c r="HG6" i="45"/>
  <c r="HH6" i="45"/>
  <c r="HI6" i="45"/>
  <c r="HJ6" i="45"/>
  <c r="HK6" i="45"/>
  <c r="HL6" i="45"/>
  <c r="HM6" i="45"/>
  <c r="HN6" i="45"/>
  <c r="HO6" i="45"/>
  <c r="HP6" i="45"/>
  <c r="HQ6" i="45"/>
  <c r="HR6" i="45"/>
  <c r="HS6" i="45"/>
  <c r="HT6" i="45"/>
  <c r="HU6" i="45"/>
  <c r="HV6" i="45"/>
  <c r="HW6" i="45"/>
  <c r="HX6" i="45"/>
  <c r="HY6" i="45"/>
  <c r="HZ6" i="45"/>
  <c r="IA6" i="45"/>
  <c r="IB6" i="45"/>
  <c r="IC6" i="45"/>
  <c r="ID6" i="45"/>
  <c r="IE6" i="45"/>
  <c r="IF6" i="45"/>
  <c r="IG6" i="45"/>
  <c r="IH6" i="45"/>
  <c r="II6" i="45"/>
  <c r="IJ6" i="45"/>
  <c r="IK6" i="45"/>
  <c r="IL6" i="45"/>
  <c r="IM6" i="45"/>
  <c r="IN6" i="45"/>
  <c r="IO6" i="45"/>
  <c r="IP6" i="45"/>
  <c r="IQ6" i="45"/>
  <c r="IR6" i="45"/>
  <c r="IS6" i="45"/>
  <c r="IT6" i="45"/>
  <c r="IU6" i="45"/>
  <c r="IV6" i="45"/>
  <c r="A5" i="45"/>
  <c r="B5" i="45"/>
  <c r="C5" i="45"/>
  <c r="D5" i="45"/>
  <c r="E5" i="45"/>
  <c r="F5" i="45"/>
  <c r="G5" i="45"/>
  <c r="H5" i="45"/>
  <c r="I5" i="45"/>
  <c r="J5" i="45"/>
  <c r="K5" i="45"/>
  <c r="L5" i="45"/>
  <c r="M5" i="45"/>
  <c r="N5" i="45"/>
  <c r="O5" i="45"/>
  <c r="P5" i="45"/>
  <c r="Q5" i="45"/>
  <c r="R5" i="45"/>
  <c r="S5" i="45"/>
  <c r="T5" i="45"/>
  <c r="U5" i="45"/>
  <c r="V5" i="45"/>
  <c r="W5" i="45"/>
  <c r="X5" i="45"/>
  <c r="Y5" i="45"/>
  <c r="Z5" i="45"/>
  <c r="AA5" i="45"/>
  <c r="AB5" i="45"/>
  <c r="AC5" i="45"/>
  <c r="AD5" i="45"/>
  <c r="AE5" i="45"/>
  <c r="AF5" i="45"/>
  <c r="AG5" i="45"/>
  <c r="AH5" i="45"/>
  <c r="AI5" i="45"/>
  <c r="AJ5" i="45"/>
  <c r="AK5" i="45"/>
  <c r="AL5" i="45"/>
  <c r="AM5" i="45"/>
  <c r="AN5" i="45"/>
  <c r="AO5" i="45"/>
  <c r="AP5" i="45"/>
  <c r="AQ5" i="45"/>
  <c r="AR5" i="45"/>
  <c r="AS5" i="45"/>
  <c r="AT5" i="45"/>
  <c r="AU5" i="45"/>
  <c r="AV5" i="45"/>
  <c r="AW5" i="45"/>
  <c r="AX5" i="45"/>
  <c r="AY5" i="45"/>
  <c r="AZ5" i="45"/>
  <c r="BA5" i="45"/>
  <c r="BB5" i="45"/>
  <c r="B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Z5" i="45"/>
  <c r="CA5" i="45"/>
  <c r="CB5" i="45"/>
  <c r="CC5" i="45"/>
  <c r="CD5" i="45"/>
  <c r="CE5" i="45"/>
  <c r="CF5" i="45"/>
  <c r="CG5" i="45"/>
  <c r="CH5" i="45"/>
  <c r="CI5" i="45"/>
  <c r="CJ5" i="45"/>
  <c r="CK5" i="45"/>
  <c r="CL5" i="45"/>
  <c r="CM5" i="45"/>
  <c r="CN5" i="45"/>
  <c r="CO5" i="45"/>
  <c r="CP5" i="45"/>
  <c r="CQ5" i="45"/>
  <c r="CR5" i="45"/>
  <c r="CS5" i="45"/>
  <c r="CT5" i="45"/>
  <c r="CU5" i="45"/>
  <c r="CV5" i="45"/>
  <c r="CW5" i="45"/>
  <c r="CX5" i="45"/>
  <c r="CY5" i="45"/>
  <c r="CZ5" i="45"/>
  <c r="DA5" i="45"/>
  <c r="DB5" i="45"/>
  <c r="DC5" i="45"/>
  <c r="DD5" i="45"/>
  <c r="DE5" i="45"/>
  <c r="DF5" i="45"/>
  <c r="DG5" i="45"/>
  <c r="DH5" i="45"/>
  <c r="DI5" i="45"/>
  <c r="DJ5" i="45"/>
  <c r="DK5" i="45"/>
  <c r="DL5" i="45"/>
  <c r="DM5" i="45"/>
  <c r="DN5" i="45"/>
  <c r="DO5" i="45"/>
  <c r="DP5" i="45"/>
  <c r="DQ5" i="45"/>
  <c r="DR5" i="45"/>
  <c r="DS5" i="45"/>
  <c r="DT5" i="45"/>
  <c r="DU5" i="45"/>
  <c r="DV5" i="45"/>
  <c r="DW5" i="45"/>
  <c r="DX5" i="45"/>
  <c r="DY5" i="45"/>
  <c r="DZ5" i="45"/>
  <c r="EA5" i="45"/>
  <c r="EB5" i="45"/>
  <c r="EC5" i="45"/>
  <c r="ED5" i="45"/>
  <c r="EE5" i="45"/>
  <c r="EF5" i="45"/>
  <c r="EG5" i="45"/>
  <c r="EH5" i="45"/>
  <c r="EI5" i="45"/>
  <c r="EJ5" i="45"/>
  <c r="EK5" i="45"/>
  <c r="EL5" i="45"/>
  <c r="EM5" i="45"/>
  <c r="EN5" i="45"/>
  <c r="EO5" i="45"/>
  <c r="EP5" i="45"/>
  <c r="EQ5" i="45"/>
  <c r="ER5" i="45"/>
  <c r="ES5" i="45"/>
  <c r="ET5" i="45"/>
  <c r="EU5" i="45"/>
  <c r="EV5" i="45"/>
  <c r="EW5" i="45"/>
  <c r="EX5" i="45"/>
  <c r="EY5" i="45"/>
  <c r="EZ5" i="45"/>
  <c r="FA5" i="45"/>
  <c r="FB5" i="45"/>
  <c r="FC5" i="45"/>
  <c r="FD5" i="45"/>
  <c r="FE5" i="45"/>
  <c r="FF5" i="45"/>
  <c r="FG5" i="45"/>
  <c r="FH5" i="45"/>
  <c r="FI5" i="45"/>
  <c r="FJ5" i="45"/>
  <c r="FK5" i="45"/>
  <c r="FL5" i="45"/>
  <c r="FM5" i="45"/>
  <c r="FN5" i="45"/>
  <c r="FO5" i="45"/>
  <c r="FP5" i="45"/>
  <c r="FQ5" i="45"/>
  <c r="FR5" i="45"/>
  <c r="FS5" i="45"/>
  <c r="FT5" i="45"/>
  <c r="FU5" i="45"/>
  <c r="FV5" i="45"/>
  <c r="FW5" i="45"/>
  <c r="FX5" i="45"/>
  <c r="FY5" i="45"/>
  <c r="FZ5" i="45"/>
  <c r="GA5" i="45"/>
  <c r="GB5" i="45"/>
  <c r="GC5" i="45"/>
  <c r="GD5" i="45"/>
  <c r="GE5" i="45"/>
  <c r="GF5" i="45"/>
  <c r="GG5" i="45"/>
  <c r="GH5" i="45"/>
  <c r="GI5" i="45"/>
  <c r="GJ5" i="45"/>
  <c r="GK5" i="45"/>
  <c r="GL5" i="45"/>
  <c r="GM5" i="45"/>
  <c r="GN5" i="45"/>
  <c r="GO5" i="45"/>
  <c r="GP5" i="45"/>
  <c r="GQ5" i="45"/>
  <c r="GR5" i="45"/>
  <c r="GS5" i="45"/>
  <c r="GT5" i="45"/>
  <c r="GU5" i="45"/>
  <c r="GV5" i="45"/>
  <c r="GW5" i="45"/>
  <c r="GX5" i="45"/>
  <c r="GY5" i="45"/>
  <c r="GZ5" i="45"/>
  <c r="HA5" i="45"/>
  <c r="HB5" i="45"/>
  <c r="HC5" i="45"/>
  <c r="HD5" i="45"/>
  <c r="HE5" i="45"/>
  <c r="HF5" i="45"/>
  <c r="HG5" i="45"/>
  <c r="HH5" i="45"/>
  <c r="HI5" i="45"/>
  <c r="HJ5" i="45"/>
  <c r="HK5" i="45"/>
  <c r="HL5" i="45"/>
  <c r="HM5" i="45"/>
  <c r="HN5" i="45"/>
  <c r="HO5" i="45"/>
  <c r="HP5" i="45"/>
  <c r="HQ5" i="45"/>
  <c r="HR5" i="45"/>
  <c r="HS5" i="45"/>
  <c r="HT5" i="45"/>
  <c r="HU5" i="45"/>
  <c r="HV5" i="45"/>
  <c r="HW5" i="45"/>
  <c r="HX5" i="45"/>
  <c r="HY5" i="45"/>
  <c r="HZ5" i="45"/>
  <c r="IA5" i="45"/>
  <c r="IB5" i="45"/>
  <c r="IC5" i="45"/>
  <c r="ID5" i="45"/>
  <c r="IE5" i="45"/>
  <c r="IF5" i="45"/>
  <c r="IG5" i="45"/>
  <c r="IH5" i="45"/>
  <c r="II5" i="45"/>
  <c r="IJ5" i="45"/>
  <c r="IK5" i="45"/>
  <c r="IL5" i="45"/>
  <c r="IM5" i="45"/>
  <c r="IN5" i="45"/>
  <c r="IO5" i="45"/>
  <c r="IP5" i="45"/>
  <c r="IQ5" i="45"/>
  <c r="IR5" i="45"/>
  <c r="IS5" i="45"/>
  <c r="IT5" i="45"/>
  <c r="IU5" i="45"/>
  <c r="IV5" i="45"/>
  <c r="A4" i="45"/>
  <c r="B4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Q4" i="45"/>
  <c r="R4" i="45"/>
  <c r="S4" i="45"/>
  <c r="T4" i="45"/>
  <c r="U4" i="45"/>
  <c r="V4" i="45"/>
  <c r="W4" i="45"/>
  <c r="X4" i="45"/>
  <c r="Y4" i="45"/>
  <c r="Z4" i="45"/>
  <c r="AA4" i="45"/>
  <c r="AB4" i="45"/>
  <c r="AC4" i="45"/>
  <c r="AD4" i="45"/>
  <c r="AE4" i="45"/>
  <c r="AF4" i="45"/>
  <c r="AG4" i="45"/>
  <c r="AH4" i="45"/>
  <c r="AI4" i="45"/>
  <c r="AJ4" i="45"/>
  <c r="AK4" i="45"/>
  <c r="AL4" i="45"/>
  <c r="AM4" i="45"/>
  <c r="AN4" i="45"/>
  <c r="AO4" i="45"/>
  <c r="AP4" i="45"/>
  <c r="AQ4" i="45"/>
  <c r="AR4" i="45"/>
  <c r="AS4" i="45"/>
  <c r="AT4" i="45"/>
  <c r="AU4" i="45"/>
  <c r="AV4" i="45"/>
  <c r="AW4" i="45"/>
  <c r="AX4" i="45"/>
  <c r="AY4" i="45"/>
  <c r="AZ4" i="45"/>
  <c r="BA4" i="45"/>
  <c r="BB4" i="45"/>
  <c r="BC4" i="45"/>
  <c r="BD4" i="45"/>
  <c r="BE4" i="45"/>
  <c r="BF4" i="45"/>
  <c r="BG4" i="45"/>
  <c r="BH4" i="45"/>
  <c r="BI4" i="45"/>
  <c r="BJ4" i="45"/>
  <c r="BK4" i="45"/>
  <c r="BL4" i="45"/>
  <c r="BM4" i="45"/>
  <c r="BN4" i="45"/>
  <c r="BO4" i="45"/>
  <c r="BP4" i="45"/>
  <c r="BQ4" i="45"/>
  <c r="BR4" i="45"/>
  <c r="BS4" i="45"/>
  <c r="BT4" i="45"/>
  <c r="BU4" i="45"/>
  <c r="BV4" i="45"/>
  <c r="BW4" i="45"/>
  <c r="BX4" i="45"/>
  <c r="BY4" i="45"/>
  <c r="BZ4" i="45"/>
  <c r="CA4" i="45"/>
  <c r="CB4" i="45"/>
  <c r="CC4" i="45"/>
  <c r="CD4" i="45"/>
  <c r="CE4" i="45"/>
  <c r="CF4" i="45"/>
  <c r="CG4" i="45"/>
  <c r="CH4" i="45"/>
  <c r="CI4" i="45"/>
  <c r="CJ4" i="45"/>
  <c r="CK4" i="45"/>
  <c r="CL4" i="45"/>
  <c r="CM4" i="45"/>
  <c r="CN4" i="45"/>
  <c r="CO4" i="45"/>
  <c r="CP4" i="45"/>
  <c r="CQ4" i="45"/>
  <c r="CR4" i="45"/>
  <c r="CS4" i="45"/>
  <c r="CT4" i="45"/>
  <c r="CU4" i="45"/>
  <c r="CV4" i="45"/>
  <c r="CW4" i="45"/>
  <c r="CX4" i="45"/>
  <c r="CY4" i="45"/>
  <c r="CZ4" i="45"/>
  <c r="DA4" i="45"/>
  <c r="DB4" i="45"/>
  <c r="DC4" i="45"/>
  <c r="DD4" i="45"/>
  <c r="DE4" i="45"/>
  <c r="DF4" i="45"/>
  <c r="DG4" i="45"/>
  <c r="DH4" i="45"/>
  <c r="DI4" i="45"/>
  <c r="DJ4" i="45"/>
  <c r="DK4" i="45"/>
  <c r="DL4" i="45"/>
  <c r="DM4" i="45"/>
  <c r="DN4" i="45"/>
  <c r="DO4" i="45"/>
  <c r="DP4" i="45"/>
  <c r="DQ4" i="45"/>
  <c r="DR4" i="45"/>
  <c r="DS4" i="45"/>
  <c r="DT4" i="45"/>
  <c r="DU4" i="45"/>
  <c r="DV4" i="45"/>
  <c r="DW4" i="45"/>
  <c r="DX4" i="45"/>
  <c r="DY4" i="45"/>
  <c r="DZ4" i="45"/>
  <c r="EA4" i="45"/>
  <c r="EB4" i="45"/>
  <c r="EC4" i="45"/>
  <c r="ED4" i="45"/>
  <c r="EE4" i="45"/>
  <c r="EF4" i="45"/>
  <c r="EG4" i="45"/>
  <c r="EH4" i="45"/>
  <c r="EI4" i="45"/>
  <c r="EJ4" i="45"/>
  <c r="EK4" i="45"/>
  <c r="EL4" i="45"/>
  <c r="EM4" i="45"/>
  <c r="EN4" i="45"/>
  <c r="EO4" i="45"/>
  <c r="EP4" i="45"/>
  <c r="EQ4" i="45"/>
  <c r="ER4" i="45"/>
  <c r="ES4" i="45"/>
  <c r="ET4" i="45"/>
  <c r="EU4" i="45"/>
  <c r="EV4" i="45"/>
  <c r="EW4" i="45"/>
  <c r="EX4" i="45"/>
  <c r="EY4" i="45"/>
  <c r="EZ4" i="45"/>
  <c r="FA4" i="45"/>
  <c r="FB4" i="45"/>
  <c r="FC4" i="45"/>
  <c r="FD4" i="45"/>
  <c r="FE4" i="45"/>
  <c r="FF4" i="45"/>
  <c r="FG4" i="45"/>
  <c r="FH4" i="45"/>
  <c r="FI4" i="45"/>
  <c r="FJ4" i="45"/>
  <c r="FK4" i="45"/>
  <c r="FL4" i="45"/>
  <c r="FM4" i="45"/>
  <c r="FN4" i="45"/>
  <c r="FO4" i="45"/>
  <c r="FP4" i="45"/>
  <c r="FQ4" i="45"/>
  <c r="FR4" i="45"/>
  <c r="FS4" i="45"/>
  <c r="FT4" i="45"/>
  <c r="FU4" i="45"/>
  <c r="FV4" i="45"/>
  <c r="FW4" i="45"/>
  <c r="FX4" i="45"/>
  <c r="FY4" i="45"/>
  <c r="FZ4" i="45"/>
  <c r="GA4" i="45"/>
  <c r="GB4" i="45"/>
  <c r="GC4" i="45"/>
  <c r="GD4" i="45"/>
  <c r="GE4" i="45"/>
  <c r="GF4" i="45"/>
  <c r="GG4" i="45"/>
  <c r="GH4" i="45"/>
  <c r="GI4" i="45"/>
  <c r="GJ4" i="45"/>
  <c r="GK4" i="45"/>
  <c r="GL4" i="45"/>
  <c r="GM4" i="45"/>
  <c r="GN4" i="45"/>
  <c r="GO4" i="45"/>
  <c r="GP4" i="45"/>
  <c r="GQ4" i="45"/>
  <c r="GR4" i="45"/>
  <c r="GS4" i="45"/>
  <c r="GT4" i="45"/>
  <c r="GU4" i="45"/>
  <c r="GV4" i="45"/>
  <c r="GW4" i="45"/>
  <c r="GX4" i="45"/>
  <c r="GY4" i="45"/>
  <c r="GZ4" i="45"/>
  <c r="HA4" i="45"/>
  <c r="HB4" i="45"/>
  <c r="HC4" i="45"/>
  <c r="HD4" i="45"/>
  <c r="HE4" i="45"/>
  <c r="HF4" i="45"/>
  <c r="HG4" i="45"/>
  <c r="HH4" i="45"/>
  <c r="HI4" i="45"/>
  <c r="HJ4" i="45"/>
  <c r="HK4" i="45"/>
  <c r="HL4" i="45"/>
  <c r="HM4" i="45"/>
  <c r="HN4" i="45"/>
  <c r="HO4" i="45"/>
  <c r="HP4" i="45"/>
  <c r="HQ4" i="45"/>
  <c r="HR4" i="45"/>
  <c r="HS4" i="45"/>
  <c r="HT4" i="45"/>
  <c r="HU4" i="45"/>
  <c r="HV4" i="45"/>
  <c r="HW4" i="45"/>
  <c r="HX4" i="45"/>
  <c r="HY4" i="45"/>
  <c r="HZ4" i="45"/>
  <c r="IA4" i="45"/>
  <c r="IB4" i="45"/>
  <c r="IC4" i="45"/>
  <c r="ID4" i="45"/>
  <c r="IE4" i="45"/>
  <c r="IF4" i="45"/>
  <c r="IG4" i="45"/>
  <c r="IH4" i="45"/>
  <c r="II4" i="45"/>
  <c r="IJ4" i="45"/>
  <c r="IK4" i="45"/>
  <c r="IL4" i="45"/>
  <c r="IM4" i="45"/>
  <c r="IN4" i="45"/>
  <c r="IO4" i="45"/>
  <c r="IP4" i="45"/>
  <c r="IQ4" i="45"/>
  <c r="IR4" i="45"/>
  <c r="IS4" i="45"/>
  <c r="IT4" i="45"/>
  <c r="IU4" i="45"/>
  <c r="IV4" i="45"/>
  <c r="A3" i="45"/>
  <c r="B3" i="45"/>
  <c r="C3" i="45"/>
  <c r="D3" i="45"/>
  <c r="E3" i="45"/>
  <c r="F3" i="45"/>
  <c r="G3" i="45"/>
  <c r="H3" i="45"/>
  <c r="I3" i="45"/>
  <c r="J3" i="45"/>
  <c r="K3" i="45"/>
  <c r="L3" i="45"/>
  <c r="M3" i="45"/>
  <c r="N3" i="45"/>
  <c r="O3" i="45"/>
  <c r="P3" i="45"/>
  <c r="Q3" i="45"/>
  <c r="R3" i="45"/>
  <c r="S3" i="45"/>
  <c r="T3" i="45"/>
  <c r="U3" i="45"/>
  <c r="V3" i="45"/>
  <c r="W3" i="45"/>
  <c r="X3" i="45"/>
  <c r="Y3" i="45"/>
  <c r="Z3" i="45"/>
  <c r="AA3" i="45"/>
  <c r="AB3" i="45"/>
  <c r="AC3" i="45"/>
  <c r="AD3" i="45"/>
  <c r="AE3" i="45"/>
  <c r="AF3" i="45"/>
  <c r="AG3" i="45"/>
  <c r="AH3" i="45"/>
  <c r="AI3" i="45"/>
  <c r="AJ3" i="45"/>
  <c r="AK3" i="45"/>
  <c r="AL3" i="45"/>
  <c r="AM3" i="45"/>
  <c r="AN3" i="45"/>
  <c r="AO3" i="45"/>
  <c r="AP3" i="45"/>
  <c r="AQ3" i="45"/>
  <c r="AR3" i="45"/>
  <c r="AS3" i="45"/>
  <c r="AT3" i="45"/>
  <c r="AU3" i="45"/>
  <c r="AV3" i="45"/>
  <c r="AW3" i="45"/>
  <c r="AX3" i="45"/>
  <c r="AY3" i="45"/>
  <c r="AZ3" i="45"/>
  <c r="BA3" i="45"/>
  <c r="BB3" i="45"/>
  <c r="BC3" i="45"/>
  <c r="BD3" i="45"/>
  <c r="BE3" i="45"/>
  <c r="BF3" i="45"/>
  <c r="BG3" i="45"/>
  <c r="BH3" i="45"/>
  <c r="BI3" i="45"/>
  <c r="BJ3" i="45"/>
  <c r="BK3" i="45"/>
  <c r="BL3" i="45"/>
  <c r="BM3" i="45"/>
  <c r="BN3" i="45"/>
  <c r="BO3" i="45"/>
  <c r="BP3" i="45"/>
  <c r="BQ3" i="45"/>
  <c r="BR3" i="45"/>
  <c r="BS3" i="45"/>
  <c r="BT3" i="45"/>
  <c r="BU3" i="45"/>
  <c r="BV3" i="45"/>
  <c r="BW3" i="45"/>
  <c r="BX3" i="45"/>
  <c r="BY3" i="45"/>
  <c r="BZ3" i="45"/>
  <c r="CA3" i="45"/>
  <c r="CB3" i="45"/>
  <c r="CC3" i="45"/>
  <c r="CD3" i="45"/>
  <c r="CE3" i="45"/>
  <c r="CF3" i="45"/>
  <c r="CG3" i="45"/>
  <c r="CH3" i="45"/>
  <c r="CI3" i="45"/>
  <c r="CJ3" i="45"/>
  <c r="CK3" i="45"/>
  <c r="CL3" i="45"/>
  <c r="CM3" i="45"/>
  <c r="CN3" i="45"/>
  <c r="CO3" i="45"/>
  <c r="CP3" i="45"/>
  <c r="CQ3" i="45"/>
  <c r="CR3" i="45"/>
  <c r="CS3" i="45"/>
  <c r="CT3" i="45"/>
  <c r="CU3" i="45"/>
  <c r="CV3" i="45"/>
  <c r="CW3" i="45"/>
  <c r="CX3" i="45"/>
  <c r="CY3" i="45"/>
  <c r="CZ3" i="45"/>
  <c r="DA3" i="45"/>
  <c r="DB3" i="45"/>
  <c r="DC3" i="45"/>
  <c r="DD3" i="45"/>
  <c r="DE3" i="45"/>
  <c r="DF3" i="45"/>
  <c r="DG3" i="45"/>
  <c r="DH3" i="45"/>
  <c r="DI3" i="45"/>
  <c r="DJ3" i="45"/>
  <c r="DK3" i="45"/>
  <c r="DL3" i="45"/>
  <c r="DM3" i="45"/>
  <c r="DN3" i="45"/>
  <c r="DO3" i="45"/>
  <c r="DP3" i="45"/>
  <c r="DQ3" i="45"/>
  <c r="DR3" i="45"/>
  <c r="DS3" i="45"/>
  <c r="DT3" i="45"/>
  <c r="DU3" i="45"/>
  <c r="DV3" i="45"/>
  <c r="DW3" i="45"/>
  <c r="DX3" i="45"/>
  <c r="DY3" i="45"/>
  <c r="DZ3" i="45"/>
  <c r="EA3" i="45"/>
  <c r="EB3" i="45"/>
  <c r="EC3" i="45"/>
  <c r="ED3" i="45"/>
  <c r="EE3" i="45"/>
  <c r="EF3" i="45"/>
  <c r="EG3" i="45"/>
  <c r="EH3" i="45"/>
  <c r="EI3" i="45"/>
  <c r="EJ3" i="45"/>
  <c r="EK3" i="45"/>
  <c r="EL3" i="45"/>
  <c r="EM3" i="45"/>
  <c r="EN3" i="45"/>
  <c r="EO3" i="45"/>
  <c r="EP3" i="45"/>
  <c r="EQ3" i="45"/>
  <c r="ER3" i="45"/>
  <c r="ES3" i="45"/>
  <c r="ET3" i="45"/>
  <c r="EU3" i="45"/>
  <c r="EV3" i="45"/>
  <c r="EW3" i="45"/>
  <c r="EX3" i="45"/>
  <c r="EY3" i="45"/>
  <c r="EZ3" i="45"/>
  <c r="FA3" i="45"/>
  <c r="FB3" i="45"/>
  <c r="FC3" i="45"/>
  <c r="FD3" i="45"/>
  <c r="FE3" i="45"/>
  <c r="FF3" i="45"/>
  <c r="FG3" i="45"/>
  <c r="FH3" i="45"/>
  <c r="FI3" i="45"/>
  <c r="FJ3" i="45"/>
  <c r="FK3" i="45"/>
  <c r="FL3" i="45"/>
  <c r="FM3" i="45"/>
  <c r="FN3" i="45"/>
  <c r="FO3" i="45"/>
  <c r="FP3" i="45"/>
  <c r="FQ3" i="45"/>
  <c r="FR3" i="45"/>
  <c r="FS3" i="45"/>
  <c r="FT3" i="45"/>
  <c r="FU3" i="45"/>
  <c r="FV3" i="45"/>
  <c r="FW3" i="45"/>
  <c r="FX3" i="45"/>
  <c r="FY3" i="45"/>
  <c r="FZ3" i="45"/>
  <c r="GA3" i="45"/>
  <c r="GB3" i="45"/>
  <c r="GC3" i="45"/>
  <c r="GD3" i="45"/>
  <c r="GE3" i="45"/>
  <c r="GF3" i="45"/>
  <c r="GG3" i="45"/>
  <c r="GH3" i="45"/>
  <c r="GI3" i="45"/>
  <c r="GJ3" i="45"/>
  <c r="GK3" i="45"/>
  <c r="GL3" i="45"/>
  <c r="GM3" i="45"/>
  <c r="GN3" i="45"/>
  <c r="GO3" i="45"/>
  <c r="GP3" i="45"/>
  <c r="GQ3" i="45"/>
  <c r="GR3" i="45"/>
  <c r="GS3" i="45"/>
  <c r="GT3" i="45"/>
  <c r="GU3" i="45"/>
  <c r="GV3" i="45"/>
  <c r="GW3" i="45"/>
  <c r="GX3" i="45"/>
  <c r="GY3" i="45"/>
  <c r="GZ3" i="45"/>
  <c r="HA3" i="45"/>
  <c r="HB3" i="45"/>
  <c r="HC3" i="45"/>
  <c r="HD3" i="45"/>
  <c r="HE3" i="45"/>
  <c r="HF3" i="45"/>
  <c r="HG3" i="45"/>
  <c r="HH3" i="45"/>
  <c r="HI3" i="45"/>
  <c r="HJ3" i="45"/>
  <c r="HK3" i="45"/>
  <c r="HL3" i="45"/>
  <c r="HM3" i="45"/>
  <c r="HN3" i="45"/>
  <c r="HO3" i="45"/>
  <c r="HP3" i="45"/>
  <c r="HQ3" i="45"/>
  <c r="HR3" i="45"/>
  <c r="HS3" i="45"/>
  <c r="HT3" i="45"/>
  <c r="HU3" i="45"/>
  <c r="HV3" i="45"/>
  <c r="HW3" i="45"/>
  <c r="HX3" i="45"/>
  <c r="HY3" i="45"/>
  <c r="HZ3" i="45"/>
  <c r="IA3" i="45"/>
  <c r="IB3" i="45"/>
  <c r="IC3" i="45"/>
  <c r="ID3" i="45"/>
  <c r="IE3" i="45"/>
  <c r="IF3" i="45"/>
  <c r="IG3" i="45"/>
  <c r="IH3" i="45"/>
  <c r="II3" i="45"/>
  <c r="IJ3" i="45"/>
  <c r="IK3" i="45"/>
  <c r="IL3" i="45"/>
  <c r="IM3" i="45"/>
  <c r="IN3" i="45"/>
  <c r="IO3" i="45"/>
  <c r="IP3" i="45"/>
  <c r="IQ3" i="45"/>
  <c r="IR3" i="45"/>
  <c r="IS3" i="45"/>
  <c r="IT3" i="45"/>
  <c r="IU3" i="45"/>
  <c r="IV3" i="45"/>
  <c r="A2" i="45"/>
  <c r="B2" i="45"/>
  <c r="C2" i="45"/>
  <c r="D2" i="45"/>
  <c r="E2" i="45"/>
  <c r="F2" i="45"/>
  <c r="G2" i="45"/>
  <c r="H2" i="45"/>
  <c r="I2" i="45"/>
  <c r="J2" i="45"/>
  <c r="K2" i="45"/>
  <c r="L2" i="45"/>
  <c r="M2" i="45"/>
  <c r="N2" i="45"/>
  <c r="O2" i="45"/>
  <c r="P2" i="45"/>
  <c r="Q2" i="45"/>
  <c r="R2" i="45"/>
  <c r="S2" i="45"/>
  <c r="T2" i="45"/>
  <c r="U2" i="45"/>
  <c r="V2" i="45"/>
  <c r="W2" i="45"/>
  <c r="X2" i="45"/>
  <c r="Y2" i="45"/>
  <c r="Z2" i="45"/>
  <c r="AA2" i="45"/>
  <c r="AB2" i="45"/>
  <c r="AC2" i="45"/>
  <c r="AD2" i="45"/>
  <c r="AE2" i="45"/>
  <c r="AF2" i="45"/>
  <c r="AG2" i="45"/>
  <c r="AH2" i="45"/>
  <c r="AI2" i="45"/>
  <c r="AJ2" i="45"/>
  <c r="AK2" i="45"/>
  <c r="AL2" i="45"/>
  <c r="AM2" i="45"/>
  <c r="AN2" i="45"/>
  <c r="AO2" i="45"/>
  <c r="AP2" i="45"/>
  <c r="AQ2" i="45"/>
  <c r="AR2" i="45"/>
  <c r="AS2" i="45"/>
  <c r="AT2" i="45"/>
  <c r="AU2" i="45"/>
  <c r="AV2" i="45"/>
  <c r="AW2" i="45"/>
  <c r="AX2" i="45"/>
  <c r="AY2" i="45"/>
  <c r="AZ2" i="45"/>
  <c r="BA2" i="45"/>
  <c r="BB2" i="45"/>
  <c r="BC2" i="45"/>
  <c r="BD2" i="45"/>
  <c r="BE2" i="45"/>
  <c r="BF2" i="45"/>
  <c r="BG2" i="45"/>
  <c r="BH2" i="45"/>
  <c r="BI2" i="45"/>
  <c r="BJ2" i="45"/>
  <c r="BK2" i="45"/>
  <c r="BL2" i="45"/>
  <c r="BM2" i="45"/>
  <c r="BN2" i="45"/>
  <c r="BO2" i="45"/>
  <c r="BP2" i="45"/>
  <c r="BQ2" i="45"/>
  <c r="BR2" i="45"/>
  <c r="BS2" i="45"/>
  <c r="BT2" i="45"/>
  <c r="BU2" i="45"/>
  <c r="BV2" i="45"/>
  <c r="BW2" i="45"/>
  <c r="BX2" i="45"/>
  <c r="BY2" i="45"/>
  <c r="BZ2" i="45"/>
  <c r="CA2" i="45"/>
  <c r="CB2" i="45"/>
  <c r="CC2" i="45"/>
  <c r="CD2" i="45"/>
  <c r="CE2" i="45"/>
  <c r="CF2" i="45"/>
  <c r="CG2" i="45"/>
  <c r="CH2" i="45"/>
  <c r="CI2" i="45"/>
  <c r="CJ2" i="45"/>
  <c r="CK2" i="45"/>
  <c r="CL2" i="45"/>
  <c r="CM2" i="45"/>
  <c r="CN2" i="45"/>
  <c r="CO2" i="45"/>
  <c r="CP2" i="45"/>
  <c r="CQ2" i="45"/>
  <c r="CR2" i="45"/>
  <c r="CS2" i="45"/>
  <c r="CT2" i="45"/>
  <c r="CU2" i="45"/>
  <c r="CV2" i="45"/>
  <c r="CW2" i="45"/>
  <c r="CX2" i="45"/>
  <c r="CY2" i="45"/>
  <c r="CZ2" i="45"/>
  <c r="DA2" i="45"/>
  <c r="DB2" i="45"/>
  <c r="DC2" i="45"/>
  <c r="DD2" i="45"/>
  <c r="DE2" i="45"/>
  <c r="DF2" i="45"/>
  <c r="DG2" i="45"/>
  <c r="DH2" i="45"/>
  <c r="DI2" i="45"/>
  <c r="DJ2" i="45"/>
  <c r="DK2" i="45"/>
  <c r="DL2" i="45"/>
  <c r="DM2" i="45"/>
  <c r="DN2" i="45"/>
  <c r="DO2" i="45"/>
  <c r="DP2" i="45"/>
  <c r="DQ2" i="45"/>
  <c r="DR2" i="45"/>
  <c r="DS2" i="45"/>
  <c r="DT2" i="45"/>
  <c r="DU2" i="45"/>
  <c r="DV2" i="45"/>
  <c r="DW2" i="45"/>
  <c r="DX2" i="45"/>
  <c r="DY2" i="45"/>
  <c r="DZ2" i="45"/>
  <c r="EA2" i="45"/>
  <c r="EB2" i="45"/>
  <c r="EC2" i="45"/>
  <c r="ED2" i="45"/>
  <c r="EE2" i="45"/>
  <c r="EF2" i="45"/>
  <c r="EG2" i="45"/>
  <c r="EH2" i="45"/>
  <c r="EI2" i="45"/>
  <c r="EJ2" i="45"/>
  <c r="EK2" i="45"/>
  <c r="EL2" i="45"/>
  <c r="EM2" i="45"/>
  <c r="EN2" i="45"/>
  <c r="EO2" i="45"/>
  <c r="EP2" i="45"/>
  <c r="EQ2" i="45"/>
  <c r="ER2" i="45"/>
  <c r="ES2" i="45"/>
  <c r="ET2" i="45"/>
  <c r="EU2" i="45"/>
  <c r="EV2" i="45"/>
  <c r="EW2" i="45"/>
  <c r="EX2" i="45"/>
  <c r="EY2" i="45"/>
  <c r="EZ2" i="45"/>
  <c r="FA2" i="45"/>
  <c r="FB2" i="45"/>
  <c r="FC2" i="45"/>
  <c r="FD2" i="45"/>
  <c r="FE2" i="45"/>
  <c r="FF2" i="45"/>
  <c r="FG2" i="45"/>
  <c r="FH2" i="45"/>
  <c r="FI2" i="45"/>
  <c r="FJ2" i="45"/>
  <c r="FK2" i="45"/>
  <c r="FL2" i="45"/>
  <c r="FM2" i="45"/>
  <c r="FN2" i="45"/>
  <c r="FO2" i="45"/>
  <c r="FP2" i="45"/>
  <c r="FQ2" i="45"/>
  <c r="FR2" i="45"/>
  <c r="FS2" i="45"/>
  <c r="FT2" i="45"/>
  <c r="FU2" i="45"/>
  <c r="FV2" i="45"/>
  <c r="FW2" i="45"/>
  <c r="FX2" i="45"/>
  <c r="FY2" i="45"/>
  <c r="FZ2" i="45"/>
  <c r="GA2" i="45"/>
  <c r="GB2" i="45"/>
  <c r="GC2" i="45"/>
  <c r="GD2" i="45"/>
  <c r="GE2" i="45"/>
  <c r="GF2" i="45"/>
  <c r="GG2" i="45"/>
  <c r="GH2" i="45"/>
  <c r="GI2" i="45"/>
  <c r="GJ2" i="45"/>
  <c r="GK2" i="45"/>
  <c r="GL2" i="45"/>
  <c r="GM2" i="45"/>
  <c r="GN2" i="45"/>
  <c r="GO2" i="45"/>
  <c r="GP2" i="45"/>
  <c r="GQ2" i="45"/>
  <c r="GR2" i="45"/>
  <c r="GS2" i="45"/>
  <c r="GT2" i="45"/>
  <c r="GU2" i="45"/>
  <c r="GV2" i="45"/>
  <c r="GW2" i="45"/>
  <c r="GX2" i="45"/>
  <c r="GY2" i="45"/>
  <c r="GZ2" i="45"/>
  <c r="HA2" i="45"/>
  <c r="HB2" i="45"/>
  <c r="HC2" i="45"/>
  <c r="HD2" i="45"/>
  <c r="HE2" i="45"/>
  <c r="HF2" i="45"/>
  <c r="HG2" i="45"/>
  <c r="HH2" i="45"/>
  <c r="HI2" i="45"/>
  <c r="HJ2" i="45"/>
  <c r="HK2" i="45"/>
  <c r="HL2" i="45"/>
  <c r="HM2" i="45"/>
  <c r="HN2" i="45"/>
  <c r="HO2" i="45"/>
  <c r="HP2" i="45"/>
  <c r="HQ2" i="45"/>
  <c r="HR2" i="45"/>
  <c r="HS2" i="45"/>
  <c r="HT2" i="45"/>
  <c r="HU2" i="45"/>
  <c r="HV2" i="45"/>
  <c r="HW2" i="45"/>
  <c r="HX2" i="45"/>
  <c r="HY2" i="45"/>
  <c r="HZ2" i="45"/>
  <c r="IA2" i="45"/>
  <c r="IB2" i="45"/>
  <c r="IC2" i="45"/>
  <c r="ID2" i="45"/>
  <c r="IE2" i="45"/>
  <c r="IF2" i="45"/>
  <c r="IG2" i="45"/>
  <c r="IH2" i="45"/>
  <c r="II2" i="45"/>
  <c r="IJ2" i="45"/>
  <c r="IK2" i="45"/>
  <c r="IL2" i="45"/>
  <c r="IM2" i="45"/>
  <c r="IN2" i="45"/>
  <c r="IO2" i="45"/>
  <c r="IP2" i="45"/>
  <c r="IQ2" i="45"/>
  <c r="IR2" i="45"/>
  <c r="IS2" i="45"/>
  <c r="IT2" i="45"/>
  <c r="IU2" i="45"/>
  <c r="IV2" i="45"/>
  <c r="A1" i="45"/>
  <c r="B1" i="45"/>
  <c r="C1" i="45"/>
  <c r="D1" i="45"/>
  <c r="E1" i="45"/>
  <c r="F1" i="45"/>
  <c r="G1" i="45"/>
  <c r="H1" i="45"/>
  <c r="I1" i="45"/>
  <c r="J1" i="45"/>
  <c r="K1" i="45"/>
  <c r="L1" i="45"/>
  <c r="M1" i="45"/>
  <c r="N1" i="45"/>
  <c r="O1" i="45"/>
  <c r="P1" i="45"/>
  <c r="Q1" i="45"/>
  <c r="R1" i="45"/>
  <c r="S1" i="45"/>
  <c r="T1" i="45"/>
  <c r="U1" i="45"/>
  <c r="V1" i="45"/>
  <c r="W1" i="45"/>
  <c r="X1" i="45"/>
  <c r="Y1" i="45"/>
  <c r="Z1" i="45"/>
  <c r="AA1" i="45"/>
  <c r="AB1" i="45"/>
  <c r="AC1" i="45"/>
  <c r="AD1" i="45"/>
  <c r="AE1" i="45"/>
  <c r="AF1" i="45"/>
  <c r="AG1" i="45"/>
  <c r="AH1" i="45"/>
  <c r="AI1" i="45"/>
  <c r="AJ1" i="45"/>
  <c r="AK1" i="45"/>
  <c r="AL1" i="45"/>
  <c r="AM1" i="45"/>
  <c r="AN1" i="45"/>
  <c r="AO1" i="45"/>
  <c r="AP1" i="45"/>
  <c r="AQ1" i="45"/>
  <c r="AR1" i="45"/>
  <c r="AS1" i="45"/>
  <c r="AT1" i="45"/>
  <c r="AU1" i="45"/>
  <c r="AV1" i="45"/>
  <c r="AW1" i="45"/>
  <c r="AX1" i="45"/>
  <c r="AY1" i="45"/>
  <c r="AZ1" i="45"/>
  <c r="BA1" i="45"/>
  <c r="BB1" i="45"/>
  <c r="BC1" i="45"/>
  <c r="BD1" i="45"/>
  <c r="BE1" i="45"/>
  <c r="BF1" i="45"/>
  <c r="BG1" i="45"/>
  <c r="BH1" i="45"/>
  <c r="BI1" i="45"/>
  <c r="BJ1" i="45"/>
  <c r="BK1" i="45"/>
  <c r="BL1" i="45"/>
  <c r="BM1" i="45"/>
  <c r="BN1" i="45"/>
  <c r="BO1" i="45"/>
  <c r="BP1" i="45"/>
  <c r="BQ1" i="45"/>
  <c r="BR1" i="45"/>
  <c r="BS1" i="45"/>
  <c r="BT1" i="45"/>
  <c r="BU1" i="45"/>
  <c r="BV1" i="45"/>
  <c r="BW1" i="45"/>
  <c r="BX1" i="45"/>
  <c r="BY1" i="45"/>
  <c r="BZ1" i="45"/>
  <c r="CA1" i="45"/>
  <c r="CB1" i="45"/>
  <c r="CC1" i="45"/>
  <c r="CD1" i="45"/>
  <c r="CE1" i="45"/>
  <c r="CF1" i="45"/>
  <c r="CG1" i="45"/>
  <c r="CH1" i="45"/>
  <c r="CI1" i="45"/>
  <c r="CJ1" i="45"/>
  <c r="CK1" i="45"/>
  <c r="CL1" i="45"/>
  <c r="CM1" i="45"/>
  <c r="CN1" i="45"/>
  <c r="CO1" i="45"/>
  <c r="CP1" i="45"/>
  <c r="CQ1" i="45"/>
  <c r="CR1" i="45"/>
  <c r="CS1" i="45"/>
  <c r="CT1" i="45"/>
  <c r="CU1" i="45"/>
  <c r="CV1" i="45"/>
  <c r="CW1" i="45"/>
  <c r="CX1" i="45"/>
  <c r="CY1" i="45"/>
  <c r="CZ1" i="45"/>
  <c r="DA1" i="45"/>
  <c r="DB1" i="45"/>
  <c r="DC1" i="45"/>
  <c r="DD1" i="45"/>
  <c r="DE1" i="45"/>
  <c r="DF1" i="45"/>
  <c r="DG1" i="45"/>
  <c r="DH1" i="45"/>
  <c r="DI1" i="45"/>
  <c r="DJ1" i="45"/>
  <c r="DK1" i="45"/>
  <c r="DL1" i="45"/>
  <c r="DM1" i="45"/>
  <c r="DN1" i="45"/>
  <c r="DO1" i="45"/>
  <c r="DP1" i="45"/>
  <c r="DQ1" i="45"/>
  <c r="DR1" i="45"/>
  <c r="DS1" i="45"/>
  <c r="DT1" i="45"/>
  <c r="DU1" i="45"/>
  <c r="DV1" i="45"/>
  <c r="DW1" i="45"/>
  <c r="DX1" i="45"/>
  <c r="DY1" i="45"/>
  <c r="DZ1" i="45"/>
  <c r="EA1" i="45"/>
  <c r="EB1" i="45"/>
  <c r="EC1" i="45"/>
  <c r="ED1" i="45"/>
  <c r="EE1" i="45"/>
  <c r="EF1" i="45"/>
  <c r="EG1" i="45"/>
  <c r="EH1" i="45"/>
  <c r="EI1" i="45"/>
  <c r="EJ1" i="45"/>
  <c r="EK1" i="45"/>
  <c r="EL1" i="45"/>
  <c r="EM1" i="45"/>
  <c r="EN1" i="45"/>
  <c r="EO1" i="45"/>
  <c r="EP1" i="45"/>
  <c r="EQ1" i="45"/>
  <c r="ER1" i="45"/>
  <c r="ES1" i="45"/>
  <c r="ET1" i="45"/>
  <c r="EU1" i="45"/>
  <c r="EV1" i="45"/>
  <c r="EW1" i="45"/>
  <c r="EX1" i="45"/>
  <c r="EY1" i="45"/>
  <c r="EZ1" i="45"/>
  <c r="FA1" i="45"/>
  <c r="FB1" i="45"/>
  <c r="FC1" i="45"/>
  <c r="FD1" i="45"/>
  <c r="FE1" i="45"/>
  <c r="FF1" i="45"/>
  <c r="FG1" i="45"/>
  <c r="FH1" i="45"/>
  <c r="FI1" i="45"/>
  <c r="FJ1" i="45"/>
  <c r="FK1" i="45"/>
  <c r="FL1" i="45"/>
  <c r="FM1" i="45"/>
  <c r="FN1" i="45"/>
  <c r="FO1" i="45"/>
  <c r="FP1" i="45"/>
  <c r="FQ1" i="45"/>
  <c r="FR1" i="45"/>
  <c r="FS1" i="45"/>
  <c r="FT1" i="45"/>
  <c r="FU1" i="45"/>
  <c r="FV1" i="45"/>
  <c r="FW1" i="45"/>
  <c r="FX1" i="45"/>
  <c r="FY1" i="45"/>
  <c r="FZ1" i="45"/>
  <c r="GA1" i="45"/>
  <c r="GB1" i="45"/>
  <c r="GC1" i="45"/>
  <c r="GD1" i="45"/>
  <c r="GE1" i="45"/>
  <c r="GF1" i="45"/>
  <c r="GG1" i="45"/>
  <c r="GH1" i="45"/>
  <c r="GI1" i="45"/>
  <c r="GJ1" i="45"/>
  <c r="GK1" i="45"/>
  <c r="GL1" i="45"/>
  <c r="GM1" i="45"/>
  <c r="GN1" i="45"/>
  <c r="GO1" i="45"/>
  <c r="GP1" i="45"/>
  <c r="GQ1" i="45"/>
  <c r="GR1" i="45"/>
  <c r="GS1" i="45"/>
  <c r="GT1" i="45"/>
  <c r="GU1" i="45"/>
  <c r="GV1" i="45"/>
  <c r="GW1" i="45"/>
  <c r="GX1" i="45"/>
  <c r="GY1" i="45"/>
  <c r="GZ1" i="45"/>
  <c r="HA1" i="45"/>
  <c r="HB1" i="45"/>
  <c r="HC1" i="45"/>
  <c r="HD1" i="45"/>
  <c r="HE1" i="45"/>
  <c r="HF1" i="45"/>
  <c r="HG1" i="45"/>
  <c r="HH1" i="45"/>
  <c r="HI1" i="45"/>
  <c r="HJ1" i="45"/>
  <c r="HK1" i="45"/>
  <c r="HL1" i="45"/>
  <c r="HM1" i="45"/>
  <c r="HN1" i="45"/>
  <c r="HO1" i="45"/>
  <c r="HP1" i="45"/>
  <c r="HQ1" i="45"/>
  <c r="HR1" i="45"/>
  <c r="HS1" i="45"/>
  <c r="HT1" i="45"/>
  <c r="HU1" i="45"/>
  <c r="HV1" i="45"/>
  <c r="HW1" i="45"/>
  <c r="HX1" i="45"/>
  <c r="HY1" i="45"/>
  <c r="HZ1" i="45"/>
  <c r="IA1" i="45"/>
  <c r="IB1" i="45"/>
  <c r="IC1" i="45"/>
  <c r="ID1" i="45"/>
  <c r="IE1" i="45"/>
  <c r="IF1" i="45"/>
  <c r="IG1" i="45"/>
  <c r="IH1" i="45"/>
  <c r="II1" i="45"/>
  <c r="IJ1" i="45"/>
  <c r="IK1" i="45"/>
  <c r="IL1" i="45"/>
  <c r="IM1" i="45"/>
  <c r="IN1" i="45"/>
  <c r="IO1" i="45"/>
  <c r="IP1" i="45"/>
  <c r="IQ1" i="45"/>
  <c r="IR1" i="45"/>
  <c r="IS1" i="45"/>
  <c r="IT1" i="45"/>
  <c r="IU1" i="45"/>
  <c r="IV1" i="45"/>
  <c r="D109" i="45"/>
  <c r="O71" i="45"/>
  <c r="K70" i="45"/>
  <c r="P27" i="40"/>
  <c r="P26" i="40"/>
  <c r="P34" i="40"/>
  <c r="P36" i="40"/>
  <c r="P37" i="40"/>
  <c r="P45" i="40"/>
  <c r="P46" i="40"/>
</calcChain>
</file>

<file path=xl/sharedStrings.xml><?xml version="1.0" encoding="utf-8"?>
<sst xmlns="http://schemas.openxmlformats.org/spreadsheetml/2006/main" count="1918" uniqueCount="443">
  <si>
    <t>Section</t>
  </si>
  <si>
    <t>Points</t>
  </si>
  <si>
    <t>Filename</t>
  </si>
  <si>
    <t>Subd By</t>
  </si>
  <si>
    <t>CreatedFor</t>
  </si>
  <si>
    <t>HW 2</t>
  </si>
  <si>
    <t>Information</t>
  </si>
  <si>
    <t>Price</t>
  </si>
  <si>
    <t>Total Variable Costs</t>
  </si>
  <si>
    <t>Contribution Margin</t>
  </si>
  <si>
    <t>Prob.</t>
  </si>
  <si>
    <t>Solutions</t>
  </si>
  <si>
    <t>b)</t>
  </si>
  <si>
    <t>c)</t>
  </si>
  <si>
    <t>d)</t>
  </si>
  <si>
    <t>2 a)</t>
  </si>
  <si>
    <t>3 a)</t>
  </si>
  <si>
    <t>4 a)</t>
  </si>
  <si>
    <t>7 a)</t>
  </si>
  <si>
    <t xml:space="preserve">Revenue </t>
  </si>
  <si>
    <t>e)</t>
  </si>
  <si>
    <t>f)</t>
  </si>
  <si>
    <t xml:space="preserve">Net Income </t>
  </si>
  <si>
    <t>Total</t>
  </si>
  <si>
    <t>1a</t>
  </si>
  <si>
    <t>1b</t>
  </si>
  <si>
    <t>1c</t>
  </si>
  <si>
    <t>2a</t>
  </si>
  <si>
    <t>2b</t>
  </si>
  <si>
    <t>2c</t>
  </si>
  <si>
    <t>3a</t>
  </si>
  <si>
    <t>3b</t>
  </si>
  <si>
    <t>3c</t>
  </si>
  <si>
    <t>3d</t>
  </si>
  <si>
    <t>4a</t>
  </si>
  <si>
    <t>4b</t>
  </si>
  <si>
    <t>4c</t>
  </si>
  <si>
    <t>4d</t>
  </si>
  <si>
    <t>7a</t>
  </si>
  <si>
    <t>7b</t>
  </si>
  <si>
    <t>POST</t>
  </si>
  <si>
    <t>YES</t>
  </si>
  <si>
    <t>g)</t>
  </si>
  <si>
    <t xml:space="preserve">Income tax expense </t>
  </si>
  <si>
    <t xml:space="preserve">Income before taxes </t>
  </si>
  <si>
    <t>Gross Margin</t>
  </si>
  <si>
    <t>Moodle ID</t>
  </si>
  <si>
    <t>1a)</t>
  </si>
  <si>
    <t>Iterations</t>
  </si>
  <si>
    <t>Username</t>
  </si>
  <si>
    <t>5a</t>
  </si>
  <si>
    <t>5b</t>
  </si>
  <si>
    <t>Start Time</t>
  </si>
  <si>
    <t>End Time</t>
  </si>
  <si>
    <t>Total Hours</t>
  </si>
  <si>
    <t>AAAAAF3Yf7U=</t>
  </si>
  <si>
    <t>AAAAAF3Yf7Y=</t>
  </si>
  <si>
    <t>AAAAAF3Yf7c=</t>
  </si>
  <si>
    <t>AAAAAF3Yf7g=</t>
  </si>
  <si>
    <t>AAAAAF3Yf7k=</t>
  </si>
  <si>
    <t>AAAAAF3Yf7o=</t>
  </si>
  <si>
    <t>AAAAAF3Yf7s=</t>
  </si>
  <si>
    <t>AAAAAF3Yf7w=</t>
  </si>
  <si>
    <t>AAAAAF3Yf70=</t>
  </si>
  <si>
    <t>AAAAAF3Yf74=</t>
  </si>
  <si>
    <t>AAAAAF3Yf78=</t>
  </si>
  <si>
    <t>8a</t>
  </si>
  <si>
    <t>8b</t>
  </si>
  <si>
    <t>8c</t>
  </si>
  <si>
    <t>8 a)</t>
  </si>
  <si>
    <t>Variable Cost</t>
  </si>
  <si>
    <t>Profit</t>
  </si>
  <si>
    <t>9 a)</t>
  </si>
  <si>
    <t>5 a)</t>
  </si>
  <si>
    <t>1d</t>
  </si>
  <si>
    <t>7c</t>
  </si>
  <si>
    <t>7d</t>
  </si>
  <si>
    <t>7e</t>
  </si>
  <si>
    <t>7f</t>
  </si>
  <si>
    <t>7g</t>
  </si>
  <si>
    <t>9a</t>
  </si>
  <si>
    <t>9b</t>
  </si>
  <si>
    <t>9c</t>
  </si>
  <si>
    <t>6a</t>
  </si>
  <si>
    <t>Does the company have the capacity of reaching their goal?</t>
  </si>
  <si>
    <t>8d</t>
  </si>
  <si>
    <t>Heating cost of the office building.</t>
  </si>
  <si>
    <t>Purchase of materials like batteries and processors.</t>
  </si>
  <si>
    <t>The amount that remains after substracting the direct costs associated with the production from the revenue.</t>
  </si>
  <si>
    <t>Payment to the information technology officer(person who works in IT).</t>
  </si>
  <si>
    <t>Payments made to the assembly line workers.</t>
  </si>
  <si>
    <t>Net gain from an invidual product.</t>
  </si>
  <si>
    <t>Indirect Fixed Cost</t>
  </si>
  <si>
    <t>Step Variable Cost</t>
  </si>
  <si>
    <t xml:space="preserve">What is the annual production capacity of DataMate Inc. given their current facility (report the answer in smartwatches per year)? </t>
  </si>
  <si>
    <t xml:space="preserve">Do they have the physical production capacity to accept the Sun-Sung's deal? </t>
  </si>
  <si>
    <t>Not Relevant</t>
  </si>
  <si>
    <t>What is the contribution margin for the Sun-Sung Velocity?</t>
  </si>
  <si>
    <t>If the sales loss of the Rush+ Smartwatch from the Sun-Sung deal is equal to 33,000 units, is the deal still profitable for Datamate?</t>
  </si>
  <si>
    <t xml:space="preserve">6 a) </t>
  </si>
  <si>
    <r>
      <t>Cost of</t>
    </r>
    <r>
      <rPr>
        <sz val="10"/>
        <rFont val="Arial"/>
      </rPr>
      <t xml:space="preserve"> Sales</t>
    </r>
  </si>
  <si>
    <t>General Administration Expenses</t>
  </si>
  <si>
    <t>Marketing, Selling And Distribution Expenses</t>
  </si>
  <si>
    <t>R&amp;D</t>
  </si>
  <si>
    <t>h)</t>
  </si>
  <si>
    <t>i)</t>
  </si>
  <si>
    <t>j)</t>
  </si>
  <si>
    <t>The slope of a line can give an information about a different concept. What information does the slope of the expenses give on the graph?</t>
  </si>
  <si>
    <t>Production &amp; Cost Information</t>
  </si>
  <si>
    <t>Smart Watch Materials</t>
  </si>
  <si>
    <t>Attributes</t>
  </si>
  <si>
    <t>Display</t>
  </si>
  <si>
    <t>1.63" IPS LCD</t>
  </si>
  <si>
    <t>Processor</t>
  </si>
  <si>
    <t>Qualcomm® Snapdragon™ 400 processor with 1.2GHz CPU</t>
  </si>
  <si>
    <t>Ram</t>
  </si>
  <si>
    <t>512 mb</t>
  </si>
  <si>
    <t>Memory</t>
  </si>
  <si>
    <t>4 GB</t>
  </si>
  <si>
    <t>Battery</t>
  </si>
  <si>
    <t>400 mAh</t>
  </si>
  <si>
    <t>Camera</t>
  </si>
  <si>
    <t>2 MP with 720p recording</t>
  </si>
  <si>
    <t>Strap</t>
  </si>
  <si>
    <t>Plastic</t>
  </si>
  <si>
    <t>Sun-Sung Velocity</t>
  </si>
  <si>
    <t>1. Price of product and total volume of order</t>
  </si>
  <si>
    <t>Order volume</t>
  </si>
  <si>
    <t>TL per watch</t>
  </si>
  <si>
    <t>2. Increase in variable costs</t>
  </si>
  <si>
    <t>2.1  Direct increase</t>
  </si>
  <si>
    <t>2.2 Increase as percentage</t>
  </si>
  <si>
    <t>Materials</t>
  </si>
  <si>
    <t>1.65" Super AMOLED Display</t>
  </si>
  <si>
    <t>Qualcomm® Snapdragon™ 600 processor with 1.4GHz CPU</t>
  </si>
  <si>
    <t>600 mAh</t>
  </si>
  <si>
    <t>2 MP with 1080p recording</t>
  </si>
  <si>
    <t>Metal</t>
  </si>
  <si>
    <t>DataMate Inc.</t>
  </si>
  <si>
    <t>Income Statement (As of December 31, 2013)</t>
  </si>
  <si>
    <t>Revenue</t>
  </si>
  <si>
    <t>Cost Of Sales</t>
  </si>
  <si>
    <t>Marketing and Selling  Expenses</t>
  </si>
  <si>
    <t>Income Before Tax</t>
  </si>
  <si>
    <t>Net Income</t>
  </si>
  <si>
    <t>Tax Rate</t>
  </si>
  <si>
    <t>Total Material Cost</t>
  </si>
  <si>
    <t>Smartwatch Comparison Chart</t>
  </si>
  <si>
    <t>DataMate Case Solution</t>
  </si>
  <si>
    <t>Rush Plus</t>
  </si>
  <si>
    <t>Velocity</t>
  </si>
  <si>
    <t>Balance Sheet (As of December 31, 2013)</t>
  </si>
  <si>
    <t>ASSETS</t>
  </si>
  <si>
    <t>LIABILITIES</t>
  </si>
  <si>
    <t xml:space="preserve"> Assets</t>
  </si>
  <si>
    <t>Short- and Long-term Liabilities</t>
  </si>
  <si>
    <t>Cash</t>
  </si>
  <si>
    <t>Accounts Payable</t>
  </si>
  <si>
    <t>Accounts Receivable</t>
  </si>
  <si>
    <t>Short-Term Bank Loans</t>
  </si>
  <si>
    <t>Finished Goods Inventory</t>
  </si>
  <si>
    <t>Long-Term Bank Loans</t>
  </si>
  <si>
    <t>Work in Process</t>
  </si>
  <si>
    <t xml:space="preserve">Raw Materials Inventory </t>
  </si>
  <si>
    <t>Total Shareholders' Equity</t>
  </si>
  <si>
    <t>Plant and Equipment</t>
  </si>
  <si>
    <t>TOTAL ASSETS</t>
  </si>
  <si>
    <t>TOTAL SHAREHOLDERS' EQUITY AND LIABILITIES</t>
  </si>
  <si>
    <t>Rush Plus Sales Loss</t>
  </si>
  <si>
    <t>Used Capacity</t>
  </si>
  <si>
    <t xml:space="preserve">Consider data from the Balance &amp; IncomeStatement and Product Information sheets of this workbook. </t>
  </si>
  <si>
    <t>1e</t>
  </si>
  <si>
    <t>1f</t>
  </si>
  <si>
    <t>3f</t>
  </si>
  <si>
    <t>6b</t>
  </si>
  <si>
    <t>7h</t>
  </si>
  <si>
    <t>7i</t>
  </si>
  <si>
    <t>7j</t>
  </si>
  <si>
    <t>TOTAL</t>
  </si>
  <si>
    <t>Packaging Cost Per Unit</t>
  </si>
  <si>
    <t>DataMate Rush+</t>
  </si>
  <si>
    <t>Total Units Produced</t>
  </si>
  <si>
    <t>Total Direct Fixed Cost</t>
  </si>
  <si>
    <t>Microphone</t>
  </si>
  <si>
    <t>Single Recording Capability</t>
  </si>
  <si>
    <t>30% of Smart Watch's Total Material Cost</t>
  </si>
  <si>
    <t>Unit price</t>
  </si>
  <si>
    <t xml:space="preserve">Packaging Cost </t>
  </si>
  <si>
    <t>More than packaging cost of Rush+</t>
  </si>
  <si>
    <t>Dual Recording with Hi-Fi</t>
  </si>
  <si>
    <t>What is the price of Rush+ Smartwatch ?</t>
  </si>
  <si>
    <t>How much does it cost to produce and package one Rush+ Smartwatch?</t>
  </si>
  <si>
    <t>How much do we profit from selling one Rush+ Smartwatch?</t>
  </si>
  <si>
    <r>
      <t>In our case, determine whether the fixed costs of Datamate are relev</t>
    </r>
    <r>
      <rPr>
        <sz val="10"/>
        <rFont val="Arial"/>
      </rPr>
      <t>ant to</t>
    </r>
    <r>
      <rPr>
        <sz val="10"/>
        <rFont val="Arial"/>
      </rPr>
      <t xml:space="preserve"> their decision about the Sun-Sung offer.</t>
    </r>
  </si>
  <si>
    <t>Report the total indirect fixed cost of DataMate.</t>
  </si>
  <si>
    <t>If DataMate does not accept the Sun-Sung's offer, how many Rush+ Smartwatches need to be sold in order to cover the total fixed cost?</t>
  </si>
  <si>
    <r>
      <t xml:space="preserve">Assume that DataMate accepted Sun-Sung's offer. After the sales of Velocity smartwatches, how many additional regular Rush+ smartwatches need to be sold in order for DataMate to cover their total </t>
    </r>
    <r>
      <rPr>
        <sz val="10"/>
        <rFont val="Arial"/>
      </rPr>
      <t>fixed cost?</t>
    </r>
  </si>
  <si>
    <t>Since new Sun-Sung Velocity smartwatches will carry Sun-Sung's name, they will be in direct competition with Rush+ Smartwatches. Mr.Tatal is concerned that this will cause a decline in the sales of Rush+ Smartwatches. What is the maximum amount of Rush+ sales that Datamate INC. can lose without a decline in their profit?</t>
  </si>
  <si>
    <r>
      <rPr>
        <sz val="10"/>
        <rFont val="Arial"/>
      </rPr>
      <t>What is the ROR (Return on revenue) ratio of Datamate INC. before Sun-Sung deal is ac</t>
    </r>
    <r>
      <rPr>
        <sz val="10"/>
        <color rgb="FF222222"/>
        <rFont val="Arial"/>
        <family val="2"/>
        <charset val="162"/>
      </rPr>
      <t>cepted?</t>
    </r>
  </si>
  <si>
    <r>
      <t xml:space="preserve">Report the </t>
    </r>
    <r>
      <rPr>
        <sz val="10"/>
        <rFont val="Arial"/>
      </rPr>
      <t>ROA (Return on assets)</t>
    </r>
    <r>
      <rPr>
        <sz val="10"/>
        <rFont val="Arial"/>
      </rPr>
      <t xml:space="preserve"> ratio for Datamate INC. before Sun-Sung deal is accepted?</t>
    </r>
  </si>
  <si>
    <t>What percentage of Revenue comes from the sales of Sun-Sung Velocity Smartwatch?</t>
  </si>
  <si>
    <t>The company aims to increase their Gross Margin by 20%. After experiencing the loss of 18,000 units of Rush+ Smartwatches, how many additional Sun-Sung Velocity smartwatches have to be sold to reach their desired Gross Margin?</t>
  </si>
  <si>
    <t>What does the purple vertical line segment that is marked with an asterisk (*) on the graph represent?</t>
  </si>
  <si>
    <t>IBT</t>
  </si>
  <si>
    <t>Fixed Cost</t>
  </si>
  <si>
    <t>Abdulkadir Alperen Sever_4842_assignsubmission_file_335__HW2.xlsm</t>
  </si>
  <si>
    <t>Abdulwahab Abdalla Husain Huwaidi_4826_assignsubmission_file_418__HW2.xlsm</t>
  </si>
  <si>
    <t>Ahmad Husami_4843_assignsubmission_file_428__HW2.xlsm</t>
  </si>
  <si>
    <t>Alara Kandemir_4839_assignsubmission_file_392__HW2.xlsm</t>
  </si>
  <si>
    <t>Ali Hakan Yilmaz_4761_assignsubmission_file_415__HW2.xlsm</t>
  </si>
  <si>
    <t>Anil Dogukan_4694_assignsubmission_file_373__HW2.xlsm</t>
  </si>
  <si>
    <t>Ata Altiner_4740_assignsubmission_file_390__HW2.xlsm</t>
  </si>
  <si>
    <t>Ata Budaklier_4749_assignsubmission_file_423__HW2 (1).xlsm</t>
  </si>
  <si>
    <t>Atakan Atamert_4789_assignsubmission_file_431__HW2.xlsm</t>
  </si>
  <si>
    <t>Atakan Kurt_4799_assignsubmission_file_311__HW2.xlsm</t>
  </si>
  <si>
    <t>Aurora Sezin Lawrence_4737_assignsubmission_file_385__HW2 (version 1).xlsm</t>
  </si>
  <si>
    <t>Ayberk Kum_4767_assignsubmission_file_413__HW2.xlsm</t>
  </si>
  <si>
    <t>Aylin Yildiz_4758_assignsubmission_file_317__HW2.xlsm</t>
  </si>
  <si>
    <t>Ayse Yasemin Ozturkcu_4725_assignsubmission_file_391__HW2.xlsm</t>
  </si>
  <si>
    <t>Aysenur Kizanlikli_4747_assignsubmission_file_370__HW2 (1).xlsm</t>
  </si>
  <si>
    <t>Aziz Can Ocakoglu_4811_assignsubmission_file_332__HW2.xlsm</t>
  </si>
  <si>
    <t>Baris Karluvali_4802_assignsubmission_file_405__HW2 (1).xlsm</t>
  </si>
  <si>
    <t>Batuhan Esen_4703_assignsubmission_file_380__HW2.xlsm</t>
  </si>
  <si>
    <t>Batuhan Ozcan_4745_assignsubmission_file_338__HW2.xlsm</t>
  </si>
  <si>
    <t>Begum Ciritci_4717_assignsubmission_file_337__HW2.xlsm</t>
  </si>
  <si>
    <t>Belis Inac_4748_assignsubmission_file_344__HW2.xlsm</t>
  </si>
  <si>
    <t>Bengisu Ozkanem_4707_assignsubmission_file_382__HW2.xlsm</t>
  </si>
  <si>
    <t>Berfin Deniz Uzala_4766_assignsubmission_file_386__HW2.xlsm</t>
  </si>
  <si>
    <t>Beril Helin Er_4732_assignsubmission_file_347__HW2-2.xlsm</t>
  </si>
  <si>
    <t>Berkin Donger_4754_assignsubmission_file_411-HW2-buslabhw.xlsm</t>
  </si>
  <si>
    <t>Beste Sen_4769_assignsubmission_file_387__HW2.xlsm</t>
  </si>
  <si>
    <t>Burak Akinci_4706_assignsubmission_file_383__HW2.xlsm</t>
  </si>
  <si>
    <t>Burak Zeren_4825_assignsubmission_file_333__HW2.xlsm</t>
  </si>
  <si>
    <t>Burcak Yilmaz_4836_assignsubmission_file_313__HW2 (1) bus lab hw.xlsm</t>
  </si>
  <si>
    <t>Buse Kutlu_4805_assignsubmission_file_426__HW2.xlsm</t>
  </si>
  <si>
    <t>Can Gulersoy_4757_assignsubmission_file_427__HW2.xlsm</t>
  </si>
  <si>
    <t>Cemhan Ugurlular_4752_assignsubmission_file_325__HW2(2).xlsm</t>
  </si>
  <si>
    <t>Deniz Dogru_4764_assignsubmission_file_327_HW2.xlsm</t>
  </si>
  <si>
    <t>Deniz Guven_4727_assignsubmission_file_309__HW2-2.xlsm</t>
  </si>
  <si>
    <t>Dilara Saner_4750_assignsubmission_file_321__HW2 (1).xlsm</t>
  </si>
  <si>
    <t>Doruk Eski_4798_assignsubmission_file_Doruk Eşki homework 2.xlsm</t>
  </si>
  <si>
    <t>Efe Karaca_4705_assignsubmission_file_364__HW2.xlsm</t>
  </si>
  <si>
    <t>Efe Ozelgin_4723_assignsubmission_file_320__HW2.xlsm</t>
  </si>
  <si>
    <t>Elif Sena Haczeyni_4788_assignsubmission_file_315__HW2.xlsm</t>
  </si>
  <si>
    <t>Elif Temel_4722_assignsubmission_file_2. ödev.xlsm</t>
  </si>
  <si>
    <t>Emine Buse Ezici_4832_assignsubmission_file_421__HW2 (2).xlsm</t>
  </si>
  <si>
    <t>Enver Arda Uzumcu_4731_assignsubmission_file_417__HW2.xlsm</t>
  </si>
  <si>
    <t>Eytan Dilmen_4702_assignsubmission_file_365__HW2 (1).xlsm</t>
  </si>
  <si>
    <t>Gokberk Ozbudak_4736_assignsubmission_file_422__HW2.xlsm</t>
  </si>
  <si>
    <t>Gulben Guldas_4695_assignsubmission_file_416__HW2.xlsm</t>
  </si>
  <si>
    <t>Gurol Saglam_4759_assignsubmission_file_322__HW2.xlsm</t>
  </si>
  <si>
    <t>Guvenc Tokciftci_4708_assignsubmission_file_359__HW2.xlsm</t>
  </si>
  <si>
    <t>Hakan Efe Ozcelik_4728_assignsubmission_file_371__HW2.xlsm</t>
  </si>
  <si>
    <t>Hakan Karaca_4835_assignsubmission_file_hakan2homework.xlsm</t>
  </si>
  <si>
    <t>Hanan China Gahwita_4829_assignsubmission_file_Hw.2.xlsm</t>
  </si>
  <si>
    <t>Hasan Altay Gencbay_4719_assignsubmission_file_350__HW2.xlsm</t>
  </si>
  <si>
    <t>Hasan Berk Sonmezer_4751_assignsubmission_file_318__HW2.xlsm</t>
  </si>
  <si>
    <t>Ibrahim Kilic_4823_assignsubmission_file_358__HW2.xlsm</t>
  </si>
  <si>
    <t>Ibrahim Kurthan Sarpkaya_4795_assignsubmission_file_iboş.xlsm</t>
  </si>
  <si>
    <t>Idil Erdogan_4720_assignsubmission_file_352__HW2.xlsm</t>
  </si>
  <si>
    <t>Idil Nisan Goral_4773_assignsubmission_file_361__HW2.xlsm</t>
  </si>
  <si>
    <t>Ipek Yilmaz_4846_assignsubmission_file_313__HW2 (1) bus lab hw.xlsm</t>
  </si>
  <si>
    <t>Irem Buse Kayabay_4768_assignsubmission_file_363__HW2.xlsm</t>
  </si>
  <si>
    <t>Iren Ozgul_4729_assignsubmission_file_367__HW2.xlsm</t>
  </si>
  <si>
    <t>Izel Birce Ergez_4755_assignsubmission_file_400__HW2.xlsm</t>
  </si>
  <si>
    <t>Kaan Sahin_4806_assignsubmission_file_355__HW2.xlsm</t>
  </si>
  <si>
    <t>Kamer Terzioglu_4783_assignsubmission_file_339__HW2 Kamer Terzioğlu.xlsm</t>
  </si>
  <si>
    <t>Kerem Cinsoy_4778_assignsubmission_file_330__HW2.xlsm</t>
  </si>
  <si>
    <t>Kubra Sima Kara_4686_assignsubmission_file_356__HW2.xlsm</t>
  </si>
  <si>
    <t>Lara Arslan_4721_assignsubmission_file_336__HW2.xlsm</t>
  </si>
  <si>
    <t>Mehmet Batu Ozmeteler_4741_assignsubmission_file_394__HW2.xlsm</t>
  </si>
  <si>
    <t>Mehmet Gorkem Kiyan_4787_assignsubmission_file_HW2 GORKEM.xlsm</t>
  </si>
  <si>
    <t>Melis Banu Ozdemir_4756_assignsubmission_file_375__HW2.xlsm</t>
  </si>
  <si>
    <t>Mert Ates_4699_assignsubmission_file_425__HW2.xlsm</t>
  </si>
  <si>
    <t>Mina Basaran_4809_assignsubmission_file_343__HW2.xlsm</t>
  </si>
  <si>
    <t>Murat Eksi_4791_assignsubmission_file_362__HW2.xlsm</t>
  </si>
  <si>
    <t>Murat Zeybeker_4827_assignsubmission_file_376__HW2.xlsm</t>
  </si>
  <si>
    <t>Murathan Kalayci_4701_assignsubmission_file_384__HW2.xlsm</t>
  </si>
  <si>
    <t>Mustafa Yildirim_4733_assignsubmission_file_403__HW2.xlsm</t>
  </si>
  <si>
    <t>Onat Girit_4847_assignsubmission_file_307__HW2.xlsm</t>
  </si>
  <si>
    <t>Onur Guler_4786_assignsubmission_file_316__HW2.xlsm</t>
  </si>
  <si>
    <t>Orkun Dogan_4770_assignsubmission_file_326__HW2.xlsm</t>
  </si>
  <si>
    <t>Osman Ozel_4838_assignsubmission_file_HW2.xlsm</t>
  </si>
  <si>
    <t>Oyku Ugurlu_4812_assignsubmission_file_171__HW2 bus oyku ugurlu 7213.xlsm</t>
  </si>
  <si>
    <t>Ozan Can Eren_4697_assignsubmission_file_366__HW2.xlsm</t>
  </si>
  <si>
    <t>Poyraz Saygin_4840_assignsubmission_file_430__HW2-poyraz.xlsm</t>
  </si>
  <si>
    <t>Rasim Batuhan Tuzun_4814_assignsubmission_file_378__HW2.xlsm</t>
  </si>
  <si>
    <t>Remin Naz Ozkan_4818_assignsubmission_file_357__HW2.xlsm</t>
  </si>
  <si>
    <t>Ruslan Aliev_4715_assignsubmission_file_412__HW2.xlsm</t>
  </si>
  <si>
    <t>Sabri Anil Bekgoz_4780_assignsubmission_file_395__HW2.xlsm</t>
  </si>
  <si>
    <t>Sami Mentes_4816_assignsubmission_file_432__HW2.xlsm</t>
  </si>
  <si>
    <t>Samir Vatan_4730_assignsubmission_file_372__HW2.xlsm</t>
  </si>
  <si>
    <t>Sena Eginci_4794_assignsubmission_file_360__HW2.xlsm</t>
  </si>
  <si>
    <t>Sezin Eksioglu_4718_assignsubmission_file_377__HW2.xlsm</t>
  </si>
  <si>
    <t>Sude Bas_4687_assignsubmission_file_hw1.xlsm</t>
  </si>
  <si>
    <t>Sude Kilic_4813_assignsubmission_file_348__HW2 (1).xlsm</t>
  </si>
  <si>
    <t>Tarik Birinci_4807_assignsubmission_file_396__HW2.xlsm</t>
  </si>
  <si>
    <t>Tarik Safa Bayraktar_4781_assignsubmission_file_408__HW2.xlsm</t>
  </si>
  <si>
    <t>Tolga Arda Eraslan_4744_assignsubmission_file_354__HW2.xlsm</t>
  </si>
  <si>
    <t>Toygar Ulgen_4710_assignsubmission_file_331__HW2-2.xlsm</t>
  </si>
  <si>
    <t>Ugur Fatih Eroglu_4696_assignsubmission_file_381__HW2.xlsm</t>
  </si>
  <si>
    <t>Ugur Temir_4689_assignsubmission_file_420__HW2.xlsm</t>
  </si>
  <si>
    <t>Umut Can Korkmaz_4776_assignsubmission_file_393__HW2.xlsm</t>
  </si>
  <si>
    <t>Unal Efe Kalayli_4777_assignsubmission_file_429__HW2.xlsm</t>
  </si>
  <si>
    <t>Vural Hacimustafaoglu_4845_assignsubmission_file_379__HW2.xlsm</t>
  </si>
  <si>
    <t>Yunus Emre Altun_4714_assignsubmission_file_374__HW2.xlsm</t>
  </si>
  <si>
    <t>Zeynep Ilayda Karakuzu_4830_assignsubmission_file_351__HW2.xlsm</t>
  </si>
  <si>
    <t>C:\Users\User\Desktop\HW2\Submissions\Abdulkadir Alperen Sever_4842_assignsubmission_file_335__HW2.xlsm</t>
  </si>
  <si>
    <t>C:\Users\User\Desktop\HW2\Submissions\Abdulwahab Abdalla Husain Huwaidi_4826_assignsubmission_file_418__HW2.xlsm</t>
  </si>
  <si>
    <t>Left Click</t>
  </si>
  <si>
    <t>C:\Users\User\Desktop\HW2\Submissions\Ahmad Husami_4843_assignsubmission_file_428__HW2.xlsm</t>
  </si>
  <si>
    <t>NO</t>
  </si>
  <si>
    <t>C:\Users\User\Desktop\HW2\Submissions\Alara Kandemir_4839_assignsubmission_file_392__HW2.xlsm</t>
  </si>
  <si>
    <t>C:\Users\User\Desktop\HW2\Submissions\Ali Hakan Yilmaz_4761_assignsubmission_file_415__HW2.xlsm</t>
  </si>
  <si>
    <t>C:\Users\User\Desktop\HW2\Submissions\Anil Dogukan_4694_assignsubmission_file_373__HW2.xlsm</t>
  </si>
  <si>
    <t>C:\Users\User\Desktop\HW2\Submissions\Ata Altiner_4740_assignsubmission_file_390__HW2.xlsm</t>
  </si>
  <si>
    <t>C:\Users\User\Desktop\HW2\Submissions\Ata Budaklier_4749_assignsubmission_file_423__HW2 (1).xlsm</t>
  </si>
  <si>
    <t>C:\Users\User\Desktop\HW2\Submissions\Atakan Atamert_4789_assignsubmission_file_431__HW2.xlsm</t>
  </si>
  <si>
    <t>Direct Fixed Cost</t>
  </si>
  <si>
    <t>C:\Users\User\Desktop\HW2\Submissions\Atakan Kurt_4799_assignsubmission_file_311__HW2.xlsm</t>
  </si>
  <si>
    <t>C:\Users\User\Desktop\HW2\Submissions\Aurora Sezin Lawrence_4737_assignsubmission_file_385__HW2 (version 1).xlsm</t>
  </si>
  <si>
    <t>670.00 TL</t>
  </si>
  <si>
    <t>410.00TL</t>
  </si>
  <si>
    <t>197.00TL</t>
  </si>
  <si>
    <t>6.660.164.00 TL</t>
  </si>
  <si>
    <t>35.356.686.00 TL</t>
  </si>
  <si>
    <t>C:\Users\User\Desktop\HW2\Submissions\Ayberk Kum_4767_assignsubmission_file_413__HW2.xlsm</t>
  </si>
  <si>
    <t>C:\Users\User\Desktop\HW2\Submissions\Aylin Yildiz_4758_assignsubmission_file_317__HW2.xlsm</t>
  </si>
  <si>
    <t>Relevant</t>
  </si>
  <si>
    <t>Break-even P.</t>
  </si>
  <si>
    <t>C:\Users\User\Desktop\HW2\Submissions\Ayse Yasemin Ozturkcu_4725_assignsubmission_file_391__HW2.xlsm</t>
  </si>
  <si>
    <t>C:\Users\User\Desktop\HW2\Submissions\Aysenur Kizanlikli_4747_assignsubmission_file_370__HW2 (1).xlsm</t>
  </si>
  <si>
    <t>C:\Users\User\Desktop\HW2\Submissions\Aziz Can Ocakoglu_4811_assignsubmission_file_332__HW2.xlsm</t>
  </si>
  <si>
    <t>C:\Users\User\Desktop\HW2\Submissions\Baris Karluvali_4802_assignsubmission_file_405__HW2 (1).xlsm</t>
  </si>
  <si>
    <t>310000-18000*</t>
  </si>
  <si>
    <t>C:\Users\User\Desktop\HW2\Submissions\Batuhan Esen_4703_assignsubmission_file_380__HW2.xlsm</t>
  </si>
  <si>
    <t>C:\Users\User\Desktop\HW2\Submissions\Batuhan Ozcan_4745_assignsubmission_file_338__HW2.xlsm</t>
  </si>
  <si>
    <t>C:\Users\User\Desktop\HW2\Submissions\Begum Ciritci_4717_assignsubmission_file_337__HW2.xlsm</t>
  </si>
  <si>
    <t>C:\Users\User\Desktop\HW2\Submissions\Belis Inac_4748_assignsubmission_file_344__HW2.xlsm</t>
  </si>
  <si>
    <t>C:\Users\User\Desktop\HW2\Submissions\Bengisu Ozkanem_4707_assignsubmission_file_382__HW2.xlsm</t>
  </si>
  <si>
    <t>C:\Users\User\Desktop\HW2\Submissions\Berfin Deniz Uzala_4766_assignsubmission_file_386__HW2.xlsm</t>
  </si>
  <si>
    <t>C:\Users\User\Desktop\HW2\Submissions\Beril Helin Er_4732_assignsubmission_file_347__HW2-2.xlsm</t>
  </si>
  <si>
    <t>C:\Users\User\Desktop\HW2\Submissions\Berkin Donger_4754_assignsubmission_file_411-HW2-buslabhw.xlsm</t>
  </si>
  <si>
    <t>C:\Users\User\Desktop\HW2\Submissions\Beste Sen_4769_assignsubmission_file_387__HW2.xlsm</t>
  </si>
  <si>
    <t>C:\Users\User\Desktop\HW2\Submissions\Burak Akinci_4706_assignsubmission_file_383__HW2.xlsm</t>
  </si>
  <si>
    <t>C:\Users\User\Desktop\HW2\Submissions\Burak Zeren_4825_assignsubmission_file_333__HW2.xlsm</t>
  </si>
  <si>
    <t>Cost of Goods Sold</t>
  </si>
  <si>
    <t>C:\Users\User\Desktop\HW2\Submissions\Burcak Yilmaz_4836_assignsubmission_file_313__HW2 (1) bus lab hw.xlsm</t>
  </si>
  <si>
    <t>C:\Users\User\Desktop\HW2\Submissions\Buse Kutlu_4805_assignsubmission_file_426__HW2.xlsm</t>
  </si>
  <si>
    <t>C:\Users\User\Desktop\HW2\Submissions\Can Gulersoy_4757_assignsubmission_file_427__HW2.xlsm</t>
  </si>
  <si>
    <t>238.644.96</t>
  </si>
  <si>
    <t>C:\Users\User\Desktop\HW2\Submissions\Cemhan Ugurlular_4752_assignsubmission_file_325__HW2(2).xlsm</t>
  </si>
  <si>
    <t>C:\Users\User\Desktop\HW2\Submissions\Deniz Dogru_4764_assignsubmission_file_327_HW2.xlsm</t>
  </si>
  <si>
    <t>C:\Users\User\Desktop\HW2\Submissions\Deniz Guven_4727_assignsubmission_file_309__HW2-2.xlsm</t>
  </si>
  <si>
    <t>C:\Users\User\Desktop\HW2\Submissions\Dilara Saner_4750_assignsubmission_file_321__HW2 (1).xlsm</t>
  </si>
  <si>
    <t>C:\Users\User\Desktop\HW2\Submissions\Doruk Eski_4798_assignsubmission_file_Doruk Eşki homework 2.xlsm</t>
  </si>
  <si>
    <t>C:\Users\User\Desktop\HW2\Submissions\Efe Karaca_4705_assignsubmission_file_364__HW2.xlsm</t>
  </si>
  <si>
    <t>C:\Users\User\Desktop\HW2\Submissions\Efe Ozelgin_4723_assignsubmission_file_320__HW2.xlsm</t>
  </si>
  <si>
    <t>C:\Users\User\Desktop\HW2\Submissions\Elif Sena Haczeyni_4788_assignsubmission_file_315__HW2.xlsm</t>
  </si>
  <si>
    <t>C:\Users\User\Desktop\HW2\Submissions\Elif Temel_4722_assignsubmission_file_2. ödev.xlsm</t>
  </si>
  <si>
    <t>C:\Users\User\Desktop\HW2\Submissions\Emine Buse Ezici_4832_assignsubmission_file_421__HW2 (2).xlsm</t>
  </si>
  <si>
    <t>C:\Users\User\Desktop\HW2\Submissions\Enver Arda Uzumcu_4731_assignsubmission_file_417__HW2.xlsm</t>
  </si>
  <si>
    <t>C:\Users\User\Desktop\HW2\Submissions\Eytan Dilmen_4702_assignsubmission_file_365__HW2 (1).xlsm</t>
  </si>
  <si>
    <t>C:\Users\User\Desktop\HW2\Submissions\Gokberk Ozbudak_4736_assignsubmission_file_422__HW2.xlsm</t>
  </si>
  <si>
    <t>C:\Users\User\Desktop\HW2\Submissions\Gulben Guldas_4695_assignsubmission_file_416__HW2.xlsm</t>
  </si>
  <si>
    <t>C:\Users\User\Desktop\HW2\Submissions\Gurol Saglam_4759_assignsubmission_file_322__HW2.xlsm</t>
  </si>
  <si>
    <t>C:\Users\User\Desktop\HW2\Submissions\Guvenc Tokciftci_4708_assignsubmission_file_359__HW2.xlsm</t>
  </si>
  <si>
    <t>C:\Users\User\Desktop\HW2\Submissions\Hakan Efe Ozcelik_4728_assignsubmission_file_371__HW2.xlsm</t>
  </si>
  <si>
    <t>C:\Users\User\Desktop\HW2\Submissions\Hakan Karaca_4835_assignsubmission_file_hakan2homework.xlsm</t>
  </si>
  <si>
    <t>C:\Users\User\Desktop\HW2\Submissions\Hanan China Gahwita_4829_assignsubmission_file_Hw.2.xlsm</t>
  </si>
  <si>
    <t>C:\Users\User\Desktop\HW2\Submissions\Hasan Altay Gencbay_4719_assignsubmission_file_350__HW2.xlsm</t>
  </si>
  <si>
    <t>C:\Users\User\Desktop\HW2\Submissions\Hasan Berk Sonmezer_4751_assignsubmission_file_318__HW2.xlsm</t>
  </si>
  <si>
    <t>C:\Users\User\Desktop\HW2\Submissions\Ibrahim Kilic_4823_assignsubmission_file_358__HW2.xlsm</t>
  </si>
  <si>
    <t>C:\Users\User\Desktop\HW2\Submissions\Ibrahim Kurthan Sarpkaya_4795_assignsubmission_file_iboş.xlsm</t>
  </si>
  <si>
    <t>C:\Users\User\Desktop\HW2\Submissions\Idil Erdogan_4720_assignsubmission_file_352__HW2.xlsm</t>
  </si>
  <si>
    <t>overhead</t>
  </si>
  <si>
    <t>6.660.164.00</t>
  </si>
  <si>
    <t>28.696.522</t>
  </si>
  <si>
    <t>238.640.52</t>
  </si>
  <si>
    <t>199.616.000.00</t>
  </si>
  <si>
    <t>178.768.522.00</t>
  </si>
  <si>
    <t>20.847.478.00</t>
  </si>
  <si>
    <t>181.047.00</t>
  </si>
  <si>
    <t>2.321.387.00</t>
  </si>
  <si>
    <t>4.157.730.00</t>
  </si>
  <si>
    <t>14.187.314.00</t>
  </si>
  <si>
    <t>2.837.462.80</t>
  </si>
  <si>
    <t>11.349.851.20</t>
  </si>
  <si>
    <t>197.107.000.00</t>
  </si>
  <si>
    <t xml:space="preserve">  8.840.851.20</t>
  </si>
  <si>
    <t>216.859.54</t>
  </si>
  <si>
    <t>C:\Users\User\Desktop\HW2\Submissions\Idil Nisan Goral_4773_assignsubmission_file_361__HW2.xlsm</t>
  </si>
  <si>
    <t>C:\Users\User\Desktop\HW2\Submissions\Ipek Yilmaz_4846_assignsubmission_file_313__HW2 (1) bus lab hw.xlsm</t>
  </si>
  <si>
    <t>C:\Users\User\Desktop\HW2\Submissions\Irem Buse Kayabay_4768_assignsubmission_file_363__HW2.xlsm</t>
  </si>
  <si>
    <t>C:\Users\User\Desktop\HW2\Submissions\Iren Ozgul_4729_assignsubmission_file_367__HW2.xlsm</t>
  </si>
  <si>
    <t>C:\Users\User\Desktop\HW2\Submissions\Izel Birce Ergez_4755_assignsubmission_file_400__HW2.xlsm</t>
  </si>
  <si>
    <t>C:\Users\User\Desktop\HW2\Submissions\Kaan Sahin_4806_assignsubmission_file_355__HW2.xlsm</t>
  </si>
  <si>
    <t>C:\Users\User\Desktop\HW2\Submissions\Kamer Terzioglu_4783_assignsubmission_file_339__HW2 Kamer Terzioğlu.xlsm</t>
  </si>
  <si>
    <t>C:\Users\User\Desktop\HW2\Submissions\Kerem Cinsoy_4778_assignsubmission_file_330__HW2.xlsm</t>
  </si>
  <si>
    <t>C:\Users\User\Desktop\HW2\Submissions\Kubra Sima Kara_4686_assignsubmission_file_356__HW2.xlsm</t>
  </si>
  <si>
    <t>C:\Users\User\Desktop\HW2\Submissions\Lara Arslan_4721_assignsubmission_file_336__HW2.xlsm</t>
  </si>
  <si>
    <t>C:\Users\User\Desktop\HW2\Submissions\Mehmet Batu Ozmeteler_4741_assignsubmission_file_394__HW2.xlsm</t>
  </si>
  <si>
    <t>C:\Users\User\Desktop\HW2\Submissions\Mehmet Gorkem Kiyan_4787_assignsubmission_file_HW2 GORKEM.xlsm</t>
  </si>
  <si>
    <t>C:\Users\User\Desktop\HW2\Submissions\Melis Banu Ozdemir_4756_assignsubmission_file_375__HW2.xlsm</t>
  </si>
  <si>
    <t>C:\Users\User\Desktop\HW2\Submissions\Mert Ates_4699_assignsubmission_file_425__HW2.xlsm</t>
  </si>
  <si>
    <t>C:\Users\User\Desktop\HW2\Submissions\Mina Basaran_4809_assignsubmission_file_343__HW2.xlsm</t>
  </si>
  <si>
    <t>C:\Users\User\Desktop\HW2\Submissions\Murat Eksi_4791_assignsubmission_file_362__HW2.xlsm</t>
  </si>
  <si>
    <t>C:\Users\User\Desktop\HW2\Submissions\Murat Zeybeker_4827_assignsubmission_file_376__HW2.xlsm</t>
  </si>
  <si>
    <t>C:\Users\User\Desktop\HW2\Submissions\Murathan Kalayci_4701_assignsubmission_file_384__HW2.xlsm</t>
  </si>
  <si>
    <t>C:\Users\User\Desktop\HW2\Submissions\Mustafa Yildirim_4733_assignsubmission_file_403__HW2.xlsm</t>
  </si>
  <si>
    <t>C:\Users\User\Desktop\HW2\Submissions\Onat Girit_4847_assignsubmission_file_307__HW2.xlsm</t>
  </si>
  <si>
    <t>C:\Users\User\Desktop\HW2\Submissions\Onur Guler_4786_assignsubmission_file_316__HW2.xlsm</t>
  </si>
  <si>
    <t>C:\Users\User\Desktop\HW2\Submissions\Orkun Dogan_4770_assignsubmission_file_326__HW2.xlsm</t>
  </si>
  <si>
    <t>C:\Users\User\Desktop\HW2\Submissions\Osman Ozel_4838_assignsubmission_file_HW2.xlsm</t>
  </si>
  <si>
    <t>C:\Users\User\Desktop\HW2\Submissions\Oyku Ugurlu_4812_assignsubmission_file_171__HW2 bus oyku ugurlu 7213.xlsm</t>
  </si>
  <si>
    <t>C:\Users\User\Desktop\HW2\Submissions\Ozan Can Eren_4697_assignsubmission_file_366__HW2.xlsm</t>
  </si>
  <si>
    <t>C:\Users\User\Desktop\HW2\Submissions\Poyraz Saygin_4840_assignsubmission_file_430__HW2-poyraz.xlsm</t>
  </si>
  <si>
    <t>C:\Users\User\Desktop\HW2\Submissions\Rasim Batuhan Tuzun_4814_assignsubmission_file_378__HW2.xlsm</t>
  </si>
  <si>
    <t>C:\Users\User\Desktop\HW2\Submissions\Remin Naz Ozkan_4818_assignsubmission_file_357__HW2.xlsm</t>
  </si>
  <si>
    <t>35.356.686</t>
  </si>
  <si>
    <t>C:\Users\User\Desktop\HW2\Submissions\Ruslan Aliev_4715_assignsubmission_file_412__HW2.xlsm</t>
  </si>
  <si>
    <t>C:\Users\User\Desktop\HW2\Submissions\Sabri Anil Bekgoz_4780_assignsubmission_file_395__HW2.xlsm</t>
  </si>
  <si>
    <t>C:\Users\User\Desktop\HW2\Submissions\Sami Mentes_4816_assignsubmission_file_432__HW2.xlsm</t>
  </si>
  <si>
    <t>C:\Users\User\Desktop\HW2\Submissions\Samir Vatan_4730_assignsubmission_file_372__HW2.xlsm</t>
  </si>
  <si>
    <t>C:\Users\User\Desktop\HW2\Submissions\Sena Eginci_4794_assignsubmission_file_360__HW2.xlsm</t>
  </si>
  <si>
    <t>C:\Users\User\Desktop\HW2\Submissions\Sezin Eksioglu_4718_assignsubmission_file_377__HW2.xlsm</t>
  </si>
  <si>
    <t>C:\Users\User\Desktop\HW2\Submissions\Sude Bas_4687_assignsubmission_file_hw1.xlsm</t>
  </si>
  <si>
    <t>C:\Users\User\Desktop\HW2\Submissions\Sude Kilic_4813_assignsubmission_file_348__HW2 (1).xlsm</t>
  </si>
  <si>
    <t>C:\Users\User\Desktop\HW2\Submissions\Tarik Birinci_4807_assignsubmission_file_396__HW2.xlsm</t>
  </si>
  <si>
    <t>226.707.000.00</t>
  </si>
  <si>
    <t>C:\Users\User\Desktop\HW2\Submissions\Tarik Safa Bayraktar_4781_assignsubmission_file_408__HW2.xlsm</t>
  </si>
  <si>
    <t>C:\Users\User\Desktop\HW2\Submissions\Tolga Arda Eraslan_4744_assignsubmission_file_354__HW2.xlsm</t>
  </si>
  <si>
    <t>C:\Users\User\Desktop\HW2\Submissions\Toygar Ulgen_4710_assignsubmission_file_331__HW2-2.xlsm</t>
  </si>
  <si>
    <t>C:\Users\User\Desktop\HW2\Submissions\Ugur Fatih Eroglu_4696_assignsubmission_file_381__HW2.xlsm</t>
  </si>
  <si>
    <t>C:\Users\User\Desktop\HW2\Submissions\Ugur Temir_4689_assignsubmission_file_420__HW2.xlsm</t>
  </si>
  <si>
    <t>C:\Users\User\Desktop\HW2\Submissions\Umut Can Korkmaz_4776_assignsubmission_file_393__HW2.xlsm</t>
  </si>
  <si>
    <t>C:\Users\User\Desktop\HW2\Submissions\Unal Efe Kalayli_4777_assignsubmission_file_429__HW2.xlsm</t>
  </si>
  <si>
    <t>C:\Users\User\Desktop\HW2\Submissions\Vural Hacimustafaoglu_4845_assignsubmission_file_379__HW2.xlsm</t>
  </si>
  <si>
    <t>C:\Users\User\Desktop\HW2\Submissions\Yunus Emre Altun_4714_assignsubmission_file_374__HW2.xlsm</t>
  </si>
  <si>
    <t>C:\Users\User\Desktop\HW2\Submissions\Zeynep Ilayda Karakuzu_4830_assignsubmission_file_351__HW2.xlsm</t>
  </si>
  <si>
    <t>Cansu Yildirim_4692_assignsubmission_file_Copy of 397__HW2.xlsm</t>
  </si>
  <si>
    <t>Given their production capacity, how many more smartwatches could they have produced in 2016?</t>
  </si>
  <si>
    <t>What happens when the profit line intersects the x axis?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</si>
</sst>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_-* #,##0_-;\-* #,##0_-;_-* &quot;-&quot;_-;_-@_-"/>
    <numFmt numFmtId="166" formatCode="_-* #,##0.00_-;\-* #,##0.00_-;_-* &quot;-&quot;??_-;_-@_-"/>
    <numFmt numFmtId="167" formatCode="_-* #,##0.00\ _₺_-;\-* #,##0.00\ _₺_-;_-* &quot;-&quot;??\ _₺_-;_-@_-"/>
    <numFmt numFmtId="168" formatCode="_-&quot;$&quot;* #,##0.00_-;\-&quot;$&quot;* #,##0.00_-;_-&quot;$&quot;* &quot;-&quot;??_-;_-@_-"/>
    <numFmt numFmtId="169" formatCode="0.000"/>
    <numFmt numFmtId="170" formatCode="_(* #,##0_);_(* \(#,##0\);_(* &quot;-&quot;??_);_(@_)"/>
    <numFmt numFmtId="171" formatCode="_-* #,##0_-;\-* #,##0_-;_-* &quot;-&quot;??_-;_-@_-"/>
    <numFmt numFmtId="172" formatCode="#,##0_ ;\-#,##0\ "/>
    <numFmt numFmtId="173" formatCode="#,##0.00_ ;\-#,##0.00\ "/>
    <numFmt numFmtId="174" formatCode="[$-F400]h:mm:ss\ AM/PM"/>
    <numFmt numFmtId="175" formatCode="h:mm;@"/>
    <numFmt numFmtId="176" formatCode="_-* #,##0.0000_-;\-* #,##0.0000_-;_-* &quot;-&quot;??_-;_-@_-"/>
  </numFmts>
  <fonts count="4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  <charset val="162"/>
    </font>
    <font>
      <b/>
      <sz val="13"/>
      <name val="Arial"/>
      <family val="2"/>
    </font>
    <font>
      <b/>
      <sz val="10"/>
      <color indexed="9"/>
      <name val="Arial"/>
      <family val="2"/>
      <charset val="16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rgb="FF222222"/>
      <name val="Arial"/>
      <family val="2"/>
      <charset val="162"/>
    </font>
    <font>
      <b/>
      <sz val="10"/>
      <color theme="0"/>
      <name val="Times New Roman"/>
      <family val="1"/>
      <charset val="162"/>
    </font>
    <font>
      <b/>
      <sz val="10"/>
      <color rgb="FF000000"/>
      <name val="Times New Roman"/>
      <family val="1"/>
      <charset val="162"/>
    </font>
    <font>
      <sz val="10"/>
      <name val="Times New Roman"/>
      <family val="1"/>
      <charset val="162"/>
    </font>
    <font>
      <i/>
      <sz val="10"/>
      <color rgb="FF000000"/>
      <name val="Times New Roman"/>
      <family val="1"/>
      <charset val="162"/>
    </font>
    <font>
      <i/>
      <sz val="8"/>
      <name val="Arial"/>
      <family val="2"/>
      <charset val="162"/>
    </font>
    <font>
      <sz val="10"/>
      <color rgb="FFCC0000"/>
      <name val="Times New Roman"/>
      <family val="1"/>
      <charset val="162"/>
    </font>
    <font>
      <b/>
      <i/>
      <sz val="10"/>
      <color rgb="FF000000"/>
      <name val="Times New Roman"/>
      <family val="1"/>
      <charset val="162"/>
    </font>
    <font>
      <sz val="10"/>
      <color rgb="FF000000"/>
      <name val="Times New Roman"/>
      <family val="1"/>
      <charset val="162"/>
    </font>
    <font>
      <b/>
      <u/>
      <sz val="10"/>
      <name val="Arial"/>
      <family val="2"/>
      <charset val="162"/>
    </font>
    <font>
      <b/>
      <i/>
      <u/>
      <sz val="10"/>
      <name val="Arial"/>
      <family val="2"/>
      <charset val="162"/>
    </font>
    <font>
      <b/>
      <i/>
      <u/>
      <sz val="10"/>
      <color rgb="FF000000"/>
      <name val="Times New Roman"/>
      <family val="1"/>
      <charset val="162"/>
    </font>
    <font>
      <u val="singleAccounting"/>
      <sz val="10"/>
      <name val="Times New Roman"/>
      <family val="1"/>
      <charset val="162"/>
    </font>
    <font>
      <b/>
      <sz val="16"/>
      <color theme="0"/>
      <name val="Times New Roman"/>
      <family val="1"/>
      <charset val="162"/>
    </font>
    <font>
      <sz val="16"/>
      <name val="Times New Roman"/>
      <family val="1"/>
      <charset val="162"/>
    </font>
    <font>
      <u/>
      <sz val="10"/>
      <color theme="10"/>
      <name val="Arial"/>
      <family val="2"/>
      <charset val="162"/>
    </font>
    <font>
      <u/>
      <sz val="10"/>
      <color theme="11"/>
      <name val="Arial"/>
      <family val="2"/>
      <charset val="162"/>
    </font>
  </fonts>
  <fills count="13">
    <fill>
      <patternFill patternType="none"/>
    </fill>
    <fill>
      <patternFill patternType="gray125"/>
    </fill>
    <fill>
      <patternFill patternType="mediumGray">
        <fgColor indexed="22"/>
      </patternFill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/>
      <right style="thin">
        <color indexed="8"/>
      </right>
      <top style="medium">
        <color auto="1"/>
      </top>
      <bottom/>
      <diagonal/>
    </border>
    <border>
      <left/>
      <right style="thin">
        <color indexed="8"/>
      </right>
      <top style="medium">
        <color auto="1"/>
      </top>
      <bottom style="medium">
        <color auto="1"/>
      </bottom>
      <diagonal/>
    </border>
    <border>
      <left/>
      <right style="thin">
        <color indexed="22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</borders>
  <cellStyleXfs count="29">
    <xf numFmtId="0" fontId="0" fillId="0" borderId="0"/>
    <xf numFmtId="166" fontId="1" fillId="0" borderId="0" applyFont="0" applyFill="0" applyBorder="0" applyAlignment="0" applyProtection="0"/>
    <xf numFmtId="168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7" fillId="0" borderId="0" applyNumberFormat="0" applyFont="0" applyFill="0" applyBorder="0" applyAlignment="0" applyProtection="0">
      <alignment horizontal="left"/>
    </xf>
    <xf numFmtId="15" fontId="7" fillId="0" borderId="0" applyFont="0" applyFill="0" applyBorder="0" applyAlignment="0" applyProtection="0"/>
    <xf numFmtId="4" fontId="7" fillId="0" borderId="0" applyFont="0" applyFill="0" applyBorder="0" applyAlignment="0" applyProtection="0"/>
    <xf numFmtId="0" fontId="8" fillId="0" borderId="1">
      <alignment horizontal="center"/>
    </xf>
    <xf numFmtId="3" fontId="7" fillId="0" borderId="0" applyFont="0" applyFill="0" applyBorder="0" applyAlignment="0" applyProtection="0"/>
    <xf numFmtId="0" fontId="7" fillId="2" borderId="0" applyNumberFormat="0" applyFont="0" applyBorder="0" applyAlignment="0" applyProtection="0"/>
    <xf numFmtId="0" fontId="1" fillId="0" borderId="0"/>
    <xf numFmtId="0" fontId="5" fillId="0" borderId="0"/>
    <xf numFmtId="9" fontId="20" fillId="0" borderId="0" applyFont="0" applyFill="0" applyBorder="0" applyAlignment="0" applyProtection="0"/>
    <xf numFmtId="168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31" fillId="0" borderId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7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5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Fill="1"/>
    <xf numFmtId="0" fontId="9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5" fillId="0" borderId="0" xfId="0" applyFont="1" applyFill="1"/>
    <xf numFmtId="0" fontId="15" fillId="0" borderId="0" xfId="0" applyFont="1"/>
    <xf numFmtId="0" fontId="5" fillId="0" borderId="0" xfId="0" applyNumberFormat="1" applyFont="1" applyFill="1"/>
    <xf numFmtId="0" fontId="15" fillId="0" borderId="0" xfId="0" applyNumberFormat="1" applyFont="1" applyFill="1"/>
    <xf numFmtId="0" fontId="10" fillId="0" borderId="0" xfId="5" applyNumberFormat="1" applyFont="1" applyFill="1" applyBorder="1"/>
    <xf numFmtId="0" fontId="10" fillId="0" borderId="0" xfId="5" applyNumberFormat="1" applyFont="1" applyFill="1" applyBorder="1" applyProtection="1"/>
    <xf numFmtId="0" fontId="16" fillId="4" borderId="0" xfId="5" applyFill="1"/>
    <xf numFmtId="0" fontId="16" fillId="0" borderId="0" xfId="5"/>
    <xf numFmtId="0" fontId="10" fillId="0" borderId="0" xfId="5" applyNumberFormat="1" applyFont="1" applyFill="1" applyBorder="1" applyAlignment="1" applyProtection="1">
      <alignment horizontal="center"/>
    </xf>
    <xf numFmtId="166" fontId="16" fillId="0" borderId="0" xfId="5" applyNumberFormat="1" applyFill="1" applyBorder="1" applyAlignment="1" applyProtection="1">
      <alignment horizontal="center"/>
    </xf>
    <xf numFmtId="0" fontId="16" fillId="0" borderId="0" xfId="5" applyFill="1" applyBorder="1" applyAlignment="1" applyProtection="1">
      <alignment horizontal="left" vertical="top" wrapText="1"/>
    </xf>
    <xf numFmtId="0" fontId="0" fillId="6" borderId="5" xfId="2" applyNumberFormat="1" applyFont="1" applyFill="1" applyBorder="1" applyAlignment="1">
      <alignment horizontal="center"/>
    </xf>
    <xf numFmtId="170" fontId="16" fillId="7" borderId="6" xfId="5" applyNumberFormat="1" applyFill="1" applyBorder="1"/>
    <xf numFmtId="170" fontId="16" fillId="8" borderId="6" xfId="5" applyNumberFormat="1" applyFill="1" applyBorder="1"/>
    <xf numFmtId="171" fontId="16" fillId="7" borderId="6" xfId="5" applyNumberFormat="1" applyFill="1" applyBorder="1"/>
    <xf numFmtId="171" fontId="16" fillId="8" borderId="6" xfId="5" applyNumberFormat="1" applyFill="1" applyBorder="1"/>
    <xf numFmtId="166" fontId="16" fillId="7" borderId="6" xfId="5" applyNumberFormat="1" applyFill="1" applyBorder="1"/>
    <xf numFmtId="166" fontId="16" fillId="8" borderId="6" xfId="5" applyNumberFormat="1" applyFill="1" applyBorder="1"/>
    <xf numFmtId="0" fontId="16" fillId="8" borderId="6" xfId="5" applyFill="1" applyBorder="1" applyAlignment="1" applyProtection="1">
      <alignment horizontal="center" vertical="center" wrapText="1"/>
    </xf>
    <xf numFmtId="169" fontId="16" fillId="8" borderId="10" xfId="5" applyNumberFormat="1" applyFill="1" applyBorder="1" applyAlignment="1" applyProtection="1">
      <alignment horizontal="center" vertical="center" wrapText="1"/>
    </xf>
    <xf numFmtId="0" fontId="10" fillId="0" borderId="0" xfId="6" applyNumberFormat="1" applyFont="1" applyFill="1" applyBorder="1"/>
    <xf numFmtId="0" fontId="3" fillId="9" borderId="11" xfId="5" applyFont="1" applyFill="1" applyBorder="1" applyAlignment="1" applyProtection="1">
      <alignment horizontal="center" vertical="center"/>
      <protection locked="0"/>
    </xf>
    <xf numFmtId="0" fontId="3" fillId="9" borderId="12" xfId="5" applyFont="1" applyFill="1" applyBorder="1" applyAlignment="1" applyProtection="1">
      <alignment horizontal="center" vertical="center"/>
      <protection locked="0"/>
    </xf>
    <xf numFmtId="0" fontId="16" fillId="4" borderId="0" xfId="5" applyFill="1" applyBorder="1" applyAlignment="1">
      <alignment horizontal="right"/>
    </xf>
    <xf numFmtId="0" fontId="10" fillId="0" borderId="0" xfId="5" applyNumberFormat="1" applyFont="1" applyFill="1" applyBorder="1" applyAlignment="1"/>
    <xf numFmtId="0" fontId="16" fillId="0" borderId="0" xfId="5" applyFill="1" applyBorder="1"/>
    <xf numFmtId="0" fontId="16" fillId="4" borderId="14" xfId="5" applyFill="1" applyBorder="1"/>
    <xf numFmtId="0" fontId="16" fillId="4" borderId="0" xfId="5" applyFill="1" applyBorder="1" applyAlignment="1" applyProtection="1">
      <alignment horizontal="center"/>
    </xf>
    <xf numFmtId="0" fontId="16" fillId="4" borderId="0" xfId="5" applyFill="1" applyBorder="1" applyAlignment="1" applyProtection="1">
      <alignment horizontal="left" vertical="top" wrapText="1"/>
    </xf>
    <xf numFmtId="0" fontId="17" fillId="4" borderId="2" xfId="5" applyFont="1" applyFill="1" applyBorder="1" applyAlignment="1" applyProtection="1">
      <alignment horizontal="center"/>
    </xf>
    <xf numFmtId="0" fontId="16" fillId="0" borderId="0" xfId="5" applyFill="1" applyBorder="1" applyAlignment="1">
      <alignment vertical="center"/>
    </xf>
    <xf numFmtId="0" fontId="16" fillId="4" borderId="7" xfId="5" applyFill="1" applyBorder="1" applyAlignment="1">
      <alignment vertical="center"/>
    </xf>
    <xf numFmtId="4" fontId="16" fillId="4" borderId="0" xfId="5" applyNumberFormat="1" applyFont="1" applyFill="1" applyBorder="1"/>
    <xf numFmtId="0" fontId="10" fillId="4" borderId="0" xfId="5" applyNumberFormat="1" applyFont="1" applyFill="1" applyBorder="1"/>
    <xf numFmtId="0" fontId="17" fillId="4" borderId="0" xfId="5" applyFont="1" applyFill="1" applyBorder="1" applyAlignment="1" applyProtection="1">
      <alignment vertical="center"/>
    </xf>
    <xf numFmtId="0" fontId="10" fillId="4" borderId="7" xfId="5" applyNumberFormat="1" applyFont="1" applyFill="1" applyBorder="1"/>
    <xf numFmtId="4" fontId="11" fillId="4" borderId="0" xfId="5" applyNumberFormat="1" applyFont="1" applyFill="1" applyBorder="1" applyAlignment="1" applyProtection="1">
      <alignment horizontal="right" vertical="center"/>
    </xf>
    <xf numFmtId="0" fontId="10" fillId="9" borderId="16" xfId="5" applyNumberFormat="1" applyFont="1" applyFill="1" applyBorder="1"/>
    <xf numFmtId="0" fontId="10" fillId="9" borderId="1" xfId="5" applyNumberFormat="1" applyFont="1" applyFill="1" applyBorder="1"/>
    <xf numFmtId="0" fontId="10" fillId="4" borderId="17" xfId="5" applyNumberFormat="1" applyFont="1" applyFill="1" applyBorder="1"/>
    <xf numFmtId="0" fontId="10" fillId="4" borderId="1" xfId="5" applyNumberFormat="1" applyFont="1" applyFill="1" applyBorder="1"/>
    <xf numFmtId="0" fontId="10" fillId="0" borderId="0" xfId="5" applyNumberFormat="1" applyFont="1" applyFill="1" applyBorder="1" applyAlignment="1">
      <alignment vertical="center"/>
    </xf>
    <xf numFmtId="0" fontId="10" fillId="4" borderId="3" xfId="5" applyNumberFormat="1" applyFont="1" applyFill="1" applyBorder="1" applyAlignment="1">
      <alignment vertical="center"/>
    </xf>
    <xf numFmtId="0" fontId="10" fillId="4" borderId="0" xfId="5" applyNumberFormat="1" applyFont="1" applyFill="1" applyBorder="1" applyAlignment="1">
      <alignment vertical="center"/>
    </xf>
    <xf numFmtId="0" fontId="10" fillId="4" borderId="3" xfId="5" applyNumberFormat="1" applyFont="1" applyFill="1" applyBorder="1"/>
    <xf numFmtId="0" fontId="3" fillId="0" borderId="0" xfId="0" applyFont="1" applyFill="1" applyAlignment="1">
      <alignment horizontal="center"/>
    </xf>
    <xf numFmtId="166" fontId="5" fillId="0" borderId="0" xfId="1" applyFont="1" applyFill="1"/>
    <xf numFmtId="9" fontId="5" fillId="0" borderId="0" xfId="0" applyNumberFormat="1" applyFont="1" applyFill="1"/>
    <xf numFmtId="166" fontId="3" fillId="0" borderId="0" xfId="1" applyFont="1" applyFill="1" applyAlignment="1">
      <alignment horizontal="center"/>
    </xf>
    <xf numFmtId="166" fontId="5" fillId="0" borderId="0" xfId="1" quotePrefix="1" applyFont="1" applyFill="1"/>
    <xf numFmtId="166" fontId="5" fillId="0" borderId="0" xfId="1" applyFont="1"/>
    <xf numFmtId="171" fontId="3" fillId="0" borderId="0" xfId="1" applyNumberFormat="1" applyFont="1" applyFill="1" applyAlignment="1">
      <alignment horizontal="center"/>
    </xf>
    <xf numFmtId="171" fontId="5" fillId="0" borderId="0" xfId="1" applyNumberFormat="1" applyFont="1" applyFill="1"/>
    <xf numFmtId="171" fontId="5" fillId="0" borderId="0" xfId="1" quotePrefix="1" applyNumberFormat="1" applyFont="1" applyFill="1"/>
    <xf numFmtId="171" fontId="5" fillId="0" borderId="0" xfId="1" applyNumberFormat="1" applyFont="1" applyFill="1" applyAlignment="1">
      <alignment wrapText="1"/>
    </xf>
    <xf numFmtId="171" fontId="5" fillId="0" borderId="0" xfId="1" applyNumberFormat="1" applyFont="1"/>
    <xf numFmtId="171" fontId="3" fillId="0" borderId="0" xfId="1" applyNumberFormat="1" applyFont="1" applyAlignment="1">
      <alignment horizontal="center"/>
    </xf>
    <xf numFmtId="171" fontId="16" fillId="0" borderId="0" xfId="1" applyNumberFormat="1" applyFont="1" applyFill="1"/>
    <xf numFmtId="171" fontId="16" fillId="0" borderId="0" xfId="1" applyNumberFormat="1" applyFont="1"/>
    <xf numFmtId="166" fontId="16" fillId="0" borderId="0" xfId="1" applyFont="1" applyFill="1"/>
    <xf numFmtId="0" fontId="16" fillId="0" borderId="0" xfId="1" applyNumberFormat="1" applyFont="1" applyFill="1"/>
    <xf numFmtId="0" fontId="5" fillId="0" borderId="0" xfId="0" quotePrefix="1" applyNumberFormat="1" applyFont="1" applyFill="1"/>
    <xf numFmtId="0" fontId="5" fillId="0" borderId="0" xfId="0" applyNumberFormat="1" applyFont="1"/>
    <xf numFmtId="0" fontId="3" fillId="0" borderId="0" xfId="1" applyNumberFormat="1" applyFont="1" applyFill="1" applyAlignment="1">
      <alignment horizontal="center"/>
    </xf>
    <xf numFmtId="0" fontId="5" fillId="0" borderId="0" xfId="1" applyNumberFormat="1" applyFont="1" applyFill="1"/>
    <xf numFmtId="0" fontId="5" fillId="0" borderId="0" xfId="1" quotePrefix="1" applyNumberFormat="1" applyFont="1" applyFill="1"/>
    <xf numFmtId="0" fontId="5" fillId="0" borderId="0" xfId="1" applyNumberFormat="1" applyFont="1"/>
    <xf numFmtId="0" fontId="19" fillId="0" borderId="0" xfId="0" applyNumberFormat="1" applyFont="1" applyFill="1"/>
    <xf numFmtId="0" fontId="19" fillId="0" borderId="0" xfId="0" applyFont="1" applyFill="1"/>
    <xf numFmtId="171" fontId="15" fillId="0" borderId="0" xfId="0" applyNumberFormat="1" applyFont="1" applyFill="1"/>
    <xf numFmtId="166" fontId="15" fillId="0" borderId="0" xfId="0" applyNumberFormat="1" applyFont="1" applyFill="1"/>
    <xf numFmtId="0" fontId="1" fillId="0" borderId="0" xfId="13"/>
    <xf numFmtId="0" fontId="5" fillId="10" borderId="4" xfId="14" applyFont="1" applyFill="1" applyBorder="1" applyAlignment="1">
      <alignment horizontal="center"/>
    </xf>
    <xf numFmtId="0" fontId="5" fillId="10" borderId="4" xfId="14" applyFont="1" applyFill="1" applyBorder="1" applyAlignment="1">
      <alignment horizontal="left"/>
    </xf>
    <xf numFmtId="0" fontId="1" fillId="0" borderId="0" xfId="0" applyFont="1"/>
    <xf numFmtId="0" fontId="12" fillId="6" borderId="8" xfId="5" applyFont="1" applyFill="1" applyBorder="1" applyAlignment="1" applyProtection="1">
      <alignment horizontal="right" vertical="center" wrapText="1"/>
    </xf>
    <xf numFmtId="22" fontId="0" fillId="0" borderId="0" xfId="0" applyNumberFormat="1"/>
    <xf numFmtId="9" fontId="15" fillId="0" borderId="0" xfId="15" applyFont="1"/>
    <xf numFmtId="9" fontId="5" fillId="0" borderId="0" xfId="0" applyNumberFormat="1" applyFont="1"/>
    <xf numFmtId="19" fontId="0" fillId="0" borderId="0" xfId="0" applyNumberFormat="1"/>
    <xf numFmtId="0" fontId="22" fillId="4" borderId="0" xfId="5" applyFont="1" applyFill="1" applyBorder="1" applyAlignment="1">
      <alignment vertical="center"/>
    </xf>
    <xf numFmtId="0" fontId="21" fillId="0" borderId="0" xfId="5" applyNumberFormat="1" applyFont="1" applyFill="1" applyBorder="1"/>
    <xf numFmtId="0" fontId="13" fillId="4" borderId="0" xfId="0" applyFont="1" applyFill="1" applyBorder="1" applyAlignment="1" applyProtection="1">
      <alignment vertical="center"/>
    </xf>
    <xf numFmtId="174" fontId="0" fillId="0" borderId="0" xfId="0" applyNumberFormat="1"/>
    <xf numFmtId="175" fontId="0" fillId="0" borderId="0" xfId="0" applyNumberFormat="1"/>
    <xf numFmtId="169" fontId="1" fillId="7" borderId="18" xfId="5" applyNumberFormat="1" applyFont="1" applyFill="1" applyBorder="1" applyAlignment="1" applyProtection="1">
      <alignment horizontal="center" vertical="center" wrapText="1"/>
    </xf>
    <xf numFmtId="9" fontId="14" fillId="5" borderId="20" xfId="6" applyFont="1" applyFill="1" applyBorder="1" applyAlignment="1">
      <alignment horizontal="center"/>
    </xf>
    <xf numFmtId="172" fontId="14" fillId="5" borderId="21" xfId="4" applyNumberFormat="1" applyFont="1" applyFill="1" applyBorder="1" applyAlignment="1">
      <alignment horizontal="center"/>
    </xf>
    <xf numFmtId="0" fontId="1" fillId="0" borderId="0" xfId="5" applyFont="1"/>
    <xf numFmtId="170" fontId="10" fillId="0" borderId="0" xfId="5" applyNumberFormat="1" applyFont="1" applyFill="1" applyBorder="1"/>
    <xf numFmtId="166" fontId="0" fillId="0" borderId="0" xfId="1" applyFont="1"/>
    <xf numFmtId="168" fontId="0" fillId="0" borderId="0" xfId="2" applyFont="1"/>
    <xf numFmtId="168" fontId="0" fillId="0" borderId="0" xfId="16" applyFont="1"/>
    <xf numFmtId="164" fontId="0" fillId="0" borderId="0" xfId="3" applyFont="1"/>
    <xf numFmtId="165" fontId="0" fillId="0" borderId="0" xfId="4" applyFont="1"/>
    <xf numFmtId="0" fontId="5" fillId="0" borderId="0" xfId="14"/>
    <xf numFmtId="9" fontId="0" fillId="0" borderId="0" xfId="15" applyFont="1"/>
    <xf numFmtId="9" fontId="0" fillId="0" borderId="0" xfId="6" applyFont="1"/>
    <xf numFmtId="0" fontId="12" fillId="6" borderId="22" xfId="5" applyFont="1" applyFill="1" applyBorder="1" applyAlignment="1" applyProtection="1">
      <alignment horizontal="right" vertical="center" wrapText="1"/>
    </xf>
    <xf numFmtId="173" fontId="14" fillId="5" borderId="23" xfId="4" applyNumberFormat="1" applyFont="1" applyFill="1" applyBorder="1" applyAlignment="1">
      <alignment horizontal="center"/>
    </xf>
    <xf numFmtId="170" fontId="1" fillId="7" borderId="6" xfId="5" applyNumberFormat="1" applyFont="1" applyFill="1" applyBorder="1"/>
    <xf numFmtId="170" fontId="1" fillId="8" borderId="6" xfId="5" applyNumberFormat="1" applyFont="1" applyFill="1" applyBorder="1"/>
    <xf numFmtId="170" fontId="16" fillId="8" borderId="25" xfId="5" applyNumberFormat="1" applyFill="1" applyBorder="1"/>
    <xf numFmtId="170" fontId="1" fillId="7" borderId="25" xfId="5" applyNumberFormat="1" applyFont="1" applyFill="1" applyBorder="1"/>
    <xf numFmtId="0" fontId="10" fillId="0" borderId="27" xfId="5" applyNumberFormat="1" applyFont="1" applyFill="1" applyBorder="1" applyProtection="1"/>
    <xf numFmtId="0" fontId="10" fillId="0" borderId="24" xfId="5" applyNumberFormat="1" applyFont="1" applyFill="1" applyBorder="1" applyProtection="1"/>
    <xf numFmtId="0" fontId="10" fillId="0" borderId="26" xfId="5" applyNumberFormat="1" applyFont="1" applyFill="1" applyBorder="1" applyProtection="1"/>
    <xf numFmtId="171" fontId="1" fillId="0" borderId="0" xfId="1" applyNumberFormat="1" applyFont="1" applyFill="1"/>
    <xf numFmtId="0" fontId="1" fillId="0" borderId="0" xfId="1" applyNumberFormat="1" applyFont="1" applyFill="1"/>
    <xf numFmtId="166" fontId="1" fillId="0" borderId="0" xfId="1" applyFont="1" applyFill="1"/>
    <xf numFmtId="0" fontId="15" fillId="0" borderId="28" xfId="0" applyFont="1" applyBorder="1"/>
    <xf numFmtId="20" fontId="1" fillId="0" borderId="0" xfId="13" applyNumberFormat="1"/>
    <xf numFmtId="3" fontId="1" fillId="0" borderId="0" xfId="13" applyNumberFormat="1"/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5" fillId="0" borderId="28" xfId="0" applyFont="1" applyBorder="1"/>
    <xf numFmtId="169" fontId="16" fillId="8" borderId="30" xfId="5" applyNumberFormat="1" applyFill="1" applyBorder="1" applyAlignment="1" applyProtection="1">
      <alignment horizontal="center" vertical="center" wrapText="1"/>
    </xf>
    <xf numFmtId="169" fontId="1" fillId="7" borderId="31" xfId="5" applyNumberFormat="1" applyFont="1" applyFill="1" applyBorder="1" applyAlignment="1" applyProtection="1">
      <alignment horizontal="center" vertical="center" wrapText="1"/>
    </xf>
    <xf numFmtId="0" fontId="1" fillId="7" borderId="6" xfId="5" applyFont="1" applyFill="1" applyBorder="1" applyAlignment="1" applyProtection="1">
      <alignment horizontal="center" vertical="center" wrapText="1"/>
    </xf>
    <xf numFmtId="170" fontId="16" fillId="8" borderId="33" xfId="5" applyNumberFormat="1" applyFill="1" applyBorder="1"/>
    <xf numFmtId="0" fontId="12" fillId="6" borderId="34" xfId="5" applyFont="1" applyFill="1" applyBorder="1" applyAlignment="1" applyProtection="1">
      <alignment horizontal="right" vertical="center" wrapText="1"/>
    </xf>
    <xf numFmtId="170" fontId="16" fillId="7" borderId="33" xfId="5" applyNumberFormat="1" applyFill="1" applyBorder="1"/>
    <xf numFmtId="0" fontId="25" fillId="11" borderId="41" xfId="13" applyFont="1" applyFill="1" applyBorder="1" applyAlignment="1">
      <alignment horizontal="left" vertical="top"/>
    </xf>
    <xf numFmtId="0" fontId="25" fillId="11" borderId="26" xfId="13" applyFont="1" applyFill="1" applyBorder="1" applyAlignment="1">
      <alignment horizontal="left" vertical="top"/>
    </xf>
    <xf numFmtId="171" fontId="26" fillId="11" borderId="0" xfId="18" applyNumberFormat="1" applyFont="1" applyFill="1" applyBorder="1" applyAlignment="1">
      <alignment horizontal="right" vertical="top" indent="3"/>
    </xf>
    <xf numFmtId="166" fontId="26" fillId="11" borderId="0" xfId="18" applyFont="1" applyFill="1" applyBorder="1" applyAlignment="1">
      <alignment horizontal="left" vertical="top"/>
    </xf>
    <xf numFmtId="166" fontId="29" fillId="11" borderId="0" xfId="18" applyFont="1" applyFill="1" applyBorder="1" applyAlignment="1">
      <alignment horizontal="left" vertical="top"/>
    </xf>
    <xf numFmtId="0" fontId="25" fillId="11" borderId="39" xfId="13" applyFont="1" applyFill="1" applyBorder="1" applyAlignment="1">
      <alignment horizontal="left" vertical="top"/>
    </xf>
    <xf numFmtId="171" fontId="12" fillId="11" borderId="32" xfId="18" applyNumberFormat="1" applyFont="1" applyFill="1" applyBorder="1"/>
    <xf numFmtId="166" fontId="12" fillId="11" borderId="32" xfId="18" applyFont="1" applyFill="1" applyBorder="1"/>
    <xf numFmtId="0" fontId="34" fillId="11" borderId="26" xfId="19" applyFont="1" applyFill="1" applyBorder="1" applyAlignment="1">
      <alignment horizontal="left" vertical="top"/>
    </xf>
    <xf numFmtId="0" fontId="31" fillId="11" borderId="26" xfId="19" applyFill="1" applyBorder="1" applyAlignment="1">
      <alignment horizontal="right" vertical="top" indent="1"/>
    </xf>
    <xf numFmtId="167" fontId="12" fillId="11" borderId="32" xfId="17" applyNumberFormat="1" applyFont="1" applyFill="1" applyBorder="1" applyAlignment="1">
      <alignment horizontal="right" vertical="top" indent="2"/>
    </xf>
    <xf numFmtId="0" fontId="1" fillId="0" borderId="39" xfId="13" applyBorder="1"/>
    <xf numFmtId="0" fontId="1" fillId="0" borderId="40" xfId="13" applyBorder="1"/>
    <xf numFmtId="0" fontId="24" fillId="12" borderId="37" xfId="13" applyFont="1" applyFill="1" applyBorder="1" applyAlignment="1">
      <alignment horizontal="left" vertical="top"/>
    </xf>
    <xf numFmtId="0" fontId="24" fillId="12" borderId="9" xfId="13" applyFont="1" applyFill="1" applyBorder="1" applyAlignment="1">
      <alignment horizontal="left" vertical="top"/>
    </xf>
    <xf numFmtId="0" fontId="24" fillId="12" borderId="38" xfId="13" applyFont="1" applyFill="1" applyBorder="1" applyAlignment="1">
      <alignment horizontal="left" vertical="top"/>
    </xf>
    <xf numFmtId="0" fontId="24" fillId="12" borderId="39" xfId="13" applyFont="1" applyFill="1" applyBorder="1" applyAlignment="1">
      <alignment horizontal="left" vertical="top"/>
    </xf>
    <xf numFmtId="0" fontId="24" fillId="12" borderId="1" xfId="13" applyFont="1" applyFill="1" applyBorder="1" applyAlignment="1">
      <alignment horizontal="left" vertical="top"/>
    </xf>
    <xf numFmtId="0" fontId="24" fillId="12" borderId="40" xfId="13" applyFont="1" applyFill="1" applyBorder="1" applyAlignment="1">
      <alignment horizontal="left" vertical="top"/>
    </xf>
    <xf numFmtId="0" fontId="1" fillId="11" borderId="0" xfId="13" applyFill="1"/>
    <xf numFmtId="0" fontId="0" fillId="11" borderId="0" xfId="0" applyFill="1"/>
    <xf numFmtId="0" fontId="21" fillId="11" borderId="0" xfId="5" applyNumberFormat="1" applyFont="1" applyFill="1" applyBorder="1"/>
    <xf numFmtId="0" fontId="10" fillId="11" borderId="0" xfId="5" applyNumberFormat="1" applyFont="1" applyFill="1" applyBorder="1"/>
    <xf numFmtId="0" fontId="22" fillId="11" borderId="0" xfId="5" applyFont="1" applyFill="1" applyBorder="1" applyAlignment="1">
      <alignment vertical="center"/>
    </xf>
    <xf numFmtId="0" fontId="22" fillId="11" borderId="0" xfId="5" applyFont="1" applyFill="1" applyBorder="1"/>
    <xf numFmtId="0" fontId="17" fillId="11" borderId="0" xfId="5" applyFont="1" applyFill="1" applyBorder="1" applyAlignment="1" applyProtection="1">
      <alignment horizontal="center"/>
    </xf>
    <xf numFmtId="0" fontId="1" fillId="11" borderId="1" xfId="13" applyFill="1" applyBorder="1"/>
    <xf numFmtId="0" fontId="31" fillId="11" borderId="41" xfId="13" applyFont="1" applyFill="1" applyBorder="1" applyAlignment="1">
      <alignment horizontal="left" vertical="top"/>
    </xf>
    <xf numFmtId="164" fontId="35" fillId="11" borderId="26" xfId="4" applyNumberFormat="1" applyFont="1" applyFill="1" applyBorder="1" applyAlignment="1">
      <alignment horizontal="left" vertical="top"/>
    </xf>
    <xf numFmtId="164" fontId="26" fillId="11" borderId="26" xfId="4" applyNumberFormat="1" applyFont="1" applyFill="1" applyBorder="1" applyAlignment="1">
      <alignment horizontal="left" vertical="top"/>
    </xf>
    <xf numFmtId="0" fontId="31" fillId="11" borderId="39" xfId="13" applyFont="1" applyFill="1" applyBorder="1" applyAlignment="1">
      <alignment horizontal="left" vertical="top"/>
    </xf>
    <xf numFmtId="164" fontId="26" fillId="11" borderId="40" xfId="4" applyNumberFormat="1" applyFont="1" applyFill="1" applyBorder="1" applyAlignment="1">
      <alignment horizontal="left" vertical="top"/>
    </xf>
    <xf numFmtId="164" fontId="26" fillId="11" borderId="42" xfId="4" applyNumberFormat="1" applyFont="1" applyFill="1" applyBorder="1" applyAlignment="1">
      <alignment horizontal="left" vertical="top"/>
    </xf>
    <xf numFmtId="0" fontId="1" fillId="4" borderId="0" xfId="5" applyFont="1" applyFill="1" applyBorder="1" applyAlignment="1">
      <alignment horizontal="right"/>
    </xf>
    <xf numFmtId="0" fontId="10" fillId="12" borderId="9" xfId="5" applyNumberFormat="1" applyFont="1" applyFill="1" applyBorder="1"/>
    <xf numFmtId="0" fontId="10" fillId="12" borderId="15" xfId="5" applyNumberFormat="1" applyFont="1" applyFill="1" applyBorder="1"/>
    <xf numFmtId="0" fontId="10" fillId="12" borderId="1" xfId="5" applyNumberFormat="1" applyFont="1" applyFill="1" applyBorder="1"/>
    <xf numFmtId="0" fontId="10" fillId="12" borderId="14" xfId="5" applyNumberFormat="1" applyFont="1" applyFill="1" applyBorder="1"/>
    <xf numFmtId="0" fontId="24" fillId="12" borderId="19" xfId="13" applyFont="1" applyFill="1" applyBorder="1" applyAlignment="1">
      <alignment vertical="top"/>
    </xf>
    <xf numFmtId="9" fontId="1" fillId="11" borderId="44" xfId="15" applyFont="1" applyFill="1" applyBorder="1" applyAlignment="1">
      <alignment horizontal="center"/>
    </xf>
    <xf numFmtId="4" fontId="16" fillId="7" borderId="6" xfId="5" applyNumberFormat="1" applyFont="1" applyFill="1" applyBorder="1" applyAlignment="1" applyProtection="1">
      <alignment horizontal="center" vertical="center" wrapText="1"/>
    </xf>
    <xf numFmtId="10" fontId="16" fillId="7" borderId="6" xfId="15" applyNumberFormat="1" applyFont="1" applyFill="1" applyBorder="1"/>
    <xf numFmtId="0" fontId="25" fillId="11" borderId="45" xfId="13" applyFont="1" applyFill="1" applyBorder="1" applyAlignment="1">
      <alignment horizontal="left" vertical="top"/>
    </xf>
    <xf numFmtId="0" fontId="25" fillId="11" borderId="46" xfId="13" applyFont="1" applyFill="1" applyBorder="1" applyAlignment="1">
      <alignment horizontal="left" vertical="top"/>
    </xf>
    <xf numFmtId="0" fontId="1" fillId="11" borderId="37" xfId="13" applyFill="1" applyBorder="1" applyAlignment="1">
      <alignment horizontal="left" vertical="top"/>
    </xf>
    <xf numFmtId="0" fontId="1" fillId="11" borderId="38" xfId="13" applyFill="1" applyBorder="1" applyAlignment="1">
      <alignment horizontal="left" vertical="top"/>
    </xf>
    <xf numFmtId="0" fontId="30" fillId="11" borderId="41" xfId="13" applyFont="1" applyFill="1" applyBorder="1" applyAlignment="1">
      <alignment horizontal="left" vertical="top" wrapText="1"/>
    </xf>
    <xf numFmtId="164" fontId="35" fillId="11" borderId="26" xfId="18" applyNumberFormat="1" applyFont="1" applyFill="1" applyBorder="1" applyAlignment="1">
      <alignment horizontal="left" vertical="top"/>
    </xf>
    <xf numFmtId="0" fontId="1" fillId="11" borderId="41" xfId="13" applyFill="1" applyBorder="1" applyAlignment="1">
      <alignment horizontal="left" vertical="top" indent="2"/>
    </xf>
    <xf numFmtId="164" fontId="26" fillId="11" borderId="26" xfId="18" applyNumberFormat="1" applyFont="1" applyFill="1" applyBorder="1" applyAlignment="1">
      <alignment horizontal="left" vertical="top"/>
    </xf>
    <xf numFmtId="0" fontId="1" fillId="0" borderId="41" xfId="13" applyBorder="1"/>
    <xf numFmtId="0" fontId="1" fillId="0" borderId="26" xfId="13" applyBorder="1"/>
    <xf numFmtId="0" fontId="30" fillId="11" borderId="41" xfId="13" applyFont="1" applyFill="1" applyBorder="1" applyAlignment="1">
      <alignment horizontal="left" vertical="top"/>
    </xf>
    <xf numFmtId="164" fontId="26" fillId="11" borderId="40" xfId="18" applyNumberFormat="1" applyFont="1" applyFill="1" applyBorder="1" applyAlignment="1">
      <alignment horizontal="left" vertical="top"/>
    </xf>
    <xf numFmtId="166" fontId="10" fillId="0" borderId="0" xfId="1" applyFont="1" applyFill="1" applyBorder="1"/>
    <xf numFmtId="170" fontId="16" fillId="7" borderId="6" xfId="5" applyNumberFormat="1" applyFill="1" applyBorder="1" applyAlignment="1">
      <alignment horizontal="right" vertical="center"/>
    </xf>
    <xf numFmtId="164" fontId="16" fillId="7" borderId="33" xfId="5" applyNumberFormat="1" applyFill="1" applyBorder="1"/>
    <xf numFmtId="9" fontId="16" fillId="7" borderId="6" xfId="15" applyNumberFormat="1" applyFont="1" applyFill="1" applyBorder="1"/>
    <xf numFmtId="0" fontId="0" fillId="8" borderId="6" xfId="5" applyFont="1" applyFill="1" applyBorder="1" applyAlignment="1" applyProtection="1">
      <alignment horizontal="center" vertical="center" wrapText="1"/>
    </xf>
    <xf numFmtId="170" fontId="0" fillId="8" borderId="6" xfId="5" applyNumberFormat="1" applyFont="1" applyFill="1" applyBorder="1"/>
    <xf numFmtId="0" fontId="0" fillId="6" borderId="32" xfId="16" applyNumberFormat="1" applyFont="1" applyFill="1" applyBorder="1" applyAlignment="1">
      <alignment horizontal="center"/>
    </xf>
    <xf numFmtId="2" fontId="5" fillId="0" borderId="0" xfId="0" applyNumberFormat="1" applyFont="1" applyFill="1"/>
    <xf numFmtId="170" fontId="1" fillId="7" borderId="33" xfId="26" applyNumberFormat="1" applyFill="1" applyBorder="1"/>
    <xf numFmtId="171" fontId="1" fillId="0" borderId="0" xfId="1" applyNumberFormat="1" applyFont="1"/>
    <xf numFmtId="0" fontId="25" fillId="11" borderId="41" xfId="26" applyFont="1" applyFill="1" applyBorder="1" applyAlignment="1">
      <alignment horizontal="left" vertical="top"/>
    </xf>
    <xf numFmtId="0" fontId="25" fillId="11" borderId="0" xfId="26" applyFont="1" applyFill="1" applyBorder="1" applyAlignment="1">
      <alignment horizontal="left" vertical="top"/>
    </xf>
    <xf numFmtId="0" fontId="25" fillId="11" borderId="26" xfId="26" applyFont="1" applyFill="1" applyBorder="1" applyAlignment="1">
      <alignment horizontal="left" vertical="top"/>
    </xf>
    <xf numFmtId="0" fontId="1" fillId="11" borderId="26" xfId="26" applyFill="1" applyBorder="1" applyAlignment="1">
      <alignment horizontal="left" vertical="top"/>
    </xf>
    <xf numFmtId="0" fontId="28" fillId="11" borderId="26" xfId="26" applyFont="1" applyFill="1" applyBorder="1" applyAlignment="1">
      <alignment horizontal="left" vertical="center"/>
    </xf>
    <xf numFmtId="0" fontId="27" fillId="11" borderId="41" xfId="26" applyFont="1" applyFill="1" applyBorder="1" applyAlignment="1">
      <alignment horizontal="left" vertical="top"/>
    </xf>
    <xf numFmtId="0" fontId="30" fillId="11" borderId="26" xfId="26" applyFont="1" applyFill="1" applyBorder="1" applyAlignment="1">
      <alignment horizontal="left" vertical="top"/>
    </xf>
    <xf numFmtId="0" fontId="27" fillId="11" borderId="41" xfId="26" applyFont="1" applyFill="1" applyBorder="1" applyAlignment="1">
      <alignment horizontal="left" vertical="top" indent="2"/>
    </xf>
    <xf numFmtId="0" fontId="31" fillId="11" borderId="26" xfId="26" applyFont="1" applyFill="1" applyBorder="1" applyAlignment="1">
      <alignment horizontal="left" vertical="top"/>
    </xf>
    <xf numFmtId="0" fontId="1" fillId="11" borderId="41" xfId="26" applyFill="1" applyBorder="1" applyAlignment="1">
      <alignment horizontal="left" vertical="top"/>
    </xf>
    <xf numFmtId="0" fontId="25" fillId="11" borderId="39" xfId="26" applyFont="1" applyFill="1" applyBorder="1" applyAlignment="1">
      <alignment horizontal="left" vertical="top"/>
    </xf>
    <xf numFmtId="0" fontId="31" fillId="11" borderId="1" xfId="26" applyFont="1" applyFill="1" applyBorder="1" applyAlignment="1">
      <alignment horizontal="left" vertical="top"/>
    </xf>
    <xf numFmtId="0" fontId="1" fillId="11" borderId="40" xfId="26" applyFill="1" applyBorder="1" applyAlignment="1">
      <alignment horizontal="left" vertical="top"/>
    </xf>
    <xf numFmtId="164" fontId="1" fillId="11" borderId="0" xfId="26" applyNumberFormat="1" applyFill="1" applyBorder="1" applyAlignment="1">
      <alignment horizontal="left" vertical="top"/>
    </xf>
    <xf numFmtId="0" fontId="32" fillId="11" borderId="41" xfId="26" applyFont="1" applyFill="1" applyBorder="1"/>
    <xf numFmtId="0" fontId="1" fillId="11" borderId="0" xfId="26" applyFill="1" applyBorder="1"/>
    <xf numFmtId="0" fontId="1" fillId="11" borderId="26" xfId="26" applyFill="1" applyBorder="1"/>
    <xf numFmtId="0" fontId="1" fillId="11" borderId="41" xfId="26" applyFill="1" applyBorder="1"/>
    <xf numFmtId="0" fontId="11" fillId="11" borderId="41" xfId="26" applyFont="1" applyFill="1" applyBorder="1" applyAlignment="1">
      <alignment horizontal="right" vertical="top"/>
    </xf>
    <xf numFmtId="0" fontId="33" fillId="11" borderId="41" xfId="26" applyFont="1" applyFill="1" applyBorder="1" applyAlignment="1">
      <alignment horizontal="right"/>
    </xf>
    <xf numFmtId="10" fontId="12" fillId="11" borderId="32" xfId="26" applyNumberFormat="1" applyFont="1" applyFill="1" applyBorder="1"/>
    <xf numFmtId="0" fontId="5" fillId="11" borderId="26" xfId="26" applyFont="1" applyFill="1" applyBorder="1"/>
    <xf numFmtId="9" fontId="12" fillId="11" borderId="0" xfId="26" applyNumberFormat="1" applyFont="1" applyFill="1" applyBorder="1"/>
    <xf numFmtId="0" fontId="33" fillId="11" borderId="41" xfId="26" applyFont="1" applyFill="1" applyBorder="1" applyAlignment="1">
      <alignment horizontal="right" vertical="top"/>
    </xf>
    <xf numFmtId="10" fontId="12" fillId="11" borderId="32" xfId="17" applyNumberFormat="1" applyFont="1" applyFill="1" applyBorder="1" applyAlignment="1">
      <alignment horizontal="right" vertical="top"/>
    </xf>
    <xf numFmtId="164" fontId="1" fillId="11" borderId="0" xfId="13" applyNumberFormat="1" applyFill="1"/>
    <xf numFmtId="166" fontId="1" fillId="11" borderId="0" xfId="13" applyNumberFormat="1" applyFill="1"/>
    <xf numFmtId="0" fontId="1" fillId="4" borderId="29" xfId="13" applyFont="1" applyFill="1" applyBorder="1" applyAlignment="1" applyProtection="1">
      <alignment vertical="center" wrapText="1"/>
      <protection locked="0"/>
    </xf>
    <xf numFmtId="0" fontId="1" fillId="4" borderId="31" xfId="13" applyFont="1" applyFill="1" applyBorder="1" applyAlignment="1" applyProtection="1">
      <alignment vertical="center" wrapText="1"/>
      <protection locked="0"/>
    </xf>
    <xf numFmtId="0" fontId="11" fillId="4" borderId="29" xfId="13" applyFont="1" applyFill="1" applyBorder="1" applyAlignment="1" applyProtection="1">
      <alignment vertical="center" wrapText="1"/>
      <protection locked="0"/>
    </xf>
    <xf numFmtId="0" fontId="11" fillId="0" borderId="0" xfId="13" applyFont="1" applyBorder="1" applyAlignment="1" applyProtection="1">
      <alignment vertical="center" wrapText="1"/>
      <protection locked="0"/>
    </xf>
    <xf numFmtId="0" fontId="24" fillId="12" borderId="41" xfId="26" applyFont="1" applyFill="1" applyBorder="1" applyAlignment="1">
      <alignment horizontal="left" vertical="top"/>
    </xf>
    <xf numFmtId="0" fontId="24" fillId="12" borderId="0" xfId="26" applyFont="1" applyFill="1" applyBorder="1" applyAlignment="1">
      <alignment horizontal="left" vertical="top"/>
    </xf>
    <xf numFmtId="0" fontId="24" fillId="12" borderId="26" xfId="26" applyFont="1" applyFill="1" applyBorder="1" applyAlignment="1">
      <alignment horizontal="left" vertical="top"/>
    </xf>
    <xf numFmtId="0" fontId="0" fillId="6" borderId="32" xfId="2" applyNumberFormat="1" applyFont="1" applyFill="1" applyBorder="1" applyAlignment="1">
      <alignment horizontal="center"/>
    </xf>
    <xf numFmtId="0" fontId="3" fillId="9" borderId="47" xfId="5" applyFont="1" applyFill="1" applyBorder="1" applyAlignment="1" applyProtection="1">
      <alignment horizontal="center" vertical="center"/>
      <protection locked="0"/>
    </xf>
    <xf numFmtId="0" fontId="4" fillId="9" borderId="13" xfId="5" applyFont="1" applyFill="1" applyBorder="1" applyAlignment="1" applyProtection="1">
      <alignment horizontal="left" vertical="center" wrapText="1"/>
    </xf>
    <xf numFmtId="0" fontId="10" fillId="0" borderId="0" xfId="13" applyFont="1" applyBorder="1" applyAlignment="1" applyProtection="1">
      <alignment vertical="center" wrapText="1"/>
      <protection locked="0"/>
    </xf>
    <xf numFmtId="0" fontId="10" fillId="11" borderId="34" xfId="5" applyNumberFormat="1" applyFont="1" applyFill="1" applyBorder="1"/>
    <xf numFmtId="0" fontId="10" fillId="11" borderId="48" xfId="5" applyNumberFormat="1" applyFont="1" applyFill="1" applyBorder="1"/>
    <xf numFmtId="0" fontId="10" fillId="4" borderId="48" xfId="5" applyNumberFormat="1" applyFont="1" applyFill="1" applyBorder="1"/>
    <xf numFmtId="0" fontId="13" fillId="4" borderId="48" xfId="0" applyFont="1" applyFill="1" applyBorder="1" applyAlignment="1" applyProtection="1">
      <alignment vertical="center"/>
    </xf>
    <xf numFmtId="0" fontId="10" fillId="4" borderId="49" xfId="5" applyNumberFormat="1" applyFont="1" applyFill="1" applyBorder="1"/>
    <xf numFmtId="0" fontId="10" fillId="9" borderId="49" xfId="5" applyNumberFormat="1" applyFont="1" applyFill="1" applyBorder="1"/>
    <xf numFmtId="0" fontId="10" fillId="12" borderId="50" xfId="5" applyNumberFormat="1" applyFont="1" applyFill="1" applyBorder="1"/>
    <xf numFmtId="0" fontId="10" fillId="12" borderId="49" xfId="5" applyNumberFormat="1" applyFont="1" applyFill="1" applyBorder="1"/>
    <xf numFmtId="0" fontId="12" fillId="4" borderId="48" xfId="5" applyFont="1" applyFill="1" applyBorder="1" applyAlignment="1" applyProtection="1">
      <alignment horizontal="center"/>
    </xf>
    <xf numFmtId="0" fontId="3" fillId="9" borderId="51" xfId="5" applyFont="1" applyFill="1" applyBorder="1" applyAlignment="1" applyProtection="1">
      <alignment horizontal="center" vertical="center"/>
      <protection locked="0"/>
    </xf>
    <xf numFmtId="0" fontId="12" fillId="6" borderId="48" xfId="5" applyFont="1" applyFill="1" applyBorder="1" applyAlignment="1" applyProtection="1">
      <alignment horizontal="right" vertical="center" wrapText="1"/>
    </xf>
    <xf numFmtId="0" fontId="12" fillId="6" borderId="52" xfId="5" applyFont="1" applyFill="1" applyBorder="1" applyAlignment="1" applyProtection="1">
      <alignment horizontal="right" vertical="center" wrapText="1"/>
    </xf>
    <xf numFmtId="0" fontId="10" fillId="0" borderId="34" xfId="5" applyNumberFormat="1" applyFont="1" applyFill="1" applyBorder="1" applyProtection="1"/>
    <xf numFmtId="0" fontId="10" fillId="0" borderId="48" xfId="5" applyNumberFormat="1" applyFont="1" applyFill="1" applyBorder="1" applyProtection="1"/>
    <xf numFmtId="0" fontId="10" fillId="0" borderId="48" xfId="5" applyNumberFormat="1" applyFont="1" applyFill="1" applyBorder="1"/>
    <xf numFmtId="0" fontId="11" fillId="0" borderId="32" xfId="13" applyFont="1" applyFill="1" applyBorder="1" applyAlignment="1" applyProtection="1">
      <alignment vertical="center" wrapText="1"/>
      <protection locked="0"/>
    </xf>
    <xf numFmtId="0" fontId="0" fillId="0" borderId="32" xfId="13" applyFont="1" applyFill="1" applyBorder="1" applyAlignment="1" applyProtection="1">
      <alignment vertical="center" wrapText="1"/>
      <protection locked="0"/>
    </xf>
    <xf numFmtId="0" fontId="11" fillId="0" borderId="35" xfId="13" applyFont="1" applyFill="1" applyBorder="1" applyAlignment="1" applyProtection="1">
      <alignment vertical="center" wrapText="1"/>
      <protection locked="0"/>
    </xf>
    <xf numFmtId="0" fontId="1" fillId="0" borderId="35" xfId="13" applyFont="1" applyFill="1" applyBorder="1" applyAlignment="1" applyProtection="1">
      <alignment vertical="center" wrapText="1"/>
      <protection locked="0"/>
    </xf>
    <xf numFmtId="0" fontId="1" fillId="0" borderId="32" xfId="13" applyFill="1" applyBorder="1" applyAlignment="1" applyProtection="1">
      <alignment horizontal="left" vertical="center" wrapText="1"/>
      <protection locked="0"/>
    </xf>
    <xf numFmtId="0" fontId="0" fillId="0" borderId="32" xfId="13" applyFont="1" applyFill="1" applyBorder="1" applyAlignment="1" applyProtection="1">
      <alignment horizontal="left" vertical="center" wrapText="1"/>
      <protection locked="0"/>
    </xf>
    <xf numFmtId="0" fontId="1" fillId="0" borderId="36" xfId="13" applyFill="1" applyBorder="1" applyAlignment="1" applyProtection="1">
      <alignment horizontal="left" vertical="center" wrapText="1"/>
      <protection locked="0"/>
    </xf>
    <xf numFmtId="0" fontId="1" fillId="0" borderId="8" xfId="13" applyFill="1" applyBorder="1" applyAlignment="1" applyProtection="1">
      <alignment horizontal="left" vertical="center" wrapText="1"/>
      <protection locked="0"/>
    </xf>
    <xf numFmtId="0" fontId="11" fillId="0" borderId="32" xfId="13" applyFont="1" applyFill="1" applyBorder="1" applyAlignment="1" applyProtection="1">
      <alignment horizontal="left" vertical="center" wrapText="1"/>
      <protection locked="0"/>
    </xf>
    <xf numFmtId="0" fontId="11" fillId="0" borderId="29" xfId="13" applyFont="1" applyFill="1" applyBorder="1" applyAlignment="1" applyProtection="1">
      <alignment horizontal="left" vertical="center" wrapText="1"/>
      <protection locked="0"/>
    </xf>
    <xf numFmtId="0" fontId="11" fillId="0" borderId="27" xfId="13" applyFont="1" applyFill="1" applyBorder="1" applyAlignment="1" applyProtection="1">
      <alignment horizontal="left" vertical="center" wrapText="1"/>
      <protection locked="0"/>
    </xf>
    <xf numFmtId="0" fontId="1" fillId="11" borderId="32" xfId="13" applyFont="1" applyFill="1" applyBorder="1" applyAlignment="1" applyProtection="1">
      <alignment horizontal="left" vertical="center" wrapText="1"/>
      <protection locked="0"/>
    </xf>
    <xf numFmtId="164" fontId="10" fillId="0" borderId="0" xfId="5" applyNumberFormat="1" applyFont="1" applyFill="1" applyBorder="1"/>
    <xf numFmtId="0" fontId="17" fillId="11" borderId="0" xfId="13" applyFont="1" applyFill="1" applyBorder="1" applyAlignment="1" applyProtection="1">
      <alignment horizontal="center" vertical="center" wrapText="1"/>
      <protection locked="0"/>
    </xf>
    <xf numFmtId="0" fontId="17" fillId="11" borderId="0" xfId="13" applyFont="1" applyFill="1" applyBorder="1" applyAlignment="1" applyProtection="1">
      <alignment horizontal="center"/>
      <protection locked="0"/>
    </xf>
    <xf numFmtId="166" fontId="1" fillId="0" borderId="0" xfId="1" applyFont="1"/>
    <xf numFmtId="166" fontId="16" fillId="0" borderId="0" xfId="1" applyFont="1" applyFill="1" applyAlignment="1">
      <alignment wrapText="1"/>
    </xf>
    <xf numFmtId="176" fontId="16" fillId="7" borderId="6" xfId="5" applyNumberFormat="1" applyFill="1" applyBorder="1"/>
    <xf numFmtId="166" fontId="16" fillId="0" borderId="0" xfId="1" applyFont="1"/>
    <xf numFmtId="171" fontId="16" fillId="0" borderId="0" xfId="1" applyNumberFormat="1" applyFont="1" applyFill="1" applyAlignment="1">
      <alignment wrapText="1"/>
    </xf>
    <xf numFmtId="0" fontId="11" fillId="0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2" fontId="0" fillId="0" borderId="0" xfId="0" applyNumberFormat="1" applyFont="1" applyFill="1"/>
    <xf numFmtId="0" fontId="0" fillId="0" borderId="0" xfId="0" applyFont="1" applyFill="1" applyAlignment="1">
      <alignment horizontal="right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14" fillId="12" borderId="9" xfId="5" applyFont="1" applyFill="1" applyBorder="1" applyAlignment="1">
      <alignment horizontal="right" vertical="center"/>
    </xf>
    <xf numFmtId="0" fontId="14" fillId="12" borderId="1" xfId="5" applyFont="1" applyFill="1" applyBorder="1" applyAlignment="1">
      <alignment horizontal="right" vertical="center"/>
    </xf>
    <xf numFmtId="0" fontId="14" fillId="12" borderId="9" xfId="0" applyFont="1" applyFill="1" applyBorder="1" applyAlignment="1" applyProtection="1">
      <alignment horizontal="right" vertical="center"/>
    </xf>
    <xf numFmtId="0" fontId="14" fillId="12" borderId="1" xfId="0" applyFont="1" applyFill="1" applyBorder="1" applyAlignment="1" applyProtection="1">
      <alignment horizontal="right" vertical="center"/>
    </xf>
    <xf numFmtId="0" fontId="14" fillId="12" borderId="9" xfId="0" applyFont="1" applyFill="1" applyBorder="1" applyAlignment="1">
      <alignment horizontal="right" vertical="center"/>
    </xf>
    <xf numFmtId="0" fontId="14" fillId="12" borderId="1" xfId="0" applyFont="1" applyFill="1" applyBorder="1" applyAlignment="1">
      <alignment horizontal="right" vertical="center"/>
    </xf>
    <xf numFmtId="0" fontId="36" fillId="12" borderId="43" xfId="13" applyFont="1" applyFill="1" applyBorder="1" applyAlignment="1">
      <alignment horizontal="center" vertical="center"/>
    </xf>
    <xf numFmtId="0" fontId="36" fillId="12" borderId="44" xfId="13" applyFont="1" applyFill="1" applyBorder="1" applyAlignment="1">
      <alignment horizontal="center" vertical="center"/>
    </xf>
    <xf numFmtId="9" fontId="37" fillId="11" borderId="43" xfId="17" applyFont="1" applyFill="1" applyBorder="1" applyAlignment="1">
      <alignment horizontal="center" vertical="center"/>
    </xf>
    <xf numFmtId="9" fontId="37" fillId="11" borderId="44" xfId="17" applyFont="1" applyFill="1" applyBorder="1" applyAlignment="1">
      <alignment horizontal="center" vertical="center"/>
    </xf>
    <xf numFmtId="0" fontId="24" fillId="12" borderId="37" xfId="13" applyFont="1" applyFill="1" applyBorder="1" applyAlignment="1">
      <alignment horizontal="left" vertical="top"/>
    </xf>
    <xf numFmtId="0" fontId="24" fillId="12" borderId="38" xfId="13" applyFont="1" applyFill="1" applyBorder="1" applyAlignment="1">
      <alignment horizontal="left" vertical="top"/>
    </xf>
    <xf numFmtId="0" fontId="24" fillId="12" borderId="39" xfId="13" applyFont="1" applyFill="1" applyBorder="1" applyAlignment="1">
      <alignment horizontal="left" vertical="top"/>
    </xf>
    <xf numFmtId="0" fontId="24" fillId="12" borderId="40" xfId="13" applyFont="1" applyFill="1" applyBorder="1" applyAlignment="1">
      <alignment horizontal="left" vertical="top"/>
    </xf>
    <xf numFmtId="0" fontId="24" fillId="12" borderId="37" xfId="26" applyFont="1" applyFill="1" applyBorder="1" applyAlignment="1">
      <alignment horizontal="left" vertical="top"/>
    </xf>
    <xf numFmtId="0" fontId="24" fillId="12" borderId="9" xfId="26" applyFont="1" applyFill="1" applyBorder="1" applyAlignment="1">
      <alignment horizontal="left" vertical="top"/>
    </xf>
    <xf numFmtId="0" fontId="24" fillId="12" borderId="38" xfId="26" applyFont="1" applyFill="1" applyBorder="1" applyAlignment="1">
      <alignment horizontal="left" vertical="top"/>
    </xf>
    <xf numFmtId="0" fontId="24" fillId="12" borderId="39" xfId="26" applyFont="1" applyFill="1" applyBorder="1" applyAlignment="1">
      <alignment horizontal="left" vertical="top"/>
    </xf>
    <xf numFmtId="0" fontId="24" fillId="12" borderId="1" xfId="26" applyFont="1" applyFill="1" applyBorder="1" applyAlignment="1">
      <alignment horizontal="left" vertical="top"/>
    </xf>
    <xf numFmtId="0" fontId="24" fillId="12" borderId="40" xfId="26" applyFont="1" applyFill="1" applyBorder="1" applyAlignment="1">
      <alignment horizontal="left" vertical="top"/>
    </xf>
    <xf numFmtId="0" fontId="0" fillId="4" borderId="29" xfId="13" applyFont="1" applyFill="1" applyBorder="1" applyAlignment="1" applyProtection="1">
      <alignment vertical="center" wrapText="1"/>
      <protection locked="0"/>
    </xf>
    <xf numFmtId="0" fontId="3" fillId="6" borderId="52" xfId="5" applyFont="1" applyFill="1" applyBorder="1" applyAlignment="1" applyProtection="1">
      <alignment horizontal="right" vertical="center" wrapText="1"/>
    </xf>
    <xf numFmtId="0" fontId="0" fillId="11" borderId="32" xfId="13" applyFont="1" applyFill="1" applyBorder="1" applyAlignment="1" applyProtection="1">
      <alignment horizontal="left" vertical="center" wrapText="1"/>
      <protection locked="0"/>
    </xf>
  </cellXfs>
  <cellStyles count="29">
    <cellStyle name="Comma" xfId="1" builtinId="3"/>
    <cellStyle name="Comma 2" xfId="2"/>
    <cellStyle name="Comma 2 2" xfId="16"/>
    <cellStyle name="Comma 4" xfId="18"/>
    <cellStyle name="Comma_Data 2" xfId="3"/>
    <cellStyle name="Currency 2" xfId="4"/>
    <cellStyle name="Currency 2 2" xfId="25"/>
    <cellStyle name="Followed Hyperlink" xfId="21" builtinId="9" hidden="1"/>
    <cellStyle name="Followed Hyperlink" xfId="23" builtinId="9" hidden="1"/>
    <cellStyle name="Hyperlink" xfId="20" builtinId="8" hidden="1"/>
    <cellStyle name="Hyperlink" xfId="22" builtinId="8" hidden="1"/>
    <cellStyle name="Normal" xfId="0" builtinId="0"/>
    <cellStyle name="Normal 2" xfId="5"/>
    <cellStyle name="Normal 2 2" xfId="26"/>
    <cellStyle name="Normal 3" xfId="13"/>
    <cellStyle name="Normal 4" xfId="24"/>
    <cellStyle name="Normal 6" xfId="19"/>
    <cellStyle name="Normal_Sheet1" xfId="14"/>
    <cellStyle name="Percent" xfId="15" builtinId="5"/>
    <cellStyle name="Percent 2" xfId="6"/>
    <cellStyle name="Percent 2 2" xfId="27"/>
    <cellStyle name="Percent 3" xfId="17"/>
    <cellStyle name="Percent 4" xfId="28"/>
    <cellStyle name="PSChar" xfId="7"/>
    <cellStyle name="PSDate" xfId="8"/>
    <cellStyle name="PSDec" xfId="9"/>
    <cellStyle name="PSHeading" xfId="10"/>
    <cellStyle name="PSInt" xfId="11"/>
    <cellStyle name="PSSpacer" xfId="12"/>
  </cellStyles>
  <dxfs count="9">
    <dxf>
      <font>
        <color rgb="FF9C0006"/>
      </font>
    </dxf>
    <dxf>
      <font>
        <color rgb="FF9C0006"/>
      </font>
    </dxf>
    <dxf>
      <font>
        <color rgb="FF9C0006"/>
      </font>
    </dxf>
    <dxf>
      <font>
        <b/>
        <i/>
        <condense val="0"/>
        <extend val="0"/>
        <color indexed="9"/>
      </font>
      <fill>
        <patternFill>
          <bgColor indexed="10"/>
        </patternFill>
      </fill>
    </dxf>
    <dxf>
      <font>
        <b/>
        <i/>
        <condense val="0"/>
        <extend val="0"/>
        <color indexed="9"/>
      </font>
      <fill>
        <patternFill>
          <bgColor indexed="10"/>
        </patternFill>
      </fill>
    </dxf>
    <dxf>
      <font>
        <b/>
        <i/>
        <condense val="0"/>
        <extend val="0"/>
        <color indexed="9"/>
      </font>
      <fill>
        <patternFill>
          <bgColor indexed="10"/>
        </patternFill>
      </fill>
    </dxf>
    <dxf>
      <font>
        <b/>
        <i/>
        <condense val="0"/>
        <extend val="0"/>
        <color indexed="9"/>
      </font>
      <fill>
        <patternFill>
          <bgColor indexed="10"/>
        </patternFill>
      </fill>
    </dxf>
    <dxf>
      <font>
        <b/>
        <i/>
        <condense val="0"/>
        <extend val="0"/>
        <color indexed="9"/>
      </font>
      <fill>
        <patternFill>
          <bgColor indexed="10"/>
        </patternFill>
      </fill>
    </dxf>
    <dxf>
      <font>
        <b/>
        <i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7DB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177800</xdr:rowOff>
    </xdr:from>
    <xdr:to>
      <xdr:col>3</xdr:col>
      <xdr:colOff>587375</xdr:colOff>
      <xdr:row>5</xdr:row>
      <xdr:rowOff>38100</xdr:rowOff>
    </xdr:to>
    <xdr:pic macro="[0]!markHWfiles">
      <xdr:nvPicPr>
        <xdr:cNvPr id="512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200" y="152400"/>
          <a:ext cx="2997200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00"/>
  <sheetViews>
    <sheetView workbookViewId="0">
      <selection activeCell="D21" sqref="D21"/>
    </sheetView>
  </sheetViews>
  <sheetFormatPr baseColWidth="10" defaultColWidth="8.6640625" defaultRowHeight="13" x14ac:dyDescent="0.15"/>
  <cols>
    <col min="1" max="2" width="9.33203125" bestFit="1" customWidth="1"/>
    <col min="3" max="3" width="12.5" bestFit="1" customWidth="1"/>
    <col min="4" max="4" width="11.5" bestFit="1" customWidth="1"/>
    <col min="5" max="5" width="10.5" bestFit="1" customWidth="1"/>
    <col min="6" max="6" width="12.5" bestFit="1" customWidth="1"/>
    <col min="7" max="16" width="9.33203125" bestFit="1" customWidth="1"/>
    <col min="17" max="18" width="12.1640625" bestFit="1" customWidth="1"/>
    <col min="19" max="20" width="9.33203125" bestFit="1" customWidth="1"/>
  </cols>
  <sheetData>
    <row r="1" spans="1:6" x14ac:dyDescent="0.15">
      <c r="A1" s="2"/>
      <c r="F1" s="1"/>
    </row>
    <row r="7" spans="1:6" x14ac:dyDescent="0.15">
      <c r="A7" s="2"/>
      <c r="B7" s="2"/>
    </row>
    <row r="8" spans="1:6" x14ac:dyDescent="0.15">
      <c r="A8" s="2"/>
      <c r="B8" s="2"/>
    </row>
    <row r="9" spans="1:6" x14ac:dyDescent="0.15">
      <c r="A9" s="2"/>
      <c r="B9" s="2"/>
    </row>
    <row r="10" spans="1:6" x14ac:dyDescent="0.15">
      <c r="A10" s="2"/>
      <c r="B10" s="2"/>
    </row>
    <row r="11" spans="1:6" x14ac:dyDescent="0.15">
      <c r="A11" s="2"/>
      <c r="B11" s="2"/>
    </row>
    <row r="12" spans="1:6" x14ac:dyDescent="0.15">
      <c r="A12" s="2"/>
      <c r="B12" s="2"/>
    </row>
    <row r="13" spans="1:6" x14ac:dyDescent="0.15">
      <c r="A13" s="2"/>
      <c r="B13" s="2"/>
    </row>
    <row r="14" spans="1:6" x14ac:dyDescent="0.15">
      <c r="A14" s="2"/>
      <c r="B14" s="2"/>
    </row>
    <row r="15" spans="1:6" x14ac:dyDescent="0.15">
      <c r="A15" s="2"/>
      <c r="B15" s="2"/>
    </row>
    <row r="16" spans="1:6" x14ac:dyDescent="0.15">
      <c r="A16" s="2"/>
      <c r="B16" s="2"/>
    </row>
    <row r="17" spans="1:2" x14ac:dyDescent="0.15">
      <c r="A17" s="2"/>
      <c r="B17" s="2"/>
    </row>
    <row r="18" spans="1:2" x14ac:dyDescent="0.15">
      <c r="A18" s="2"/>
      <c r="B18" s="2"/>
    </row>
    <row r="19" spans="1:2" x14ac:dyDescent="0.15">
      <c r="A19" s="2"/>
      <c r="B19" s="2"/>
    </row>
    <row r="20" spans="1:2" x14ac:dyDescent="0.15">
      <c r="A20" s="2"/>
      <c r="B20" s="2"/>
    </row>
    <row r="21" spans="1:2" x14ac:dyDescent="0.15">
      <c r="A21" s="2"/>
      <c r="B21" s="2"/>
    </row>
    <row r="22" spans="1:2" x14ac:dyDescent="0.15">
      <c r="A22" s="2"/>
      <c r="B22" s="2"/>
    </row>
    <row r="23" spans="1:2" x14ac:dyDescent="0.15">
      <c r="A23" s="2"/>
      <c r="B23" s="2"/>
    </row>
    <row r="24" spans="1:2" x14ac:dyDescent="0.15">
      <c r="A24" s="2"/>
      <c r="B24" s="2"/>
    </row>
    <row r="25" spans="1:2" x14ac:dyDescent="0.15">
      <c r="A25" s="2"/>
      <c r="B25" s="2"/>
    </row>
    <row r="26" spans="1:2" x14ac:dyDescent="0.15">
      <c r="A26" s="2"/>
      <c r="B26" s="2"/>
    </row>
    <row r="27" spans="1:2" x14ac:dyDescent="0.15">
      <c r="A27" s="2"/>
      <c r="B27" s="2"/>
    </row>
    <row r="28" spans="1:2" x14ac:dyDescent="0.15">
      <c r="A28" s="2"/>
      <c r="B28" s="2"/>
    </row>
    <row r="29" spans="1:2" x14ac:dyDescent="0.15">
      <c r="A29" s="2"/>
      <c r="B29" s="2"/>
    </row>
    <row r="30" spans="1:2" x14ac:dyDescent="0.15">
      <c r="A30" s="2"/>
      <c r="B30" s="2"/>
    </row>
    <row r="31" spans="1:2" x14ac:dyDescent="0.15">
      <c r="A31" s="2"/>
      <c r="B31" s="2"/>
    </row>
    <row r="32" spans="1:2" x14ac:dyDescent="0.15">
      <c r="A32" s="2"/>
      <c r="B32" s="2"/>
    </row>
    <row r="33" spans="1:2" x14ac:dyDescent="0.15">
      <c r="A33" s="2"/>
      <c r="B33" s="2"/>
    </row>
    <row r="34" spans="1:2" x14ac:dyDescent="0.15">
      <c r="A34" s="2"/>
      <c r="B34" s="2"/>
    </row>
    <row r="35" spans="1:2" x14ac:dyDescent="0.15">
      <c r="A35" s="2"/>
      <c r="B35" s="2"/>
    </row>
    <row r="36" spans="1:2" x14ac:dyDescent="0.15">
      <c r="A36" s="2"/>
      <c r="B36" s="2"/>
    </row>
    <row r="37" spans="1:2" x14ac:dyDescent="0.15">
      <c r="A37" s="2"/>
      <c r="B37" s="2"/>
    </row>
    <row r="38" spans="1:2" x14ac:dyDescent="0.15">
      <c r="A38" s="2"/>
      <c r="B38" s="2"/>
    </row>
    <row r="39" spans="1:2" x14ac:dyDescent="0.15">
      <c r="A39" s="2"/>
      <c r="B39" s="2"/>
    </row>
    <row r="40" spans="1:2" x14ac:dyDescent="0.15">
      <c r="A40" s="2"/>
      <c r="B40" s="2"/>
    </row>
    <row r="41" spans="1:2" x14ac:dyDescent="0.15">
      <c r="A41" s="2"/>
      <c r="B41" s="2"/>
    </row>
    <row r="42" spans="1:2" x14ac:dyDescent="0.15">
      <c r="A42" s="2"/>
      <c r="B42" s="2"/>
    </row>
    <row r="43" spans="1:2" x14ac:dyDescent="0.15">
      <c r="A43" s="2"/>
      <c r="B43" s="2"/>
    </row>
    <row r="44" spans="1:2" x14ac:dyDescent="0.15">
      <c r="A44" s="2"/>
      <c r="B44" s="2"/>
    </row>
    <row r="45" spans="1:2" x14ac:dyDescent="0.15">
      <c r="A45" s="2"/>
      <c r="B45" s="2"/>
    </row>
    <row r="46" spans="1:2" x14ac:dyDescent="0.15">
      <c r="A46" s="2"/>
      <c r="B46" s="2"/>
    </row>
    <row r="47" spans="1:2" x14ac:dyDescent="0.15">
      <c r="A47" s="2"/>
      <c r="B47" s="2"/>
    </row>
    <row r="48" spans="1:2" x14ac:dyDescent="0.15">
      <c r="A48" s="2"/>
      <c r="B48" s="2"/>
    </row>
    <row r="49" spans="1:2" x14ac:dyDescent="0.15">
      <c r="A49" s="2"/>
      <c r="B49" s="2"/>
    </row>
    <row r="50" spans="1:2" x14ac:dyDescent="0.15">
      <c r="A50" s="2"/>
      <c r="B50" s="2"/>
    </row>
    <row r="51" spans="1:2" x14ac:dyDescent="0.15">
      <c r="A51" s="2"/>
      <c r="B51" s="2"/>
    </row>
    <row r="52" spans="1:2" x14ac:dyDescent="0.15">
      <c r="A52" s="2"/>
      <c r="B52" s="2"/>
    </row>
    <row r="53" spans="1:2" x14ac:dyDescent="0.15">
      <c r="A53" s="2"/>
      <c r="B53" s="2"/>
    </row>
    <row r="54" spans="1:2" x14ac:dyDescent="0.15">
      <c r="A54" s="2"/>
      <c r="B54" s="2"/>
    </row>
    <row r="55" spans="1:2" x14ac:dyDescent="0.15">
      <c r="A55" s="2"/>
      <c r="B55" s="2"/>
    </row>
    <row r="56" spans="1:2" x14ac:dyDescent="0.15">
      <c r="A56" s="2"/>
      <c r="B56" s="2"/>
    </row>
    <row r="57" spans="1:2" x14ac:dyDescent="0.15">
      <c r="A57" s="2"/>
      <c r="B57" s="2"/>
    </row>
    <row r="58" spans="1:2" x14ac:dyDescent="0.15">
      <c r="A58" s="2"/>
      <c r="B58" s="2"/>
    </row>
    <row r="59" spans="1:2" x14ac:dyDescent="0.15">
      <c r="A59" s="2"/>
      <c r="B59" s="2"/>
    </row>
    <row r="60" spans="1:2" x14ac:dyDescent="0.15">
      <c r="A60" s="2"/>
      <c r="B60" s="2"/>
    </row>
    <row r="61" spans="1:2" x14ac:dyDescent="0.15">
      <c r="A61" s="2"/>
      <c r="B61" s="2"/>
    </row>
    <row r="62" spans="1:2" x14ac:dyDescent="0.15">
      <c r="A62" s="2"/>
      <c r="B62" s="2"/>
    </row>
    <row r="63" spans="1:2" x14ac:dyDescent="0.15">
      <c r="A63" s="2"/>
      <c r="B63" s="2"/>
    </row>
    <row r="64" spans="1:2" x14ac:dyDescent="0.15">
      <c r="A64" s="2"/>
      <c r="B64" s="2"/>
    </row>
    <row r="65" spans="1:2" x14ac:dyDescent="0.15">
      <c r="A65" s="2"/>
      <c r="B65" s="2"/>
    </row>
    <row r="66" spans="1:2" x14ac:dyDescent="0.15">
      <c r="A66" s="2"/>
      <c r="B66" s="2"/>
    </row>
    <row r="67" spans="1:2" x14ac:dyDescent="0.15">
      <c r="A67" s="2"/>
      <c r="B67" s="2"/>
    </row>
    <row r="68" spans="1:2" x14ac:dyDescent="0.15">
      <c r="A68" s="2"/>
      <c r="B68" s="2"/>
    </row>
    <row r="69" spans="1:2" x14ac:dyDescent="0.15">
      <c r="A69" s="2"/>
      <c r="B69" s="2"/>
    </row>
    <row r="70" spans="1:2" x14ac:dyDescent="0.15">
      <c r="A70" s="2"/>
      <c r="B70" s="2"/>
    </row>
    <row r="71" spans="1:2" x14ac:dyDescent="0.15">
      <c r="A71" s="2"/>
      <c r="B71" s="2"/>
    </row>
    <row r="72" spans="1:2" x14ac:dyDescent="0.15">
      <c r="A72" s="2"/>
      <c r="B72" s="2"/>
    </row>
    <row r="73" spans="1:2" x14ac:dyDescent="0.15">
      <c r="A73" s="2"/>
      <c r="B73" s="2"/>
    </row>
    <row r="74" spans="1:2" x14ac:dyDescent="0.15">
      <c r="A74" s="2"/>
      <c r="B74" s="2"/>
    </row>
    <row r="75" spans="1:2" x14ac:dyDescent="0.15">
      <c r="A75" s="2"/>
      <c r="B75" s="2"/>
    </row>
    <row r="76" spans="1:2" x14ac:dyDescent="0.15">
      <c r="A76" s="2"/>
      <c r="B76" s="2"/>
    </row>
    <row r="77" spans="1:2" x14ac:dyDescent="0.15">
      <c r="A77" s="2"/>
      <c r="B77" s="2"/>
    </row>
    <row r="78" spans="1:2" x14ac:dyDescent="0.15">
      <c r="A78" s="2"/>
      <c r="B78" s="2"/>
    </row>
    <row r="79" spans="1:2" x14ac:dyDescent="0.15">
      <c r="A79" s="2"/>
      <c r="B79" s="2"/>
    </row>
    <row r="80" spans="1:2" x14ac:dyDescent="0.15">
      <c r="A80" s="2"/>
      <c r="B80" s="2"/>
    </row>
    <row r="81" spans="1:2" x14ac:dyDescent="0.15">
      <c r="A81" s="2"/>
      <c r="B81" s="2"/>
    </row>
    <row r="82" spans="1:2" x14ac:dyDescent="0.15">
      <c r="A82" s="2"/>
      <c r="B82" s="2"/>
    </row>
    <row r="83" spans="1:2" x14ac:dyDescent="0.15">
      <c r="A83" s="2"/>
      <c r="B83" s="2"/>
    </row>
    <row r="84" spans="1:2" x14ac:dyDescent="0.15">
      <c r="A84" s="2"/>
      <c r="B84" s="2"/>
    </row>
    <row r="85" spans="1:2" x14ac:dyDescent="0.15">
      <c r="A85" s="2"/>
      <c r="B85" s="2"/>
    </row>
    <row r="86" spans="1:2" x14ac:dyDescent="0.15">
      <c r="A86" s="2"/>
      <c r="B86" s="2"/>
    </row>
    <row r="87" spans="1:2" x14ac:dyDescent="0.15">
      <c r="A87" s="2"/>
      <c r="B87" s="2"/>
    </row>
    <row r="88" spans="1:2" x14ac:dyDescent="0.15">
      <c r="A88" s="2"/>
      <c r="B88" s="2"/>
    </row>
    <row r="89" spans="1:2" x14ac:dyDescent="0.15">
      <c r="A89" s="2"/>
      <c r="B89" s="2"/>
    </row>
    <row r="90" spans="1:2" x14ac:dyDescent="0.15">
      <c r="A90" s="2"/>
      <c r="B90" s="2"/>
    </row>
    <row r="91" spans="1:2" x14ac:dyDescent="0.15">
      <c r="A91" s="2"/>
      <c r="B91" s="2"/>
    </row>
    <row r="92" spans="1:2" x14ac:dyDescent="0.15">
      <c r="A92" s="2"/>
      <c r="B92" s="2"/>
    </row>
    <row r="93" spans="1:2" x14ac:dyDescent="0.15">
      <c r="A93" s="2"/>
      <c r="B93" s="2"/>
    </row>
    <row r="94" spans="1:2" x14ac:dyDescent="0.15">
      <c r="A94" s="2"/>
      <c r="B94" s="2"/>
    </row>
    <row r="95" spans="1:2" x14ac:dyDescent="0.15">
      <c r="A95" s="2"/>
      <c r="B95" s="2"/>
    </row>
    <row r="96" spans="1:2" x14ac:dyDescent="0.15">
      <c r="A96" s="2"/>
      <c r="B96" s="2"/>
    </row>
    <row r="97" spans="1:2" x14ac:dyDescent="0.15">
      <c r="A97" s="2"/>
      <c r="B97" s="2"/>
    </row>
    <row r="98" spans="1:2" x14ac:dyDescent="0.15">
      <c r="A98" s="2"/>
      <c r="B98" s="2"/>
    </row>
    <row r="99" spans="1:2" x14ac:dyDescent="0.15">
      <c r="A99" s="2"/>
      <c r="B99" s="2"/>
    </row>
    <row r="100" spans="1:2" x14ac:dyDescent="0.15">
      <c r="A100" s="2"/>
      <c r="B100" s="2"/>
    </row>
  </sheetData>
  <phoneticPr fontId="2" type="noConversion"/>
  <conditionalFormatting sqref="A1 A7:B100">
    <cfRule type="cellIs" dxfId="8" priority="1" stopIfTrue="1" operator="equal">
      <formula>SUSPECT</formula>
    </cfRule>
  </conditionalFormatting>
  <pageMargins left="0.75" right="0.75" top="1" bottom="1" header="0.5" footer="0.5"/>
  <headerFooter alignWithMargins="0"/>
  <customProperties>
    <customPr name="DVSECTION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>
      <selection activeCell="A18" sqref="A18"/>
    </sheetView>
  </sheetViews>
  <sheetFormatPr baseColWidth="10" defaultColWidth="8.83203125" defaultRowHeight="13" x14ac:dyDescent="0.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G229"/>
  <sheetViews>
    <sheetView topLeftCell="A46" workbookViewId="0">
      <pane xSplit="10440" topLeftCell="BZ1" activePane="topRight"/>
      <selection activeCell="A104" sqref="A104"/>
      <selection pane="topRight" activeCell="CF105" sqref="CF105"/>
    </sheetView>
  </sheetViews>
  <sheetFormatPr baseColWidth="10" defaultColWidth="8.6640625" defaultRowHeight="13" x14ac:dyDescent="0.15"/>
  <cols>
    <col min="1" max="1" width="52.83203125" style="3" customWidth="1"/>
    <col min="2" max="2" width="13.5" style="3" bestFit="1" customWidth="1"/>
    <col min="3" max="3" width="82.5" style="3" hidden="1" customWidth="1"/>
    <col min="4" max="4" width="1.1640625" style="3" customWidth="1"/>
    <col min="5" max="5" width="13.33203125" style="3" customWidth="1"/>
    <col min="6" max="8" width="10.1640625" style="3" bestFit="1" customWidth="1"/>
    <col min="9" max="9" width="10.1640625" style="3" customWidth="1"/>
    <col min="10" max="10" width="13.5" style="70" bestFit="1" customWidth="1"/>
    <col min="11" max="11" width="12" style="70" bestFit="1" customWidth="1"/>
    <col min="12" max="12" width="8.6640625" style="3" bestFit="1" customWidth="1"/>
    <col min="13" max="13" width="12.1640625" style="74" bestFit="1" customWidth="1"/>
    <col min="14" max="14" width="13.6640625" style="58" bestFit="1" customWidth="1"/>
    <col min="15" max="15" width="12.5" style="58" bestFit="1" customWidth="1"/>
    <col min="16" max="16" width="8.6640625" style="3" bestFit="1" customWidth="1"/>
    <col min="17" max="17" width="12.6640625" style="63" bestFit="1" customWidth="1"/>
    <col min="18" max="18" width="14.6640625" style="63" bestFit="1" customWidth="1"/>
    <col min="19" max="19" width="12.6640625" style="58" bestFit="1" customWidth="1"/>
    <col min="20" max="20" width="14.6640625" style="63" bestFit="1" customWidth="1"/>
    <col min="21" max="23" width="11.6640625" style="63" customWidth="1"/>
    <col min="24" max="24" width="15.6640625" style="63" bestFit="1" customWidth="1"/>
    <col min="25" max="25" width="13.5" style="63" bestFit="1" customWidth="1"/>
    <col min="26" max="26" width="13.6640625" style="63" bestFit="1" customWidth="1"/>
    <col min="27" max="30" width="12.6640625" style="63" bestFit="1" customWidth="1"/>
    <col min="31" max="31" width="12.33203125" style="63" bestFit="1" customWidth="1"/>
    <col min="32" max="32" width="13.6640625" style="66" bestFit="1" customWidth="1"/>
    <col min="33" max="33" width="13.6640625" style="66" customWidth="1"/>
    <col min="34" max="34" width="11.33203125" style="66" bestFit="1" customWidth="1"/>
    <col min="35" max="35" width="12.6640625" style="66" bestFit="1" customWidth="1"/>
    <col min="36" max="36" width="12.6640625" style="66" customWidth="1"/>
    <col min="37" max="37" width="12.6640625" style="66" bestFit="1" customWidth="1"/>
    <col min="38" max="43" width="12.6640625" style="66" customWidth="1"/>
    <col min="44" max="44" width="11.33203125" style="9" bestFit="1" customWidth="1"/>
    <col min="45" max="62" width="8.6640625" style="9"/>
    <col min="63" max="63" width="8.6640625" style="3"/>
    <col min="64" max="64" width="9.5" style="3" bestFit="1" customWidth="1"/>
    <col min="65" max="73" width="8.6640625" style="3"/>
    <col min="74" max="74" width="15.6640625" style="3" customWidth="1"/>
    <col min="75" max="75" width="16.1640625" style="3" customWidth="1"/>
    <col min="76" max="16384" width="8.6640625" style="3"/>
  </cols>
  <sheetData>
    <row r="1" spans="1:85" customFormat="1" ht="16.5" customHeight="1" x14ac:dyDescent="0.15">
      <c r="A1" s="4" t="s">
        <v>3</v>
      </c>
      <c r="B1" s="4" t="s">
        <v>4</v>
      </c>
      <c r="C1" s="4" t="s">
        <v>2</v>
      </c>
      <c r="D1" s="4" t="s">
        <v>0</v>
      </c>
      <c r="E1" s="4" t="s">
        <v>46</v>
      </c>
      <c r="F1" s="53" t="s">
        <v>24</v>
      </c>
      <c r="G1" s="53" t="s">
        <v>25</v>
      </c>
      <c r="H1" s="53" t="s">
        <v>26</v>
      </c>
      <c r="I1" s="53" t="s">
        <v>74</v>
      </c>
      <c r="J1" s="53" t="s">
        <v>171</v>
      </c>
      <c r="K1" s="53" t="s">
        <v>172</v>
      </c>
      <c r="L1" s="53" t="s">
        <v>27</v>
      </c>
      <c r="M1" s="71" t="s">
        <v>28</v>
      </c>
      <c r="N1" s="56" t="s">
        <v>29</v>
      </c>
      <c r="O1" s="56" t="s">
        <v>30</v>
      </c>
      <c r="P1" s="53" t="s">
        <v>31</v>
      </c>
      <c r="Q1" s="59" t="s">
        <v>32</v>
      </c>
      <c r="R1" s="59" t="s">
        <v>33</v>
      </c>
      <c r="S1" s="56" t="s">
        <v>173</v>
      </c>
      <c r="T1" s="59" t="s">
        <v>34</v>
      </c>
      <c r="U1" s="59" t="s">
        <v>35</v>
      </c>
      <c r="V1" s="59" t="s">
        <v>36</v>
      </c>
      <c r="W1" s="59" t="s">
        <v>37</v>
      </c>
      <c r="X1" s="59" t="s">
        <v>50</v>
      </c>
      <c r="Y1" s="59" t="s">
        <v>51</v>
      </c>
      <c r="Z1" s="59" t="s">
        <v>83</v>
      </c>
      <c r="AA1" s="59" t="s">
        <v>174</v>
      </c>
      <c r="AB1" s="59" t="s">
        <v>38</v>
      </c>
      <c r="AC1" s="59" t="s">
        <v>39</v>
      </c>
      <c r="AD1" s="59" t="s">
        <v>75</v>
      </c>
      <c r="AE1" s="59" t="s">
        <v>76</v>
      </c>
      <c r="AF1" s="59" t="s">
        <v>77</v>
      </c>
      <c r="AG1" s="59" t="s">
        <v>78</v>
      </c>
      <c r="AH1" s="64" t="s">
        <v>79</v>
      </c>
      <c r="AI1" s="64" t="s">
        <v>175</v>
      </c>
      <c r="AJ1" s="64" t="s">
        <v>176</v>
      </c>
      <c r="AK1" s="64" t="s">
        <v>177</v>
      </c>
      <c r="AL1" s="64" t="s">
        <v>66</v>
      </c>
      <c r="AM1" s="64" t="s">
        <v>67</v>
      </c>
      <c r="AN1" s="64" t="s">
        <v>68</v>
      </c>
      <c r="AO1" s="64" t="s">
        <v>85</v>
      </c>
      <c r="AP1" s="64" t="s">
        <v>80</v>
      </c>
      <c r="AQ1" s="64" t="s">
        <v>81</v>
      </c>
      <c r="AR1" s="64" t="s">
        <v>82</v>
      </c>
      <c r="AS1" s="7" t="str">
        <f>"M_"&amp;F1</f>
        <v>M_1a</v>
      </c>
      <c r="AT1" s="7" t="str">
        <f t="shared" ref="AT1:CE1" si="0">"M_"&amp;G1</f>
        <v>M_1b</v>
      </c>
      <c r="AU1" s="7" t="str">
        <f t="shared" si="0"/>
        <v>M_1c</v>
      </c>
      <c r="AV1" s="7" t="str">
        <f t="shared" si="0"/>
        <v>M_1d</v>
      </c>
      <c r="AW1" s="7" t="str">
        <f t="shared" si="0"/>
        <v>M_1e</v>
      </c>
      <c r="AX1" s="7" t="str">
        <f t="shared" si="0"/>
        <v>M_1f</v>
      </c>
      <c r="AY1" s="7" t="str">
        <f t="shared" si="0"/>
        <v>M_2a</v>
      </c>
      <c r="AZ1" s="7" t="str">
        <f t="shared" si="0"/>
        <v>M_2b</v>
      </c>
      <c r="BA1" s="7" t="str">
        <f t="shared" si="0"/>
        <v>M_2c</v>
      </c>
      <c r="BB1" s="7" t="str">
        <f t="shared" si="0"/>
        <v>M_3a</v>
      </c>
      <c r="BC1" s="7" t="str">
        <f t="shared" si="0"/>
        <v>M_3b</v>
      </c>
      <c r="BD1" s="7" t="str">
        <f t="shared" si="0"/>
        <v>M_3c</v>
      </c>
      <c r="BE1" s="7" t="str">
        <f t="shared" si="0"/>
        <v>M_3d</v>
      </c>
      <c r="BF1" s="7" t="str">
        <f t="shared" si="0"/>
        <v>M_3f</v>
      </c>
      <c r="BG1" s="7" t="str">
        <f t="shared" si="0"/>
        <v>M_4a</v>
      </c>
      <c r="BH1" s="7" t="str">
        <f t="shared" si="0"/>
        <v>M_4b</v>
      </c>
      <c r="BI1" s="7" t="str">
        <f t="shared" si="0"/>
        <v>M_4c</v>
      </c>
      <c r="BJ1" s="7" t="str">
        <f t="shared" si="0"/>
        <v>M_4d</v>
      </c>
      <c r="BK1" s="7" t="str">
        <f t="shared" si="0"/>
        <v>M_5a</v>
      </c>
      <c r="BL1" s="7" t="str">
        <f t="shared" si="0"/>
        <v>M_5b</v>
      </c>
      <c r="BM1" s="7" t="str">
        <f t="shared" si="0"/>
        <v>M_6a</v>
      </c>
      <c r="BN1" s="7" t="str">
        <f t="shared" si="0"/>
        <v>M_6b</v>
      </c>
      <c r="BO1" s="7" t="str">
        <f t="shared" si="0"/>
        <v>M_7a</v>
      </c>
      <c r="BP1" s="7" t="str">
        <f t="shared" si="0"/>
        <v>M_7b</v>
      </c>
      <c r="BQ1" s="7" t="str">
        <f t="shared" si="0"/>
        <v>M_7c</v>
      </c>
      <c r="BR1" s="7" t="str">
        <f t="shared" si="0"/>
        <v>M_7d</v>
      </c>
      <c r="BS1" s="7" t="str">
        <f t="shared" si="0"/>
        <v>M_7e</v>
      </c>
      <c r="BT1" s="7" t="str">
        <f t="shared" si="0"/>
        <v>M_7f</v>
      </c>
      <c r="BU1" s="7" t="str">
        <f t="shared" si="0"/>
        <v>M_7g</v>
      </c>
      <c r="BV1" s="7" t="str">
        <f t="shared" si="0"/>
        <v>M_7h</v>
      </c>
      <c r="BW1" s="7" t="str">
        <f t="shared" si="0"/>
        <v>M_7i</v>
      </c>
      <c r="BX1" s="7" t="str">
        <f t="shared" si="0"/>
        <v>M_7j</v>
      </c>
      <c r="BY1" s="7" t="str">
        <f t="shared" si="0"/>
        <v>M_8a</v>
      </c>
      <c r="BZ1" s="7" t="str">
        <f t="shared" si="0"/>
        <v>M_8b</v>
      </c>
      <c r="CA1" s="7" t="str">
        <f t="shared" si="0"/>
        <v>M_8c</v>
      </c>
      <c r="CB1" s="7" t="str">
        <f t="shared" si="0"/>
        <v>M_8d</v>
      </c>
      <c r="CC1" s="7" t="str">
        <f t="shared" si="0"/>
        <v>M_9a</v>
      </c>
      <c r="CD1" s="7" t="str">
        <f t="shared" si="0"/>
        <v>M_9b</v>
      </c>
      <c r="CE1" s="7" t="str">
        <f t="shared" si="0"/>
        <v>M_9c</v>
      </c>
      <c r="CF1" s="6" t="s">
        <v>178</v>
      </c>
      <c r="CG1" s="6" t="s">
        <v>40</v>
      </c>
    </row>
    <row r="2" spans="1:85" customFormat="1" x14ac:dyDescent="0.15">
      <c r="A2" s="270" t="s">
        <v>205</v>
      </c>
      <c r="B2" s="4">
        <v>335</v>
      </c>
      <c r="C2" s="4" t="s">
        <v>307</v>
      </c>
      <c r="D2" s="4"/>
      <c r="E2" s="4"/>
      <c r="F2" s="53" t="s">
        <v>92</v>
      </c>
      <c r="G2" s="53" t="s">
        <v>70</v>
      </c>
      <c r="H2" s="53" t="s">
        <v>45</v>
      </c>
      <c r="I2" s="53" t="s">
        <v>92</v>
      </c>
      <c r="J2" s="53" t="s">
        <v>93</v>
      </c>
      <c r="K2" s="53" t="s">
        <v>9</v>
      </c>
      <c r="L2" s="53">
        <v>387500</v>
      </c>
      <c r="M2" s="71">
        <v>0</v>
      </c>
      <c r="N2" s="56" t="s">
        <v>41</v>
      </c>
      <c r="O2" s="56">
        <v>627.24776129032296</v>
      </c>
      <c r="P2" s="53">
        <v>507</v>
      </c>
      <c r="Q2" s="59">
        <v>120.247761290323</v>
      </c>
      <c r="R2" s="59" t="s">
        <v>96</v>
      </c>
      <c r="S2" s="56">
        <v>6660164</v>
      </c>
      <c r="T2" s="59">
        <v>35356686</v>
      </c>
      <c r="U2" s="59">
        <v>294031.96883338102</v>
      </c>
      <c r="V2" s="59">
        <v>66.599999999999994</v>
      </c>
      <c r="W2" s="59">
        <v>258031.298604285</v>
      </c>
      <c r="X2" s="59">
        <v>36000.670229096402</v>
      </c>
      <c r="Y2" s="59" t="s">
        <v>41</v>
      </c>
      <c r="Z2" s="59">
        <v>1.8723294005578199E-2</v>
      </c>
      <c r="AA2" s="59">
        <v>1.8723294005578199E-2</v>
      </c>
      <c r="AB2" s="59">
        <v>229215337.34193501</v>
      </c>
      <c r="AC2" s="59">
        <v>217989522</v>
      </c>
      <c r="AD2" s="59">
        <v>11225815.341935501</v>
      </c>
      <c r="AE2" s="59">
        <v>-181047</v>
      </c>
      <c r="AF2" s="59">
        <v>-2321387</v>
      </c>
      <c r="AG2" s="59">
        <v>-4157730</v>
      </c>
      <c r="AH2" s="64">
        <v>4565651.3419354903</v>
      </c>
      <c r="AI2" s="64">
        <v>913130.26838709705</v>
      </c>
      <c r="AJ2" s="64">
        <v>3652521.0735483901</v>
      </c>
      <c r="AK2" s="64">
        <v>0.18999601206892</v>
      </c>
      <c r="AL2" s="64">
        <v>226706346.296774</v>
      </c>
      <c r="AM2" s="64">
        <v>3267728.2374193701</v>
      </c>
      <c r="AN2" s="64">
        <v>3208</v>
      </c>
      <c r="AO2" s="64" t="s">
        <v>41</v>
      </c>
      <c r="AP2" s="64" t="s">
        <v>71</v>
      </c>
      <c r="AQ2" s="64" t="s">
        <v>70</v>
      </c>
      <c r="AR2" s="64" t="s">
        <v>204</v>
      </c>
      <c r="AS2" s="7">
        <v>0.5</v>
      </c>
      <c r="AT2" s="7">
        <v>0.5</v>
      </c>
      <c r="AU2" s="7">
        <v>0.5</v>
      </c>
      <c r="AV2" s="7">
        <v>0.5</v>
      </c>
      <c r="AW2" s="7">
        <v>0.5</v>
      </c>
      <c r="AX2" s="7">
        <v>0.5</v>
      </c>
      <c r="AY2" s="7">
        <v>1</v>
      </c>
      <c r="AZ2" s="7">
        <v>0</v>
      </c>
      <c r="BA2" s="7">
        <v>0.5</v>
      </c>
      <c r="BB2" s="7">
        <v>1</v>
      </c>
      <c r="BC2" s="7">
        <v>0.75</v>
      </c>
      <c r="BD2" s="7">
        <v>0.75</v>
      </c>
      <c r="BE2" s="7">
        <v>1</v>
      </c>
      <c r="BF2" s="7">
        <v>0.5</v>
      </c>
      <c r="BG2" s="7">
        <v>0.5</v>
      </c>
      <c r="BH2" s="7">
        <v>0.5</v>
      </c>
      <c r="BI2" s="7">
        <v>1</v>
      </c>
      <c r="BJ2" s="7">
        <v>2</v>
      </c>
      <c r="BK2" s="7">
        <v>1.5</v>
      </c>
      <c r="BL2" s="7">
        <v>0.5</v>
      </c>
      <c r="BM2" s="7">
        <v>0</v>
      </c>
      <c r="BN2" s="7">
        <v>0.5</v>
      </c>
      <c r="BO2" s="7">
        <v>1</v>
      </c>
      <c r="BP2" s="7">
        <v>1</v>
      </c>
      <c r="BQ2" s="7">
        <v>0.25</v>
      </c>
      <c r="BR2" s="7">
        <v>0.25</v>
      </c>
      <c r="BS2" s="7">
        <v>0.25</v>
      </c>
      <c r="BT2" s="7">
        <v>0.25</v>
      </c>
      <c r="BU2" s="7">
        <v>0.25</v>
      </c>
      <c r="BV2" s="7">
        <v>0.25</v>
      </c>
      <c r="BW2" s="7">
        <v>0.25</v>
      </c>
      <c r="BX2" s="7">
        <v>0.25</v>
      </c>
      <c r="BY2" s="7">
        <v>1.5</v>
      </c>
      <c r="BZ2" s="7">
        <v>1.5</v>
      </c>
      <c r="CA2" s="7">
        <v>0</v>
      </c>
      <c r="CB2" s="7">
        <v>1</v>
      </c>
      <c r="CC2" s="7">
        <v>1</v>
      </c>
      <c r="CD2" s="7">
        <v>1</v>
      </c>
      <c r="CE2" s="7">
        <v>1</v>
      </c>
      <c r="CF2" s="272">
        <v>26</v>
      </c>
      <c r="CG2" s="53"/>
    </row>
    <row r="3" spans="1:85" customFormat="1" x14ac:dyDescent="0.15">
      <c r="A3" s="268" t="s">
        <v>206</v>
      </c>
      <c r="B3" s="4">
        <v>418</v>
      </c>
      <c r="C3" s="4" t="s">
        <v>308</v>
      </c>
      <c r="D3" s="4"/>
      <c r="E3" s="4"/>
      <c r="F3" s="53" t="s">
        <v>92</v>
      </c>
      <c r="G3" s="53" t="s">
        <v>70</v>
      </c>
      <c r="H3" s="53" t="s">
        <v>45</v>
      </c>
      <c r="I3" s="53" t="s">
        <v>92</v>
      </c>
      <c r="J3" s="53" t="s">
        <v>93</v>
      </c>
      <c r="K3" s="53" t="s">
        <v>9</v>
      </c>
      <c r="L3" s="53">
        <v>387500</v>
      </c>
      <c r="M3" s="71">
        <v>77500</v>
      </c>
      <c r="N3" s="56" t="s">
        <v>41</v>
      </c>
      <c r="O3" s="56">
        <v>627.25</v>
      </c>
      <c r="P3" s="53">
        <v>507</v>
      </c>
      <c r="Q3" s="59">
        <v>120.25</v>
      </c>
      <c r="R3" s="59" t="s">
        <v>96</v>
      </c>
      <c r="S3" s="56">
        <v>6660164</v>
      </c>
      <c r="T3" s="59">
        <v>36472686</v>
      </c>
      <c r="U3" s="59">
        <v>303312.81</v>
      </c>
      <c r="V3" s="59">
        <v>67</v>
      </c>
      <c r="W3" s="59">
        <v>267312</v>
      </c>
      <c r="X3" s="59">
        <v>36001</v>
      </c>
      <c r="Y3" s="59" t="s">
        <v>41</v>
      </c>
      <c r="Z3" s="59">
        <v>1.8700000000000001E-2</v>
      </c>
      <c r="AA3" s="59">
        <v>1.8700000000000001E-2</v>
      </c>
      <c r="AB3" s="59">
        <v>229215337.34193501</v>
      </c>
      <c r="AC3" s="59">
        <v>219105522</v>
      </c>
      <c r="AD3" s="59">
        <v>10109815.341935501</v>
      </c>
      <c r="AE3" s="59">
        <v>181047</v>
      </c>
      <c r="AF3" s="59">
        <v>2321387</v>
      </c>
      <c r="AG3" s="59">
        <v>4157730</v>
      </c>
      <c r="AH3" s="64">
        <v>3449651.34</v>
      </c>
      <c r="AI3" s="64">
        <v>689930.26</v>
      </c>
      <c r="AJ3" s="64">
        <v>2759721.0735483901</v>
      </c>
      <c r="AK3" s="64">
        <v>0.19</v>
      </c>
      <c r="AL3" s="64">
        <v>226706346</v>
      </c>
      <c r="AM3" s="64">
        <v>2374928</v>
      </c>
      <c r="AN3" s="64">
        <v>28915</v>
      </c>
      <c r="AO3" s="64" t="s">
        <v>41</v>
      </c>
      <c r="AP3" s="64" t="s">
        <v>71</v>
      </c>
      <c r="AQ3" s="64" t="s">
        <v>70</v>
      </c>
      <c r="AR3" s="64" t="s">
        <v>309</v>
      </c>
      <c r="AS3" s="7">
        <v>0.5</v>
      </c>
      <c r="AT3" s="7">
        <v>0.5</v>
      </c>
      <c r="AU3" s="7">
        <v>0.5</v>
      </c>
      <c r="AV3" s="7">
        <v>0.5</v>
      </c>
      <c r="AW3" s="7">
        <v>0.5</v>
      </c>
      <c r="AX3" s="7">
        <v>0.5</v>
      </c>
      <c r="AY3" s="7">
        <v>1</v>
      </c>
      <c r="AZ3" s="7">
        <v>1</v>
      </c>
      <c r="BA3" s="7">
        <v>0.5</v>
      </c>
      <c r="BB3" s="7">
        <v>1</v>
      </c>
      <c r="BC3" s="7">
        <v>0.75</v>
      </c>
      <c r="BD3" s="7">
        <v>0.75</v>
      </c>
      <c r="BE3" s="7">
        <v>1</v>
      </c>
      <c r="BF3" s="7">
        <v>0.5</v>
      </c>
      <c r="BG3" s="7">
        <v>0.5</v>
      </c>
      <c r="BH3" s="7">
        <v>0.5</v>
      </c>
      <c r="BI3" s="7">
        <v>1</v>
      </c>
      <c r="BJ3" s="7">
        <v>2</v>
      </c>
      <c r="BK3" s="7">
        <v>1.5</v>
      </c>
      <c r="BL3" s="7">
        <v>0.5</v>
      </c>
      <c r="BM3" s="7">
        <v>0</v>
      </c>
      <c r="BN3" s="7">
        <v>0.5</v>
      </c>
      <c r="BO3" s="7">
        <v>1</v>
      </c>
      <c r="BP3" s="7">
        <v>1</v>
      </c>
      <c r="BQ3" s="7">
        <v>0.25</v>
      </c>
      <c r="BR3" s="7">
        <v>0.25</v>
      </c>
      <c r="BS3" s="7">
        <v>0.25</v>
      </c>
      <c r="BT3" s="7">
        <v>0.25</v>
      </c>
      <c r="BU3" s="7">
        <v>0.25</v>
      </c>
      <c r="BV3" s="7">
        <v>0.25</v>
      </c>
      <c r="BW3" s="7">
        <v>0.25</v>
      </c>
      <c r="BX3" s="7">
        <v>0.25</v>
      </c>
      <c r="BY3" s="7">
        <v>1.5</v>
      </c>
      <c r="BZ3" s="7">
        <v>1.5</v>
      </c>
      <c r="CA3" s="7">
        <v>2</v>
      </c>
      <c r="CB3" s="7">
        <v>1</v>
      </c>
      <c r="CC3" s="7">
        <v>1</v>
      </c>
      <c r="CD3" s="7">
        <v>1</v>
      </c>
      <c r="CE3" s="7">
        <v>0</v>
      </c>
      <c r="CF3" s="269">
        <v>28</v>
      </c>
      <c r="CG3" s="267"/>
    </row>
    <row r="4" spans="1:85" s="5" customFormat="1" x14ac:dyDescent="0.15">
      <c r="A4" s="5" t="s">
        <v>207</v>
      </c>
      <c r="B4" s="5">
        <v>428</v>
      </c>
      <c r="C4" s="5" t="s">
        <v>310</v>
      </c>
      <c r="F4" s="65" t="s">
        <v>92</v>
      </c>
      <c r="G4" s="65" t="s">
        <v>70</v>
      </c>
      <c r="H4" s="65" t="s">
        <v>45</v>
      </c>
      <c r="I4" s="65" t="s">
        <v>92</v>
      </c>
      <c r="J4" s="68" t="s">
        <v>93</v>
      </c>
      <c r="K4" s="68" t="s">
        <v>9</v>
      </c>
      <c r="L4" s="65">
        <v>387500</v>
      </c>
      <c r="M4" s="68">
        <v>77500</v>
      </c>
      <c r="N4" s="67" t="s">
        <v>41</v>
      </c>
      <c r="O4" s="67">
        <v>627.24776129032296</v>
      </c>
      <c r="P4" s="65">
        <v>507</v>
      </c>
      <c r="Q4" s="65">
        <v>120.247761290323</v>
      </c>
      <c r="R4" s="65" t="s">
        <v>96</v>
      </c>
      <c r="S4" s="65">
        <v>4558997</v>
      </c>
      <c r="T4" s="65">
        <v>33255519</v>
      </c>
      <c r="U4" s="65">
        <v>275979.410788382</v>
      </c>
      <c r="V4" s="65">
        <v>66.599999999999994</v>
      </c>
      <c r="W4" s="65">
        <v>240553.17255717301</v>
      </c>
      <c r="X4" s="65">
        <v>36000</v>
      </c>
      <c r="Y4" s="65" t="s">
        <v>311</v>
      </c>
      <c r="Z4" s="65">
        <v>1.8723294005578199E-2</v>
      </c>
      <c r="AA4" s="65">
        <v>1.8723294005578199E-2</v>
      </c>
      <c r="AB4" s="65">
        <v>229215337.34193501</v>
      </c>
      <c r="AC4" s="65">
        <v>219105522</v>
      </c>
      <c r="AD4" s="65">
        <v>10109815.341935501</v>
      </c>
      <c r="AE4" s="65">
        <v>181047</v>
      </c>
      <c r="AF4" s="65">
        <v>2321387</v>
      </c>
      <c r="AG4" s="65">
        <v>4157730</v>
      </c>
      <c r="AH4" s="65">
        <v>3449651.3419354898</v>
      </c>
      <c r="AI4" s="65">
        <v>689930.26838709705</v>
      </c>
      <c r="AJ4" s="65">
        <v>2759721.0735483901</v>
      </c>
      <c r="AK4" s="65">
        <v>0.18999601206892</v>
      </c>
      <c r="AL4" s="65">
        <v>226706346.296774</v>
      </c>
      <c r="AM4" s="65">
        <v>2374928.2374193701</v>
      </c>
      <c r="AN4" s="65">
        <v>28915.3882786012</v>
      </c>
      <c r="AO4" s="65" t="s">
        <v>41</v>
      </c>
      <c r="AP4" s="65" t="s">
        <v>71</v>
      </c>
      <c r="AQ4" s="65" t="s">
        <v>70</v>
      </c>
      <c r="AR4" s="77" t="s">
        <v>309</v>
      </c>
      <c r="AS4" s="11">
        <v>0.5</v>
      </c>
      <c r="AT4" s="11">
        <v>0.5</v>
      </c>
      <c r="AU4" s="11">
        <v>0.5</v>
      </c>
      <c r="AV4" s="11">
        <v>0.5</v>
      </c>
      <c r="AW4" s="11">
        <v>0.5</v>
      </c>
      <c r="AX4" s="11">
        <v>0.5</v>
      </c>
      <c r="AY4" s="11">
        <v>1</v>
      </c>
      <c r="AZ4" s="11">
        <v>1</v>
      </c>
      <c r="BA4" s="11">
        <v>0.5</v>
      </c>
      <c r="BB4" s="11">
        <v>1</v>
      </c>
      <c r="BC4" s="75">
        <v>0.75</v>
      </c>
      <c r="BD4" s="75">
        <v>0.75</v>
      </c>
      <c r="BE4" s="75">
        <v>1</v>
      </c>
      <c r="BF4" s="75">
        <v>0</v>
      </c>
      <c r="BG4" s="75">
        <v>0</v>
      </c>
      <c r="BH4" s="75">
        <v>0</v>
      </c>
      <c r="BI4" s="75">
        <v>1</v>
      </c>
      <c r="BJ4" s="75">
        <v>0</v>
      </c>
      <c r="BK4" s="75">
        <v>1.5</v>
      </c>
      <c r="BL4" s="76">
        <v>0</v>
      </c>
      <c r="BM4" s="76">
        <v>0</v>
      </c>
      <c r="BN4" s="76">
        <v>0.5</v>
      </c>
      <c r="BO4" s="76">
        <v>1</v>
      </c>
      <c r="BP4" s="76">
        <v>1</v>
      </c>
      <c r="BQ4" s="76">
        <v>0.25</v>
      </c>
      <c r="BR4" s="76">
        <v>0.25</v>
      </c>
      <c r="BS4" s="76">
        <v>0.25</v>
      </c>
      <c r="BT4" s="76">
        <v>0.25</v>
      </c>
      <c r="BU4" s="76">
        <v>0.25</v>
      </c>
      <c r="BV4" s="76">
        <v>0.25</v>
      </c>
      <c r="BW4" s="76">
        <v>0.25</v>
      </c>
      <c r="BX4" s="54">
        <v>0.25</v>
      </c>
      <c r="BY4" s="5">
        <v>1.5</v>
      </c>
      <c r="BZ4" s="60">
        <v>1.5</v>
      </c>
      <c r="CA4" s="5">
        <v>2</v>
      </c>
      <c r="CB4" s="5">
        <v>1</v>
      </c>
      <c r="CC4" s="5">
        <v>1</v>
      </c>
      <c r="CD4" s="5">
        <v>1</v>
      </c>
      <c r="CE4" s="5">
        <v>0</v>
      </c>
      <c r="CF4" s="5">
        <v>24</v>
      </c>
      <c r="CG4" s="191"/>
    </row>
    <row r="5" spans="1:85" s="5" customFormat="1" x14ac:dyDescent="0.15">
      <c r="A5" s="3" t="s">
        <v>208</v>
      </c>
      <c r="B5" s="3">
        <v>392</v>
      </c>
      <c r="C5" s="3" t="s">
        <v>312</v>
      </c>
      <c r="D5" s="3"/>
      <c r="E5" s="3"/>
      <c r="F5" s="3" t="s">
        <v>92</v>
      </c>
      <c r="G5" s="3" t="s">
        <v>70</v>
      </c>
      <c r="H5" s="3" t="s">
        <v>45</v>
      </c>
      <c r="I5" s="3" t="s">
        <v>92</v>
      </c>
      <c r="J5" s="70" t="s">
        <v>93</v>
      </c>
      <c r="K5" s="70" t="s">
        <v>9</v>
      </c>
      <c r="L5" s="3">
        <v>387500</v>
      </c>
      <c r="M5" s="74">
        <v>77500</v>
      </c>
      <c r="N5" s="58" t="s">
        <v>41</v>
      </c>
      <c r="O5" s="58">
        <v>627.24776129032296</v>
      </c>
      <c r="P5" s="3">
        <v>507</v>
      </c>
      <c r="Q5" s="63">
        <v>120.247761290323</v>
      </c>
      <c r="R5" s="63" t="s">
        <v>96</v>
      </c>
      <c r="S5" s="58">
        <v>6660164</v>
      </c>
      <c r="T5" s="63">
        <v>35356686</v>
      </c>
      <c r="U5" s="63">
        <v>294031.96883338102</v>
      </c>
      <c r="V5" s="63">
        <v>66.599999999999994</v>
      </c>
      <c r="W5" s="63">
        <v>258031.298604285</v>
      </c>
      <c r="X5" s="63">
        <v>36000.670229096402</v>
      </c>
      <c r="Y5" s="63" t="s">
        <v>41</v>
      </c>
      <c r="Z5" s="63">
        <v>1.8723294005578199E-2</v>
      </c>
      <c r="AA5" s="63">
        <v>1.8723294005578199E-2</v>
      </c>
      <c r="AB5" s="63">
        <v>229215337.34193501</v>
      </c>
      <c r="AC5" s="63">
        <v>217989522</v>
      </c>
      <c r="AD5" s="63">
        <v>11225815.341935501</v>
      </c>
      <c r="AE5" s="63">
        <v>-181047</v>
      </c>
      <c r="AF5" s="66">
        <v>-2321387</v>
      </c>
      <c r="AG5" s="66">
        <v>-4157730</v>
      </c>
      <c r="AH5" s="66">
        <v>4565651.3419354903</v>
      </c>
      <c r="AI5" s="66">
        <v>913130.26838709705</v>
      </c>
      <c r="AJ5" s="66">
        <v>3652521.0735483901</v>
      </c>
      <c r="AK5" s="66">
        <v>0.18999601206892</v>
      </c>
      <c r="AL5" s="66">
        <v>226706346.296774</v>
      </c>
      <c r="AM5" s="66">
        <v>3267728.2374193701</v>
      </c>
      <c r="AN5" s="66">
        <v>0</v>
      </c>
      <c r="AO5" s="66" t="s">
        <v>41</v>
      </c>
      <c r="AP5" s="66" t="s">
        <v>71</v>
      </c>
      <c r="AQ5" s="66" t="s">
        <v>70</v>
      </c>
      <c r="AR5" s="9" t="s">
        <v>204</v>
      </c>
      <c r="AS5" s="85">
        <v>0.5</v>
      </c>
      <c r="AT5" s="85">
        <v>0.5</v>
      </c>
      <c r="AU5" s="85">
        <v>0.5</v>
      </c>
      <c r="AV5" s="85">
        <v>0.5</v>
      </c>
      <c r="AW5" s="85">
        <v>0.5</v>
      </c>
      <c r="AX5" s="85">
        <v>0.5</v>
      </c>
      <c r="AY5" s="85">
        <v>1</v>
      </c>
      <c r="AZ5" s="85">
        <v>1</v>
      </c>
      <c r="BA5" s="85">
        <v>0.5</v>
      </c>
      <c r="BB5" s="85">
        <v>1</v>
      </c>
      <c r="BC5" s="85">
        <v>0.75</v>
      </c>
      <c r="BD5" s="85">
        <v>0.75</v>
      </c>
      <c r="BE5" s="85">
        <v>1</v>
      </c>
      <c r="BF5" s="85">
        <v>0.5</v>
      </c>
      <c r="BG5" s="85">
        <v>0.5</v>
      </c>
      <c r="BH5" s="85">
        <v>0.5</v>
      </c>
      <c r="BI5" s="85">
        <v>1</v>
      </c>
      <c r="BJ5" s="85">
        <v>2</v>
      </c>
      <c r="BK5" s="85">
        <v>1.5</v>
      </c>
      <c r="BL5" s="85">
        <v>0.5</v>
      </c>
      <c r="BM5" s="85">
        <v>0</v>
      </c>
      <c r="BN5" s="85">
        <v>0.5</v>
      </c>
      <c r="BO5" s="85">
        <v>1</v>
      </c>
      <c r="BP5" s="85">
        <v>1</v>
      </c>
      <c r="BQ5" s="85">
        <v>0.25</v>
      </c>
      <c r="BR5" s="85">
        <v>0.25</v>
      </c>
      <c r="BS5" s="85">
        <v>0.25</v>
      </c>
      <c r="BT5" s="85">
        <v>0.25</v>
      </c>
      <c r="BU5" s="85">
        <v>0.25</v>
      </c>
      <c r="BV5" s="85">
        <v>0.25</v>
      </c>
      <c r="BW5" s="85">
        <v>0.25</v>
      </c>
      <c r="BX5" s="54">
        <v>0.25</v>
      </c>
      <c r="BY5" s="3">
        <v>1.5</v>
      </c>
      <c r="BZ5" s="60">
        <v>1.5</v>
      </c>
      <c r="CA5" s="5">
        <v>0</v>
      </c>
      <c r="CB5" s="5">
        <v>1</v>
      </c>
      <c r="CC5" s="5">
        <v>1</v>
      </c>
      <c r="CD5" s="5">
        <v>1</v>
      </c>
      <c r="CE5" s="5">
        <v>1</v>
      </c>
      <c r="CF5" s="5">
        <v>27</v>
      </c>
      <c r="CG5" s="191"/>
    </row>
    <row r="6" spans="1:85" s="5" customFormat="1" x14ac:dyDescent="0.15">
      <c r="A6" s="5" t="s">
        <v>209</v>
      </c>
      <c r="B6" s="5">
        <v>415</v>
      </c>
      <c r="C6" s="5" t="s">
        <v>313</v>
      </c>
      <c r="F6" s="65" t="s">
        <v>92</v>
      </c>
      <c r="G6" s="65" t="s">
        <v>70</v>
      </c>
      <c r="H6" s="65" t="s">
        <v>45</v>
      </c>
      <c r="I6" s="65" t="s">
        <v>92</v>
      </c>
      <c r="J6" s="68" t="s">
        <v>93</v>
      </c>
      <c r="K6" s="68" t="s">
        <v>9</v>
      </c>
      <c r="L6" s="65">
        <v>387500</v>
      </c>
      <c r="M6" s="68">
        <v>77500</v>
      </c>
      <c r="N6" s="67" t="s">
        <v>41</v>
      </c>
      <c r="O6" s="67">
        <v>627.24776129032296</v>
      </c>
      <c r="P6" s="65">
        <v>507</v>
      </c>
      <c r="Q6" s="65">
        <v>120.247761290323</v>
      </c>
      <c r="R6" s="65" t="s">
        <v>96</v>
      </c>
      <c r="S6" s="67">
        <v>6660164</v>
      </c>
      <c r="T6" s="65">
        <v>35356686</v>
      </c>
      <c r="U6" s="65">
        <v>294031.96883338102</v>
      </c>
      <c r="V6" s="65">
        <v>66.599999999999994</v>
      </c>
      <c r="W6" s="65">
        <v>258031.298604285</v>
      </c>
      <c r="X6" s="65">
        <v>36000.670229096402</v>
      </c>
      <c r="Y6" s="65" t="s">
        <v>41</v>
      </c>
      <c r="Z6" s="65">
        <v>1.8723294005578199E-2</v>
      </c>
      <c r="AA6" s="65">
        <v>1.8723294005578199E-2</v>
      </c>
      <c r="AB6" s="65">
        <v>229215337.34193501</v>
      </c>
      <c r="AC6" s="65">
        <v>217989522</v>
      </c>
      <c r="AD6" s="65">
        <v>11225815.341935501</v>
      </c>
      <c r="AE6" s="65">
        <v>181047</v>
      </c>
      <c r="AF6" s="65">
        <v>2321387</v>
      </c>
      <c r="AG6" s="65">
        <v>4157730</v>
      </c>
      <c r="AH6" s="65">
        <v>4565651.3419354903</v>
      </c>
      <c r="AI6" s="65">
        <v>913130.26838709705</v>
      </c>
      <c r="AJ6" s="65">
        <v>3652521.0735483901</v>
      </c>
      <c r="AK6" s="65">
        <v>0.18999601206892</v>
      </c>
      <c r="AL6" s="65">
        <v>226706346.296774</v>
      </c>
      <c r="AM6" s="65">
        <v>3267728.2374193701</v>
      </c>
      <c r="AN6" s="65">
        <v>32266.739629952601</v>
      </c>
      <c r="AO6" s="65" t="s">
        <v>41</v>
      </c>
      <c r="AP6" s="65" t="s">
        <v>71</v>
      </c>
      <c r="AQ6" s="65" t="s">
        <v>70</v>
      </c>
      <c r="AR6" s="77" t="s">
        <v>204</v>
      </c>
      <c r="AS6" s="11">
        <v>0.5</v>
      </c>
      <c r="AT6" s="11">
        <v>0.5</v>
      </c>
      <c r="AU6" s="11">
        <v>0.5</v>
      </c>
      <c r="AV6" s="11">
        <v>0.5</v>
      </c>
      <c r="AW6" s="11">
        <v>0.5</v>
      </c>
      <c r="AX6" s="11">
        <v>0.5</v>
      </c>
      <c r="AY6" s="11">
        <v>1</v>
      </c>
      <c r="AZ6" s="11">
        <v>1</v>
      </c>
      <c r="BA6" s="11">
        <v>0.5</v>
      </c>
      <c r="BB6" s="11">
        <v>1</v>
      </c>
      <c r="BC6" s="75">
        <v>0.75</v>
      </c>
      <c r="BD6" s="75">
        <v>0.75</v>
      </c>
      <c r="BE6" s="75">
        <v>1</v>
      </c>
      <c r="BF6" s="75">
        <v>0.5</v>
      </c>
      <c r="BG6" s="75">
        <v>0.5</v>
      </c>
      <c r="BH6" s="75">
        <v>0.5</v>
      </c>
      <c r="BI6" s="75">
        <v>1</v>
      </c>
      <c r="BJ6" s="75">
        <v>2</v>
      </c>
      <c r="BK6" s="75">
        <v>1.5</v>
      </c>
      <c r="BL6" s="76">
        <v>0.5</v>
      </c>
      <c r="BM6" s="76">
        <v>0</v>
      </c>
      <c r="BN6" s="76">
        <v>0.5</v>
      </c>
      <c r="BO6" s="76">
        <v>1</v>
      </c>
      <c r="BP6" s="76">
        <v>1</v>
      </c>
      <c r="BQ6" s="76">
        <v>0.25</v>
      </c>
      <c r="BR6" s="76">
        <v>0.25</v>
      </c>
      <c r="BS6" s="76">
        <v>0.25</v>
      </c>
      <c r="BT6" s="76">
        <v>0.25</v>
      </c>
      <c r="BU6" s="76">
        <v>0.25</v>
      </c>
      <c r="BV6" s="76">
        <v>0.25</v>
      </c>
      <c r="BW6" s="76">
        <v>0.25</v>
      </c>
      <c r="BX6" s="54">
        <v>0.25</v>
      </c>
      <c r="BY6" s="5">
        <v>1.5</v>
      </c>
      <c r="BZ6" s="60">
        <v>1.5</v>
      </c>
      <c r="CA6" s="5">
        <v>2</v>
      </c>
      <c r="CB6" s="5">
        <v>1</v>
      </c>
      <c r="CC6" s="5">
        <v>1</v>
      </c>
      <c r="CD6" s="5">
        <v>1</v>
      </c>
      <c r="CE6" s="5">
        <v>1</v>
      </c>
      <c r="CF6" s="5">
        <v>29</v>
      </c>
      <c r="CG6" s="191"/>
    </row>
    <row r="7" spans="1:85" s="5" customFormat="1" x14ac:dyDescent="0.15">
      <c r="A7" s="5" t="s">
        <v>210</v>
      </c>
      <c r="B7" s="5">
        <v>373</v>
      </c>
      <c r="C7" s="5" t="s">
        <v>314</v>
      </c>
      <c r="F7" s="10" t="s">
        <v>92</v>
      </c>
      <c r="G7" s="10" t="s">
        <v>70</v>
      </c>
      <c r="H7" s="10" t="s">
        <v>45</v>
      </c>
      <c r="I7" s="10" t="s">
        <v>92</v>
      </c>
      <c r="J7" s="10" t="s">
        <v>93</v>
      </c>
      <c r="K7" s="69" t="s">
        <v>9</v>
      </c>
      <c r="L7" s="10">
        <v>387500</v>
      </c>
      <c r="M7" s="72">
        <v>77500</v>
      </c>
      <c r="N7" s="57" t="s">
        <v>41</v>
      </c>
      <c r="O7" s="54">
        <v>627.24776129032296</v>
      </c>
      <c r="P7" s="10">
        <v>507</v>
      </c>
      <c r="Q7" s="61">
        <v>120.247761290323</v>
      </c>
      <c r="R7" s="61" t="s">
        <v>96</v>
      </c>
      <c r="S7" s="57">
        <v>6660164</v>
      </c>
      <c r="T7" s="61">
        <v>35356686</v>
      </c>
      <c r="U7" s="61">
        <v>294031.96883337997</v>
      </c>
      <c r="V7" s="60">
        <v>67</v>
      </c>
      <c r="W7" s="60">
        <v>258031</v>
      </c>
      <c r="X7" s="61">
        <v>36001</v>
      </c>
      <c r="Y7" s="60" t="s">
        <v>41</v>
      </c>
      <c r="Z7" s="60">
        <v>1.8723294005578199E-2</v>
      </c>
      <c r="AA7" s="60">
        <v>1.8723294005578199E-2</v>
      </c>
      <c r="AB7" s="60">
        <v>229215337.34193501</v>
      </c>
      <c r="AC7" s="60">
        <v>217989522</v>
      </c>
      <c r="AD7" s="60">
        <v>11225815.341935501</v>
      </c>
      <c r="AE7" s="60">
        <v>-181047</v>
      </c>
      <c r="AF7" s="65">
        <v>-2321387</v>
      </c>
      <c r="AG7" s="65">
        <v>-4157730</v>
      </c>
      <c r="AH7" s="65">
        <v>4565651.3419354903</v>
      </c>
      <c r="AI7" s="65">
        <v>913130.26838709705</v>
      </c>
      <c r="AJ7" s="65">
        <v>3652521.0735483901</v>
      </c>
      <c r="AK7" s="65">
        <v>0.18999601206892</v>
      </c>
      <c r="AL7" s="65">
        <v>226706346.296774</v>
      </c>
      <c r="AM7" s="65">
        <v>3267728.24</v>
      </c>
      <c r="AN7" s="65">
        <v>32266.74</v>
      </c>
      <c r="AO7" s="65" t="s">
        <v>311</v>
      </c>
      <c r="AP7" s="65" t="s">
        <v>71</v>
      </c>
      <c r="AQ7" s="65" t="s">
        <v>70</v>
      </c>
      <c r="AR7" s="11" t="s">
        <v>204</v>
      </c>
      <c r="AS7" s="11">
        <v>0.5</v>
      </c>
      <c r="AT7" s="11">
        <v>0.5</v>
      </c>
      <c r="AU7" s="11">
        <v>0.5</v>
      </c>
      <c r="AV7" s="11">
        <v>0.5</v>
      </c>
      <c r="AW7" s="11">
        <v>0.5</v>
      </c>
      <c r="AX7" s="11">
        <v>0.5</v>
      </c>
      <c r="AY7" s="11">
        <v>1</v>
      </c>
      <c r="AZ7" s="11">
        <v>1</v>
      </c>
      <c r="BA7" s="11">
        <v>0.5</v>
      </c>
      <c r="BB7" s="11">
        <v>1</v>
      </c>
      <c r="BC7" s="11">
        <v>0.75</v>
      </c>
      <c r="BD7" s="11">
        <v>0.75</v>
      </c>
      <c r="BE7" s="11">
        <v>1</v>
      </c>
      <c r="BF7" s="11">
        <v>0.5</v>
      </c>
      <c r="BG7" s="11">
        <v>0.5</v>
      </c>
      <c r="BH7" s="11">
        <v>0.5</v>
      </c>
      <c r="BI7" s="11">
        <v>1</v>
      </c>
      <c r="BJ7" s="11">
        <v>2</v>
      </c>
      <c r="BK7" s="10">
        <v>1.5</v>
      </c>
      <c r="BL7" s="5">
        <v>0.5</v>
      </c>
      <c r="BM7" s="5">
        <v>0</v>
      </c>
      <c r="BN7" s="5">
        <v>0.5</v>
      </c>
      <c r="BO7" s="5">
        <v>1</v>
      </c>
      <c r="BP7" s="5">
        <v>1</v>
      </c>
      <c r="BQ7" s="5">
        <v>0.25</v>
      </c>
      <c r="BR7" s="5">
        <v>0.25</v>
      </c>
      <c r="BS7" s="5">
        <v>0.25</v>
      </c>
      <c r="BT7" s="5">
        <v>0.25</v>
      </c>
      <c r="BU7" s="5">
        <v>0.25</v>
      </c>
      <c r="BV7" s="5">
        <v>0.25</v>
      </c>
      <c r="BW7" s="5">
        <v>0.25</v>
      </c>
      <c r="BX7" s="54">
        <v>0.25</v>
      </c>
      <c r="BY7" s="5">
        <v>1.5</v>
      </c>
      <c r="BZ7" s="60">
        <v>1.5</v>
      </c>
      <c r="CA7" s="5">
        <v>2</v>
      </c>
      <c r="CB7" s="5">
        <v>0</v>
      </c>
      <c r="CC7" s="5">
        <v>1</v>
      </c>
      <c r="CD7" s="5">
        <v>1</v>
      </c>
      <c r="CE7" s="5">
        <v>1</v>
      </c>
      <c r="CF7" s="5">
        <v>28</v>
      </c>
      <c r="CG7" s="191"/>
    </row>
    <row r="8" spans="1:85" s="5" customFormat="1" x14ac:dyDescent="0.15">
      <c r="A8" s="5" t="s">
        <v>211</v>
      </c>
      <c r="B8" s="5">
        <v>390</v>
      </c>
      <c r="C8" s="5" t="s">
        <v>315</v>
      </c>
      <c r="F8" s="10" t="s">
        <v>92</v>
      </c>
      <c r="G8" s="10" t="s">
        <v>70</v>
      </c>
      <c r="H8" s="10" t="s">
        <v>45</v>
      </c>
      <c r="I8" s="10" t="s">
        <v>92</v>
      </c>
      <c r="J8" s="10" t="s">
        <v>93</v>
      </c>
      <c r="K8" s="10" t="s">
        <v>9</v>
      </c>
      <c r="L8" s="10">
        <v>387500</v>
      </c>
      <c r="M8" s="72">
        <v>77500</v>
      </c>
      <c r="N8" s="54" t="s">
        <v>41</v>
      </c>
      <c r="O8" s="54">
        <v>627.25</v>
      </c>
      <c r="P8" s="10">
        <v>507</v>
      </c>
      <c r="Q8" s="60">
        <v>120.25</v>
      </c>
      <c r="R8" s="60" t="s">
        <v>96</v>
      </c>
      <c r="S8" s="54">
        <v>6660164</v>
      </c>
      <c r="T8" s="60">
        <v>36472686</v>
      </c>
      <c r="U8" s="60">
        <v>303312.81</v>
      </c>
      <c r="V8" s="60">
        <v>67</v>
      </c>
      <c r="W8" s="60">
        <v>267312</v>
      </c>
      <c r="X8" s="60">
        <v>36001</v>
      </c>
      <c r="Y8" s="60" t="s">
        <v>41</v>
      </c>
      <c r="Z8" s="60">
        <v>1.8700000000000001E-2</v>
      </c>
      <c r="AA8" s="60">
        <v>1.8700000000000001E-2</v>
      </c>
      <c r="AB8" s="60">
        <v>229215337</v>
      </c>
      <c r="AC8" s="60">
        <v>219105522</v>
      </c>
      <c r="AD8" s="60">
        <v>100109815</v>
      </c>
      <c r="AE8" s="60">
        <v>181047</v>
      </c>
      <c r="AF8" s="65">
        <v>2321387</v>
      </c>
      <c r="AG8" s="65">
        <v>4157730</v>
      </c>
      <c r="AH8" s="65">
        <v>3449651.34</v>
      </c>
      <c r="AI8" s="65">
        <v>979337</v>
      </c>
      <c r="AJ8" s="65">
        <v>2759721</v>
      </c>
      <c r="AK8" s="65">
        <v>0</v>
      </c>
      <c r="AL8" s="65">
        <v>226706346</v>
      </c>
      <c r="AM8" s="65">
        <v>51886000</v>
      </c>
      <c r="AN8" s="65">
        <v>0</v>
      </c>
      <c r="AO8" s="65" t="s">
        <v>41</v>
      </c>
      <c r="AP8" s="65" t="s">
        <v>71</v>
      </c>
      <c r="AQ8" s="65" t="s">
        <v>70</v>
      </c>
      <c r="AR8" s="11" t="s">
        <v>309</v>
      </c>
      <c r="AS8" s="11">
        <v>0.5</v>
      </c>
      <c r="AT8" s="11">
        <v>0.5</v>
      </c>
      <c r="AU8" s="11">
        <v>0.5</v>
      </c>
      <c r="AV8" s="11">
        <v>0.5</v>
      </c>
      <c r="AW8" s="11">
        <v>0.5</v>
      </c>
      <c r="AX8" s="11">
        <v>0.5</v>
      </c>
      <c r="AY8" s="11">
        <v>1</v>
      </c>
      <c r="AZ8" s="11">
        <v>1</v>
      </c>
      <c r="BA8" s="11">
        <v>0.5</v>
      </c>
      <c r="BB8" s="11">
        <v>1</v>
      </c>
      <c r="BC8" s="11">
        <v>0.75</v>
      </c>
      <c r="BD8" s="11">
        <v>0.75</v>
      </c>
      <c r="BE8" s="11">
        <v>1</v>
      </c>
      <c r="BF8" s="11">
        <v>0.5</v>
      </c>
      <c r="BG8" s="11">
        <v>0.5</v>
      </c>
      <c r="BH8" s="11">
        <v>0.5</v>
      </c>
      <c r="BI8" s="11">
        <v>1</v>
      </c>
      <c r="BJ8" s="11">
        <v>2</v>
      </c>
      <c r="BK8" s="10">
        <v>1.5</v>
      </c>
      <c r="BL8" s="5">
        <v>0.5</v>
      </c>
      <c r="BM8" s="5">
        <v>0</v>
      </c>
      <c r="BN8" s="5">
        <v>0.5</v>
      </c>
      <c r="BO8" s="5">
        <v>1</v>
      </c>
      <c r="BP8" s="5">
        <v>1</v>
      </c>
      <c r="BQ8" s="5">
        <v>0</v>
      </c>
      <c r="BR8" s="5">
        <v>0.25</v>
      </c>
      <c r="BS8" s="5">
        <v>0.25</v>
      </c>
      <c r="BT8" s="5">
        <v>0.25</v>
      </c>
      <c r="BU8" s="5">
        <v>0.25</v>
      </c>
      <c r="BV8" s="5">
        <v>0</v>
      </c>
      <c r="BW8" s="5">
        <v>0.25</v>
      </c>
      <c r="BX8" s="54">
        <v>0</v>
      </c>
      <c r="BY8" s="5">
        <v>1.5</v>
      </c>
      <c r="BZ8" s="60">
        <v>0</v>
      </c>
      <c r="CA8" s="5">
        <v>0</v>
      </c>
      <c r="CB8" s="5">
        <v>1</v>
      </c>
      <c r="CC8" s="5">
        <v>1</v>
      </c>
      <c r="CD8" s="5">
        <v>1</v>
      </c>
      <c r="CE8" s="5">
        <v>0</v>
      </c>
      <c r="CF8" s="5">
        <v>23.75</v>
      </c>
      <c r="CG8" s="271"/>
    </row>
    <row r="9" spans="1:85" s="5" customFormat="1" x14ac:dyDescent="0.15">
      <c r="A9" s="3" t="s">
        <v>212</v>
      </c>
      <c r="B9" s="3">
        <v>423</v>
      </c>
      <c r="C9" s="3" t="s">
        <v>316</v>
      </c>
      <c r="D9" s="3"/>
      <c r="E9" s="3"/>
      <c r="F9" s="3" t="s">
        <v>92</v>
      </c>
      <c r="G9" s="3" t="s">
        <v>70</v>
      </c>
      <c r="H9" s="3" t="s">
        <v>45</v>
      </c>
      <c r="I9" s="3" t="s">
        <v>92</v>
      </c>
      <c r="J9" s="70" t="s">
        <v>93</v>
      </c>
      <c r="K9" s="70" t="s">
        <v>9</v>
      </c>
      <c r="L9" s="3">
        <v>387500</v>
      </c>
      <c r="M9" s="74">
        <v>77500</v>
      </c>
      <c r="N9" s="58" t="s">
        <v>41</v>
      </c>
      <c r="O9" s="58">
        <v>627.25</v>
      </c>
      <c r="P9" s="3">
        <v>507</v>
      </c>
      <c r="Q9" s="63">
        <v>120.25</v>
      </c>
      <c r="R9" s="63" t="s">
        <v>96</v>
      </c>
      <c r="S9" s="58">
        <v>6660164</v>
      </c>
      <c r="T9" s="63">
        <v>35356686</v>
      </c>
      <c r="U9" s="63">
        <v>29403197</v>
      </c>
      <c r="V9" s="63">
        <v>66.599999999999994</v>
      </c>
      <c r="W9" s="63">
        <v>258031</v>
      </c>
      <c r="X9" s="63">
        <v>0</v>
      </c>
      <c r="Y9" s="63" t="s">
        <v>41</v>
      </c>
      <c r="Z9" s="63">
        <v>1.8723294005578199E-2</v>
      </c>
      <c r="AA9" s="63">
        <v>1.8723294005578199E-2</v>
      </c>
      <c r="AB9" s="63">
        <v>229215337.34193501</v>
      </c>
      <c r="AC9" s="63">
        <v>217989522</v>
      </c>
      <c r="AD9" s="63">
        <v>11225815.341934999</v>
      </c>
      <c r="AE9" s="63">
        <v>181047</v>
      </c>
      <c r="AF9" s="66">
        <v>2321387</v>
      </c>
      <c r="AG9" s="66">
        <v>4157730</v>
      </c>
      <c r="AH9" s="66">
        <v>4565651.3419350097</v>
      </c>
      <c r="AI9" s="66">
        <v>913130.26838700206</v>
      </c>
      <c r="AJ9" s="66">
        <v>3652521.0735480101</v>
      </c>
      <c r="AK9" s="66">
        <v>0.189996012068921</v>
      </c>
      <c r="AL9" s="66">
        <v>226706346.296774</v>
      </c>
      <c r="AM9" s="66">
        <v>2374928.2374193701</v>
      </c>
      <c r="AN9" s="66">
        <v>30359.805831636699</v>
      </c>
      <c r="AO9" s="66" t="s">
        <v>311</v>
      </c>
      <c r="AP9" s="66" t="s">
        <v>71</v>
      </c>
      <c r="AQ9" s="66" t="s">
        <v>70</v>
      </c>
      <c r="AR9" s="9" t="s">
        <v>204</v>
      </c>
      <c r="AS9" s="9">
        <v>0.5</v>
      </c>
      <c r="AT9" s="9">
        <v>0.5</v>
      </c>
      <c r="AU9" s="9">
        <v>0.5</v>
      </c>
      <c r="AV9" s="9">
        <v>0.5</v>
      </c>
      <c r="AW9" s="9">
        <v>0.5</v>
      </c>
      <c r="AX9" s="9">
        <v>0.5</v>
      </c>
      <c r="AY9" s="9">
        <v>1</v>
      </c>
      <c r="AZ9" s="9">
        <v>1</v>
      </c>
      <c r="BA9" s="9">
        <v>0.5</v>
      </c>
      <c r="BB9" s="9">
        <v>1</v>
      </c>
      <c r="BC9" s="9">
        <v>0.75</v>
      </c>
      <c r="BD9" s="9">
        <v>0.75</v>
      </c>
      <c r="BE9" s="9">
        <v>1</v>
      </c>
      <c r="BF9" s="9">
        <v>0.5</v>
      </c>
      <c r="BG9" s="9">
        <v>0.5</v>
      </c>
      <c r="BH9" s="9">
        <v>0</v>
      </c>
      <c r="BI9" s="9">
        <v>1</v>
      </c>
      <c r="BJ9" s="9">
        <v>2</v>
      </c>
      <c r="BK9" s="3">
        <v>0</v>
      </c>
      <c r="BL9" s="3">
        <v>0.5</v>
      </c>
      <c r="BM9" s="3">
        <v>0</v>
      </c>
      <c r="BN9" s="3">
        <v>0.5</v>
      </c>
      <c r="BO9" s="3">
        <v>1</v>
      </c>
      <c r="BP9" s="3">
        <v>1</v>
      </c>
      <c r="BQ9" s="3">
        <v>0.25</v>
      </c>
      <c r="BR9" s="3">
        <v>0.25</v>
      </c>
      <c r="BS9" s="3">
        <v>0.25</v>
      </c>
      <c r="BT9" s="3">
        <v>0.25</v>
      </c>
      <c r="BU9" s="3">
        <v>0.25</v>
      </c>
      <c r="BV9" s="3">
        <v>0.25</v>
      </c>
      <c r="BW9" s="3">
        <v>0.25</v>
      </c>
      <c r="BX9" s="54">
        <v>0.25</v>
      </c>
      <c r="BY9" s="3">
        <v>1.5</v>
      </c>
      <c r="BZ9" s="60">
        <v>1.5</v>
      </c>
      <c r="CA9" s="5">
        <v>0</v>
      </c>
      <c r="CB9" s="5">
        <v>0</v>
      </c>
      <c r="CC9" s="5">
        <v>1</v>
      </c>
      <c r="CD9" s="5">
        <v>1</v>
      </c>
      <c r="CE9" s="5">
        <v>1</v>
      </c>
      <c r="CF9" s="5">
        <v>24</v>
      </c>
      <c r="CG9" s="191"/>
    </row>
    <row r="10" spans="1:85" s="5" customFormat="1" x14ac:dyDescent="0.15">
      <c r="A10" s="5" t="s">
        <v>213</v>
      </c>
      <c r="B10" s="5">
        <v>431</v>
      </c>
      <c r="C10" s="5" t="s">
        <v>317</v>
      </c>
      <c r="F10" s="10" t="s">
        <v>318</v>
      </c>
      <c r="G10" s="10" t="s">
        <v>70</v>
      </c>
      <c r="H10" s="10" t="s">
        <v>45</v>
      </c>
      <c r="I10" s="10" t="s">
        <v>92</v>
      </c>
      <c r="J10" s="10" t="s">
        <v>93</v>
      </c>
      <c r="K10" s="10" t="s">
        <v>9</v>
      </c>
      <c r="L10" s="10">
        <v>387500</v>
      </c>
      <c r="M10" s="72">
        <v>77500</v>
      </c>
      <c r="N10" s="54" t="s">
        <v>311</v>
      </c>
      <c r="O10" s="54">
        <v>719.82</v>
      </c>
      <c r="P10" s="10">
        <v>507</v>
      </c>
      <c r="Q10" s="60">
        <v>212.82</v>
      </c>
      <c r="R10" s="60" t="s">
        <v>96</v>
      </c>
      <c r="S10" s="54">
        <v>7044188</v>
      </c>
      <c r="T10" s="60">
        <v>35740710</v>
      </c>
      <c r="U10" s="60">
        <v>121849</v>
      </c>
      <c r="V10" s="60">
        <v>70.430000000000007</v>
      </c>
      <c r="W10" s="60">
        <v>0</v>
      </c>
      <c r="X10" s="60">
        <v>0</v>
      </c>
      <c r="Y10" s="60" t="s">
        <v>311</v>
      </c>
      <c r="Z10" s="60">
        <v>1</v>
      </c>
      <c r="AA10" s="60">
        <v>1</v>
      </c>
      <c r="AB10" s="60">
        <v>0</v>
      </c>
      <c r="AC10" s="60">
        <v>0</v>
      </c>
      <c r="AD10" s="60">
        <v>0</v>
      </c>
      <c r="AE10" s="60">
        <v>0</v>
      </c>
      <c r="AF10" s="65">
        <v>0</v>
      </c>
      <c r="AG10" s="65">
        <v>0</v>
      </c>
      <c r="AH10" s="65">
        <v>0</v>
      </c>
      <c r="AI10" s="65">
        <v>0</v>
      </c>
      <c r="AJ10" s="65">
        <v>0</v>
      </c>
      <c r="AK10" s="65">
        <v>0</v>
      </c>
      <c r="AL10" s="65">
        <v>0</v>
      </c>
      <c r="AM10" s="65">
        <v>0</v>
      </c>
      <c r="AN10" s="65">
        <v>0</v>
      </c>
      <c r="AO10" s="65" t="s">
        <v>41</v>
      </c>
      <c r="AP10" s="65" t="s">
        <v>71</v>
      </c>
      <c r="AQ10" s="65" t="s">
        <v>70</v>
      </c>
      <c r="AR10" s="11" t="s">
        <v>204</v>
      </c>
      <c r="AS10" s="11">
        <v>0</v>
      </c>
      <c r="AT10" s="11">
        <v>0.5</v>
      </c>
      <c r="AU10" s="11">
        <v>0.5</v>
      </c>
      <c r="AV10" s="11">
        <v>0.5</v>
      </c>
      <c r="AW10" s="11">
        <v>0.5</v>
      </c>
      <c r="AX10" s="11">
        <v>0.5</v>
      </c>
      <c r="AY10" s="11">
        <v>1</v>
      </c>
      <c r="AZ10" s="11">
        <v>1</v>
      </c>
      <c r="BA10" s="11">
        <v>0</v>
      </c>
      <c r="BB10" s="11">
        <v>0</v>
      </c>
      <c r="BC10" s="11">
        <v>0.75</v>
      </c>
      <c r="BD10" s="11">
        <v>0</v>
      </c>
      <c r="BE10" s="11">
        <v>1</v>
      </c>
      <c r="BF10" s="11">
        <v>0</v>
      </c>
      <c r="BG10" s="11">
        <v>0</v>
      </c>
      <c r="BH10" s="11">
        <v>0</v>
      </c>
      <c r="BI10" s="11">
        <v>0</v>
      </c>
      <c r="BJ10" s="11">
        <v>0</v>
      </c>
      <c r="BK10" s="10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0.25</v>
      </c>
      <c r="BR10" s="5">
        <v>0</v>
      </c>
      <c r="BS10" s="5">
        <v>0</v>
      </c>
      <c r="BT10" s="5">
        <v>0</v>
      </c>
      <c r="BU10" s="5">
        <v>0.25</v>
      </c>
      <c r="BV10" s="5">
        <v>0</v>
      </c>
      <c r="BW10" s="5">
        <v>0.25</v>
      </c>
      <c r="BX10" s="54">
        <v>0</v>
      </c>
      <c r="BY10" s="5">
        <v>0</v>
      </c>
      <c r="BZ10" s="60">
        <v>0</v>
      </c>
      <c r="CA10" s="5">
        <v>0</v>
      </c>
      <c r="CB10" s="5">
        <v>1</v>
      </c>
      <c r="CC10" s="5">
        <v>1</v>
      </c>
      <c r="CD10" s="5">
        <v>1</v>
      </c>
      <c r="CE10" s="5">
        <v>1</v>
      </c>
      <c r="CF10" s="5">
        <v>11</v>
      </c>
      <c r="CG10" s="191"/>
    </row>
    <row r="11" spans="1:85" s="5" customFormat="1" x14ac:dyDescent="0.15">
      <c r="A11" s="5" t="s">
        <v>214</v>
      </c>
      <c r="B11" s="5">
        <v>311</v>
      </c>
      <c r="C11" s="5" t="s">
        <v>319</v>
      </c>
      <c r="F11" s="65" t="s">
        <v>92</v>
      </c>
      <c r="G11" s="65" t="s">
        <v>70</v>
      </c>
      <c r="H11" s="65" t="s">
        <v>45</v>
      </c>
      <c r="I11" s="65" t="s">
        <v>318</v>
      </c>
      <c r="J11" s="68" t="s">
        <v>93</v>
      </c>
      <c r="K11" s="68" t="s">
        <v>140</v>
      </c>
      <c r="L11" s="65">
        <v>387500</v>
      </c>
      <c r="M11" s="68">
        <v>77500</v>
      </c>
      <c r="N11" s="67" t="s">
        <v>41</v>
      </c>
      <c r="O11" s="67">
        <v>627.24776129032296</v>
      </c>
      <c r="P11" s="65">
        <v>507</v>
      </c>
      <c r="Q11" s="65">
        <v>120.247761290323</v>
      </c>
      <c r="R11" s="65" t="s">
        <v>96</v>
      </c>
      <c r="S11" s="65">
        <v>6660164</v>
      </c>
      <c r="T11" s="65">
        <v>22036358</v>
      </c>
      <c r="U11" s="65">
        <v>92883.312702933705</v>
      </c>
      <c r="V11" s="65">
        <v>667.54927536231901</v>
      </c>
      <c r="W11" s="65">
        <v>390600</v>
      </c>
      <c r="X11" s="65">
        <v>360844.16402388999</v>
      </c>
      <c r="Y11" s="65" t="s">
        <v>41</v>
      </c>
      <c r="Z11" s="65">
        <v>1.8723294005578199E-2</v>
      </c>
      <c r="AA11" s="65">
        <v>1.8723294005578199E-2</v>
      </c>
      <c r="AB11" s="65">
        <v>229216000</v>
      </c>
      <c r="AC11" s="65">
        <v>115440000</v>
      </c>
      <c r="AD11" s="65">
        <v>70225337.341935501</v>
      </c>
      <c r="AE11" s="65">
        <v>-181047</v>
      </c>
      <c r="AF11" s="65">
        <v>-2321387</v>
      </c>
      <c r="AG11" s="65">
        <v>-4157730</v>
      </c>
      <c r="AH11" s="65">
        <v>76704454.341935501</v>
      </c>
      <c r="AI11" s="65">
        <v>15340890.868387099</v>
      </c>
      <c r="AJ11" s="65">
        <v>61363563.473548397</v>
      </c>
      <c r="AK11" s="65">
        <v>0.234561823027822</v>
      </c>
      <c r="AL11" s="65">
        <v>183156346.296774</v>
      </c>
      <c r="AM11" s="65">
        <v>60604370.637419403</v>
      </c>
      <c r="AN11" s="65">
        <v>20679.506357245999</v>
      </c>
      <c r="AO11" s="65" t="s">
        <v>41</v>
      </c>
      <c r="AP11" s="65" t="s">
        <v>71</v>
      </c>
      <c r="AQ11" s="65" t="s">
        <v>70</v>
      </c>
      <c r="AR11" s="77" t="s">
        <v>204</v>
      </c>
      <c r="AS11" s="11">
        <v>0.5</v>
      </c>
      <c r="AT11" s="11">
        <v>0.5</v>
      </c>
      <c r="AU11" s="11">
        <v>0.5</v>
      </c>
      <c r="AV11" s="11">
        <v>0</v>
      </c>
      <c r="AW11" s="11">
        <v>0.5</v>
      </c>
      <c r="AX11" s="11">
        <v>0</v>
      </c>
      <c r="AY11" s="11">
        <v>1</v>
      </c>
      <c r="AZ11" s="11">
        <v>1</v>
      </c>
      <c r="BA11" s="11">
        <v>0.5</v>
      </c>
      <c r="BB11" s="11">
        <v>1</v>
      </c>
      <c r="BC11" s="75">
        <v>0.75</v>
      </c>
      <c r="BD11" s="75">
        <v>0.75</v>
      </c>
      <c r="BE11" s="75">
        <v>1</v>
      </c>
      <c r="BF11" s="75">
        <v>0.5</v>
      </c>
      <c r="BG11" s="75">
        <v>0</v>
      </c>
      <c r="BH11" s="75">
        <v>0</v>
      </c>
      <c r="BI11" s="75">
        <v>0</v>
      </c>
      <c r="BJ11" s="75">
        <v>0</v>
      </c>
      <c r="BK11" s="75">
        <v>0</v>
      </c>
      <c r="BL11" s="76">
        <v>0.5</v>
      </c>
      <c r="BM11" s="76">
        <v>0</v>
      </c>
      <c r="BN11" s="76">
        <v>0.5</v>
      </c>
      <c r="BO11" s="76">
        <v>0</v>
      </c>
      <c r="BP11" s="76">
        <v>0</v>
      </c>
      <c r="BQ11" s="76">
        <v>0</v>
      </c>
      <c r="BR11" s="76">
        <v>0.25</v>
      </c>
      <c r="BS11" s="76">
        <v>0.25</v>
      </c>
      <c r="BT11" s="76">
        <v>0.25</v>
      </c>
      <c r="BU11" s="76">
        <v>0</v>
      </c>
      <c r="BV11" s="76">
        <v>0</v>
      </c>
      <c r="BW11" s="76">
        <v>0.25</v>
      </c>
      <c r="BX11" s="54">
        <v>0</v>
      </c>
      <c r="BY11" s="5">
        <v>0</v>
      </c>
      <c r="BZ11" s="60">
        <v>0</v>
      </c>
      <c r="CA11" s="5">
        <v>0</v>
      </c>
      <c r="CB11" s="5">
        <v>1</v>
      </c>
      <c r="CC11" s="5">
        <v>1</v>
      </c>
      <c r="CD11" s="5">
        <v>1</v>
      </c>
      <c r="CE11" s="5">
        <v>1</v>
      </c>
      <c r="CF11" s="5">
        <v>14.5</v>
      </c>
      <c r="CG11" s="191"/>
    </row>
    <row r="12" spans="1:85" s="5" customFormat="1" x14ac:dyDescent="0.15">
      <c r="A12" s="3" t="s">
        <v>215</v>
      </c>
      <c r="B12" s="3">
        <v>385</v>
      </c>
      <c r="C12" s="3" t="s">
        <v>320</v>
      </c>
      <c r="D12" s="3"/>
      <c r="E12" s="3"/>
      <c r="F12" s="3" t="s">
        <v>318</v>
      </c>
      <c r="G12" s="3" t="s">
        <v>70</v>
      </c>
      <c r="H12" s="3" t="s">
        <v>45</v>
      </c>
      <c r="I12" s="3" t="s">
        <v>92</v>
      </c>
      <c r="J12" s="70" t="s">
        <v>93</v>
      </c>
      <c r="K12" s="70" t="s">
        <v>9</v>
      </c>
      <c r="L12" s="3">
        <v>0</v>
      </c>
      <c r="M12" s="74">
        <v>0</v>
      </c>
      <c r="N12" s="58" t="s">
        <v>309</v>
      </c>
      <c r="O12" s="58" t="s">
        <v>321</v>
      </c>
      <c r="P12" s="3" t="s">
        <v>322</v>
      </c>
      <c r="Q12" s="63" t="s">
        <v>323</v>
      </c>
      <c r="R12" s="63" t="s">
        <v>309</v>
      </c>
      <c r="S12" s="58" t="s">
        <v>324</v>
      </c>
      <c r="T12" s="63" t="s">
        <v>325</v>
      </c>
      <c r="U12" s="63">
        <v>179476</v>
      </c>
      <c r="V12" s="63">
        <v>76</v>
      </c>
      <c r="W12" s="63">
        <v>0</v>
      </c>
      <c r="X12" s="63">
        <v>245000</v>
      </c>
      <c r="Y12" s="63" t="s">
        <v>41</v>
      </c>
      <c r="Z12" s="63">
        <v>0.01</v>
      </c>
      <c r="AA12" s="63">
        <v>0.01</v>
      </c>
      <c r="AB12" s="63">
        <v>229213040</v>
      </c>
      <c r="AC12" s="63">
        <v>158168730</v>
      </c>
      <c r="AD12" s="63">
        <v>71044310</v>
      </c>
      <c r="AE12" s="63">
        <v>181047</v>
      </c>
      <c r="AF12" s="66">
        <v>2321387</v>
      </c>
      <c r="AG12" s="66">
        <v>4157730</v>
      </c>
      <c r="AH12" s="66">
        <v>64384146</v>
      </c>
      <c r="AI12" s="66">
        <v>12876829.199999999</v>
      </c>
      <c r="AJ12" s="66">
        <v>51507316.799999997</v>
      </c>
      <c r="AK12" s="66">
        <v>0</v>
      </c>
      <c r="AL12" s="66">
        <v>183154080</v>
      </c>
      <c r="AM12" s="66">
        <v>146523264</v>
      </c>
      <c r="AN12" s="66">
        <v>32614</v>
      </c>
      <c r="AO12" s="66" t="s">
        <v>41</v>
      </c>
      <c r="AP12" s="66" t="s">
        <v>71</v>
      </c>
      <c r="AQ12" s="66" t="s">
        <v>70</v>
      </c>
      <c r="AR12" s="9" t="s">
        <v>204</v>
      </c>
      <c r="AS12" s="9">
        <v>0</v>
      </c>
      <c r="AT12" s="9">
        <v>0.5</v>
      </c>
      <c r="AU12" s="9">
        <v>0.5</v>
      </c>
      <c r="AV12" s="9">
        <v>0.5</v>
      </c>
      <c r="AW12" s="9">
        <v>0.5</v>
      </c>
      <c r="AX12" s="9">
        <v>0.5</v>
      </c>
      <c r="AY12" s="9">
        <v>0</v>
      </c>
      <c r="AZ12" s="9">
        <v>0</v>
      </c>
      <c r="BA12" s="9">
        <v>0</v>
      </c>
      <c r="BB12" s="9">
        <v>0</v>
      </c>
      <c r="BC12" s="9">
        <v>0</v>
      </c>
      <c r="BD12" s="9">
        <v>0</v>
      </c>
      <c r="BE12" s="9">
        <v>0</v>
      </c>
      <c r="BF12" s="9">
        <v>0</v>
      </c>
      <c r="BG12" s="9">
        <v>0</v>
      </c>
      <c r="BH12" s="9">
        <v>0</v>
      </c>
      <c r="BI12" s="9">
        <v>0</v>
      </c>
      <c r="BJ12" s="9">
        <v>0</v>
      </c>
      <c r="BK12" s="3">
        <v>0</v>
      </c>
      <c r="BL12" s="3">
        <v>0.5</v>
      </c>
      <c r="BM12" s="3">
        <v>0.5</v>
      </c>
      <c r="BN12" s="3">
        <v>0</v>
      </c>
      <c r="BO12" s="3">
        <v>0</v>
      </c>
      <c r="BP12" s="3">
        <v>0</v>
      </c>
      <c r="BQ12" s="3">
        <v>0.25</v>
      </c>
      <c r="BR12" s="3">
        <v>0.25</v>
      </c>
      <c r="BS12" s="3">
        <v>0.25</v>
      </c>
      <c r="BT12" s="3">
        <v>0.25</v>
      </c>
      <c r="BU12" s="3">
        <v>0.25</v>
      </c>
      <c r="BV12" s="3">
        <v>0</v>
      </c>
      <c r="BW12" s="3">
        <v>0.25</v>
      </c>
      <c r="BX12" s="54">
        <v>0</v>
      </c>
      <c r="BY12" s="3">
        <v>0</v>
      </c>
      <c r="BZ12" s="60">
        <v>0</v>
      </c>
      <c r="CA12" s="5">
        <v>0</v>
      </c>
      <c r="CB12" s="5">
        <v>1</v>
      </c>
      <c r="CC12" s="5">
        <v>1</v>
      </c>
      <c r="CD12" s="5">
        <v>1</v>
      </c>
      <c r="CE12" s="5">
        <v>1</v>
      </c>
      <c r="CF12" s="5">
        <v>9</v>
      </c>
      <c r="CG12" s="191"/>
    </row>
    <row r="13" spans="1:85" s="5" customFormat="1" x14ac:dyDescent="0.15">
      <c r="A13" s="5" t="s">
        <v>216</v>
      </c>
      <c r="B13" s="5">
        <v>413</v>
      </c>
      <c r="C13" s="5" t="s">
        <v>326</v>
      </c>
      <c r="F13" s="5" t="s">
        <v>92</v>
      </c>
      <c r="G13" s="5" t="s">
        <v>318</v>
      </c>
      <c r="H13" s="5" t="s">
        <v>45</v>
      </c>
      <c r="I13" s="5" t="s">
        <v>92</v>
      </c>
      <c r="J13" s="69" t="s">
        <v>318</v>
      </c>
      <c r="K13" s="69" t="s">
        <v>9</v>
      </c>
      <c r="L13" s="5">
        <v>387.5</v>
      </c>
      <c r="M13" s="72">
        <v>77.5</v>
      </c>
      <c r="N13" s="57" t="s">
        <v>311</v>
      </c>
      <c r="O13" s="54">
        <v>600</v>
      </c>
      <c r="P13" s="5">
        <v>507</v>
      </c>
      <c r="Q13" s="61">
        <v>93</v>
      </c>
      <c r="R13" s="61" t="s">
        <v>96</v>
      </c>
      <c r="S13" s="57">
        <v>0</v>
      </c>
      <c r="T13" s="61">
        <v>0</v>
      </c>
      <c r="U13" s="61">
        <v>0</v>
      </c>
      <c r="V13" s="60">
        <v>0</v>
      </c>
      <c r="W13" s="60">
        <v>0</v>
      </c>
      <c r="X13" s="61">
        <v>0</v>
      </c>
      <c r="Y13" s="60" t="s">
        <v>309</v>
      </c>
      <c r="Z13" s="63">
        <v>0</v>
      </c>
      <c r="AA13" s="63">
        <v>0</v>
      </c>
      <c r="AB13" s="63">
        <v>0</v>
      </c>
      <c r="AC13" s="63">
        <v>0</v>
      </c>
      <c r="AD13" s="63">
        <v>0</v>
      </c>
      <c r="AE13" s="63">
        <v>0</v>
      </c>
      <c r="AF13" s="66">
        <v>0</v>
      </c>
      <c r="AG13" s="66">
        <v>0</v>
      </c>
      <c r="AH13" s="66">
        <v>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 t="s">
        <v>309</v>
      </c>
      <c r="AP13" s="66" t="s">
        <v>309</v>
      </c>
      <c r="AQ13" s="66" t="s">
        <v>309</v>
      </c>
      <c r="AR13" s="9" t="s">
        <v>309</v>
      </c>
      <c r="AS13" s="9">
        <v>0.5</v>
      </c>
      <c r="AT13" s="9">
        <v>0</v>
      </c>
      <c r="AU13" s="9">
        <v>0.5</v>
      </c>
      <c r="AV13" s="9">
        <v>0.5</v>
      </c>
      <c r="AW13" s="9">
        <v>0</v>
      </c>
      <c r="AX13" s="9">
        <v>0.5</v>
      </c>
      <c r="AY13" s="9">
        <v>0</v>
      </c>
      <c r="AZ13" s="9">
        <v>0</v>
      </c>
      <c r="BA13" s="9">
        <v>0</v>
      </c>
      <c r="BB13" s="9">
        <v>0</v>
      </c>
      <c r="BC13" s="9">
        <v>0.75</v>
      </c>
      <c r="BD13" s="9">
        <v>0</v>
      </c>
      <c r="BE13" s="9">
        <v>1</v>
      </c>
      <c r="BF13" s="9">
        <v>0</v>
      </c>
      <c r="BG13" s="9">
        <v>0</v>
      </c>
      <c r="BH13" s="9">
        <v>0</v>
      </c>
      <c r="BI13" s="9">
        <v>0</v>
      </c>
      <c r="BJ13" s="9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0.25</v>
      </c>
      <c r="BR13" s="3">
        <v>0</v>
      </c>
      <c r="BS13" s="3">
        <v>0</v>
      </c>
      <c r="BT13" s="3">
        <v>0</v>
      </c>
      <c r="BU13" s="3">
        <v>0.25</v>
      </c>
      <c r="BV13" s="3">
        <v>0</v>
      </c>
      <c r="BW13" s="3">
        <v>0.25</v>
      </c>
      <c r="BX13" s="54">
        <v>0</v>
      </c>
      <c r="BY13" s="3">
        <v>0</v>
      </c>
      <c r="BZ13" s="60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4.5</v>
      </c>
      <c r="CG13" s="191"/>
    </row>
    <row r="14" spans="1:85" s="5" customFormat="1" x14ac:dyDescent="0.15">
      <c r="A14" s="3" t="s">
        <v>217</v>
      </c>
      <c r="B14" s="3">
        <v>317</v>
      </c>
      <c r="C14" s="3" t="s">
        <v>327</v>
      </c>
      <c r="D14" s="3"/>
      <c r="E14" s="3"/>
      <c r="F14" s="3" t="s">
        <v>318</v>
      </c>
      <c r="G14" s="3" t="s">
        <v>93</v>
      </c>
      <c r="H14" s="3" t="s">
        <v>45</v>
      </c>
      <c r="I14" s="3" t="s">
        <v>92</v>
      </c>
      <c r="J14" s="70" t="s">
        <v>92</v>
      </c>
      <c r="K14" s="70" t="s">
        <v>9</v>
      </c>
      <c r="L14" s="3">
        <v>310000</v>
      </c>
      <c r="M14" s="74">
        <v>77500</v>
      </c>
      <c r="N14" s="58" t="s">
        <v>41</v>
      </c>
      <c r="O14" s="58">
        <v>627.24776129032296</v>
      </c>
      <c r="P14" s="3">
        <v>507</v>
      </c>
      <c r="Q14" s="63">
        <v>120.247761290323</v>
      </c>
      <c r="R14" s="63" t="s">
        <v>328</v>
      </c>
      <c r="S14" s="58">
        <v>28696522</v>
      </c>
      <c r="T14" s="63">
        <v>6660164</v>
      </c>
      <c r="U14" s="63">
        <v>10618.075361957901</v>
      </c>
      <c r="V14" s="63">
        <v>40</v>
      </c>
      <c r="W14" s="63">
        <v>65252.046361718101</v>
      </c>
      <c r="X14" s="63">
        <v>14000</v>
      </c>
      <c r="Y14" s="63" t="s">
        <v>41</v>
      </c>
      <c r="Z14" s="63">
        <v>2.37008931550087</v>
      </c>
      <c r="AA14" s="63">
        <v>2.37008931550087</v>
      </c>
      <c r="AB14" s="63">
        <v>229215337.34193501</v>
      </c>
      <c r="AC14" s="63">
        <v>-191001200</v>
      </c>
      <c r="AD14" s="63">
        <v>38214137.341935501</v>
      </c>
      <c r="AE14" s="63">
        <v>-181047</v>
      </c>
      <c r="AF14" s="66">
        <v>-2321387</v>
      </c>
      <c r="AG14" s="66">
        <v>-4157730</v>
      </c>
      <c r="AH14" s="66">
        <v>31553973.341935501</v>
      </c>
      <c r="AI14" s="66">
        <v>6310794.6683871001</v>
      </c>
      <c r="AJ14" s="66">
        <v>25243178.6735484</v>
      </c>
      <c r="AK14" s="66">
        <v>0</v>
      </c>
      <c r="AL14" s="66">
        <v>224085546.296774</v>
      </c>
      <c r="AM14" s="66">
        <v>22761745.837419402</v>
      </c>
      <c r="AN14" s="66">
        <v>0</v>
      </c>
      <c r="AO14" s="66" t="s">
        <v>41</v>
      </c>
      <c r="AP14" s="66" t="s">
        <v>71</v>
      </c>
      <c r="AQ14" s="66" t="s">
        <v>329</v>
      </c>
      <c r="AR14" s="9" t="s">
        <v>204</v>
      </c>
      <c r="AS14" s="9">
        <v>0</v>
      </c>
      <c r="AT14" s="9">
        <v>0</v>
      </c>
      <c r="AU14" s="9">
        <v>0.5</v>
      </c>
      <c r="AV14" s="9">
        <v>0.5</v>
      </c>
      <c r="AW14" s="9">
        <v>0</v>
      </c>
      <c r="AX14" s="9">
        <v>0.5</v>
      </c>
      <c r="AY14" s="9">
        <v>0</v>
      </c>
      <c r="AZ14" s="9">
        <v>1</v>
      </c>
      <c r="BA14" s="9">
        <v>0.5</v>
      </c>
      <c r="BB14" s="9">
        <v>1</v>
      </c>
      <c r="BC14" s="9">
        <v>0.75</v>
      </c>
      <c r="BD14" s="9">
        <v>0.75</v>
      </c>
      <c r="BE14" s="9">
        <v>0</v>
      </c>
      <c r="BF14" s="9">
        <v>0</v>
      </c>
      <c r="BG14" s="9">
        <v>0</v>
      </c>
      <c r="BH14" s="9">
        <v>0</v>
      </c>
      <c r="BI14" s="9">
        <v>0</v>
      </c>
      <c r="BJ14" s="9">
        <v>0</v>
      </c>
      <c r="BK14" s="3">
        <v>0</v>
      </c>
      <c r="BL14" s="3">
        <v>0.5</v>
      </c>
      <c r="BM14" s="3">
        <v>0</v>
      </c>
      <c r="BN14" s="3">
        <v>0</v>
      </c>
      <c r="BO14" s="3">
        <v>1</v>
      </c>
      <c r="BP14" s="3">
        <v>0</v>
      </c>
      <c r="BQ14" s="3">
        <v>0</v>
      </c>
      <c r="BR14" s="3">
        <v>0.25</v>
      </c>
      <c r="BS14" s="3">
        <v>0.25</v>
      </c>
      <c r="BT14" s="3">
        <v>0.25</v>
      </c>
      <c r="BU14" s="3">
        <v>0</v>
      </c>
      <c r="BV14" s="3">
        <v>0</v>
      </c>
      <c r="BW14" s="3">
        <v>0.25</v>
      </c>
      <c r="BX14" s="54">
        <v>0</v>
      </c>
      <c r="BY14" s="3">
        <v>0</v>
      </c>
      <c r="BZ14" s="60">
        <v>0</v>
      </c>
      <c r="CA14" s="5">
        <v>0</v>
      </c>
      <c r="CB14" s="5">
        <v>1</v>
      </c>
      <c r="CC14" s="5">
        <v>1</v>
      </c>
      <c r="CD14" s="5">
        <v>0</v>
      </c>
      <c r="CE14" s="5">
        <v>1</v>
      </c>
      <c r="CF14" s="5">
        <v>11</v>
      </c>
      <c r="CG14" s="191"/>
    </row>
    <row r="15" spans="1:85" s="5" customFormat="1" x14ac:dyDescent="0.15">
      <c r="A15" s="5" t="s">
        <v>218</v>
      </c>
      <c r="B15" s="5">
        <v>391</v>
      </c>
      <c r="C15" s="5" t="s">
        <v>330</v>
      </c>
      <c r="F15" s="5" t="s">
        <v>92</v>
      </c>
      <c r="G15" s="5" t="s">
        <v>70</v>
      </c>
      <c r="H15" s="5" t="s">
        <v>45</v>
      </c>
      <c r="I15" s="5" t="s">
        <v>318</v>
      </c>
      <c r="J15" s="10" t="s">
        <v>318</v>
      </c>
      <c r="K15" s="10" t="s">
        <v>140</v>
      </c>
      <c r="L15" s="5">
        <v>310000</v>
      </c>
      <c r="M15" s="72">
        <v>0</v>
      </c>
      <c r="N15" s="54" t="s">
        <v>41</v>
      </c>
      <c r="O15" s="54">
        <v>673.87</v>
      </c>
      <c r="P15" s="5">
        <v>507</v>
      </c>
      <c r="Q15" s="60">
        <v>166.87</v>
      </c>
      <c r="R15" s="60" t="s">
        <v>328</v>
      </c>
      <c r="S15" s="54">
        <v>-2321387</v>
      </c>
      <c r="T15" s="60">
        <v>4338777</v>
      </c>
      <c r="U15" s="60">
        <v>0</v>
      </c>
      <c r="V15" s="60">
        <v>603.4</v>
      </c>
      <c r="W15" s="60">
        <v>0</v>
      </c>
      <c r="X15" s="60">
        <v>0</v>
      </c>
      <c r="Y15" s="60" t="s">
        <v>41</v>
      </c>
      <c r="Z15" s="63">
        <v>0</v>
      </c>
      <c r="AA15" s="63">
        <v>0</v>
      </c>
      <c r="AB15" s="63">
        <v>194437371.81999999</v>
      </c>
      <c r="AC15" s="63">
        <v>0</v>
      </c>
      <c r="AD15" s="63">
        <v>0</v>
      </c>
      <c r="AE15" s="63">
        <v>181047</v>
      </c>
      <c r="AF15" s="66">
        <v>0</v>
      </c>
      <c r="AG15" s="66">
        <v>4157730</v>
      </c>
      <c r="AH15" s="66">
        <v>0</v>
      </c>
      <c r="AI15" s="66">
        <v>0</v>
      </c>
      <c r="AJ15" s="66">
        <v>0</v>
      </c>
      <c r="AK15" s="66">
        <v>0</v>
      </c>
      <c r="AL15" s="66">
        <v>194434676.34</v>
      </c>
      <c r="AM15" s="66">
        <v>0</v>
      </c>
      <c r="AN15" s="66">
        <v>0</v>
      </c>
      <c r="AO15" s="66" t="s">
        <v>41</v>
      </c>
      <c r="AP15" s="66" t="s">
        <v>329</v>
      </c>
      <c r="AQ15" s="66" t="s">
        <v>70</v>
      </c>
      <c r="AR15" s="9" t="s">
        <v>204</v>
      </c>
      <c r="AS15" s="9">
        <v>0.5</v>
      </c>
      <c r="AT15" s="9">
        <v>0.5</v>
      </c>
      <c r="AU15" s="9">
        <v>0.5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0.5</v>
      </c>
      <c r="BB15" s="9">
        <v>0</v>
      </c>
      <c r="BC15" s="9">
        <v>0.75</v>
      </c>
      <c r="BD15" s="9">
        <v>0</v>
      </c>
      <c r="BE15" s="9">
        <v>0</v>
      </c>
      <c r="BF15" s="9">
        <v>0</v>
      </c>
      <c r="BG15" s="9">
        <v>0</v>
      </c>
      <c r="BH15" s="9">
        <v>0</v>
      </c>
      <c r="BI15" s="9">
        <v>0</v>
      </c>
      <c r="BJ15" s="9">
        <v>0</v>
      </c>
      <c r="BK15" s="3">
        <v>0</v>
      </c>
      <c r="BL15" s="3">
        <v>0.5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0.25</v>
      </c>
      <c r="BS15" s="3">
        <v>0</v>
      </c>
      <c r="BT15" s="3">
        <v>0.25</v>
      </c>
      <c r="BU15" s="3">
        <v>0</v>
      </c>
      <c r="BV15" s="3">
        <v>0</v>
      </c>
      <c r="BW15" s="3">
        <v>0.25</v>
      </c>
      <c r="BX15" s="54">
        <v>0</v>
      </c>
      <c r="BY15" s="3">
        <v>0</v>
      </c>
      <c r="BZ15" s="60">
        <v>0</v>
      </c>
      <c r="CA15" s="5">
        <v>0</v>
      </c>
      <c r="CB15" s="5">
        <v>1</v>
      </c>
      <c r="CC15" s="5">
        <v>0</v>
      </c>
      <c r="CD15" s="5">
        <v>1</v>
      </c>
      <c r="CE15" s="5">
        <v>1</v>
      </c>
      <c r="CF15" s="5">
        <v>7</v>
      </c>
      <c r="CG15" s="191"/>
    </row>
    <row r="16" spans="1:85" s="5" customFormat="1" x14ac:dyDescent="0.15">
      <c r="A16" s="5" t="s">
        <v>219</v>
      </c>
      <c r="B16" s="5">
        <v>370</v>
      </c>
      <c r="C16" s="5" t="s">
        <v>331</v>
      </c>
      <c r="F16" s="5" t="s">
        <v>92</v>
      </c>
      <c r="G16" s="5" t="s">
        <v>70</v>
      </c>
      <c r="H16" s="5" t="s">
        <v>45</v>
      </c>
      <c r="I16" s="5" t="s">
        <v>92</v>
      </c>
      <c r="J16" s="69" t="s">
        <v>318</v>
      </c>
      <c r="K16" s="69" t="s">
        <v>9</v>
      </c>
      <c r="L16" s="5">
        <v>0</v>
      </c>
      <c r="M16" s="72">
        <v>0</v>
      </c>
      <c r="N16" s="57" t="s">
        <v>41</v>
      </c>
      <c r="O16" s="54">
        <v>627.24776129032296</v>
      </c>
      <c r="P16" s="5">
        <v>507</v>
      </c>
      <c r="Q16" s="61">
        <v>120.247761290323</v>
      </c>
      <c r="R16" s="61" t="s">
        <v>96</v>
      </c>
      <c r="S16" s="57">
        <v>157170000</v>
      </c>
      <c r="T16" s="61">
        <v>128473478</v>
      </c>
      <c r="U16" s="61">
        <v>0</v>
      </c>
      <c r="V16" s="60">
        <v>0</v>
      </c>
      <c r="W16" s="60">
        <v>0</v>
      </c>
      <c r="X16" s="61">
        <v>0</v>
      </c>
      <c r="Y16" s="60" t="s">
        <v>311</v>
      </c>
      <c r="Z16" s="60">
        <v>7.8998263411948193E-3</v>
      </c>
      <c r="AA16" s="60">
        <v>7.8998263411948193E-3</v>
      </c>
      <c r="AB16" s="60">
        <v>185665337.34193501</v>
      </c>
      <c r="AC16" s="60">
        <v>0</v>
      </c>
      <c r="AD16" s="60">
        <v>0</v>
      </c>
      <c r="AE16" s="60">
        <v>0</v>
      </c>
      <c r="AF16" s="65">
        <v>0</v>
      </c>
      <c r="AG16" s="65">
        <v>0</v>
      </c>
      <c r="AH16" s="65">
        <v>0</v>
      </c>
      <c r="AI16" s="65">
        <v>0</v>
      </c>
      <c r="AJ16" s="65">
        <v>0</v>
      </c>
      <c r="AK16" s="65">
        <v>0</v>
      </c>
      <c r="AL16" s="65">
        <v>0</v>
      </c>
      <c r="AM16" s="65">
        <v>0</v>
      </c>
      <c r="AN16" s="65">
        <v>0</v>
      </c>
      <c r="AO16" s="65" t="s">
        <v>311</v>
      </c>
      <c r="AP16" s="65" t="s">
        <v>71</v>
      </c>
      <c r="AQ16" s="65" t="s">
        <v>70</v>
      </c>
      <c r="AR16" s="8" t="s">
        <v>204</v>
      </c>
      <c r="AS16" s="8">
        <v>0.5</v>
      </c>
      <c r="AT16" s="8">
        <v>0.5</v>
      </c>
      <c r="AU16" s="8">
        <v>0.5</v>
      </c>
      <c r="AV16" s="8">
        <v>0.5</v>
      </c>
      <c r="AW16" s="8">
        <v>0</v>
      </c>
      <c r="AX16" s="8">
        <v>0.5</v>
      </c>
      <c r="AY16" s="8">
        <v>0</v>
      </c>
      <c r="AZ16" s="8">
        <v>0</v>
      </c>
      <c r="BA16" s="8">
        <v>0.5</v>
      </c>
      <c r="BB16" s="8">
        <v>1</v>
      </c>
      <c r="BC16" s="8">
        <v>0.75</v>
      </c>
      <c r="BD16" s="8">
        <v>0.75</v>
      </c>
      <c r="BE16" s="8">
        <v>1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5">
        <v>0</v>
      </c>
      <c r="BL16" s="5">
        <v>0</v>
      </c>
      <c r="BM16" s="5">
        <v>0.5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0.25</v>
      </c>
      <c r="BV16" s="5">
        <v>0</v>
      </c>
      <c r="BW16" s="5">
        <v>0.25</v>
      </c>
      <c r="BX16" s="54">
        <v>0</v>
      </c>
      <c r="BY16" s="5">
        <v>0</v>
      </c>
      <c r="BZ16" s="60">
        <v>0</v>
      </c>
      <c r="CA16" s="5">
        <v>0</v>
      </c>
      <c r="CB16" s="5">
        <v>0</v>
      </c>
      <c r="CC16" s="5">
        <v>1</v>
      </c>
      <c r="CD16" s="5">
        <v>1</v>
      </c>
      <c r="CE16" s="5">
        <v>1</v>
      </c>
      <c r="CF16" s="5">
        <v>10.5</v>
      </c>
      <c r="CG16" s="191"/>
    </row>
    <row r="17" spans="1:85" s="5" customFormat="1" x14ac:dyDescent="0.15">
      <c r="A17" s="5" t="s">
        <v>220</v>
      </c>
      <c r="B17" s="5">
        <v>332</v>
      </c>
      <c r="C17" s="5" t="s">
        <v>332</v>
      </c>
      <c r="F17" s="65" t="s">
        <v>92</v>
      </c>
      <c r="G17" s="65" t="s">
        <v>70</v>
      </c>
      <c r="H17" s="65" t="s">
        <v>45</v>
      </c>
      <c r="I17" s="65" t="s">
        <v>92</v>
      </c>
      <c r="J17" s="68" t="s">
        <v>93</v>
      </c>
      <c r="K17" s="68" t="s">
        <v>9</v>
      </c>
      <c r="L17" s="65">
        <v>387500</v>
      </c>
      <c r="M17" s="68">
        <v>77500</v>
      </c>
      <c r="N17" s="67" t="s">
        <v>41</v>
      </c>
      <c r="O17" s="67">
        <v>627.24776129032296</v>
      </c>
      <c r="P17" s="65">
        <v>507</v>
      </c>
      <c r="Q17" s="65">
        <v>120.247761290323</v>
      </c>
      <c r="R17" s="65" t="s">
        <v>96</v>
      </c>
      <c r="S17" s="65">
        <v>6660164</v>
      </c>
      <c r="T17" s="65">
        <v>35356686</v>
      </c>
      <c r="U17" s="65">
        <v>36000</v>
      </c>
      <c r="V17" s="65">
        <v>66.599999999999994</v>
      </c>
      <c r="W17" s="65">
        <v>258031.3</v>
      </c>
      <c r="X17" s="65">
        <v>36000.6702290963</v>
      </c>
      <c r="Y17" s="65" t="s">
        <v>41</v>
      </c>
      <c r="Z17" s="65">
        <v>1.8723294005578199E-2</v>
      </c>
      <c r="AA17" s="65">
        <v>1.8723294005578199E-2</v>
      </c>
      <c r="AB17" s="65">
        <v>229215337.34193501</v>
      </c>
      <c r="AC17" s="65">
        <v>217989522</v>
      </c>
      <c r="AD17" s="65">
        <v>11225815.341934999</v>
      </c>
      <c r="AE17" s="65">
        <v>181047</v>
      </c>
      <c r="AF17" s="65">
        <v>2321387</v>
      </c>
      <c r="AG17" s="65">
        <v>4157730</v>
      </c>
      <c r="AH17" s="65">
        <v>4565651.3419350097</v>
      </c>
      <c r="AI17" s="65">
        <v>913130.26838700206</v>
      </c>
      <c r="AJ17" s="65">
        <v>3652521.0735480101</v>
      </c>
      <c r="AK17" s="65">
        <v>0.189996012068921</v>
      </c>
      <c r="AL17" s="65">
        <v>226706337.34193501</v>
      </c>
      <c r="AM17" s="65">
        <v>3267721.0735480101</v>
      </c>
      <c r="AN17" s="65">
        <v>32266.7127385436</v>
      </c>
      <c r="AO17" s="65" t="s">
        <v>41</v>
      </c>
      <c r="AP17" s="65" t="s">
        <v>71</v>
      </c>
      <c r="AQ17" s="65" t="s">
        <v>70</v>
      </c>
      <c r="AR17" s="78" t="s">
        <v>204</v>
      </c>
      <c r="AS17" s="11">
        <v>0.5</v>
      </c>
      <c r="AT17" s="11">
        <v>0.5</v>
      </c>
      <c r="AU17" s="11">
        <v>0.5</v>
      </c>
      <c r="AV17" s="11">
        <v>0.5</v>
      </c>
      <c r="AW17" s="11">
        <v>0.5</v>
      </c>
      <c r="AX17" s="11">
        <v>0.5</v>
      </c>
      <c r="AY17" s="11">
        <v>1</v>
      </c>
      <c r="AZ17" s="11">
        <v>1</v>
      </c>
      <c r="BA17" s="11">
        <v>0.5</v>
      </c>
      <c r="BB17" s="11">
        <v>1</v>
      </c>
      <c r="BC17" s="75">
        <v>0.75</v>
      </c>
      <c r="BD17" s="75">
        <v>0.75</v>
      </c>
      <c r="BE17" s="75">
        <v>1</v>
      </c>
      <c r="BF17" s="75">
        <v>0.5</v>
      </c>
      <c r="BG17" s="75">
        <v>0.5</v>
      </c>
      <c r="BH17" s="75">
        <v>0</v>
      </c>
      <c r="BI17" s="75">
        <v>1</v>
      </c>
      <c r="BJ17" s="75">
        <v>2</v>
      </c>
      <c r="BK17" s="75">
        <v>1.5</v>
      </c>
      <c r="BL17" s="76">
        <v>0.5</v>
      </c>
      <c r="BM17" s="76">
        <v>0</v>
      </c>
      <c r="BN17" s="76">
        <v>0.5</v>
      </c>
      <c r="BO17" s="76">
        <v>1</v>
      </c>
      <c r="BP17" s="76">
        <v>1</v>
      </c>
      <c r="BQ17" s="76">
        <v>0.25</v>
      </c>
      <c r="BR17" s="76">
        <v>0.25</v>
      </c>
      <c r="BS17" s="76">
        <v>0.25</v>
      </c>
      <c r="BT17" s="76">
        <v>0.25</v>
      </c>
      <c r="BU17" s="76">
        <v>0.25</v>
      </c>
      <c r="BV17" s="76">
        <v>0.25</v>
      </c>
      <c r="BW17" s="76">
        <v>0.25</v>
      </c>
      <c r="BX17" s="54">
        <v>0.25</v>
      </c>
      <c r="BY17" s="5">
        <v>0</v>
      </c>
      <c r="BZ17" s="60">
        <v>0</v>
      </c>
      <c r="CA17" s="5">
        <v>2</v>
      </c>
      <c r="CB17" s="5">
        <v>1</v>
      </c>
      <c r="CC17" s="5">
        <v>1</v>
      </c>
      <c r="CD17" s="5">
        <v>1</v>
      </c>
      <c r="CE17" s="5">
        <v>1</v>
      </c>
      <c r="CF17" s="5">
        <v>25.5</v>
      </c>
      <c r="CG17" s="191"/>
    </row>
    <row r="18" spans="1:85" s="5" customFormat="1" x14ac:dyDescent="0.15">
      <c r="A18" s="5" t="s">
        <v>221</v>
      </c>
      <c r="B18" s="5">
        <v>405</v>
      </c>
      <c r="C18" s="5" t="s">
        <v>333</v>
      </c>
      <c r="F18" s="65" t="s">
        <v>92</v>
      </c>
      <c r="G18" s="65" t="s">
        <v>70</v>
      </c>
      <c r="H18" s="65" t="s">
        <v>45</v>
      </c>
      <c r="I18" s="65" t="s">
        <v>92</v>
      </c>
      <c r="J18" s="68" t="s">
        <v>93</v>
      </c>
      <c r="K18" s="68" t="s">
        <v>9</v>
      </c>
      <c r="L18" s="65">
        <v>387500</v>
      </c>
      <c r="M18" s="68">
        <v>77500</v>
      </c>
      <c r="N18" s="67" t="s">
        <v>41</v>
      </c>
      <c r="O18" s="67">
        <v>627.24776129032296</v>
      </c>
      <c r="P18" s="65">
        <v>507</v>
      </c>
      <c r="Q18" s="65">
        <v>120.25</v>
      </c>
      <c r="R18" s="65" t="s">
        <v>96</v>
      </c>
      <c r="S18" s="65">
        <v>6660164</v>
      </c>
      <c r="T18" s="65">
        <v>35356686</v>
      </c>
      <c r="U18" s="65">
        <v>294026.494802495</v>
      </c>
      <c r="V18" s="65">
        <v>66.599999999999994</v>
      </c>
      <c r="W18" s="65">
        <v>266074.69</v>
      </c>
      <c r="X18" s="65">
        <v>36001</v>
      </c>
      <c r="Y18" s="65" t="s">
        <v>41</v>
      </c>
      <c r="Z18" s="65">
        <v>1.8723294005578199E-2</v>
      </c>
      <c r="AA18" s="65">
        <v>1.8723294005578199E-2</v>
      </c>
      <c r="AB18" s="65">
        <v>0</v>
      </c>
      <c r="AC18" s="65">
        <v>0</v>
      </c>
      <c r="AD18" s="65">
        <v>0</v>
      </c>
      <c r="AE18" s="65">
        <v>0</v>
      </c>
      <c r="AF18" s="65">
        <v>0</v>
      </c>
      <c r="AG18" s="65">
        <v>0</v>
      </c>
      <c r="AH18" s="65">
        <v>0</v>
      </c>
      <c r="AI18" s="65">
        <v>0</v>
      </c>
      <c r="AJ18" s="65">
        <v>0</v>
      </c>
      <c r="AK18" s="65">
        <v>0</v>
      </c>
      <c r="AL18" s="65" t="s">
        <v>334</v>
      </c>
      <c r="AM18" s="65">
        <v>0</v>
      </c>
      <c r="AN18" s="65">
        <v>0</v>
      </c>
      <c r="AO18" s="65" t="s">
        <v>311</v>
      </c>
      <c r="AP18" s="65" t="s">
        <v>71</v>
      </c>
      <c r="AQ18" s="65" t="s">
        <v>70</v>
      </c>
      <c r="AR18" s="77" t="s">
        <v>204</v>
      </c>
      <c r="AS18" s="11">
        <v>0.5</v>
      </c>
      <c r="AT18" s="11">
        <v>0.5</v>
      </c>
      <c r="AU18" s="11">
        <v>0.5</v>
      </c>
      <c r="AV18" s="11">
        <v>0.5</v>
      </c>
      <c r="AW18" s="11">
        <v>0.5</v>
      </c>
      <c r="AX18" s="11">
        <v>0.5</v>
      </c>
      <c r="AY18" s="11">
        <v>1</v>
      </c>
      <c r="AZ18" s="11">
        <v>1</v>
      </c>
      <c r="BA18" s="11">
        <v>0.5</v>
      </c>
      <c r="BB18" s="11">
        <v>1</v>
      </c>
      <c r="BC18" s="75">
        <v>0.75</v>
      </c>
      <c r="BD18" s="75">
        <v>0.75</v>
      </c>
      <c r="BE18" s="75">
        <v>1</v>
      </c>
      <c r="BF18" s="75">
        <v>0.5</v>
      </c>
      <c r="BG18" s="75">
        <v>0.5</v>
      </c>
      <c r="BH18" s="75">
        <v>0</v>
      </c>
      <c r="BI18" s="75">
        <v>1</v>
      </c>
      <c r="BJ18" s="75">
        <v>0</v>
      </c>
      <c r="BK18" s="75">
        <v>1.5</v>
      </c>
      <c r="BL18" s="76">
        <v>0.5</v>
      </c>
      <c r="BM18" s="76">
        <v>0</v>
      </c>
      <c r="BN18" s="76">
        <v>0.5</v>
      </c>
      <c r="BO18" s="76">
        <v>0</v>
      </c>
      <c r="BP18" s="76">
        <v>0</v>
      </c>
      <c r="BQ18" s="76">
        <v>0.25</v>
      </c>
      <c r="BR18" s="76">
        <v>0</v>
      </c>
      <c r="BS18" s="76">
        <v>0</v>
      </c>
      <c r="BT18" s="76">
        <v>0</v>
      </c>
      <c r="BU18" s="76">
        <v>0.25</v>
      </c>
      <c r="BV18" s="76">
        <v>0</v>
      </c>
      <c r="BW18" s="76">
        <v>0.25</v>
      </c>
      <c r="BX18" s="54">
        <v>0</v>
      </c>
      <c r="BY18" s="5">
        <v>0</v>
      </c>
      <c r="BZ18" s="60">
        <v>0</v>
      </c>
      <c r="CA18" s="5">
        <v>0</v>
      </c>
      <c r="CB18" s="5">
        <v>0</v>
      </c>
      <c r="CC18" s="5">
        <v>1</v>
      </c>
      <c r="CD18" s="5">
        <v>1</v>
      </c>
      <c r="CE18" s="5">
        <v>1</v>
      </c>
      <c r="CF18" s="5">
        <v>17.25</v>
      </c>
      <c r="CG18" s="191"/>
    </row>
    <row r="19" spans="1:85" s="5" customFormat="1" x14ac:dyDescent="0.15">
      <c r="A19" s="3" t="s">
        <v>222</v>
      </c>
      <c r="B19" s="3">
        <v>380</v>
      </c>
      <c r="C19" s="3" t="s">
        <v>335</v>
      </c>
      <c r="D19" s="3"/>
      <c r="E19" s="3"/>
      <c r="F19" s="3" t="s">
        <v>92</v>
      </c>
      <c r="G19" s="3" t="s">
        <v>70</v>
      </c>
      <c r="H19" s="3" t="s">
        <v>45</v>
      </c>
      <c r="I19" s="3" t="s">
        <v>92</v>
      </c>
      <c r="J19" s="70" t="s">
        <v>318</v>
      </c>
      <c r="K19" s="70" t="s">
        <v>9</v>
      </c>
      <c r="L19" s="3">
        <v>387500</v>
      </c>
      <c r="M19" s="74">
        <v>77500</v>
      </c>
      <c r="N19" s="58" t="s">
        <v>41</v>
      </c>
      <c r="O19" s="58">
        <v>627.24776129032296</v>
      </c>
      <c r="P19" s="3">
        <v>507</v>
      </c>
      <c r="Q19" s="63">
        <v>120.247761290323</v>
      </c>
      <c r="R19" s="63" t="s">
        <v>309</v>
      </c>
      <c r="S19" s="58">
        <v>6660164</v>
      </c>
      <c r="T19" s="63">
        <v>35356686</v>
      </c>
      <c r="U19" s="63">
        <v>294031.96883338102</v>
      </c>
      <c r="V19" s="63">
        <v>66.599999999999994</v>
      </c>
      <c r="W19" s="63">
        <v>258031.298604285</v>
      </c>
      <c r="X19" s="63">
        <v>36000.670229096402</v>
      </c>
      <c r="Y19" s="63" t="s">
        <v>41</v>
      </c>
      <c r="Z19" s="63">
        <v>1.8723294005578199E-2</v>
      </c>
      <c r="AA19" s="63">
        <v>1.8723294005578199E-2</v>
      </c>
      <c r="AB19" s="63">
        <v>229215337.34193501</v>
      </c>
      <c r="AC19" s="63">
        <v>217989522</v>
      </c>
      <c r="AD19" s="63">
        <v>11225815.341935501</v>
      </c>
      <c r="AE19" s="63">
        <v>181047</v>
      </c>
      <c r="AF19" s="66">
        <v>2321387</v>
      </c>
      <c r="AG19" s="66">
        <v>4157730</v>
      </c>
      <c r="AH19" s="66">
        <v>4565651.3419354903</v>
      </c>
      <c r="AI19" s="66">
        <v>913130.26838709705</v>
      </c>
      <c r="AJ19" s="66">
        <v>3652521.0735483901</v>
      </c>
      <c r="AK19" s="66">
        <v>0.18999601206892</v>
      </c>
      <c r="AL19" s="66">
        <v>226706346.296774</v>
      </c>
      <c r="AM19" s="66">
        <v>3267728.2374193701</v>
      </c>
      <c r="AN19" s="66">
        <v>32266.739629952601</v>
      </c>
      <c r="AO19" s="66" t="s">
        <v>41</v>
      </c>
      <c r="AP19" s="66" t="s">
        <v>71</v>
      </c>
      <c r="AQ19" s="66" t="s">
        <v>70</v>
      </c>
      <c r="AR19" s="9" t="s">
        <v>204</v>
      </c>
      <c r="AS19" s="9">
        <v>0.5</v>
      </c>
      <c r="AT19" s="9">
        <v>0.5</v>
      </c>
      <c r="AU19" s="9">
        <v>0.5</v>
      </c>
      <c r="AV19" s="9">
        <v>0.5</v>
      </c>
      <c r="AW19" s="9">
        <v>0</v>
      </c>
      <c r="AX19" s="9">
        <v>0.5</v>
      </c>
      <c r="AY19" s="9">
        <v>1</v>
      </c>
      <c r="AZ19" s="9">
        <v>1</v>
      </c>
      <c r="BA19" s="9">
        <v>0.5</v>
      </c>
      <c r="BB19" s="9">
        <v>1</v>
      </c>
      <c r="BC19" s="9">
        <v>0.75</v>
      </c>
      <c r="BD19" s="9">
        <v>0.75</v>
      </c>
      <c r="BE19" s="9">
        <v>0</v>
      </c>
      <c r="BF19" s="9">
        <v>0.5</v>
      </c>
      <c r="BG19" s="9">
        <v>0.5</v>
      </c>
      <c r="BH19" s="9">
        <v>0.5</v>
      </c>
      <c r="BI19" s="9">
        <v>1</v>
      </c>
      <c r="BJ19" s="9">
        <v>2</v>
      </c>
      <c r="BK19" s="3">
        <v>1.5</v>
      </c>
      <c r="BL19" s="3">
        <v>0.5</v>
      </c>
      <c r="BM19" s="3">
        <v>0</v>
      </c>
      <c r="BN19" s="3">
        <v>0.5</v>
      </c>
      <c r="BO19" s="3">
        <v>1</v>
      </c>
      <c r="BP19" s="3">
        <v>1</v>
      </c>
      <c r="BQ19" s="3">
        <v>0.25</v>
      </c>
      <c r="BR19" s="3">
        <v>0.25</v>
      </c>
      <c r="BS19" s="3">
        <v>0.25</v>
      </c>
      <c r="BT19" s="3">
        <v>0.25</v>
      </c>
      <c r="BU19" s="3">
        <v>0.25</v>
      </c>
      <c r="BV19" s="3">
        <v>0.25</v>
      </c>
      <c r="BW19" s="3">
        <v>0.25</v>
      </c>
      <c r="BX19" s="54">
        <v>0.25</v>
      </c>
      <c r="BY19" s="3">
        <v>1.5</v>
      </c>
      <c r="BZ19" s="60">
        <v>1.5</v>
      </c>
      <c r="CA19" s="5">
        <v>2</v>
      </c>
      <c r="CB19" s="5">
        <v>1</v>
      </c>
      <c r="CC19" s="5">
        <v>1</v>
      </c>
      <c r="CD19" s="5">
        <v>1</v>
      </c>
      <c r="CE19" s="5">
        <v>1</v>
      </c>
      <c r="CF19" s="5">
        <v>27.5</v>
      </c>
      <c r="CG19" s="191"/>
    </row>
    <row r="20" spans="1:85" s="5" customFormat="1" x14ac:dyDescent="0.15">
      <c r="A20" s="5" t="s">
        <v>223</v>
      </c>
      <c r="B20" s="5">
        <v>338</v>
      </c>
      <c r="C20" s="5" t="s">
        <v>336</v>
      </c>
      <c r="F20" s="65" t="s">
        <v>92</v>
      </c>
      <c r="G20" s="65" t="s">
        <v>70</v>
      </c>
      <c r="H20" s="65" t="s">
        <v>45</v>
      </c>
      <c r="I20" s="65" t="s">
        <v>92</v>
      </c>
      <c r="J20" s="68" t="s">
        <v>93</v>
      </c>
      <c r="K20" s="68" t="s">
        <v>9</v>
      </c>
      <c r="L20" s="65">
        <v>387500</v>
      </c>
      <c r="M20" s="68">
        <v>77500</v>
      </c>
      <c r="N20" s="67" t="s">
        <v>41</v>
      </c>
      <c r="O20" s="67">
        <v>627.24776129032296</v>
      </c>
      <c r="P20" s="65">
        <v>507</v>
      </c>
      <c r="Q20" s="65">
        <v>120.247761290323</v>
      </c>
      <c r="R20" s="65" t="s">
        <v>96</v>
      </c>
      <c r="S20" s="67">
        <v>6660164</v>
      </c>
      <c r="T20" s="65">
        <v>35356686</v>
      </c>
      <c r="U20" s="65">
        <v>294031.96883338102</v>
      </c>
      <c r="V20" s="65">
        <v>66.599999999999994</v>
      </c>
      <c r="W20" s="65">
        <v>258031.298604285</v>
      </c>
      <c r="X20" s="65">
        <v>36000.670229096402</v>
      </c>
      <c r="Y20" s="65" t="s">
        <v>41</v>
      </c>
      <c r="Z20" s="65">
        <v>1.8723294005578199E-2</v>
      </c>
      <c r="AA20" s="65">
        <v>1.8723294005578199E-2</v>
      </c>
      <c r="AB20" s="65">
        <v>229215337.34193501</v>
      </c>
      <c r="AC20" s="65">
        <v>217989522</v>
      </c>
      <c r="AD20" s="65">
        <v>11225815.341935501</v>
      </c>
      <c r="AE20" s="65">
        <v>181047</v>
      </c>
      <c r="AF20" s="65">
        <v>2321387</v>
      </c>
      <c r="AG20" s="65">
        <v>4157730</v>
      </c>
      <c r="AH20" s="65">
        <v>4565651.3419354903</v>
      </c>
      <c r="AI20" s="65">
        <v>760941.89032258105</v>
      </c>
      <c r="AJ20" s="65">
        <v>3804709.4516129</v>
      </c>
      <c r="AK20" s="65">
        <v>0.18999601206892</v>
      </c>
      <c r="AL20" s="65">
        <v>226706346.296774</v>
      </c>
      <c r="AM20" s="65">
        <v>-816932.05935484101</v>
      </c>
      <c r="AN20" s="65">
        <v>193600.43777971499</v>
      </c>
      <c r="AO20" s="65" t="s">
        <v>311</v>
      </c>
      <c r="AP20" s="65" t="s">
        <v>71</v>
      </c>
      <c r="AQ20" s="65" t="s">
        <v>70</v>
      </c>
      <c r="AR20" s="78" t="s">
        <v>204</v>
      </c>
      <c r="AS20" s="11">
        <v>0.5</v>
      </c>
      <c r="AT20" s="11">
        <v>0.5</v>
      </c>
      <c r="AU20" s="11">
        <v>0.5</v>
      </c>
      <c r="AV20" s="11">
        <v>0.5</v>
      </c>
      <c r="AW20" s="11">
        <v>0.5</v>
      </c>
      <c r="AX20" s="11">
        <v>0.5</v>
      </c>
      <c r="AY20" s="11">
        <v>1</v>
      </c>
      <c r="AZ20" s="11">
        <v>1</v>
      </c>
      <c r="BA20" s="11">
        <v>0.5</v>
      </c>
      <c r="BB20" s="11">
        <v>1</v>
      </c>
      <c r="BC20" s="75">
        <v>0.75</v>
      </c>
      <c r="BD20" s="75">
        <v>0.75</v>
      </c>
      <c r="BE20" s="75">
        <v>1</v>
      </c>
      <c r="BF20" s="75">
        <v>0.5</v>
      </c>
      <c r="BG20" s="75">
        <v>0.5</v>
      </c>
      <c r="BH20" s="75">
        <v>0.5</v>
      </c>
      <c r="BI20" s="75">
        <v>1</v>
      </c>
      <c r="BJ20" s="75">
        <v>2</v>
      </c>
      <c r="BK20" s="76">
        <v>1.5</v>
      </c>
      <c r="BL20" s="76">
        <v>0.5</v>
      </c>
      <c r="BM20" s="76">
        <v>0</v>
      </c>
      <c r="BN20" s="76">
        <v>0.5</v>
      </c>
      <c r="BO20" s="76">
        <v>1</v>
      </c>
      <c r="BP20" s="76">
        <v>1</v>
      </c>
      <c r="BQ20" s="76">
        <v>0.25</v>
      </c>
      <c r="BR20" s="76">
        <v>0.25</v>
      </c>
      <c r="BS20" s="76">
        <v>0.25</v>
      </c>
      <c r="BT20" s="76">
        <v>0.25</v>
      </c>
      <c r="BU20" s="76">
        <v>0.25</v>
      </c>
      <c r="BV20" s="76">
        <v>0</v>
      </c>
      <c r="BW20" s="76">
        <v>0</v>
      </c>
      <c r="BX20" s="54">
        <v>0.25</v>
      </c>
      <c r="BY20" s="5">
        <v>1.5</v>
      </c>
      <c r="BZ20" s="60">
        <v>0</v>
      </c>
      <c r="CA20" s="5">
        <v>0</v>
      </c>
      <c r="CB20" s="5">
        <v>0</v>
      </c>
      <c r="CC20" s="5">
        <v>1</v>
      </c>
      <c r="CD20" s="5">
        <v>1</v>
      </c>
      <c r="CE20" s="5">
        <v>1</v>
      </c>
      <c r="CF20" s="5">
        <v>24</v>
      </c>
      <c r="CG20" s="191"/>
    </row>
    <row r="21" spans="1:85" s="5" customFormat="1" x14ac:dyDescent="0.15">
      <c r="A21" s="5" t="s">
        <v>224</v>
      </c>
      <c r="B21" s="5">
        <v>337</v>
      </c>
      <c r="C21" s="5" t="s">
        <v>337</v>
      </c>
      <c r="F21" s="10" t="s">
        <v>92</v>
      </c>
      <c r="G21" s="10" t="s">
        <v>70</v>
      </c>
      <c r="H21" s="10" t="s">
        <v>45</v>
      </c>
      <c r="I21" s="10" t="s">
        <v>92</v>
      </c>
      <c r="J21" s="69" t="s">
        <v>93</v>
      </c>
      <c r="K21" s="69" t="s">
        <v>9</v>
      </c>
      <c r="L21" s="10">
        <v>387500</v>
      </c>
      <c r="M21" s="73">
        <v>77500</v>
      </c>
      <c r="N21" s="57" t="s">
        <v>41</v>
      </c>
      <c r="O21" s="57">
        <v>627.25</v>
      </c>
      <c r="P21" s="10">
        <v>507</v>
      </c>
      <c r="Q21" s="61">
        <v>120.25</v>
      </c>
      <c r="R21" s="61" t="s">
        <v>96</v>
      </c>
      <c r="S21" s="57">
        <v>6660164</v>
      </c>
      <c r="T21" s="61">
        <v>36472686</v>
      </c>
      <c r="U21" s="61">
        <v>303313</v>
      </c>
      <c r="V21" s="60">
        <v>66.599999999999994</v>
      </c>
      <c r="W21" s="60">
        <v>267312</v>
      </c>
      <c r="X21" s="61">
        <v>36001</v>
      </c>
      <c r="Y21" s="60" t="s">
        <v>41</v>
      </c>
      <c r="Z21" s="60">
        <v>0.02</v>
      </c>
      <c r="AA21" s="60">
        <v>0.02</v>
      </c>
      <c r="AB21" s="60">
        <v>229215337.34</v>
      </c>
      <c r="AC21" s="60">
        <v>219105522</v>
      </c>
      <c r="AD21" s="60">
        <v>10109815.34</v>
      </c>
      <c r="AE21" s="60">
        <v>181047</v>
      </c>
      <c r="AF21" s="65">
        <v>2321387</v>
      </c>
      <c r="AG21" s="65">
        <v>4157730</v>
      </c>
      <c r="AH21" s="65">
        <v>3449651.34</v>
      </c>
      <c r="AI21" s="65">
        <v>689930.27</v>
      </c>
      <c r="AJ21" s="65">
        <v>2759721.07</v>
      </c>
      <c r="AK21" s="65">
        <v>0.19</v>
      </c>
      <c r="AL21" s="65">
        <v>226706346.30000001</v>
      </c>
      <c r="AM21" s="65">
        <v>2374928.2400000002</v>
      </c>
      <c r="AN21" s="65">
        <v>28915.39</v>
      </c>
      <c r="AO21" s="65" t="s">
        <v>41</v>
      </c>
      <c r="AP21" s="65" t="s">
        <v>71</v>
      </c>
      <c r="AQ21" s="65" t="s">
        <v>70</v>
      </c>
      <c r="AR21" s="11" t="s">
        <v>309</v>
      </c>
      <c r="AS21" s="11">
        <v>0.5</v>
      </c>
      <c r="AT21" s="11">
        <v>0.5</v>
      </c>
      <c r="AU21" s="11">
        <v>0.5</v>
      </c>
      <c r="AV21" s="11">
        <v>0.5</v>
      </c>
      <c r="AW21" s="11">
        <v>0.5</v>
      </c>
      <c r="AX21" s="11">
        <v>0.5</v>
      </c>
      <c r="AY21" s="11">
        <v>1</v>
      </c>
      <c r="AZ21" s="11">
        <v>1</v>
      </c>
      <c r="BA21" s="11">
        <v>0.5</v>
      </c>
      <c r="BB21" s="11">
        <v>1</v>
      </c>
      <c r="BC21" s="11">
        <v>0.75</v>
      </c>
      <c r="BD21" s="11">
        <v>0.75</v>
      </c>
      <c r="BE21" s="11">
        <v>1</v>
      </c>
      <c r="BF21" s="11">
        <v>0.5</v>
      </c>
      <c r="BG21" s="11">
        <v>0.5</v>
      </c>
      <c r="BH21" s="11">
        <v>0.5</v>
      </c>
      <c r="BI21" s="11">
        <v>1</v>
      </c>
      <c r="BJ21" s="11">
        <v>2</v>
      </c>
      <c r="BK21" s="10">
        <v>1.5</v>
      </c>
      <c r="BL21" s="5">
        <v>0.5</v>
      </c>
      <c r="BM21" s="5">
        <v>0</v>
      </c>
      <c r="BN21" s="5">
        <v>0.5</v>
      </c>
      <c r="BO21" s="5">
        <v>1</v>
      </c>
      <c r="BP21" s="5">
        <v>1</v>
      </c>
      <c r="BQ21" s="5">
        <v>0.25</v>
      </c>
      <c r="BR21" s="5">
        <v>0.25</v>
      </c>
      <c r="BS21" s="5">
        <v>0.25</v>
      </c>
      <c r="BT21" s="5">
        <v>0.25</v>
      </c>
      <c r="BU21" s="5">
        <v>0.25</v>
      </c>
      <c r="BV21" s="5">
        <v>0.25</v>
      </c>
      <c r="BW21" s="5">
        <v>0.25</v>
      </c>
      <c r="BX21" s="54">
        <v>0.25</v>
      </c>
      <c r="BY21" s="5">
        <v>1.5</v>
      </c>
      <c r="BZ21" s="60">
        <v>1.5</v>
      </c>
      <c r="CA21" s="5">
        <v>2</v>
      </c>
      <c r="CB21" s="5">
        <v>1</v>
      </c>
      <c r="CC21" s="5">
        <v>1</v>
      </c>
      <c r="CD21" s="5">
        <v>1</v>
      </c>
      <c r="CE21" s="5">
        <v>0</v>
      </c>
      <c r="CF21" s="5">
        <v>28</v>
      </c>
      <c r="CG21" s="191"/>
    </row>
    <row r="22" spans="1:85" s="5" customFormat="1" x14ac:dyDescent="0.15">
      <c r="A22" s="5" t="s">
        <v>225</v>
      </c>
      <c r="B22" s="5">
        <v>344</v>
      </c>
      <c r="C22" s="5" t="s">
        <v>338</v>
      </c>
      <c r="F22" s="65" t="s">
        <v>92</v>
      </c>
      <c r="G22" s="65" t="s">
        <v>70</v>
      </c>
      <c r="H22" s="65" t="s">
        <v>45</v>
      </c>
      <c r="I22" s="65" t="s">
        <v>92</v>
      </c>
      <c r="J22" s="68" t="s">
        <v>93</v>
      </c>
      <c r="K22" s="68" t="s">
        <v>9</v>
      </c>
      <c r="L22" s="65">
        <v>387500</v>
      </c>
      <c r="M22" s="68">
        <v>77500</v>
      </c>
      <c r="N22" s="67" t="s">
        <v>41</v>
      </c>
      <c r="O22" s="67">
        <v>627.24776129032296</v>
      </c>
      <c r="P22" s="65">
        <v>507</v>
      </c>
      <c r="Q22" s="65">
        <v>120.247761290323</v>
      </c>
      <c r="R22" s="65" t="s">
        <v>96</v>
      </c>
      <c r="S22" s="67">
        <v>-6660164</v>
      </c>
      <c r="T22" s="65">
        <v>35356686</v>
      </c>
      <c r="U22" s="65">
        <v>294031.96883338102</v>
      </c>
      <c r="V22" s="65">
        <v>66.599999999999994</v>
      </c>
      <c r="W22" s="65">
        <v>257731.293019042</v>
      </c>
      <c r="X22" s="65">
        <v>36000.6702290963</v>
      </c>
      <c r="Y22" s="65" t="s">
        <v>41</v>
      </c>
      <c r="Z22" s="65">
        <v>1.8723294005578199E-2</v>
      </c>
      <c r="AA22" s="65">
        <v>1.8723294005578199E-2</v>
      </c>
      <c r="AB22" s="65">
        <v>229215337.34193501</v>
      </c>
      <c r="AC22" s="65">
        <v>217989522</v>
      </c>
      <c r="AD22" s="65">
        <v>11225815.341935501</v>
      </c>
      <c r="AE22" s="65">
        <v>181047</v>
      </c>
      <c r="AF22" s="65">
        <v>2321387</v>
      </c>
      <c r="AG22" s="65">
        <v>4157730</v>
      </c>
      <c r="AH22" s="65">
        <v>4565651.3419354903</v>
      </c>
      <c r="AI22" s="65">
        <v>913130.26838709705</v>
      </c>
      <c r="AJ22" s="65">
        <v>3652521.0735483901</v>
      </c>
      <c r="AK22" s="65">
        <v>0.18999601206892</v>
      </c>
      <c r="AL22" s="65">
        <v>226706346.296774</v>
      </c>
      <c r="AM22" s="65">
        <v>3267728.2374193701</v>
      </c>
      <c r="AN22" s="65">
        <v>0</v>
      </c>
      <c r="AO22" s="65" t="s">
        <v>41</v>
      </c>
      <c r="AP22" s="65" t="s">
        <v>71</v>
      </c>
      <c r="AQ22" s="65" t="s">
        <v>70</v>
      </c>
      <c r="AR22" s="78" t="s">
        <v>204</v>
      </c>
      <c r="AS22" s="11">
        <v>0.5</v>
      </c>
      <c r="AT22" s="11">
        <v>0.5</v>
      </c>
      <c r="AU22" s="11">
        <v>0.5</v>
      </c>
      <c r="AV22" s="11">
        <v>0.5</v>
      </c>
      <c r="AW22" s="11">
        <v>0.5</v>
      </c>
      <c r="AX22" s="11">
        <v>0.5</v>
      </c>
      <c r="AY22" s="11">
        <v>1</v>
      </c>
      <c r="AZ22" s="11">
        <v>1</v>
      </c>
      <c r="BA22" s="11">
        <v>0.5</v>
      </c>
      <c r="BB22" s="11">
        <v>1</v>
      </c>
      <c r="BC22" s="75">
        <v>0.75</v>
      </c>
      <c r="BD22" s="75">
        <v>0.75</v>
      </c>
      <c r="BE22" s="75">
        <v>1</v>
      </c>
      <c r="BF22" s="75">
        <v>0.5</v>
      </c>
      <c r="BG22" s="75">
        <v>0.5</v>
      </c>
      <c r="BH22" s="75">
        <v>0.5</v>
      </c>
      <c r="BI22" s="75">
        <v>1</v>
      </c>
      <c r="BJ22" s="75">
        <v>0</v>
      </c>
      <c r="BK22" s="75">
        <v>1.5</v>
      </c>
      <c r="BL22" s="76">
        <v>0.5</v>
      </c>
      <c r="BM22" s="76">
        <v>0</v>
      </c>
      <c r="BN22" s="76">
        <v>0.5</v>
      </c>
      <c r="BO22" s="76">
        <v>1</v>
      </c>
      <c r="BP22" s="76">
        <v>1</v>
      </c>
      <c r="BQ22" s="76">
        <v>0.25</v>
      </c>
      <c r="BR22" s="76">
        <v>0.25</v>
      </c>
      <c r="BS22" s="76">
        <v>0.25</v>
      </c>
      <c r="BT22" s="76">
        <v>0.25</v>
      </c>
      <c r="BU22" s="76">
        <v>0.25</v>
      </c>
      <c r="BV22" s="76">
        <v>0.25</v>
      </c>
      <c r="BW22" s="76">
        <v>0.25</v>
      </c>
      <c r="BX22" s="54">
        <v>0.25</v>
      </c>
      <c r="BY22" s="5">
        <v>1.5</v>
      </c>
      <c r="BZ22" s="60">
        <v>1.5</v>
      </c>
      <c r="CA22" s="5">
        <v>0</v>
      </c>
      <c r="CB22" s="5">
        <v>1</v>
      </c>
      <c r="CC22" s="5">
        <v>1</v>
      </c>
      <c r="CD22" s="5">
        <v>1</v>
      </c>
      <c r="CE22" s="5">
        <v>1</v>
      </c>
      <c r="CF22" s="5">
        <v>25</v>
      </c>
      <c r="CG22" s="191"/>
    </row>
    <row r="23" spans="1:85" s="5" customFormat="1" x14ac:dyDescent="0.15">
      <c r="A23" s="5" t="s">
        <v>226</v>
      </c>
      <c r="B23" s="5">
        <v>382</v>
      </c>
      <c r="C23" s="5" t="s">
        <v>339</v>
      </c>
      <c r="F23" s="5" t="s">
        <v>92</v>
      </c>
      <c r="G23" s="5" t="s">
        <v>70</v>
      </c>
      <c r="H23" s="5" t="s">
        <v>45</v>
      </c>
      <c r="I23" s="5" t="s">
        <v>92</v>
      </c>
      <c r="J23" s="10" t="s">
        <v>93</v>
      </c>
      <c r="K23" s="10" t="s">
        <v>9</v>
      </c>
      <c r="L23" s="5">
        <v>387500</v>
      </c>
      <c r="M23" s="72">
        <v>77500</v>
      </c>
      <c r="N23" s="54" t="s">
        <v>41</v>
      </c>
      <c r="O23" s="54">
        <v>627.24776129032296</v>
      </c>
      <c r="P23" s="5">
        <v>507</v>
      </c>
      <c r="Q23" s="60">
        <v>120.247761290323</v>
      </c>
      <c r="R23" s="60" t="s">
        <v>96</v>
      </c>
      <c r="S23" s="54">
        <v>6660164</v>
      </c>
      <c r="T23" s="60">
        <v>35356686</v>
      </c>
      <c r="U23" s="60">
        <v>56367.974797179202</v>
      </c>
      <c r="V23" s="60">
        <v>207</v>
      </c>
      <c r="W23" s="60">
        <v>104348.59</v>
      </c>
      <c r="X23" s="60">
        <v>36000.670229096402</v>
      </c>
      <c r="Y23" s="60" t="s">
        <v>41</v>
      </c>
      <c r="Z23" s="63">
        <v>1.8723294005578199E-2</v>
      </c>
      <c r="AA23" s="63">
        <v>1.8723294005578199E-2</v>
      </c>
      <c r="AB23" s="63">
        <v>229215337.34</v>
      </c>
      <c r="AC23" s="63">
        <v>217989522</v>
      </c>
      <c r="AD23" s="63">
        <v>11225815.34</v>
      </c>
      <c r="AE23" s="63">
        <v>181047</v>
      </c>
      <c r="AF23" s="66">
        <v>2321387</v>
      </c>
      <c r="AG23" s="66">
        <v>4157730</v>
      </c>
      <c r="AH23" s="66">
        <v>17885979.34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66" t="s">
        <v>311</v>
      </c>
      <c r="AP23" s="66" t="s">
        <v>71</v>
      </c>
      <c r="AQ23" s="66" t="s">
        <v>70</v>
      </c>
      <c r="AR23" s="121" t="s">
        <v>204</v>
      </c>
      <c r="AS23" s="122">
        <v>0.5</v>
      </c>
      <c r="AT23" s="122">
        <v>0.5</v>
      </c>
      <c r="AU23" s="122">
        <v>0.5</v>
      </c>
      <c r="AV23" s="122">
        <v>0.5</v>
      </c>
      <c r="AW23" s="122">
        <v>0.5</v>
      </c>
      <c r="AX23" s="122">
        <v>0.5</v>
      </c>
      <c r="AY23" s="122">
        <v>1</v>
      </c>
      <c r="AZ23" s="122">
        <v>1</v>
      </c>
      <c r="BA23" s="122">
        <v>0.5</v>
      </c>
      <c r="BB23" s="122">
        <v>1</v>
      </c>
      <c r="BC23" s="122">
        <v>0.75</v>
      </c>
      <c r="BD23" s="122">
        <v>0.75</v>
      </c>
      <c r="BE23" s="122">
        <v>1</v>
      </c>
      <c r="BF23" s="122">
        <v>0.5</v>
      </c>
      <c r="BG23" s="122">
        <v>0.5</v>
      </c>
      <c r="BH23" s="122">
        <v>0</v>
      </c>
      <c r="BI23" s="122">
        <v>0</v>
      </c>
      <c r="BJ23" s="122">
        <v>0</v>
      </c>
      <c r="BK23" s="122">
        <v>1.5</v>
      </c>
      <c r="BL23" s="122">
        <v>0.5</v>
      </c>
      <c r="BM23" s="122">
        <v>0</v>
      </c>
      <c r="BN23" s="122">
        <v>0.5</v>
      </c>
      <c r="BO23" s="122">
        <v>1</v>
      </c>
      <c r="BP23" s="122">
        <v>1</v>
      </c>
      <c r="BQ23" s="122">
        <v>0.25</v>
      </c>
      <c r="BR23" s="122">
        <v>0.25</v>
      </c>
      <c r="BS23" s="122">
        <v>0.25</v>
      </c>
      <c r="BT23" s="122">
        <v>0.25</v>
      </c>
      <c r="BU23" s="122">
        <v>0</v>
      </c>
      <c r="BV23" s="122">
        <v>0</v>
      </c>
      <c r="BW23" s="122">
        <v>0</v>
      </c>
      <c r="BX23" s="54">
        <v>0</v>
      </c>
      <c r="BY23" s="86">
        <v>0</v>
      </c>
      <c r="BZ23" s="60">
        <v>0</v>
      </c>
      <c r="CA23" s="5">
        <v>0</v>
      </c>
      <c r="CB23" s="5">
        <v>0</v>
      </c>
      <c r="CC23" s="5">
        <v>1</v>
      </c>
      <c r="CD23" s="5">
        <v>1</v>
      </c>
      <c r="CE23" s="5">
        <v>1</v>
      </c>
      <c r="CF23" s="5">
        <v>18.5</v>
      </c>
      <c r="CG23" s="191"/>
    </row>
    <row r="24" spans="1:85" s="5" customFormat="1" x14ac:dyDescent="0.15">
      <c r="A24" s="5" t="s">
        <v>227</v>
      </c>
      <c r="B24" s="5">
        <v>386</v>
      </c>
      <c r="C24" s="5" t="s">
        <v>340</v>
      </c>
      <c r="F24" s="65" t="s">
        <v>92</v>
      </c>
      <c r="G24" s="65" t="s">
        <v>70</v>
      </c>
      <c r="H24" s="65" t="s">
        <v>45</v>
      </c>
      <c r="I24" s="65" t="s">
        <v>92</v>
      </c>
      <c r="J24" s="68" t="s">
        <v>318</v>
      </c>
      <c r="K24" s="68" t="s">
        <v>9</v>
      </c>
      <c r="L24" s="65">
        <v>387500</v>
      </c>
      <c r="M24" s="68">
        <v>77500</v>
      </c>
      <c r="N24" s="67" t="s">
        <v>41</v>
      </c>
      <c r="O24" s="67">
        <v>627.24776129032296</v>
      </c>
      <c r="P24" s="65">
        <v>507</v>
      </c>
      <c r="Q24" s="65">
        <v>120.247761290323</v>
      </c>
      <c r="R24" s="65" t="s">
        <v>96</v>
      </c>
      <c r="S24" s="67">
        <v>6660164</v>
      </c>
      <c r="T24" s="65">
        <v>35356686</v>
      </c>
      <c r="U24" s="65">
        <v>294031.96883338102</v>
      </c>
      <c r="V24" s="65">
        <v>66.599999999999994</v>
      </c>
      <c r="W24" s="65">
        <v>258031.298604285</v>
      </c>
      <c r="X24" s="65">
        <v>36000.670229096402</v>
      </c>
      <c r="Y24" s="65" t="s">
        <v>41</v>
      </c>
      <c r="Z24" s="65">
        <v>0.42192502766026402</v>
      </c>
      <c r="AA24" s="65">
        <v>0.42192502766026402</v>
      </c>
      <c r="AB24" s="65">
        <v>229215337.34193501</v>
      </c>
      <c r="AC24" s="65">
        <v>217989522</v>
      </c>
      <c r="AD24" s="65">
        <v>11225815.341935501</v>
      </c>
      <c r="AE24" s="65">
        <v>-181047</v>
      </c>
      <c r="AF24" s="65">
        <v>-2321387</v>
      </c>
      <c r="AG24" s="65">
        <v>-4157730</v>
      </c>
      <c r="AH24" s="65">
        <v>4565651.3419354903</v>
      </c>
      <c r="AI24" s="65">
        <v>913130.26838709705</v>
      </c>
      <c r="AJ24" s="65">
        <v>3652521.0735483901</v>
      </c>
      <c r="AK24" s="65">
        <v>0.18999601206892</v>
      </c>
      <c r="AL24" s="65">
        <v>226706346.296774</v>
      </c>
      <c r="AM24" s="65">
        <v>3267728.2374193701</v>
      </c>
      <c r="AN24" s="65">
        <v>32266.739629952601</v>
      </c>
      <c r="AO24" s="65" t="s">
        <v>311</v>
      </c>
      <c r="AP24" s="65" t="s">
        <v>71</v>
      </c>
      <c r="AQ24" s="65" t="s">
        <v>70</v>
      </c>
      <c r="AR24" s="78" t="s">
        <v>204</v>
      </c>
      <c r="AS24" s="11">
        <v>0.5</v>
      </c>
      <c r="AT24" s="11">
        <v>0.5</v>
      </c>
      <c r="AU24" s="11">
        <v>0.5</v>
      </c>
      <c r="AV24" s="11">
        <v>0.5</v>
      </c>
      <c r="AW24" s="11">
        <v>0</v>
      </c>
      <c r="AX24" s="11">
        <v>0.5</v>
      </c>
      <c r="AY24" s="11">
        <v>1</v>
      </c>
      <c r="AZ24" s="11">
        <v>1</v>
      </c>
      <c r="BA24" s="11">
        <v>0.5</v>
      </c>
      <c r="BB24" s="11">
        <v>1</v>
      </c>
      <c r="BC24" s="75">
        <v>0.75</v>
      </c>
      <c r="BD24" s="75">
        <v>0.75</v>
      </c>
      <c r="BE24" s="75">
        <v>1</v>
      </c>
      <c r="BF24" s="75">
        <v>0.5</v>
      </c>
      <c r="BG24" s="75">
        <v>0.5</v>
      </c>
      <c r="BH24" s="75">
        <v>0.5</v>
      </c>
      <c r="BI24" s="75">
        <v>1</v>
      </c>
      <c r="BJ24" s="75">
        <v>2</v>
      </c>
      <c r="BK24" s="75">
        <v>1.5</v>
      </c>
      <c r="BL24" s="76">
        <v>0.5</v>
      </c>
      <c r="BM24" s="76">
        <v>0</v>
      </c>
      <c r="BN24" s="76">
        <v>0</v>
      </c>
      <c r="BO24" s="76">
        <v>1</v>
      </c>
      <c r="BP24" s="76">
        <v>1</v>
      </c>
      <c r="BQ24" s="76">
        <v>0.25</v>
      </c>
      <c r="BR24" s="76">
        <v>0.25</v>
      </c>
      <c r="BS24" s="76">
        <v>0.25</v>
      </c>
      <c r="BT24" s="76">
        <v>0.25</v>
      </c>
      <c r="BU24" s="76">
        <v>0.25</v>
      </c>
      <c r="BV24" s="76">
        <v>0.25</v>
      </c>
      <c r="BW24" s="76">
        <v>0.25</v>
      </c>
      <c r="BX24" s="54">
        <v>0.25</v>
      </c>
      <c r="BY24" s="5">
        <v>1.5</v>
      </c>
      <c r="BZ24" s="60">
        <v>1.5</v>
      </c>
      <c r="CA24" s="5">
        <v>2</v>
      </c>
      <c r="CB24" s="5">
        <v>0</v>
      </c>
      <c r="CC24" s="5">
        <v>1</v>
      </c>
      <c r="CD24" s="5">
        <v>1</v>
      </c>
      <c r="CE24" s="5">
        <v>1</v>
      </c>
      <c r="CF24" s="5">
        <v>27</v>
      </c>
      <c r="CG24" s="191"/>
    </row>
    <row r="25" spans="1:85" s="5" customFormat="1" x14ac:dyDescent="0.15">
      <c r="A25" s="5" t="s">
        <v>228</v>
      </c>
      <c r="B25" s="5">
        <v>347</v>
      </c>
      <c r="C25" s="5" t="s">
        <v>341</v>
      </c>
      <c r="F25" s="65" t="s">
        <v>92</v>
      </c>
      <c r="G25" s="65" t="s">
        <v>70</v>
      </c>
      <c r="H25" s="65" t="s">
        <v>45</v>
      </c>
      <c r="I25" s="65" t="s">
        <v>92</v>
      </c>
      <c r="J25" s="68" t="s">
        <v>93</v>
      </c>
      <c r="K25" s="68" t="s">
        <v>9</v>
      </c>
      <c r="L25" s="65">
        <v>387500</v>
      </c>
      <c r="M25" s="68">
        <v>77500</v>
      </c>
      <c r="N25" s="67" t="s">
        <v>41</v>
      </c>
      <c r="O25" s="67">
        <v>627.25</v>
      </c>
      <c r="P25" s="65">
        <v>507</v>
      </c>
      <c r="Q25" s="65">
        <v>120.25</v>
      </c>
      <c r="R25" s="65" t="s">
        <v>96</v>
      </c>
      <c r="S25" s="65">
        <v>6660164</v>
      </c>
      <c r="T25" s="65">
        <v>36472686</v>
      </c>
      <c r="U25" s="65">
        <v>303313</v>
      </c>
      <c r="V25" s="65">
        <v>66.599999999999994</v>
      </c>
      <c r="W25" s="65">
        <v>267312</v>
      </c>
      <c r="X25" s="65">
        <v>36001</v>
      </c>
      <c r="Y25" s="65" t="s">
        <v>41</v>
      </c>
      <c r="Z25" s="65">
        <v>1.8723294005578199E-2</v>
      </c>
      <c r="AA25" s="65">
        <v>1.8723294005578199E-2</v>
      </c>
      <c r="AB25" s="65">
        <v>229215337.34193501</v>
      </c>
      <c r="AC25" s="65">
        <v>219105522</v>
      </c>
      <c r="AD25" s="65">
        <v>10109815.341935501</v>
      </c>
      <c r="AE25" s="65">
        <v>181047</v>
      </c>
      <c r="AF25" s="65">
        <v>2321387</v>
      </c>
      <c r="AG25" s="65">
        <v>4157730</v>
      </c>
      <c r="AH25" s="65">
        <v>3449651.3419354898</v>
      </c>
      <c r="AI25" s="65">
        <v>689930.26838709705</v>
      </c>
      <c r="AJ25" s="65">
        <v>2759721.0735483901</v>
      </c>
      <c r="AK25" s="65">
        <v>0.81000398793107997</v>
      </c>
      <c r="AL25" s="65">
        <v>226706346.296774</v>
      </c>
      <c r="AM25" s="65">
        <v>2374928.2374193701</v>
      </c>
      <c r="AN25" s="65">
        <v>28915.3882786012</v>
      </c>
      <c r="AO25" s="65" t="s">
        <v>41</v>
      </c>
      <c r="AP25" s="65" t="s">
        <v>71</v>
      </c>
      <c r="AQ25" s="65" t="s">
        <v>70</v>
      </c>
      <c r="AR25" s="77" t="s">
        <v>204</v>
      </c>
      <c r="AS25" s="11">
        <v>0.5</v>
      </c>
      <c r="AT25" s="11">
        <v>0.5</v>
      </c>
      <c r="AU25" s="11">
        <v>0.5</v>
      </c>
      <c r="AV25" s="11">
        <v>0.5</v>
      </c>
      <c r="AW25" s="11">
        <v>0.5</v>
      </c>
      <c r="AX25" s="11">
        <v>0.5</v>
      </c>
      <c r="AY25" s="11">
        <v>1</v>
      </c>
      <c r="AZ25" s="11">
        <v>1</v>
      </c>
      <c r="BA25" s="11">
        <v>0.5</v>
      </c>
      <c r="BB25" s="11">
        <v>1</v>
      </c>
      <c r="BC25" s="75">
        <v>0.75</v>
      </c>
      <c r="BD25" s="75">
        <v>0.75</v>
      </c>
      <c r="BE25" s="75">
        <v>1</v>
      </c>
      <c r="BF25" s="75">
        <v>0.5</v>
      </c>
      <c r="BG25" s="75">
        <v>0.5</v>
      </c>
      <c r="BH25" s="75">
        <v>0.5</v>
      </c>
      <c r="BI25" s="75">
        <v>1</v>
      </c>
      <c r="BJ25" s="75">
        <v>2</v>
      </c>
      <c r="BK25" s="75">
        <v>1.5</v>
      </c>
      <c r="BL25" s="76">
        <v>0.5</v>
      </c>
      <c r="BM25" s="76">
        <v>0</v>
      </c>
      <c r="BN25" s="76">
        <v>0.5</v>
      </c>
      <c r="BO25" s="76">
        <v>1</v>
      </c>
      <c r="BP25" s="76">
        <v>1</v>
      </c>
      <c r="BQ25" s="76">
        <v>0.25</v>
      </c>
      <c r="BR25" s="76">
        <v>0.25</v>
      </c>
      <c r="BS25" s="76">
        <v>0.25</v>
      </c>
      <c r="BT25" s="76">
        <v>0.25</v>
      </c>
      <c r="BU25" s="76">
        <v>0.25</v>
      </c>
      <c r="BV25" s="76">
        <v>0.25</v>
      </c>
      <c r="BW25" s="76">
        <v>0.25</v>
      </c>
      <c r="BX25" s="54">
        <v>0</v>
      </c>
      <c r="BY25" s="5">
        <v>1.5</v>
      </c>
      <c r="BZ25" s="60">
        <v>1.5</v>
      </c>
      <c r="CA25" s="5">
        <v>2</v>
      </c>
      <c r="CB25" s="5">
        <v>1</v>
      </c>
      <c r="CC25" s="5">
        <v>1</v>
      </c>
      <c r="CD25" s="5">
        <v>1</v>
      </c>
      <c r="CE25" s="5">
        <v>1</v>
      </c>
      <c r="CF25" s="5">
        <v>28.75</v>
      </c>
      <c r="CG25" s="191"/>
    </row>
    <row r="26" spans="1:85" s="5" customFormat="1" x14ac:dyDescent="0.15">
      <c r="A26" s="5" t="s">
        <v>229</v>
      </c>
      <c r="B26" s="5">
        <v>313</v>
      </c>
      <c r="C26" s="5" t="s">
        <v>342</v>
      </c>
      <c r="F26" s="10" t="s">
        <v>92</v>
      </c>
      <c r="G26" s="10" t="s">
        <v>70</v>
      </c>
      <c r="H26" s="10" t="s">
        <v>9</v>
      </c>
      <c r="I26" s="10" t="s">
        <v>92</v>
      </c>
      <c r="J26" s="10" t="s">
        <v>318</v>
      </c>
      <c r="K26" s="10" t="s">
        <v>45</v>
      </c>
      <c r="L26" s="10">
        <v>248000</v>
      </c>
      <c r="M26" s="72">
        <v>183000</v>
      </c>
      <c r="N26" s="54" t="s">
        <v>311</v>
      </c>
      <c r="O26" s="54">
        <v>670</v>
      </c>
      <c r="P26" s="10">
        <v>117</v>
      </c>
      <c r="Q26" s="60">
        <v>553</v>
      </c>
      <c r="R26" s="60" t="s">
        <v>96</v>
      </c>
      <c r="S26" s="54">
        <v>-6479117</v>
      </c>
      <c r="T26" s="60">
        <v>22217405</v>
      </c>
      <c r="U26" s="60">
        <v>40176.139240506302</v>
      </c>
      <c r="V26" s="60">
        <v>13455000</v>
      </c>
      <c r="W26" s="60">
        <v>1.6512378298030499</v>
      </c>
      <c r="X26" s="60">
        <v>1581509945.7504499</v>
      </c>
      <c r="Y26" s="60" t="s">
        <v>311</v>
      </c>
      <c r="Z26" s="60">
        <v>1.8723294005578199E-2</v>
      </c>
      <c r="AA26" s="60">
        <v>1.8723294005578199E-2</v>
      </c>
      <c r="AB26" s="60">
        <v>34170000</v>
      </c>
      <c r="AC26" s="60">
        <v>5967000</v>
      </c>
      <c r="AD26" s="60">
        <v>28203000</v>
      </c>
      <c r="AE26" s="60">
        <v>-181047</v>
      </c>
      <c r="AF26" s="65">
        <v>-2321387</v>
      </c>
      <c r="AG26" s="65">
        <v>-4157730</v>
      </c>
      <c r="AH26" s="65">
        <v>28203000</v>
      </c>
      <c r="AI26" s="65">
        <v>5640600</v>
      </c>
      <c r="AJ26" s="65">
        <v>22562400</v>
      </c>
      <c r="AK26" s="65">
        <v>0.66029850746268703</v>
      </c>
      <c r="AL26" s="65">
        <v>31490000</v>
      </c>
      <c r="AM26" s="65">
        <v>20792800</v>
      </c>
      <c r="AN26" s="65">
        <v>47448.955223880599</v>
      </c>
      <c r="AO26" s="65" t="s">
        <v>41</v>
      </c>
      <c r="AP26" s="65" t="s">
        <v>71</v>
      </c>
      <c r="AQ26" s="65" t="s">
        <v>329</v>
      </c>
      <c r="AR26" s="11" t="s">
        <v>204</v>
      </c>
      <c r="AS26" s="11">
        <v>0.5</v>
      </c>
      <c r="AT26" s="11">
        <v>0.5</v>
      </c>
      <c r="AU26" s="11">
        <v>0</v>
      </c>
      <c r="AV26" s="11">
        <v>0.5</v>
      </c>
      <c r="AW26" s="11">
        <v>0</v>
      </c>
      <c r="AX26" s="11">
        <v>0</v>
      </c>
      <c r="AY26" s="11">
        <v>0</v>
      </c>
      <c r="AZ26" s="11">
        <v>0</v>
      </c>
      <c r="BA26" s="11">
        <v>0</v>
      </c>
      <c r="BB26" s="11">
        <v>0</v>
      </c>
      <c r="BC26" s="11">
        <v>0</v>
      </c>
      <c r="BD26" s="11">
        <v>0</v>
      </c>
      <c r="BE26" s="11">
        <v>1</v>
      </c>
      <c r="BF26" s="11">
        <v>0</v>
      </c>
      <c r="BG26" s="11">
        <v>0</v>
      </c>
      <c r="BH26" s="11">
        <v>0</v>
      </c>
      <c r="BI26" s="11">
        <v>0</v>
      </c>
      <c r="BJ26" s="11">
        <v>0</v>
      </c>
      <c r="BK26" s="10">
        <v>0</v>
      </c>
      <c r="BL26" s="5">
        <v>0</v>
      </c>
      <c r="BM26" s="5">
        <v>0</v>
      </c>
      <c r="BN26" s="5">
        <v>0.5</v>
      </c>
      <c r="BO26" s="5">
        <v>0</v>
      </c>
      <c r="BP26" s="5">
        <v>0</v>
      </c>
      <c r="BQ26" s="5">
        <v>0.25</v>
      </c>
      <c r="BR26" s="5">
        <v>0.25</v>
      </c>
      <c r="BS26" s="5">
        <v>0.25</v>
      </c>
      <c r="BT26" s="5">
        <v>0.25</v>
      </c>
      <c r="BU26" s="5">
        <v>0</v>
      </c>
      <c r="BV26" s="5">
        <v>0</v>
      </c>
      <c r="BW26" s="5">
        <v>0.25</v>
      </c>
      <c r="BX26" s="54">
        <v>0</v>
      </c>
      <c r="BY26" s="5">
        <v>0</v>
      </c>
      <c r="BZ26" s="60">
        <v>0</v>
      </c>
      <c r="CA26" s="5">
        <v>0</v>
      </c>
      <c r="CB26" s="5">
        <v>1</v>
      </c>
      <c r="CC26" s="5">
        <v>1</v>
      </c>
      <c r="CD26" s="5">
        <v>0</v>
      </c>
      <c r="CE26" s="5">
        <v>1</v>
      </c>
      <c r="CF26" s="5">
        <v>7.25</v>
      </c>
      <c r="CG26" s="191"/>
    </row>
    <row r="27" spans="1:85" s="5" customFormat="1" x14ac:dyDescent="0.15">
      <c r="A27" s="5" t="s">
        <v>230</v>
      </c>
      <c r="B27" s="5">
        <v>387</v>
      </c>
      <c r="C27" s="5" t="s">
        <v>343</v>
      </c>
      <c r="F27" s="10" t="s">
        <v>92</v>
      </c>
      <c r="G27" s="10" t="s">
        <v>70</v>
      </c>
      <c r="H27" s="10" t="s">
        <v>45</v>
      </c>
      <c r="I27" s="10" t="s">
        <v>92</v>
      </c>
      <c r="J27" s="10" t="s">
        <v>318</v>
      </c>
      <c r="K27" s="10" t="s">
        <v>9</v>
      </c>
      <c r="L27" s="10">
        <v>387500</v>
      </c>
      <c r="M27" s="72">
        <v>77500</v>
      </c>
      <c r="N27" s="54" t="s">
        <v>41</v>
      </c>
      <c r="O27" s="54">
        <v>627.24776129032296</v>
      </c>
      <c r="P27" s="10">
        <v>507</v>
      </c>
      <c r="Q27" s="60">
        <v>120.247761290323</v>
      </c>
      <c r="R27" s="60" t="s">
        <v>96</v>
      </c>
      <c r="S27" s="54">
        <v>6660164</v>
      </c>
      <c r="T27" s="60">
        <v>35356686</v>
      </c>
      <c r="U27" s="60">
        <v>294031.96883337997</v>
      </c>
      <c r="V27" s="60">
        <v>66.599999999999994</v>
      </c>
      <c r="W27" s="60">
        <v>258031.29860428401</v>
      </c>
      <c r="X27" s="60">
        <v>36000.670229096097</v>
      </c>
      <c r="Y27" s="60" t="s">
        <v>41</v>
      </c>
      <c r="Z27" s="60">
        <v>1.8723294005578199E-2</v>
      </c>
      <c r="AA27" s="60">
        <v>1.8723294005578199E-2</v>
      </c>
      <c r="AB27" s="60">
        <v>229215337.34193501</v>
      </c>
      <c r="AC27" s="60">
        <v>217989522</v>
      </c>
      <c r="AD27" s="60">
        <v>11225815.341935501</v>
      </c>
      <c r="AE27" s="60">
        <v>181047</v>
      </c>
      <c r="AF27" s="65">
        <v>2321387</v>
      </c>
      <c r="AG27" s="65">
        <v>4157730</v>
      </c>
      <c r="AH27" s="65">
        <v>4565651.3419354903</v>
      </c>
      <c r="AI27" s="65">
        <v>913130.26838709705</v>
      </c>
      <c r="AJ27" s="65">
        <v>3652521.0735483901</v>
      </c>
      <c r="AK27" s="65">
        <v>0.18999601206892</v>
      </c>
      <c r="AL27" s="65">
        <v>226706346.296774</v>
      </c>
      <c r="AM27" s="65">
        <v>3267728.2374193701</v>
      </c>
      <c r="AN27" s="65">
        <v>32266.739629952499</v>
      </c>
      <c r="AO27" s="65" t="s">
        <v>311</v>
      </c>
      <c r="AP27" s="65" t="s">
        <v>71</v>
      </c>
      <c r="AQ27" s="65" t="s">
        <v>70</v>
      </c>
      <c r="AR27" s="11" t="s">
        <v>204</v>
      </c>
      <c r="AS27" s="11">
        <v>0.5</v>
      </c>
      <c r="AT27" s="11">
        <v>0.5</v>
      </c>
      <c r="AU27" s="11">
        <v>0.5</v>
      </c>
      <c r="AV27" s="11">
        <v>0.5</v>
      </c>
      <c r="AW27" s="11">
        <v>0</v>
      </c>
      <c r="AX27" s="11">
        <v>0.5</v>
      </c>
      <c r="AY27" s="11">
        <v>1</v>
      </c>
      <c r="AZ27" s="11">
        <v>1</v>
      </c>
      <c r="BA27" s="11">
        <v>0.5</v>
      </c>
      <c r="BB27" s="11">
        <v>1</v>
      </c>
      <c r="BC27" s="11">
        <v>0.75</v>
      </c>
      <c r="BD27" s="11">
        <v>0.75</v>
      </c>
      <c r="BE27" s="11">
        <v>1</v>
      </c>
      <c r="BF27" s="11">
        <v>0.5</v>
      </c>
      <c r="BG27" s="11">
        <v>0.5</v>
      </c>
      <c r="BH27" s="11">
        <v>0.5</v>
      </c>
      <c r="BI27" s="11">
        <v>1</v>
      </c>
      <c r="BJ27" s="11">
        <v>2</v>
      </c>
      <c r="BK27" s="10">
        <v>1.5</v>
      </c>
      <c r="BL27" s="5">
        <v>0.5</v>
      </c>
      <c r="BM27" s="5">
        <v>0</v>
      </c>
      <c r="BN27" s="5">
        <v>0.5</v>
      </c>
      <c r="BO27" s="5">
        <v>1</v>
      </c>
      <c r="BP27" s="5">
        <v>1</v>
      </c>
      <c r="BQ27" s="5">
        <v>0.25</v>
      </c>
      <c r="BR27" s="5">
        <v>0.25</v>
      </c>
      <c r="BS27" s="5">
        <v>0.25</v>
      </c>
      <c r="BT27" s="5">
        <v>0.25</v>
      </c>
      <c r="BU27" s="5">
        <v>0.25</v>
      </c>
      <c r="BV27" s="5">
        <v>0.25</v>
      </c>
      <c r="BW27" s="5">
        <v>0.25</v>
      </c>
      <c r="BX27" s="54">
        <v>0.25</v>
      </c>
      <c r="BY27" s="5">
        <v>1.5</v>
      </c>
      <c r="BZ27" s="60">
        <v>1.5</v>
      </c>
      <c r="CA27" s="5">
        <v>2</v>
      </c>
      <c r="CB27" s="5">
        <v>0</v>
      </c>
      <c r="CC27" s="5">
        <v>1</v>
      </c>
      <c r="CD27" s="5">
        <v>1</v>
      </c>
      <c r="CE27" s="5">
        <v>1</v>
      </c>
      <c r="CF27" s="5">
        <v>27.5</v>
      </c>
      <c r="CG27" s="191"/>
    </row>
    <row r="28" spans="1:85" s="5" customFormat="1" x14ac:dyDescent="0.15">
      <c r="A28" s="5" t="s">
        <v>231</v>
      </c>
      <c r="B28" s="5">
        <v>383</v>
      </c>
      <c r="C28" s="5" t="s">
        <v>344</v>
      </c>
      <c r="F28" s="65" t="s">
        <v>92</v>
      </c>
      <c r="G28" s="65" t="s">
        <v>70</v>
      </c>
      <c r="H28" s="65" t="s">
        <v>45</v>
      </c>
      <c r="I28" s="65" t="s">
        <v>93</v>
      </c>
      <c r="J28" s="68" t="s">
        <v>93</v>
      </c>
      <c r="K28" s="68" t="s">
        <v>9</v>
      </c>
      <c r="L28" s="65">
        <v>65000</v>
      </c>
      <c r="M28" s="68">
        <v>0</v>
      </c>
      <c r="N28" s="67" t="s">
        <v>311</v>
      </c>
      <c r="O28" s="67">
        <v>670</v>
      </c>
      <c r="P28" s="65">
        <v>507</v>
      </c>
      <c r="Q28" s="65">
        <v>163</v>
      </c>
      <c r="R28" s="65" t="s">
        <v>328</v>
      </c>
      <c r="S28" s="65">
        <v>6660164</v>
      </c>
      <c r="T28" s="65">
        <v>28696522</v>
      </c>
      <c r="U28" s="65">
        <v>176052.28220858899</v>
      </c>
      <c r="V28" s="65">
        <v>322.02</v>
      </c>
      <c r="W28" s="65">
        <v>42830.6298507463</v>
      </c>
      <c r="X28" s="65">
        <v>14000</v>
      </c>
      <c r="Y28" s="65" t="s">
        <v>311</v>
      </c>
      <c r="Z28" s="65">
        <v>1.8723294005578199E-2</v>
      </c>
      <c r="AA28" s="65">
        <v>1.8723294005578199E-2</v>
      </c>
      <c r="AB28" s="65">
        <v>190358167</v>
      </c>
      <c r="AC28" s="65">
        <v>183629718</v>
      </c>
      <c r="AD28" s="65">
        <v>6953187</v>
      </c>
      <c r="AE28" s="65">
        <v>165329</v>
      </c>
      <c r="AF28" s="65">
        <v>1806918</v>
      </c>
      <c r="AG28" s="65">
        <v>3792514</v>
      </c>
      <c r="AH28" s="65">
        <v>1489622</v>
      </c>
      <c r="AI28" s="65">
        <v>297924.40000000002</v>
      </c>
      <c r="AJ28" s="65">
        <v>1191697.6000000001</v>
      </c>
      <c r="AK28" s="65">
        <v>0</v>
      </c>
      <c r="AL28" s="65">
        <v>186913486</v>
      </c>
      <c r="AM28" s="65">
        <v>986736</v>
      </c>
      <c r="AN28" s="65">
        <v>0</v>
      </c>
      <c r="AO28" s="65" t="s">
        <v>311</v>
      </c>
      <c r="AP28" s="65" t="s">
        <v>71</v>
      </c>
      <c r="AQ28" s="65" t="s">
        <v>204</v>
      </c>
      <c r="AR28" s="77" t="s">
        <v>204</v>
      </c>
      <c r="AS28" s="11">
        <v>0.5</v>
      </c>
      <c r="AT28" s="11">
        <v>0.5</v>
      </c>
      <c r="AU28" s="11">
        <v>0.5</v>
      </c>
      <c r="AV28" s="11">
        <v>0</v>
      </c>
      <c r="AW28" s="11">
        <v>0.5</v>
      </c>
      <c r="AX28" s="11">
        <v>0.5</v>
      </c>
      <c r="AY28" s="11">
        <v>0</v>
      </c>
      <c r="AZ28" s="11">
        <v>0</v>
      </c>
      <c r="BA28" s="11">
        <v>0</v>
      </c>
      <c r="BB28" s="11">
        <v>0</v>
      </c>
      <c r="BC28" s="75">
        <v>0.75</v>
      </c>
      <c r="BD28" s="75">
        <v>0</v>
      </c>
      <c r="BE28" s="75">
        <v>0</v>
      </c>
      <c r="BF28" s="75">
        <v>0.5</v>
      </c>
      <c r="BG28" s="75">
        <v>0</v>
      </c>
      <c r="BH28" s="75">
        <v>0</v>
      </c>
      <c r="BI28" s="75">
        <v>0</v>
      </c>
      <c r="BJ28" s="75">
        <v>0</v>
      </c>
      <c r="BK28" s="75">
        <v>0</v>
      </c>
      <c r="BL28" s="76">
        <v>0</v>
      </c>
      <c r="BM28" s="76">
        <v>0</v>
      </c>
      <c r="BN28" s="76">
        <v>0.5</v>
      </c>
      <c r="BO28" s="76">
        <v>0</v>
      </c>
      <c r="BP28" s="76">
        <v>0</v>
      </c>
      <c r="BQ28" s="76">
        <v>0</v>
      </c>
      <c r="BR28" s="76">
        <v>0</v>
      </c>
      <c r="BS28" s="76">
        <v>0</v>
      </c>
      <c r="BT28" s="76">
        <v>0</v>
      </c>
      <c r="BU28" s="76">
        <v>0</v>
      </c>
      <c r="BV28" s="76">
        <v>0</v>
      </c>
      <c r="BW28" s="76">
        <v>0.25</v>
      </c>
      <c r="BX28" s="54">
        <v>0</v>
      </c>
      <c r="BY28" s="5">
        <v>0</v>
      </c>
      <c r="BZ28" s="60">
        <v>0</v>
      </c>
      <c r="CA28" s="5">
        <v>0</v>
      </c>
      <c r="CB28" s="5">
        <v>0</v>
      </c>
      <c r="CC28" s="5">
        <v>1</v>
      </c>
      <c r="CD28" s="5">
        <v>0</v>
      </c>
      <c r="CE28" s="5">
        <v>1</v>
      </c>
      <c r="CF28" s="5">
        <v>6.5</v>
      </c>
      <c r="CG28" s="191"/>
    </row>
    <row r="29" spans="1:85" s="5" customFormat="1" x14ac:dyDescent="0.15">
      <c r="A29" s="5" t="s">
        <v>232</v>
      </c>
      <c r="B29" s="5">
        <v>333</v>
      </c>
      <c r="C29" s="5" t="s">
        <v>345</v>
      </c>
      <c r="F29" s="65" t="s">
        <v>92</v>
      </c>
      <c r="G29" s="65" t="s">
        <v>70</v>
      </c>
      <c r="H29" s="65" t="s">
        <v>346</v>
      </c>
      <c r="I29" s="65" t="s">
        <v>92</v>
      </c>
      <c r="J29" s="68" t="s">
        <v>318</v>
      </c>
      <c r="K29" s="68" t="s">
        <v>45</v>
      </c>
      <c r="L29" s="65">
        <v>310000</v>
      </c>
      <c r="M29" s="68">
        <v>0</v>
      </c>
      <c r="N29" s="67" t="s">
        <v>311</v>
      </c>
      <c r="O29" s="67">
        <v>627.24776129032296</v>
      </c>
      <c r="P29" s="65">
        <v>507</v>
      </c>
      <c r="Q29" s="65">
        <v>120.247761290323</v>
      </c>
      <c r="R29" s="65" t="s">
        <v>96</v>
      </c>
      <c r="S29" s="67">
        <v>565071</v>
      </c>
      <c r="T29" s="65">
        <v>192910710</v>
      </c>
      <c r="U29" s="65">
        <v>0</v>
      </c>
      <c r="V29" s="65">
        <v>0</v>
      </c>
      <c r="W29" s="65">
        <v>0</v>
      </c>
      <c r="X29" s="65">
        <v>0</v>
      </c>
      <c r="Y29" s="65" t="s">
        <v>41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 t="s">
        <v>41</v>
      </c>
      <c r="AP29" s="65" t="s">
        <v>71</v>
      </c>
      <c r="AQ29" s="65" t="s">
        <v>329</v>
      </c>
      <c r="AR29" s="65" t="s">
        <v>204</v>
      </c>
      <c r="AS29" s="11">
        <v>0.5</v>
      </c>
      <c r="AT29" s="11">
        <v>0.5</v>
      </c>
      <c r="AU29" s="11">
        <v>0</v>
      </c>
      <c r="AV29" s="11">
        <v>0.5</v>
      </c>
      <c r="AW29" s="11">
        <v>0</v>
      </c>
      <c r="AX29" s="11">
        <v>0</v>
      </c>
      <c r="AY29" s="11">
        <v>0</v>
      </c>
      <c r="AZ29" s="11">
        <v>0</v>
      </c>
      <c r="BA29" s="11">
        <v>0</v>
      </c>
      <c r="BB29" s="11">
        <v>1</v>
      </c>
      <c r="BC29" s="75">
        <v>0.75</v>
      </c>
      <c r="BD29" s="75">
        <v>0.75</v>
      </c>
      <c r="BE29" s="75">
        <v>1</v>
      </c>
      <c r="BF29" s="75">
        <v>0</v>
      </c>
      <c r="BG29" s="75">
        <v>0</v>
      </c>
      <c r="BH29" s="75">
        <v>0</v>
      </c>
      <c r="BI29" s="75">
        <v>0</v>
      </c>
      <c r="BJ29" s="75">
        <v>0</v>
      </c>
      <c r="BK29" s="76">
        <v>0</v>
      </c>
      <c r="BL29" s="76">
        <v>0.5</v>
      </c>
      <c r="BM29" s="76">
        <v>0</v>
      </c>
      <c r="BN29" s="76">
        <v>0</v>
      </c>
      <c r="BO29" s="76">
        <v>0</v>
      </c>
      <c r="BP29" s="76">
        <v>0</v>
      </c>
      <c r="BQ29" s="76">
        <v>0.25</v>
      </c>
      <c r="BR29" s="76">
        <v>0</v>
      </c>
      <c r="BS29" s="76">
        <v>0</v>
      </c>
      <c r="BT29" s="76">
        <v>0</v>
      </c>
      <c r="BU29" s="76">
        <v>0.25</v>
      </c>
      <c r="BV29" s="76">
        <v>0</v>
      </c>
      <c r="BW29" s="76">
        <v>0.25</v>
      </c>
      <c r="BX29" s="54">
        <v>0</v>
      </c>
      <c r="BY29" s="5">
        <v>0</v>
      </c>
      <c r="BZ29" s="60">
        <v>0</v>
      </c>
      <c r="CA29" s="5">
        <v>0</v>
      </c>
      <c r="CB29" s="5">
        <v>1</v>
      </c>
      <c r="CC29" s="5">
        <v>1</v>
      </c>
      <c r="CD29" s="5">
        <v>0</v>
      </c>
      <c r="CE29" s="5">
        <v>1</v>
      </c>
      <c r="CF29" s="5">
        <v>9.25</v>
      </c>
      <c r="CG29" s="191"/>
    </row>
    <row r="30" spans="1:85" s="5" customFormat="1" x14ac:dyDescent="0.15">
      <c r="A30" s="5" t="s">
        <v>233</v>
      </c>
      <c r="B30" s="5">
        <v>313</v>
      </c>
      <c r="C30" s="5" t="s">
        <v>347</v>
      </c>
      <c r="F30" s="65" t="s">
        <v>92</v>
      </c>
      <c r="G30" s="65" t="s">
        <v>70</v>
      </c>
      <c r="H30" s="65" t="s">
        <v>9</v>
      </c>
      <c r="I30" s="65" t="s">
        <v>92</v>
      </c>
      <c r="J30" s="68" t="s">
        <v>318</v>
      </c>
      <c r="K30" s="68" t="s">
        <v>45</v>
      </c>
      <c r="L30" s="65">
        <v>248000</v>
      </c>
      <c r="M30" s="68">
        <v>183000</v>
      </c>
      <c r="N30" s="67" t="s">
        <v>311</v>
      </c>
      <c r="O30" s="67">
        <v>670</v>
      </c>
      <c r="P30" s="65">
        <v>117</v>
      </c>
      <c r="Q30" s="65">
        <v>553</v>
      </c>
      <c r="R30" s="65" t="s">
        <v>96</v>
      </c>
      <c r="S30" s="65">
        <v>-6479117</v>
      </c>
      <c r="T30" s="65">
        <v>22217405</v>
      </c>
      <c r="U30" s="65">
        <v>40176.139240506302</v>
      </c>
      <c r="V30" s="65">
        <v>13455000</v>
      </c>
      <c r="W30" s="65">
        <v>1.6512378298030499</v>
      </c>
      <c r="X30" s="65">
        <v>1581509945.7504499</v>
      </c>
      <c r="Y30" s="65" t="s">
        <v>311</v>
      </c>
      <c r="Z30" s="65">
        <v>1.8723294005578199E-2</v>
      </c>
      <c r="AA30" s="65">
        <v>1.8723294005578199E-2</v>
      </c>
      <c r="AB30" s="65">
        <v>34170000</v>
      </c>
      <c r="AC30" s="65">
        <v>5967000</v>
      </c>
      <c r="AD30" s="65">
        <v>28203000</v>
      </c>
      <c r="AE30" s="65">
        <v>-181047</v>
      </c>
      <c r="AF30" s="65">
        <v>-2321387</v>
      </c>
      <c r="AG30" s="65">
        <v>-4157730</v>
      </c>
      <c r="AH30" s="65">
        <v>28203000</v>
      </c>
      <c r="AI30" s="65">
        <v>5640600</v>
      </c>
      <c r="AJ30" s="65">
        <v>22562400</v>
      </c>
      <c r="AK30" s="65">
        <v>0.66029850746268703</v>
      </c>
      <c r="AL30" s="65">
        <v>31490000</v>
      </c>
      <c r="AM30" s="65">
        <v>20792800</v>
      </c>
      <c r="AN30" s="65">
        <v>47448.955223880599</v>
      </c>
      <c r="AO30" s="65" t="s">
        <v>41</v>
      </c>
      <c r="AP30" s="65" t="s">
        <v>71</v>
      </c>
      <c r="AQ30" s="65" t="s">
        <v>329</v>
      </c>
      <c r="AR30" s="77" t="s">
        <v>204</v>
      </c>
      <c r="AS30" s="11">
        <v>0.5</v>
      </c>
      <c r="AT30" s="11">
        <v>0.5</v>
      </c>
      <c r="AU30" s="11">
        <v>0</v>
      </c>
      <c r="AV30" s="11">
        <v>0.5</v>
      </c>
      <c r="AW30" s="11">
        <v>0</v>
      </c>
      <c r="AX30" s="11">
        <v>0</v>
      </c>
      <c r="AY30" s="11">
        <v>0</v>
      </c>
      <c r="AZ30" s="11">
        <v>0</v>
      </c>
      <c r="BA30" s="11">
        <v>0</v>
      </c>
      <c r="BB30" s="11">
        <v>0</v>
      </c>
      <c r="BC30" s="75">
        <v>0</v>
      </c>
      <c r="BD30" s="75">
        <v>0</v>
      </c>
      <c r="BE30" s="75">
        <v>1</v>
      </c>
      <c r="BF30" s="75">
        <v>0</v>
      </c>
      <c r="BG30" s="75">
        <v>0</v>
      </c>
      <c r="BH30" s="75">
        <v>0</v>
      </c>
      <c r="BI30" s="75">
        <v>0</v>
      </c>
      <c r="BJ30" s="75">
        <v>0</v>
      </c>
      <c r="BK30" s="75">
        <v>0</v>
      </c>
      <c r="BL30" s="76">
        <v>0</v>
      </c>
      <c r="BM30" s="76">
        <v>0</v>
      </c>
      <c r="BN30" s="76">
        <v>0.5</v>
      </c>
      <c r="BO30" s="76">
        <v>0</v>
      </c>
      <c r="BP30" s="76">
        <v>0</v>
      </c>
      <c r="BQ30" s="76">
        <v>0.25</v>
      </c>
      <c r="BR30" s="76">
        <v>0.25</v>
      </c>
      <c r="BS30" s="76">
        <v>0.25</v>
      </c>
      <c r="BT30" s="76">
        <v>0.25</v>
      </c>
      <c r="BU30" s="76">
        <v>0</v>
      </c>
      <c r="BV30" s="76">
        <v>0</v>
      </c>
      <c r="BW30" s="76">
        <v>0.25</v>
      </c>
      <c r="BX30" s="54">
        <v>0</v>
      </c>
      <c r="BY30" s="5">
        <v>0</v>
      </c>
      <c r="BZ30" s="60">
        <v>0</v>
      </c>
      <c r="CA30" s="5">
        <v>0</v>
      </c>
      <c r="CB30" s="5">
        <v>1</v>
      </c>
      <c r="CC30" s="5">
        <v>1</v>
      </c>
      <c r="CD30" s="5">
        <v>0</v>
      </c>
      <c r="CE30" s="5">
        <v>1</v>
      </c>
      <c r="CF30" s="5">
        <v>7.25</v>
      </c>
      <c r="CG30" s="191"/>
    </row>
    <row r="31" spans="1:85" s="5" customFormat="1" x14ac:dyDescent="0.15">
      <c r="A31" s="3" t="s">
        <v>234</v>
      </c>
      <c r="B31" s="3">
        <v>426</v>
      </c>
      <c r="C31" s="3" t="s">
        <v>348</v>
      </c>
      <c r="D31" s="3"/>
      <c r="E31" s="3"/>
      <c r="F31" s="3" t="s">
        <v>92</v>
      </c>
      <c r="G31" s="3" t="s">
        <v>70</v>
      </c>
      <c r="H31" s="3" t="s">
        <v>45</v>
      </c>
      <c r="I31" s="3" t="s">
        <v>92</v>
      </c>
      <c r="J31" s="70" t="s">
        <v>93</v>
      </c>
      <c r="K31" s="70" t="s">
        <v>45</v>
      </c>
      <c r="L31" s="3">
        <v>387500</v>
      </c>
      <c r="M31" s="74">
        <v>77500</v>
      </c>
      <c r="N31" s="58" t="s">
        <v>41</v>
      </c>
      <c r="O31" s="58">
        <v>627.25</v>
      </c>
      <c r="P31" s="3">
        <v>507</v>
      </c>
      <c r="Q31" s="63">
        <v>120.25</v>
      </c>
      <c r="R31" s="63" t="s">
        <v>96</v>
      </c>
      <c r="S31" s="58">
        <v>8196260</v>
      </c>
      <c r="T31" s="63">
        <v>36892782</v>
      </c>
      <c r="U31" s="63">
        <v>58816.920962949604</v>
      </c>
      <c r="V31" s="63">
        <v>66.599999999999994</v>
      </c>
      <c r="W31" s="63">
        <v>6277.8733429028398</v>
      </c>
      <c r="X31" s="63">
        <v>36000.670229096402</v>
      </c>
      <c r="Y31" s="63" t="s">
        <v>311</v>
      </c>
      <c r="Z31" s="63">
        <v>0.01</v>
      </c>
      <c r="AA31" s="63">
        <v>0.01</v>
      </c>
      <c r="AB31" s="63">
        <v>229215337.34193501</v>
      </c>
      <c r="AC31" s="63">
        <v>217989522</v>
      </c>
      <c r="AD31" s="63">
        <v>11225815.341935501</v>
      </c>
      <c r="AE31" s="63">
        <v>181047</v>
      </c>
      <c r="AF31" s="66">
        <v>2321387</v>
      </c>
      <c r="AG31" s="66">
        <v>4157730</v>
      </c>
      <c r="AH31" s="66">
        <v>3029555.3419354898</v>
      </c>
      <c r="AI31" s="66">
        <v>605911.06838709698</v>
      </c>
      <c r="AJ31" s="66">
        <v>2423644.2735483898</v>
      </c>
      <c r="AK31" s="66">
        <v>0.19</v>
      </c>
      <c r="AL31" s="66">
        <v>226706346.296774</v>
      </c>
      <c r="AM31" s="66">
        <v>2038851.44</v>
      </c>
      <c r="AN31" s="66">
        <v>20105.939999999999</v>
      </c>
      <c r="AO31" s="66" t="s">
        <v>311</v>
      </c>
      <c r="AP31" s="66" t="s">
        <v>71</v>
      </c>
      <c r="AQ31" s="66" t="s">
        <v>70</v>
      </c>
      <c r="AR31" s="9" t="s">
        <v>204</v>
      </c>
      <c r="AS31" s="9">
        <v>0.5</v>
      </c>
      <c r="AT31" s="9">
        <v>0.5</v>
      </c>
      <c r="AU31" s="9">
        <v>0.5</v>
      </c>
      <c r="AV31" s="9">
        <v>0.5</v>
      </c>
      <c r="AW31" s="9">
        <v>0.5</v>
      </c>
      <c r="AX31" s="9">
        <v>0</v>
      </c>
      <c r="AY31" s="9">
        <v>1</v>
      </c>
      <c r="AZ31" s="9">
        <v>1</v>
      </c>
      <c r="BA31" s="9">
        <v>0.5</v>
      </c>
      <c r="BB31" s="9">
        <v>1</v>
      </c>
      <c r="BC31" s="9">
        <v>0.75</v>
      </c>
      <c r="BD31" s="9">
        <v>0.75</v>
      </c>
      <c r="BE31" s="9">
        <v>1</v>
      </c>
      <c r="BF31" s="9">
        <v>0</v>
      </c>
      <c r="BG31" s="9">
        <v>0</v>
      </c>
      <c r="BH31" s="9">
        <v>0</v>
      </c>
      <c r="BI31" s="9">
        <v>1</v>
      </c>
      <c r="BJ31" s="9">
        <v>0</v>
      </c>
      <c r="BK31" s="3">
        <v>1.5</v>
      </c>
      <c r="BL31" s="3">
        <v>0</v>
      </c>
      <c r="BM31" s="3">
        <v>0.5</v>
      </c>
      <c r="BN31" s="3">
        <v>0</v>
      </c>
      <c r="BO31" s="3">
        <v>1</v>
      </c>
      <c r="BP31" s="3">
        <v>1</v>
      </c>
      <c r="BQ31" s="3">
        <v>0.25</v>
      </c>
      <c r="BR31" s="3">
        <v>0.25</v>
      </c>
      <c r="BS31" s="3">
        <v>0.25</v>
      </c>
      <c r="BT31" s="3">
        <v>0.25</v>
      </c>
      <c r="BU31" s="3">
        <v>0</v>
      </c>
      <c r="BV31" s="3">
        <v>0</v>
      </c>
      <c r="BW31" s="3">
        <v>0.25</v>
      </c>
      <c r="BX31" s="54">
        <v>0.25</v>
      </c>
      <c r="BY31" s="3">
        <v>1.5</v>
      </c>
      <c r="BZ31" s="60">
        <v>0</v>
      </c>
      <c r="CA31" s="5">
        <v>0</v>
      </c>
      <c r="CB31" s="5">
        <v>0</v>
      </c>
      <c r="CC31" s="5">
        <v>1</v>
      </c>
      <c r="CD31" s="5">
        <v>1</v>
      </c>
      <c r="CE31" s="5">
        <v>1</v>
      </c>
      <c r="CF31" s="5">
        <v>19.5</v>
      </c>
      <c r="CG31" s="191"/>
    </row>
    <row r="32" spans="1:85" s="5" customFormat="1" x14ac:dyDescent="0.15">
      <c r="A32" s="5" t="s">
        <v>235</v>
      </c>
      <c r="B32" s="5">
        <v>427</v>
      </c>
      <c r="C32" s="5" t="s">
        <v>349</v>
      </c>
      <c r="F32" s="5" t="s">
        <v>92</v>
      </c>
      <c r="G32" s="5" t="s">
        <v>70</v>
      </c>
      <c r="H32" s="5" t="s">
        <v>45</v>
      </c>
      <c r="I32" s="5" t="s">
        <v>318</v>
      </c>
      <c r="J32" s="10" t="s">
        <v>93</v>
      </c>
      <c r="K32" s="10" t="s">
        <v>9</v>
      </c>
      <c r="L32" s="5">
        <v>387500</v>
      </c>
      <c r="M32" s="72">
        <v>77500</v>
      </c>
      <c r="N32" s="54" t="s">
        <v>41</v>
      </c>
      <c r="O32" s="54">
        <v>627.25</v>
      </c>
      <c r="P32" s="5">
        <v>507</v>
      </c>
      <c r="Q32" s="60">
        <v>120.25</v>
      </c>
      <c r="R32" s="60" t="s">
        <v>96</v>
      </c>
      <c r="S32" s="54">
        <v>6660164</v>
      </c>
      <c r="T32" s="60">
        <v>28696522</v>
      </c>
      <c r="U32" s="60" t="s">
        <v>350</v>
      </c>
      <c r="V32" s="60">
        <v>66.599999999999994</v>
      </c>
      <c r="W32" s="60">
        <v>202641</v>
      </c>
      <c r="X32" s="60">
        <v>53169</v>
      </c>
      <c r="Y32" s="60" t="s">
        <v>41</v>
      </c>
      <c r="Z32" s="63">
        <v>0.02</v>
      </c>
      <c r="AA32" s="63">
        <v>0.02</v>
      </c>
      <c r="AB32" s="63">
        <v>229216000</v>
      </c>
      <c r="AC32" s="63">
        <v>217989522</v>
      </c>
      <c r="AD32" s="63">
        <v>11226478</v>
      </c>
      <c r="AE32" s="63">
        <v>181047</v>
      </c>
      <c r="AF32" s="66">
        <v>2321387</v>
      </c>
      <c r="AG32" s="66">
        <v>4157730</v>
      </c>
      <c r="AH32" s="66">
        <v>4566314</v>
      </c>
      <c r="AI32" s="66">
        <v>913262.8</v>
      </c>
      <c r="AJ32" s="66">
        <v>3653051.2</v>
      </c>
      <c r="AK32" s="66">
        <v>0.19</v>
      </c>
      <c r="AL32" s="66">
        <v>226707000</v>
      </c>
      <c r="AM32" s="66">
        <v>3268251.2</v>
      </c>
      <c r="AN32" s="66">
        <v>32268.7</v>
      </c>
      <c r="AO32" s="66" t="s">
        <v>311</v>
      </c>
      <c r="AP32" s="66" t="s">
        <v>71</v>
      </c>
      <c r="AQ32" s="66" t="s">
        <v>70</v>
      </c>
      <c r="AR32" s="9" t="s">
        <v>204</v>
      </c>
      <c r="AS32" s="9">
        <v>0.5</v>
      </c>
      <c r="AT32" s="9">
        <v>0.5</v>
      </c>
      <c r="AU32" s="9">
        <v>0.5</v>
      </c>
      <c r="AV32" s="9">
        <v>0</v>
      </c>
      <c r="AW32" s="9">
        <v>0.5</v>
      </c>
      <c r="AX32" s="9">
        <v>0.5</v>
      </c>
      <c r="AY32" s="9">
        <v>1</v>
      </c>
      <c r="AZ32" s="9">
        <v>1</v>
      </c>
      <c r="BA32" s="9">
        <v>0.5</v>
      </c>
      <c r="BB32" s="9">
        <v>1</v>
      </c>
      <c r="BC32" s="9">
        <v>0.75</v>
      </c>
      <c r="BD32" s="9">
        <v>0.75</v>
      </c>
      <c r="BE32" s="9">
        <v>1</v>
      </c>
      <c r="BF32" s="9">
        <v>0.5</v>
      </c>
      <c r="BG32" s="9">
        <v>0</v>
      </c>
      <c r="BH32" s="9">
        <v>0</v>
      </c>
      <c r="BI32" s="9">
        <v>1</v>
      </c>
      <c r="BJ32" s="9">
        <v>0</v>
      </c>
      <c r="BK32" s="3">
        <v>0</v>
      </c>
      <c r="BL32" s="3">
        <v>0.5</v>
      </c>
      <c r="BM32" s="3">
        <v>0</v>
      </c>
      <c r="BN32" s="3">
        <v>0.5</v>
      </c>
      <c r="BO32" s="3">
        <v>0</v>
      </c>
      <c r="BP32" s="3">
        <v>1</v>
      </c>
      <c r="BQ32" s="3">
        <v>0.25</v>
      </c>
      <c r="BR32" s="3">
        <v>0.25</v>
      </c>
      <c r="BS32" s="3">
        <v>0.25</v>
      </c>
      <c r="BT32" s="3">
        <v>0.25</v>
      </c>
      <c r="BU32" s="3">
        <v>0.25</v>
      </c>
      <c r="BV32" s="3">
        <v>0</v>
      </c>
      <c r="BW32" s="3">
        <v>0.25</v>
      </c>
      <c r="BX32" s="54">
        <v>0.25</v>
      </c>
      <c r="BY32" s="3">
        <v>0</v>
      </c>
      <c r="BZ32" s="60">
        <v>0</v>
      </c>
      <c r="CA32" s="5">
        <v>0</v>
      </c>
      <c r="CB32" s="5">
        <v>0</v>
      </c>
      <c r="CC32" s="5">
        <v>1</v>
      </c>
      <c r="CD32" s="5">
        <v>1</v>
      </c>
      <c r="CE32" s="5">
        <v>1</v>
      </c>
      <c r="CF32" s="5">
        <v>16.75</v>
      </c>
      <c r="CG32" s="191"/>
    </row>
    <row r="33" spans="1:85" s="5" customFormat="1" x14ac:dyDescent="0.15">
      <c r="A33" s="5" t="s">
        <v>236</v>
      </c>
      <c r="B33" s="5">
        <v>325</v>
      </c>
      <c r="C33" s="5" t="s">
        <v>351</v>
      </c>
      <c r="F33" s="65" t="s">
        <v>92</v>
      </c>
      <c r="G33" s="65" t="s">
        <v>70</v>
      </c>
      <c r="H33" s="65" t="s">
        <v>45</v>
      </c>
      <c r="I33" s="65" t="s">
        <v>92</v>
      </c>
      <c r="J33" s="68" t="s">
        <v>93</v>
      </c>
      <c r="K33" s="68" t="s">
        <v>9</v>
      </c>
      <c r="L33" s="65">
        <v>387500</v>
      </c>
      <c r="M33" s="68">
        <v>77500</v>
      </c>
      <c r="N33" s="67" t="s">
        <v>41</v>
      </c>
      <c r="O33" s="67">
        <v>627.25</v>
      </c>
      <c r="P33" s="65">
        <v>507</v>
      </c>
      <c r="Q33" s="65">
        <v>120.25</v>
      </c>
      <c r="R33" s="65" t="s">
        <v>96</v>
      </c>
      <c r="S33" s="67">
        <v>6660164</v>
      </c>
      <c r="T33" s="65">
        <v>35356686</v>
      </c>
      <c r="U33" s="65">
        <v>294026</v>
      </c>
      <c r="V33" s="65">
        <v>66.599999999999994</v>
      </c>
      <c r="W33" s="65">
        <v>258026</v>
      </c>
      <c r="X33" s="65">
        <v>36001</v>
      </c>
      <c r="Y33" s="65" t="s">
        <v>41</v>
      </c>
      <c r="Z33" s="65">
        <v>1.8700000000000001E-2</v>
      </c>
      <c r="AA33" s="65">
        <v>1.8700000000000001E-2</v>
      </c>
      <c r="AB33" s="65">
        <v>229215337</v>
      </c>
      <c r="AC33" s="65">
        <v>217989522</v>
      </c>
      <c r="AD33" s="65">
        <v>11225815.34</v>
      </c>
      <c r="AE33" s="65">
        <v>181047</v>
      </c>
      <c r="AF33" s="65">
        <v>2321387</v>
      </c>
      <c r="AG33" s="65">
        <v>4157730</v>
      </c>
      <c r="AH33" s="65">
        <v>4565651.34</v>
      </c>
      <c r="AI33" s="65">
        <v>913130.27</v>
      </c>
      <c r="AJ33" s="65">
        <v>3652521.07</v>
      </c>
      <c r="AK33" s="65">
        <v>0.19</v>
      </c>
      <c r="AL33" s="65">
        <v>226706346</v>
      </c>
      <c r="AM33" s="65">
        <v>2216.8000000000002</v>
      </c>
      <c r="AN33" s="65">
        <v>28320</v>
      </c>
      <c r="AO33" s="65" t="s">
        <v>41</v>
      </c>
      <c r="AP33" s="65" t="s">
        <v>71</v>
      </c>
      <c r="AQ33" s="65" t="s">
        <v>70</v>
      </c>
      <c r="AR33" s="77" t="s">
        <v>204</v>
      </c>
      <c r="AS33" s="11">
        <v>0.5</v>
      </c>
      <c r="AT33" s="11">
        <v>0.5</v>
      </c>
      <c r="AU33" s="11">
        <v>0.5</v>
      </c>
      <c r="AV33" s="11">
        <v>0.5</v>
      </c>
      <c r="AW33" s="11">
        <v>0.5</v>
      </c>
      <c r="AX33" s="11">
        <v>0.5</v>
      </c>
      <c r="AY33" s="11">
        <v>1</v>
      </c>
      <c r="AZ33" s="11">
        <v>1</v>
      </c>
      <c r="BA33" s="11">
        <v>0.5</v>
      </c>
      <c r="BB33" s="11">
        <v>1</v>
      </c>
      <c r="BC33" s="75">
        <v>0.75</v>
      </c>
      <c r="BD33" s="75">
        <v>0.75</v>
      </c>
      <c r="BE33" s="75">
        <v>1</v>
      </c>
      <c r="BF33" s="75">
        <v>0.5</v>
      </c>
      <c r="BG33" s="75">
        <v>0.5</v>
      </c>
      <c r="BH33" s="75">
        <v>0</v>
      </c>
      <c r="BI33" s="75">
        <v>1</v>
      </c>
      <c r="BJ33" s="75">
        <v>0</v>
      </c>
      <c r="BK33" s="75">
        <v>1.5</v>
      </c>
      <c r="BL33" s="76">
        <v>0.5</v>
      </c>
      <c r="BM33" s="76">
        <v>0</v>
      </c>
      <c r="BN33" s="76">
        <v>0.5</v>
      </c>
      <c r="BO33" s="76">
        <v>1</v>
      </c>
      <c r="BP33" s="76">
        <v>1</v>
      </c>
      <c r="BQ33" s="76">
        <v>0.25</v>
      </c>
      <c r="BR33" s="76">
        <v>0.25</v>
      </c>
      <c r="BS33" s="76">
        <v>0.25</v>
      </c>
      <c r="BT33" s="76">
        <v>0.25</v>
      </c>
      <c r="BU33" s="76">
        <v>0.25</v>
      </c>
      <c r="BV33" s="76">
        <v>0.25</v>
      </c>
      <c r="BW33" s="76">
        <v>0.25</v>
      </c>
      <c r="BX33" s="54">
        <v>0.25</v>
      </c>
      <c r="BY33" s="5">
        <v>1.5</v>
      </c>
      <c r="BZ33" s="60">
        <v>0</v>
      </c>
      <c r="CA33" s="5">
        <v>0</v>
      </c>
      <c r="CB33" s="5">
        <v>1</v>
      </c>
      <c r="CC33" s="5">
        <v>1</v>
      </c>
      <c r="CD33" s="5">
        <v>1</v>
      </c>
      <c r="CE33" s="5">
        <v>1</v>
      </c>
      <c r="CF33" s="5">
        <v>23</v>
      </c>
      <c r="CG33" s="191"/>
    </row>
    <row r="34" spans="1:85" s="5" customFormat="1" x14ac:dyDescent="0.15">
      <c r="A34" s="5" t="s">
        <v>237</v>
      </c>
      <c r="B34" s="5">
        <v>327</v>
      </c>
      <c r="C34" s="5" t="s">
        <v>352</v>
      </c>
      <c r="F34" s="10" t="s">
        <v>92</v>
      </c>
      <c r="G34" s="10" t="s">
        <v>70</v>
      </c>
      <c r="H34" s="10" t="s">
        <v>45</v>
      </c>
      <c r="I34" s="10" t="s">
        <v>92</v>
      </c>
      <c r="J34" s="69" t="s">
        <v>93</v>
      </c>
      <c r="K34" s="69" t="s">
        <v>9</v>
      </c>
      <c r="L34" s="10">
        <v>387500</v>
      </c>
      <c r="M34" s="72">
        <v>77500</v>
      </c>
      <c r="N34" s="57" t="s">
        <v>41</v>
      </c>
      <c r="O34" s="54">
        <v>627.24776129032296</v>
      </c>
      <c r="P34" s="10">
        <v>507</v>
      </c>
      <c r="Q34" s="61">
        <v>120.247761290323</v>
      </c>
      <c r="R34" s="61" t="s">
        <v>96</v>
      </c>
      <c r="S34" s="57">
        <v>6660164</v>
      </c>
      <c r="T34" s="61">
        <v>35356686</v>
      </c>
      <c r="U34" s="61">
        <v>56367.974797179202</v>
      </c>
      <c r="V34" s="60">
        <v>66.599999999999994</v>
      </c>
      <c r="W34" s="60">
        <v>266074.69159240701</v>
      </c>
      <c r="X34" s="61">
        <v>36000.670229096402</v>
      </c>
      <c r="Y34" s="60" t="s">
        <v>41</v>
      </c>
      <c r="Z34" s="60">
        <v>1.8723294005578199E-2</v>
      </c>
      <c r="AA34" s="60">
        <v>1.8723294005578199E-2</v>
      </c>
      <c r="AB34" s="60">
        <v>229215337.34193501</v>
      </c>
      <c r="AC34" s="60">
        <v>217989522</v>
      </c>
      <c r="AD34" s="60">
        <v>11225815.341935501</v>
      </c>
      <c r="AE34" s="60">
        <v>181047</v>
      </c>
      <c r="AF34" s="65">
        <v>2321387</v>
      </c>
      <c r="AG34" s="65">
        <v>4157730</v>
      </c>
      <c r="AH34" s="65">
        <v>17885979.341935501</v>
      </c>
      <c r="AI34" s="65">
        <v>0</v>
      </c>
      <c r="AJ34" s="65">
        <v>0</v>
      </c>
      <c r="AK34" s="65">
        <v>0</v>
      </c>
      <c r="AL34" s="65">
        <v>0</v>
      </c>
      <c r="AM34" s="65">
        <v>0</v>
      </c>
      <c r="AN34" s="65">
        <v>0</v>
      </c>
      <c r="AO34" s="65" t="s">
        <v>311</v>
      </c>
      <c r="AP34" s="65" t="s">
        <v>71</v>
      </c>
      <c r="AQ34" s="65" t="s">
        <v>70</v>
      </c>
      <c r="AR34" s="11" t="s">
        <v>204</v>
      </c>
      <c r="AS34" s="11">
        <v>0.5</v>
      </c>
      <c r="AT34" s="11">
        <v>0.5</v>
      </c>
      <c r="AU34" s="11">
        <v>0.5</v>
      </c>
      <c r="AV34" s="11">
        <v>0.5</v>
      </c>
      <c r="AW34" s="11">
        <v>0.5</v>
      </c>
      <c r="AX34" s="11">
        <v>0.5</v>
      </c>
      <c r="AY34" s="11">
        <v>1</v>
      </c>
      <c r="AZ34" s="11">
        <v>1</v>
      </c>
      <c r="BA34" s="11">
        <v>0.5</v>
      </c>
      <c r="BB34" s="11">
        <v>1</v>
      </c>
      <c r="BC34" s="11">
        <v>0.75</v>
      </c>
      <c r="BD34" s="11">
        <v>0.75</v>
      </c>
      <c r="BE34" s="11">
        <v>1</v>
      </c>
      <c r="BF34" s="11">
        <v>0.5</v>
      </c>
      <c r="BG34" s="11">
        <v>0.5</v>
      </c>
      <c r="BH34" s="11">
        <v>0</v>
      </c>
      <c r="BI34" s="11">
        <v>1</v>
      </c>
      <c r="BJ34" s="11">
        <v>0</v>
      </c>
      <c r="BK34" s="10">
        <v>1.5</v>
      </c>
      <c r="BL34" s="5">
        <v>0.5</v>
      </c>
      <c r="BM34" s="5">
        <v>0</v>
      </c>
      <c r="BN34" s="5">
        <v>0.5</v>
      </c>
      <c r="BO34" s="5">
        <v>1</v>
      </c>
      <c r="BP34" s="5">
        <v>1</v>
      </c>
      <c r="BQ34" s="5">
        <v>0.25</v>
      </c>
      <c r="BR34" s="5">
        <v>0.25</v>
      </c>
      <c r="BS34" s="5">
        <v>0.25</v>
      </c>
      <c r="BT34" s="5">
        <v>0.25</v>
      </c>
      <c r="BU34" s="5">
        <v>0</v>
      </c>
      <c r="BV34" s="5">
        <v>0</v>
      </c>
      <c r="BW34" s="5">
        <v>0</v>
      </c>
      <c r="BX34" s="54">
        <v>0</v>
      </c>
      <c r="BY34" s="5">
        <v>0</v>
      </c>
      <c r="BZ34" s="60">
        <v>0</v>
      </c>
      <c r="CA34" s="5">
        <v>0</v>
      </c>
      <c r="CB34" s="5">
        <v>0</v>
      </c>
      <c r="CC34" s="5">
        <v>1</v>
      </c>
      <c r="CD34" s="5">
        <v>1</v>
      </c>
      <c r="CE34" s="5">
        <v>1</v>
      </c>
      <c r="CF34" s="5">
        <v>19.5</v>
      </c>
      <c r="CG34" s="191"/>
    </row>
    <row r="35" spans="1:85" s="5" customFormat="1" x14ac:dyDescent="0.15">
      <c r="A35" s="5" t="s">
        <v>238</v>
      </c>
      <c r="B35" s="5">
        <v>309</v>
      </c>
      <c r="C35" s="5" t="s">
        <v>353</v>
      </c>
      <c r="F35" s="10" t="s">
        <v>92</v>
      </c>
      <c r="G35" s="10" t="s">
        <v>70</v>
      </c>
      <c r="H35" s="10" t="s">
        <v>45</v>
      </c>
      <c r="I35" s="10" t="s">
        <v>92</v>
      </c>
      <c r="J35" s="10" t="s">
        <v>318</v>
      </c>
      <c r="K35" s="10" t="s">
        <v>9</v>
      </c>
      <c r="L35" s="10">
        <v>310000</v>
      </c>
      <c r="M35" s="72">
        <v>0</v>
      </c>
      <c r="N35" s="54" t="s">
        <v>41</v>
      </c>
      <c r="O35" s="54">
        <v>670</v>
      </c>
      <c r="P35" s="10">
        <v>507</v>
      </c>
      <c r="Q35" s="60">
        <v>163</v>
      </c>
      <c r="R35" s="60" t="s">
        <v>96</v>
      </c>
      <c r="S35" s="54">
        <v>0</v>
      </c>
      <c r="T35" s="60">
        <v>0</v>
      </c>
      <c r="U35" s="60">
        <v>0</v>
      </c>
      <c r="V35" s="60">
        <v>0</v>
      </c>
      <c r="W35" s="60">
        <v>0</v>
      </c>
      <c r="X35" s="60">
        <v>0</v>
      </c>
      <c r="Y35" s="60" t="s">
        <v>41</v>
      </c>
      <c r="Z35" s="60">
        <v>0</v>
      </c>
      <c r="AA35" s="60">
        <v>0</v>
      </c>
      <c r="AB35" s="60">
        <v>185066806</v>
      </c>
      <c r="AC35" s="60">
        <v>195246522</v>
      </c>
      <c r="AD35" s="60">
        <v>8580284</v>
      </c>
      <c r="AE35" s="60">
        <v>181047</v>
      </c>
      <c r="AF35" s="65">
        <v>2321387</v>
      </c>
      <c r="AG35" s="65">
        <v>4157730</v>
      </c>
      <c r="AH35" s="65">
        <v>1920120</v>
      </c>
      <c r="AI35" s="65">
        <v>384024</v>
      </c>
      <c r="AJ35" s="65">
        <v>1536096</v>
      </c>
      <c r="AK35" s="65">
        <v>0</v>
      </c>
      <c r="AL35" s="65">
        <v>0</v>
      </c>
      <c r="AM35" s="65">
        <v>0</v>
      </c>
      <c r="AN35" s="65">
        <v>0</v>
      </c>
      <c r="AO35" s="65" t="s">
        <v>41</v>
      </c>
      <c r="AP35" s="65" t="s">
        <v>204</v>
      </c>
      <c r="AQ35" s="65" t="s">
        <v>309</v>
      </c>
      <c r="AR35" s="11" t="s">
        <v>309</v>
      </c>
      <c r="AS35" s="11">
        <v>0.5</v>
      </c>
      <c r="AT35" s="11">
        <v>0.5</v>
      </c>
      <c r="AU35" s="11">
        <v>0.5</v>
      </c>
      <c r="AV35" s="11">
        <v>0.5</v>
      </c>
      <c r="AW35" s="11">
        <v>0</v>
      </c>
      <c r="AX35" s="11">
        <v>0.5</v>
      </c>
      <c r="AY35" s="11">
        <v>0</v>
      </c>
      <c r="AZ35" s="11">
        <v>0</v>
      </c>
      <c r="BA35" s="11">
        <v>0.5</v>
      </c>
      <c r="BB35" s="11">
        <v>0</v>
      </c>
      <c r="BC35" s="11">
        <v>0.75</v>
      </c>
      <c r="BD35" s="11">
        <v>0</v>
      </c>
      <c r="BE35" s="11">
        <v>1</v>
      </c>
      <c r="BF35" s="11">
        <v>0</v>
      </c>
      <c r="BG35" s="11">
        <v>0</v>
      </c>
      <c r="BH35" s="11">
        <v>0</v>
      </c>
      <c r="BI35" s="11">
        <v>0</v>
      </c>
      <c r="BJ35" s="11">
        <v>0</v>
      </c>
      <c r="BK35" s="10">
        <v>0</v>
      </c>
      <c r="BL35" s="5">
        <v>0.5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0.25</v>
      </c>
      <c r="BS35" s="5">
        <v>0.25</v>
      </c>
      <c r="BT35" s="5">
        <v>0.25</v>
      </c>
      <c r="BU35" s="5">
        <v>0.25</v>
      </c>
      <c r="BV35" s="5">
        <v>0</v>
      </c>
      <c r="BW35" s="5">
        <v>0.25</v>
      </c>
      <c r="BX35" s="54">
        <v>0</v>
      </c>
      <c r="BY35" s="5">
        <v>0</v>
      </c>
      <c r="BZ35" s="60">
        <v>0</v>
      </c>
      <c r="CA35" s="5">
        <v>0</v>
      </c>
      <c r="CB35" s="5">
        <v>1</v>
      </c>
      <c r="CC35" s="5">
        <v>0</v>
      </c>
      <c r="CD35" s="5">
        <v>0</v>
      </c>
      <c r="CE35" s="5">
        <v>0</v>
      </c>
      <c r="CF35" s="5">
        <v>7.5</v>
      </c>
      <c r="CG35" s="191"/>
    </row>
    <row r="36" spans="1:85" s="5" customFormat="1" x14ac:dyDescent="0.15">
      <c r="A36" s="5" t="s">
        <v>239</v>
      </c>
      <c r="B36" s="5">
        <v>321</v>
      </c>
      <c r="C36" s="5" t="s">
        <v>354</v>
      </c>
      <c r="F36" s="65" t="s">
        <v>92</v>
      </c>
      <c r="G36" s="65" t="s">
        <v>70</v>
      </c>
      <c r="H36" s="65" t="s">
        <v>45</v>
      </c>
      <c r="I36" s="65" t="s">
        <v>92</v>
      </c>
      <c r="J36" s="68" t="s">
        <v>93</v>
      </c>
      <c r="K36" s="68" t="s">
        <v>9</v>
      </c>
      <c r="L36" s="65">
        <v>387500</v>
      </c>
      <c r="M36" s="68">
        <v>77500</v>
      </c>
      <c r="N36" s="67" t="s">
        <v>41</v>
      </c>
      <c r="O36" s="67">
        <v>627.25</v>
      </c>
      <c r="P36" s="65">
        <v>507</v>
      </c>
      <c r="Q36" s="65">
        <v>120.25</v>
      </c>
      <c r="R36" s="65" t="s">
        <v>96</v>
      </c>
      <c r="S36" s="65">
        <v>6660164</v>
      </c>
      <c r="T36" s="65">
        <v>36472686</v>
      </c>
      <c r="U36" s="65">
        <v>303313</v>
      </c>
      <c r="V36" s="65">
        <v>66.599999999999994</v>
      </c>
      <c r="W36" s="65">
        <v>267312</v>
      </c>
      <c r="X36" s="65">
        <v>36001</v>
      </c>
      <c r="Y36" s="65" t="s">
        <v>41</v>
      </c>
      <c r="Z36" s="65">
        <v>2.0000000000000001E-4</v>
      </c>
      <c r="AA36" s="65">
        <v>2.0000000000000001E-4</v>
      </c>
      <c r="AB36" s="65">
        <v>229215337.34</v>
      </c>
      <c r="AC36" s="65">
        <v>217989522</v>
      </c>
      <c r="AD36" s="65">
        <v>11225815.34</v>
      </c>
      <c r="AE36" s="65">
        <v>181047</v>
      </c>
      <c r="AF36" s="65">
        <v>2321387</v>
      </c>
      <c r="AG36" s="65">
        <v>4157730</v>
      </c>
      <c r="AH36" s="65">
        <v>4565651.34</v>
      </c>
      <c r="AI36" s="65">
        <v>913130.27</v>
      </c>
      <c r="AJ36" s="65">
        <v>3652521.07</v>
      </c>
      <c r="AK36" s="65">
        <v>0.18999601207052499</v>
      </c>
      <c r="AL36" s="65">
        <v>226706346</v>
      </c>
      <c r="AM36" s="65">
        <v>3267728.24</v>
      </c>
      <c r="AN36" s="65">
        <v>32266.74</v>
      </c>
      <c r="AO36" s="65" t="s">
        <v>41</v>
      </c>
      <c r="AP36" s="65" t="s">
        <v>71</v>
      </c>
      <c r="AQ36" s="65" t="s">
        <v>70</v>
      </c>
      <c r="AR36" s="77" t="s">
        <v>309</v>
      </c>
      <c r="AS36" s="11">
        <v>0.5</v>
      </c>
      <c r="AT36" s="11">
        <v>0.5</v>
      </c>
      <c r="AU36" s="11">
        <v>0.5</v>
      </c>
      <c r="AV36" s="11">
        <v>0.5</v>
      </c>
      <c r="AW36" s="11">
        <v>0.5</v>
      </c>
      <c r="AX36" s="11">
        <v>0.5</v>
      </c>
      <c r="AY36" s="11">
        <v>1</v>
      </c>
      <c r="AZ36" s="11">
        <v>1</v>
      </c>
      <c r="BA36" s="11">
        <v>0.5</v>
      </c>
      <c r="BB36" s="11">
        <v>1</v>
      </c>
      <c r="BC36" s="75">
        <v>0.75</v>
      </c>
      <c r="BD36" s="75">
        <v>0.75</v>
      </c>
      <c r="BE36" s="75">
        <v>1</v>
      </c>
      <c r="BF36" s="75">
        <v>0.5</v>
      </c>
      <c r="BG36" s="75">
        <v>0.5</v>
      </c>
      <c r="BH36" s="75">
        <v>0.5</v>
      </c>
      <c r="BI36" s="75">
        <v>1</v>
      </c>
      <c r="BJ36" s="75">
        <v>2</v>
      </c>
      <c r="BK36" s="75">
        <v>1.5</v>
      </c>
      <c r="BL36" s="76">
        <v>0.5</v>
      </c>
      <c r="BM36" s="76">
        <v>0</v>
      </c>
      <c r="BN36" s="76">
        <v>0</v>
      </c>
      <c r="BO36" s="76">
        <v>1</v>
      </c>
      <c r="BP36" s="76">
        <v>1</v>
      </c>
      <c r="BQ36" s="76">
        <v>0.25</v>
      </c>
      <c r="BR36" s="76">
        <v>0.25</v>
      </c>
      <c r="BS36" s="76">
        <v>0.25</v>
      </c>
      <c r="BT36" s="76">
        <v>0.25</v>
      </c>
      <c r="BU36" s="76">
        <v>0.25</v>
      </c>
      <c r="BV36" s="76">
        <v>0.25</v>
      </c>
      <c r="BW36" s="76">
        <v>0.25</v>
      </c>
      <c r="BX36" s="54">
        <v>0.25</v>
      </c>
      <c r="BY36" s="5">
        <v>1.5</v>
      </c>
      <c r="BZ36" s="60">
        <v>1.5</v>
      </c>
      <c r="CA36" s="5">
        <v>2</v>
      </c>
      <c r="CB36" s="5">
        <v>1</v>
      </c>
      <c r="CC36" s="5">
        <v>1</v>
      </c>
      <c r="CD36" s="5">
        <v>1</v>
      </c>
      <c r="CE36" s="5">
        <v>0</v>
      </c>
      <c r="CF36" s="5">
        <v>27.5</v>
      </c>
      <c r="CG36" s="191"/>
    </row>
    <row r="37" spans="1:85" s="5" customFormat="1" x14ac:dyDescent="0.15">
      <c r="A37" s="3" t="s">
        <v>240</v>
      </c>
      <c r="B37" s="3">
        <v>341</v>
      </c>
      <c r="C37" s="3" t="s">
        <v>355</v>
      </c>
      <c r="D37" s="3"/>
      <c r="E37" s="3"/>
      <c r="F37" s="3" t="s">
        <v>92</v>
      </c>
      <c r="G37" s="3" t="s">
        <v>70</v>
      </c>
      <c r="H37" s="3" t="s">
        <v>45</v>
      </c>
      <c r="I37" s="3" t="s">
        <v>92</v>
      </c>
      <c r="J37" s="70" t="s">
        <v>93</v>
      </c>
      <c r="K37" s="70" t="s">
        <v>9</v>
      </c>
      <c r="L37" s="3">
        <v>387500</v>
      </c>
      <c r="M37" s="74">
        <v>77500</v>
      </c>
      <c r="N37" s="58" t="s">
        <v>41</v>
      </c>
      <c r="O37" s="58">
        <v>627.24776129032296</v>
      </c>
      <c r="P37" s="3">
        <v>507</v>
      </c>
      <c r="Q37" s="63">
        <v>120.247761290323</v>
      </c>
      <c r="R37" s="63" t="s">
        <v>96</v>
      </c>
      <c r="S37" s="58">
        <v>6660164</v>
      </c>
      <c r="T37" s="63">
        <v>36472686</v>
      </c>
      <c r="U37" s="63">
        <v>303312.80689659901</v>
      </c>
      <c r="V37" s="63">
        <v>66.599999999999994</v>
      </c>
      <c r="W37" s="63">
        <v>267312.13666750299</v>
      </c>
      <c r="X37" s="63">
        <v>36000.670229096402</v>
      </c>
      <c r="Y37" s="63" t="s">
        <v>41</v>
      </c>
      <c r="Z37" s="63">
        <v>1.8723294005578199E-2</v>
      </c>
      <c r="AA37" s="63">
        <v>1.8723294005578199E-2</v>
      </c>
      <c r="AB37" s="63">
        <v>229215337.34193501</v>
      </c>
      <c r="AC37" s="63">
        <v>219105522</v>
      </c>
      <c r="AD37" s="63">
        <v>10109815.341935501</v>
      </c>
      <c r="AE37" s="63">
        <v>181047</v>
      </c>
      <c r="AF37" s="66">
        <v>2321387</v>
      </c>
      <c r="AG37" s="66">
        <v>4157730</v>
      </c>
      <c r="AH37" s="66">
        <v>3449651.3419354898</v>
      </c>
      <c r="AI37" s="66">
        <v>689930.26838709705</v>
      </c>
      <c r="AJ37" s="66">
        <v>2759721.0735483901</v>
      </c>
      <c r="AK37" s="66">
        <v>0.18999601206892</v>
      </c>
      <c r="AL37" s="66">
        <v>226706346.296774</v>
      </c>
      <c r="AM37" s="66">
        <v>2374928.2374193701</v>
      </c>
      <c r="AN37" s="66">
        <v>28915.3882786012</v>
      </c>
      <c r="AO37" s="66" t="s">
        <v>41</v>
      </c>
      <c r="AP37" s="66" t="s">
        <v>71</v>
      </c>
      <c r="AQ37" s="66" t="s">
        <v>70</v>
      </c>
      <c r="AR37" s="9" t="s">
        <v>309</v>
      </c>
      <c r="AS37" s="9">
        <v>0.5</v>
      </c>
      <c r="AT37" s="9">
        <v>0.5</v>
      </c>
      <c r="AU37" s="9">
        <v>0.5</v>
      </c>
      <c r="AV37" s="9">
        <v>0.5</v>
      </c>
      <c r="AW37" s="9">
        <v>0.5</v>
      </c>
      <c r="AX37" s="9">
        <v>0.5</v>
      </c>
      <c r="AY37" s="9">
        <v>1</v>
      </c>
      <c r="AZ37" s="9">
        <v>1</v>
      </c>
      <c r="BA37" s="9">
        <v>0.5</v>
      </c>
      <c r="BB37" s="9">
        <v>1</v>
      </c>
      <c r="BC37" s="9">
        <v>0.75</v>
      </c>
      <c r="BD37" s="9">
        <v>0.75</v>
      </c>
      <c r="BE37" s="9">
        <v>1</v>
      </c>
      <c r="BF37" s="9">
        <v>0.5</v>
      </c>
      <c r="BG37" s="9">
        <v>0.5</v>
      </c>
      <c r="BH37" s="9">
        <v>0.5</v>
      </c>
      <c r="BI37" s="9">
        <v>1</v>
      </c>
      <c r="BJ37" s="9">
        <v>2</v>
      </c>
      <c r="BK37" s="3">
        <v>1.5</v>
      </c>
      <c r="BL37" s="3">
        <v>0.5</v>
      </c>
      <c r="BM37" s="3">
        <v>0</v>
      </c>
      <c r="BN37" s="3">
        <v>0.5</v>
      </c>
      <c r="BO37" s="3">
        <v>1</v>
      </c>
      <c r="BP37" s="3">
        <v>1</v>
      </c>
      <c r="BQ37" s="3">
        <v>0.25</v>
      </c>
      <c r="BR37" s="3">
        <v>0.25</v>
      </c>
      <c r="BS37" s="3">
        <v>0.25</v>
      </c>
      <c r="BT37" s="3">
        <v>0.25</v>
      </c>
      <c r="BU37" s="3">
        <v>0.25</v>
      </c>
      <c r="BV37" s="3">
        <v>0.25</v>
      </c>
      <c r="BW37" s="3">
        <v>0.25</v>
      </c>
      <c r="BX37" s="3">
        <v>0.25</v>
      </c>
      <c r="BY37" s="3">
        <v>1.5</v>
      </c>
      <c r="BZ37" s="60">
        <v>1.5</v>
      </c>
      <c r="CA37" s="5">
        <v>2</v>
      </c>
      <c r="CB37" s="5">
        <v>1</v>
      </c>
      <c r="CC37" s="5">
        <v>1</v>
      </c>
      <c r="CD37" s="5">
        <v>1</v>
      </c>
      <c r="CE37" s="5">
        <v>0</v>
      </c>
      <c r="CF37" s="5">
        <v>28</v>
      </c>
      <c r="CG37" s="191"/>
    </row>
    <row r="38" spans="1:85" s="5" customFormat="1" x14ac:dyDescent="0.15">
      <c r="A38" s="5" t="s">
        <v>241</v>
      </c>
      <c r="B38" s="5">
        <v>364</v>
      </c>
      <c r="C38" s="5" t="s">
        <v>356</v>
      </c>
      <c r="F38" s="65" t="s">
        <v>92</v>
      </c>
      <c r="G38" s="65" t="s">
        <v>70</v>
      </c>
      <c r="H38" s="65" t="s">
        <v>45</v>
      </c>
      <c r="I38" s="65" t="s">
        <v>92</v>
      </c>
      <c r="J38" s="68" t="s">
        <v>93</v>
      </c>
      <c r="K38" s="68" t="s">
        <v>9</v>
      </c>
      <c r="L38" s="65">
        <v>81250</v>
      </c>
      <c r="M38" s="68">
        <v>16250</v>
      </c>
      <c r="N38" s="67" t="s">
        <v>41</v>
      </c>
      <c r="O38" s="67">
        <v>627.24776129032296</v>
      </c>
      <c r="P38" s="65">
        <v>507</v>
      </c>
      <c r="Q38" s="65">
        <v>120.247761290323</v>
      </c>
      <c r="R38" s="65" t="s">
        <v>96</v>
      </c>
      <c r="S38" s="67">
        <v>7044188</v>
      </c>
      <c r="T38" s="65">
        <v>28696522</v>
      </c>
      <c r="U38" s="65">
        <v>297220.04158004199</v>
      </c>
      <c r="V38" s="65">
        <v>40.319999999999901</v>
      </c>
      <c r="W38" s="65">
        <v>275430.57471179299</v>
      </c>
      <c r="X38" s="65">
        <v>21795.000354912299</v>
      </c>
      <c r="Y38" s="65" t="s">
        <v>311</v>
      </c>
      <c r="Z38" s="65">
        <v>0.11908697619634</v>
      </c>
      <c r="AA38" s="65">
        <v>0.11908697619634</v>
      </c>
      <c r="AB38" s="65">
        <v>44961312.5</v>
      </c>
      <c r="AC38" s="65">
        <v>42069950</v>
      </c>
      <c r="AD38" s="65">
        <v>2891362.4999999902</v>
      </c>
      <c r="AE38" s="65">
        <v>-181047</v>
      </c>
      <c r="AF38" s="65">
        <v>-2321387</v>
      </c>
      <c r="AG38" s="65">
        <v>-4157730</v>
      </c>
      <c r="AH38" s="65">
        <v>-3768801.5000000098</v>
      </c>
      <c r="AI38" s="65">
        <v>0</v>
      </c>
      <c r="AJ38" s="65">
        <v>0</v>
      </c>
      <c r="AK38" s="65">
        <v>0</v>
      </c>
      <c r="AL38" s="65">
        <v>0</v>
      </c>
      <c r="AM38" s="65">
        <v>0</v>
      </c>
      <c r="AN38" s="65">
        <v>0</v>
      </c>
      <c r="AO38" s="65" t="s">
        <v>311</v>
      </c>
      <c r="AP38" s="65" t="s">
        <v>71</v>
      </c>
      <c r="AQ38" s="65" t="s">
        <v>70</v>
      </c>
      <c r="AR38" s="77" t="s">
        <v>204</v>
      </c>
      <c r="AS38" s="11">
        <v>0.5</v>
      </c>
      <c r="AT38" s="11">
        <v>0.5</v>
      </c>
      <c r="AU38" s="11">
        <v>0.5</v>
      </c>
      <c r="AV38" s="11">
        <v>0.5</v>
      </c>
      <c r="AW38" s="11">
        <v>0.5</v>
      </c>
      <c r="AX38" s="11">
        <v>0.5</v>
      </c>
      <c r="AY38" s="11">
        <v>0</v>
      </c>
      <c r="AZ38" s="11">
        <v>0</v>
      </c>
      <c r="BA38" s="11">
        <v>0.5</v>
      </c>
      <c r="BB38" s="11">
        <v>1</v>
      </c>
      <c r="BC38" s="75">
        <v>0.75</v>
      </c>
      <c r="BD38" s="75">
        <v>0.75</v>
      </c>
      <c r="BE38" s="75">
        <v>1</v>
      </c>
      <c r="BF38" s="75">
        <v>0</v>
      </c>
      <c r="BG38" s="75">
        <v>0</v>
      </c>
      <c r="BH38" s="75">
        <v>0</v>
      </c>
      <c r="BI38" s="75">
        <v>0</v>
      </c>
      <c r="BJ38" s="75">
        <v>0</v>
      </c>
      <c r="BK38" s="75">
        <v>0</v>
      </c>
      <c r="BL38" s="76">
        <v>0</v>
      </c>
      <c r="BM38" s="76">
        <v>0</v>
      </c>
      <c r="BN38" s="76">
        <v>0</v>
      </c>
      <c r="BO38" s="76">
        <v>0</v>
      </c>
      <c r="BP38" s="76">
        <v>0</v>
      </c>
      <c r="BQ38" s="76">
        <v>0</v>
      </c>
      <c r="BR38" s="76">
        <v>0.25</v>
      </c>
      <c r="BS38" s="76">
        <v>0.25</v>
      </c>
      <c r="BT38" s="76">
        <v>0.25</v>
      </c>
      <c r="BU38" s="76">
        <v>0</v>
      </c>
      <c r="BV38" s="76">
        <v>0</v>
      </c>
      <c r="BW38" s="76">
        <v>0</v>
      </c>
      <c r="BX38" s="54">
        <v>0</v>
      </c>
      <c r="BY38" s="5">
        <v>0</v>
      </c>
      <c r="BZ38" s="60">
        <v>0</v>
      </c>
      <c r="CA38" s="5">
        <v>0</v>
      </c>
      <c r="CB38" s="5">
        <v>0</v>
      </c>
      <c r="CC38" s="5">
        <v>1</v>
      </c>
      <c r="CD38" s="5">
        <v>1</v>
      </c>
      <c r="CE38" s="5">
        <v>1</v>
      </c>
      <c r="CF38" s="5">
        <v>10.75</v>
      </c>
      <c r="CG38" s="191"/>
    </row>
    <row r="39" spans="1:85" s="5" customFormat="1" x14ac:dyDescent="0.15">
      <c r="A39" s="5" t="s">
        <v>242</v>
      </c>
      <c r="B39" s="5">
        <v>320</v>
      </c>
      <c r="C39" s="5" t="s">
        <v>357</v>
      </c>
      <c r="F39" s="65" t="s">
        <v>318</v>
      </c>
      <c r="G39" s="65" t="s">
        <v>70</v>
      </c>
      <c r="H39" s="65" t="s">
        <v>45</v>
      </c>
      <c r="I39" s="65" t="s">
        <v>70</v>
      </c>
      <c r="J39" s="68" t="s">
        <v>70</v>
      </c>
      <c r="K39" s="68" t="s">
        <v>9</v>
      </c>
      <c r="L39" s="65">
        <v>0</v>
      </c>
      <c r="M39" s="68">
        <v>0</v>
      </c>
      <c r="N39" s="67" t="s">
        <v>41</v>
      </c>
      <c r="O39" s="67">
        <v>0</v>
      </c>
      <c r="P39" s="65">
        <v>0</v>
      </c>
      <c r="Q39" s="65">
        <v>0</v>
      </c>
      <c r="R39" s="65" t="s">
        <v>328</v>
      </c>
      <c r="S39" s="67">
        <v>0</v>
      </c>
      <c r="T39" s="65">
        <v>0</v>
      </c>
      <c r="U39" s="65">
        <v>0</v>
      </c>
      <c r="V39" s="65">
        <v>0</v>
      </c>
      <c r="W39" s="65">
        <v>0</v>
      </c>
      <c r="X39" s="65">
        <v>0</v>
      </c>
      <c r="Y39" s="65" t="s">
        <v>41</v>
      </c>
      <c r="Z39" s="65">
        <v>0</v>
      </c>
      <c r="AA39" s="65">
        <v>0</v>
      </c>
      <c r="AB39" s="65">
        <v>0</v>
      </c>
      <c r="AC39" s="65">
        <v>0</v>
      </c>
      <c r="AD39" s="65">
        <v>0</v>
      </c>
      <c r="AE39" s="65">
        <v>0</v>
      </c>
      <c r="AF39" s="65">
        <v>0</v>
      </c>
      <c r="AG39" s="65">
        <v>0</v>
      </c>
      <c r="AH39" s="65">
        <v>0</v>
      </c>
      <c r="AI39" s="65">
        <v>0</v>
      </c>
      <c r="AJ39" s="65">
        <v>0</v>
      </c>
      <c r="AK39" s="65">
        <v>0</v>
      </c>
      <c r="AL39" s="65">
        <v>0</v>
      </c>
      <c r="AM39" s="65">
        <v>0</v>
      </c>
      <c r="AN39" s="65">
        <v>0</v>
      </c>
      <c r="AO39" s="65" t="s">
        <v>41</v>
      </c>
      <c r="AP39" s="65" t="s">
        <v>329</v>
      </c>
      <c r="AQ39" s="65" t="s">
        <v>71</v>
      </c>
      <c r="AR39" s="78" t="s">
        <v>204</v>
      </c>
      <c r="AS39" s="11">
        <v>0</v>
      </c>
      <c r="AT39" s="11">
        <v>0.5</v>
      </c>
      <c r="AU39" s="11">
        <v>0.5</v>
      </c>
      <c r="AV39" s="11">
        <v>0</v>
      </c>
      <c r="AW39" s="11">
        <v>0</v>
      </c>
      <c r="AX39" s="11">
        <v>0.5</v>
      </c>
      <c r="AY39" s="11">
        <v>0</v>
      </c>
      <c r="AZ39" s="11">
        <v>0</v>
      </c>
      <c r="BA39" s="11">
        <v>0.5</v>
      </c>
      <c r="BB39" s="11">
        <v>0</v>
      </c>
      <c r="BC39" s="75">
        <v>0</v>
      </c>
      <c r="BD39" s="75">
        <v>0</v>
      </c>
      <c r="BE39" s="75">
        <v>0</v>
      </c>
      <c r="BF39" s="75">
        <v>0</v>
      </c>
      <c r="BG39" s="75">
        <v>0</v>
      </c>
      <c r="BH39" s="75">
        <v>0</v>
      </c>
      <c r="BI39" s="75">
        <v>0</v>
      </c>
      <c r="BJ39" s="75">
        <v>0</v>
      </c>
      <c r="BK39" s="75">
        <v>0</v>
      </c>
      <c r="BL39" s="76">
        <v>0.5</v>
      </c>
      <c r="BM39" s="76">
        <v>0</v>
      </c>
      <c r="BN39" s="76">
        <v>0</v>
      </c>
      <c r="BO39" s="76">
        <v>0</v>
      </c>
      <c r="BP39" s="76">
        <v>0</v>
      </c>
      <c r="BQ39" s="76">
        <v>0.25</v>
      </c>
      <c r="BR39" s="76">
        <v>0</v>
      </c>
      <c r="BS39" s="76">
        <v>0</v>
      </c>
      <c r="BT39" s="76">
        <v>0</v>
      </c>
      <c r="BU39" s="76">
        <v>0.25</v>
      </c>
      <c r="BV39" s="76">
        <v>0</v>
      </c>
      <c r="BW39" s="76">
        <v>0.25</v>
      </c>
      <c r="BX39" s="54">
        <v>0</v>
      </c>
      <c r="BY39" s="5">
        <v>0</v>
      </c>
      <c r="BZ39" s="60">
        <v>0</v>
      </c>
      <c r="CA39" s="5">
        <v>0</v>
      </c>
      <c r="CB39" s="5">
        <v>1</v>
      </c>
      <c r="CC39" s="5">
        <v>0</v>
      </c>
      <c r="CD39" s="5">
        <v>0</v>
      </c>
      <c r="CE39" s="5">
        <v>1</v>
      </c>
      <c r="CF39" s="5">
        <v>5.25</v>
      </c>
      <c r="CG39" s="191"/>
    </row>
    <row r="40" spans="1:85" s="5" customFormat="1" x14ac:dyDescent="0.15">
      <c r="A40" s="5" t="s">
        <v>243</v>
      </c>
      <c r="B40" s="5">
        <v>315</v>
      </c>
      <c r="C40" s="5" t="s">
        <v>358</v>
      </c>
      <c r="F40" s="65" t="s">
        <v>92</v>
      </c>
      <c r="G40" s="65" t="s">
        <v>70</v>
      </c>
      <c r="H40" s="65" t="s">
        <v>45</v>
      </c>
      <c r="I40" s="65" t="s">
        <v>92</v>
      </c>
      <c r="J40" s="68" t="s">
        <v>93</v>
      </c>
      <c r="K40" s="68" t="s">
        <v>9</v>
      </c>
      <c r="L40" s="65">
        <v>387500</v>
      </c>
      <c r="M40" s="68">
        <v>77500</v>
      </c>
      <c r="N40" s="67" t="s">
        <v>41</v>
      </c>
      <c r="O40" s="67">
        <v>627.24776129032296</v>
      </c>
      <c r="P40" s="65">
        <v>507</v>
      </c>
      <c r="Q40" s="65">
        <v>120.247761290323</v>
      </c>
      <c r="R40" s="65" t="s">
        <v>96</v>
      </c>
      <c r="S40" s="65">
        <v>6660164</v>
      </c>
      <c r="T40" s="65">
        <v>36472686</v>
      </c>
      <c r="U40" s="65">
        <v>303312.80689659901</v>
      </c>
      <c r="V40" s="65">
        <v>66.599999999999994</v>
      </c>
      <c r="W40" s="65">
        <v>267312.13666750299</v>
      </c>
      <c r="X40" s="65">
        <v>36000.670229096402</v>
      </c>
      <c r="Y40" s="65" t="s">
        <v>41</v>
      </c>
      <c r="Z40" s="65">
        <v>1.8723294005578199E-2</v>
      </c>
      <c r="AA40" s="65">
        <v>1.8723294005578199E-2</v>
      </c>
      <c r="AB40" s="65">
        <v>229215337.34193501</v>
      </c>
      <c r="AC40" s="65">
        <v>219105522</v>
      </c>
      <c r="AD40" s="65">
        <v>10109815.341935501</v>
      </c>
      <c r="AE40" s="65">
        <v>181047</v>
      </c>
      <c r="AF40" s="65">
        <v>2321387</v>
      </c>
      <c r="AG40" s="65">
        <v>4157730</v>
      </c>
      <c r="AH40" s="65">
        <v>3449651.3419354898</v>
      </c>
      <c r="AI40" s="65">
        <v>689930.26838709705</v>
      </c>
      <c r="AJ40" s="65">
        <v>2759721.0735483901</v>
      </c>
      <c r="AK40" s="65">
        <v>0.81000398793107997</v>
      </c>
      <c r="AL40" s="65">
        <v>226706346.296774</v>
      </c>
      <c r="AM40" s="65">
        <v>2374928.2374193701</v>
      </c>
      <c r="AN40" s="65">
        <v>28915.3882786012</v>
      </c>
      <c r="AO40" s="65" t="s">
        <v>311</v>
      </c>
      <c r="AP40" s="65" t="s">
        <v>71</v>
      </c>
      <c r="AQ40" s="65" t="s">
        <v>70</v>
      </c>
      <c r="AR40" s="77" t="s">
        <v>204</v>
      </c>
      <c r="AS40" s="11">
        <v>0.5</v>
      </c>
      <c r="AT40" s="11">
        <v>0.5</v>
      </c>
      <c r="AU40" s="11">
        <v>0.5</v>
      </c>
      <c r="AV40" s="11">
        <v>0.5</v>
      </c>
      <c r="AW40" s="11">
        <v>0.5</v>
      </c>
      <c r="AX40" s="11">
        <v>0.5</v>
      </c>
      <c r="AY40" s="11">
        <v>1</v>
      </c>
      <c r="AZ40" s="11">
        <v>1</v>
      </c>
      <c r="BA40" s="11">
        <v>0.5</v>
      </c>
      <c r="BB40" s="11">
        <v>1</v>
      </c>
      <c r="BC40" s="75">
        <v>0.75</v>
      </c>
      <c r="BD40" s="75">
        <v>0.75</v>
      </c>
      <c r="BE40" s="75">
        <v>1</v>
      </c>
      <c r="BF40" s="75">
        <v>0.5</v>
      </c>
      <c r="BG40" s="75">
        <v>0.5</v>
      </c>
      <c r="BH40" s="75">
        <v>0.5</v>
      </c>
      <c r="BI40" s="75">
        <v>1</v>
      </c>
      <c r="BJ40" s="75">
        <v>2</v>
      </c>
      <c r="BK40" s="75">
        <v>1.5</v>
      </c>
      <c r="BL40" s="76">
        <v>0.5</v>
      </c>
      <c r="BM40" s="76">
        <v>0</v>
      </c>
      <c r="BN40" s="76">
        <v>0.5</v>
      </c>
      <c r="BO40" s="76">
        <v>1</v>
      </c>
      <c r="BP40" s="76">
        <v>1</v>
      </c>
      <c r="BQ40" s="76">
        <v>0.25</v>
      </c>
      <c r="BR40" s="76">
        <v>0.25</v>
      </c>
      <c r="BS40" s="76">
        <v>0.25</v>
      </c>
      <c r="BT40" s="76">
        <v>0.25</v>
      </c>
      <c r="BU40" s="76">
        <v>0.25</v>
      </c>
      <c r="BV40" s="76">
        <v>0.25</v>
      </c>
      <c r="BW40" s="76">
        <v>0.25</v>
      </c>
      <c r="BX40" s="54">
        <v>0</v>
      </c>
      <c r="BY40" s="5">
        <v>1.5</v>
      </c>
      <c r="BZ40" s="60">
        <v>1.5</v>
      </c>
      <c r="CA40" s="5">
        <v>2</v>
      </c>
      <c r="CB40" s="5">
        <v>0</v>
      </c>
      <c r="CC40" s="5">
        <v>1</v>
      </c>
      <c r="CD40" s="5">
        <v>1</v>
      </c>
      <c r="CE40" s="5">
        <v>1</v>
      </c>
      <c r="CF40" s="5">
        <v>27.75</v>
      </c>
      <c r="CG40" s="191"/>
    </row>
    <row r="41" spans="1:85" s="5" customFormat="1" x14ac:dyDescent="0.15">
      <c r="A41" s="3" t="s">
        <v>244</v>
      </c>
      <c r="B41" s="3">
        <v>310</v>
      </c>
      <c r="C41" s="3" t="s">
        <v>359</v>
      </c>
      <c r="D41" s="3"/>
      <c r="E41" s="3"/>
      <c r="F41" s="3" t="s">
        <v>92</v>
      </c>
      <c r="G41" s="3" t="s">
        <v>70</v>
      </c>
      <c r="H41" s="3" t="s">
        <v>45</v>
      </c>
      <c r="I41" s="3" t="s">
        <v>318</v>
      </c>
      <c r="J41" s="70" t="s">
        <v>93</v>
      </c>
      <c r="K41" s="70" t="s">
        <v>140</v>
      </c>
      <c r="L41" s="3">
        <v>387500</v>
      </c>
      <c r="M41" s="74">
        <v>77500</v>
      </c>
      <c r="N41" s="58" t="s">
        <v>311</v>
      </c>
      <c r="O41" s="58">
        <v>627.24776129032296</v>
      </c>
      <c r="P41" s="3">
        <v>507</v>
      </c>
      <c r="Q41" s="63">
        <v>120.247761290323</v>
      </c>
      <c r="R41" s="63" t="s">
        <v>96</v>
      </c>
      <c r="S41" s="58">
        <v>-6660164</v>
      </c>
      <c r="T41" s="63">
        <v>22036358</v>
      </c>
      <c r="U41" s="63">
        <v>92883.312702933705</v>
      </c>
      <c r="V41" s="63">
        <v>667.54927536231901</v>
      </c>
      <c r="W41" s="63">
        <v>390600</v>
      </c>
      <c r="X41" s="63">
        <v>0</v>
      </c>
      <c r="Y41" s="63" t="s">
        <v>309</v>
      </c>
      <c r="Z41" s="63">
        <v>1.8723294005578199E-2</v>
      </c>
      <c r="AA41" s="63">
        <v>1.8723294005578199E-2</v>
      </c>
      <c r="AB41" s="63">
        <v>185665337.34193501</v>
      </c>
      <c r="AC41" s="63">
        <v>115440000</v>
      </c>
      <c r="AD41" s="63">
        <v>70225337.341935501</v>
      </c>
      <c r="AE41" s="63">
        <v>-181047</v>
      </c>
      <c r="AF41" s="66">
        <v>-2321387</v>
      </c>
      <c r="AG41" s="66">
        <v>-4157730</v>
      </c>
      <c r="AH41" s="66">
        <v>76704454.341935501</v>
      </c>
      <c r="AI41" s="66">
        <v>15340890.868387099</v>
      </c>
      <c r="AJ41" s="66">
        <v>61363563.473548397</v>
      </c>
      <c r="AK41" s="66">
        <v>0.234561823027822</v>
      </c>
      <c r="AL41" s="66">
        <v>183156346.296774</v>
      </c>
      <c r="AM41" s="66">
        <v>60604370.637419403</v>
      </c>
      <c r="AN41" s="66">
        <v>20679.506357245999</v>
      </c>
      <c r="AO41" s="66" t="s">
        <v>41</v>
      </c>
      <c r="AP41" s="66" t="s">
        <v>71</v>
      </c>
      <c r="AQ41" s="66" t="s">
        <v>70</v>
      </c>
      <c r="AR41" s="9" t="s">
        <v>204</v>
      </c>
      <c r="AS41" s="9">
        <v>0.5</v>
      </c>
      <c r="AT41" s="9">
        <v>0.5</v>
      </c>
      <c r="AU41" s="9">
        <v>0.5</v>
      </c>
      <c r="AV41" s="9">
        <v>0</v>
      </c>
      <c r="AW41" s="9">
        <v>0.5</v>
      </c>
      <c r="AX41" s="9">
        <v>0</v>
      </c>
      <c r="AY41" s="9">
        <v>1</v>
      </c>
      <c r="AZ41" s="9">
        <v>1</v>
      </c>
      <c r="BA41" s="9">
        <v>0</v>
      </c>
      <c r="BB41" s="9">
        <v>1</v>
      </c>
      <c r="BC41" s="9">
        <v>0.75</v>
      </c>
      <c r="BD41" s="9">
        <v>0.75</v>
      </c>
      <c r="BE41" s="9">
        <v>1</v>
      </c>
      <c r="BF41" s="9">
        <v>0.5</v>
      </c>
      <c r="BG41" s="9">
        <v>0</v>
      </c>
      <c r="BH41" s="9">
        <v>0</v>
      </c>
      <c r="BI41" s="9">
        <v>0</v>
      </c>
      <c r="BJ41" s="9">
        <v>0</v>
      </c>
      <c r="BK41" s="3">
        <v>0</v>
      </c>
      <c r="BL41" s="3">
        <v>0</v>
      </c>
      <c r="BM41" s="3">
        <v>0</v>
      </c>
      <c r="BN41" s="3">
        <v>0.5</v>
      </c>
      <c r="BO41" s="3">
        <v>0</v>
      </c>
      <c r="BP41" s="3">
        <v>0</v>
      </c>
      <c r="BQ41" s="3">
        <v>0</v>
      </c>
      <c r="BR41" s="3">
        <v>0.25</v>
      </c>
      <c r="BS41" s="3">
        <v>0.25</v>
      </c>
      <c r="BT41" s="3">
        <v>0.25</v>
      </c>
      <c r="BU41" s="3">
        <v>0</v>
      </c>
      <c r="BV41" s="3">
        <v>0</v>
      </c>
      <c r="BW41" s="3">
        <v>0.25</v>
      </c>
      <c r="BX41" s="54">
        <v>0</v>
      </c>
      <c r="BY41" s="3">
        <v>0</v>
      </c>
      <c r="BZ41" s="60">
        <v>0</v>
      </c>
      <c r="CA41" s="5">
        <v>0</v>
      </c>
      <c r="CB41" s="5">
        <v>1</v>
      </c>
      <c r="CC41" s="5">
        <v>1</v>
      </c>
      <c r="CD41" s="5">
        <v>1</v>
      </c>
      <c r="CE41" s="5">
        <v>1</v>
      </c>
      <c r="CF41" s="5">
        <v>13.5</v>
      </c>
      <c r="CG41" s="191"/>
    </row>
    <row r="42" spans="1:85" s="5" customFormat="1" x14ac:dyDescent="0.15">
      <c r="A42" s="5" t="s">
        <v>245</v>
      </c>
      <c r="B42" s="5">
        <v>421</v>
      </c>
      <c r="C42" s="5" t="s">
        <v>360</v>
      </c>
      <c r="F42" s="5" t="s">
        <v>92</v>
      </c>
      <c r="G42" s="5" t="s">
        <v>70</v>
      </c>
      <c r="H42" s="5" t="s">
        <v>45</v>
      </c>
      <c r="I42" s="5" t="s">
        <v>92</v>
      </c>
      <c r="J42" s="69" t="s">
        <v>93</v>
      </c>
      <c r="K42" s="69" t="s">
        <v>9</v>
      </c>
      <c r="L42" s="5">
        <v>387500</v>
      </c>
      <c r="M42" s="72">
        <v>77500</v>
      </c>
      <c r="N42" s="57" t="s">
        <v>41</v>
      </c>
      <c r="O42" s="54">
        <v>627.24776129032296</v>
      </c>
      <c r="P42" s="5">
        <v>507</v>
      </c>
      <c r="Q42" s="61">
        <v>120.247761290323</v>
      </c>
      <c r="R42" s="61" t="s">
        <v>96</v>
      </c>
      <c r="S42" s="57">
        <v>6660164</v>
      </c>
      <c r="T42" s="60">
        <v>35356686</v>
      </c>
      <c r="U42" s="61">
        <v>294031.96883338102</v>
      </c>
      <c r="V42" s="60">
        <v>66.599999999999994</v>
      </c>
      <c r="W42" s="60">
        <v>258031.298604285</v>
      </c>
      <c r="X42" s="61">
        <v>36000.670229096402</v>
      </c>
      <c r="Y42" s="60" t="s">
        <v>41</v>
      </c>
      <c r="Z42" s="63">
        <v>1.8723294005578199E-2</v>
      </c>
      <c r="AA42" s="63">
        <v>1.8723294005578199E-2</v>
      </c>
      <c r="AB42" s="63">
        <v>229215337.34193501</v>
      </c>
      <c r="AC42" s="63">
        <v>217989522</v>
      </c>
      <c r="AD42" s="63">
        <v>11225815.341935501</v>
      </c>
      <c r="AE42" s="63">
        <v>181047</v>
      </c>
      <c r="AF42" s="66">
        <v>2321387</v>
      </c>
      <c r="AG42" s="66">
        <v>4157730</v>
      </c>
      <c r="AH42" s="66">
        <v>4565651.3419354903</v>
      </c>
      <c r="AI42" s="66">
        <v>913130.26838709705</v>
      </c>
      <c r="AJ42" s="66">
        <v>3652521.0735483901</v>
      </c>
      <c r="AK42" s="66">
        <v>0.18999601206892</v>
      </c>
      <c r="AL42" s="66">
        <v>226706346.296774</v>
      </c>
      <c r="AM42" s="66">
        <v>3267728.2374193701</v>
      </c>
      <c r="AN42" s="66">
        <v>32266.739629952601</v>
      </c>
      <c r="AO42" s="66" t="s">
        <v>41</v>
      </c>
      <c r="AP42" s="66" t="s">
        <v>71</v>
      </c>
      <c r="AQ42" s="66" t="s">
        <v>70</v>
      </c>
      <c r="AR42" s="9" t="s">
        <v>204</v>
      </c>
      <c r="AS42" s="9">
        <v>0.5</v>
      </c>
      <c r="AT42" s="9">
        <v>0.5</v>
      </c>
      <c r="AU42" s="9">
        <v>0.5</v>
      </c>
      <c r="AV42" s="9">
        <v>0.5</v>
      </c>
      <c r="AW42" s="9">
        <v>0.5</v>
      </c>
      <c r="AX42" s="9">
        <v>0.5</v>
      </c>
      <c r="AY42" s="9">
        <v>1</v>
      </c>
      <c r="AZ42" s="9">
        <v>1</v>
      </c>
      <c r="BA42" s="9">
        <v>0.5</v>
      </c>
      <c r="BB42" s="9">
        <v>1</v>
      </c>
      <c r="BC42" s="9">
        <v>0.75</v>
      </c>
      <c r="BD42" s="9">
        <v>0.75</v>
      </c>
      <c r="BE42" s="9">
        <v>1</v>
      </c>
      <c r="BF42" s="9">
        <v>0.5</v>
      </c>
      <c r="BG42" s="9">
        <v>0.5</v>
      </c>
      <c r="BH42" s="9">
        <v>0.5</v>
      </c>
      <c r="BI42" s="9">
        <v>1</v>
      </c>
      <c r="BJ42" s="9">
        <v>2</v>
      </c>
      <c r="BK42" s="3">
        <v>1.5</v>
      </c>
      <c r="BL42" s="3">
        <v>0.5</v>
      </c>
      <c r="BM42" s="3">
        <v>0</v>
      </c>
      <c r="BN42" s="3">
        <v>0.5</v>
      </c>
      <c r="BO42" s="3">
        <v>1</v>
      </c>
      <c r="BP42" s="3">
        <v>1</v>
      </c>
      <c r="BQ42" s="3">
        <v>0.25</v>
      </c>
      <c r="BR42" s="3">
        <v>0.25</v>
      </c>
      <c r="BS42" s="3">
        <v>0.25</v>
      </c>
      <c r="BT42" s="3">
        <v>0.25</v>
      </c>
      <c r="BU42" s="3">
        <v>0.25</v>
      </c>
      <c r="BV42" s="3">
        <v>0.25</v>
      </c>
      <c r="BW42" s="3">
        <v>0.25</v>
      </c>
      <c r="BX42" s="54">
        <v>0.25</v>
      </c>
      <c r="BY42" s="3">
        <v>1.5</v>
      </c>
      <c r="BZ42" s="60">
        <v>1.5</v>
      </c>
      <c r="CA42" s="5">
        <v>2</v>
      </c>
      <c r="CB42" s="5">
        <v>1</v>
      </c>
      <c r="CC42" s="5">
        <v>1</v>
      </c>
      <c r="CD42" s="5">
        <v>1</v>
      </c>
      <c r="CE42" s="5">
        <v>1</v>
      </c>
      <c r="CF42" s="5">
        <v>29</v>
      </c>
      <c r="CG42" s="191"/>
    </row>
    <row r="43" spans="1:85" s="5" customFormat="1" x14ac:dyDescent="0.15">
      <c r="A43" s="5" t="s">
        <v>246</v>
      </c>
      <c r="B43" s="5">
        <v>417</v>
      </c>
      <c r="C43" s="5" t="s">
        <v>361</v>
      </c>
      <c r="F43" s="65" t="s">
        <v>92</v>
      </c>
      <c r="G43" s="65" t="s">
        <v>70</v>
      </c>
      <c r="H43" s="65" t="s">
        <v>45</v>
      </c>
      <c r="I43" s="65" t="s">
        <v>92</v>
      </c>
      <c r="J43" s="68" t="s">
        <v>318</v>
      </c>
      <c r="K43" s="68" t="s">
        <v>9</v>
      </c>
      <c r="L43" s="65">
        <v>387500</v>
      </c>
      <c r="M43" s="68">
        <v>77500</v>
      </c>
      <c r="N43" s="67" t="s">
        <v>41</v>
      </c>
      <c r="O43" s="67">
        <v>627.24776129032296</v>
      </c>
      <c r="P43" s="65">
        <v>507</v>
      </c>
      <c r="Q43" s="65">
        <v>120.247761290323</v>
      </c>
      <c r="R43" s="65" t="s">
        <v>96</v>
      </c>
      <c r="S43" s="65">
        <v>6660164</v>
      </c>
      <c r="T43" s="65">
        <v>35356686</v>
      </c>
      <c r="U43" s="65">
        <v>294031.96883338102</v>
      </c>
      <c r="V43" s="65">
        <v>66.599999999999994</v>
      </c>
      <c r="W43" s="65">
        <v>258031.298604285</v>
      </c>
      <c r="X43" s="65">
        <v>36000.670229096402</v>
      </c>
      <c r="Y43" s="65" t="s">
        <v>41</v>
      </c>
      <c r="Z43" s="65">
        <v>0.42192502766026402</v>
      </c>
      <c r="AA43" s="65">
        <v>0.42192502766026402</v>
      </c>
      <c r="AB43" s="65">
        <v>229215337.34193501</v>
      </c>
      <c r="AC43" s="65">
        <v>217989522</v>
      </c>
      <c r="AD43" s="65">
        <v>11225815.341935501</v>
      </c>
      <c r="AE43" s="65">
        <v>181047</v>
      </c>
      <c r="AF43" s="65">
        <v>2321387</v>
      </c>
      <c r="AG43" s="65">
        <v>4157730</v>
      </c>
      <c r="AH43" s="65">
        <v>4565651.3419354903</v>
      </c>
      <c r="AI43" s="65">
        <v>913130.26838709705</v>
      </c>
      <c r="AJ43" s="65">
        <v>3652521.0735483901</v>
      </c>
      <c r="AK43" s="65">
        <v>0.18999601206892</v>
      </c>
      <c r="AL43" s="65">
        <v>226706346.296774</v>
      </c>
      <c r="AM43" s="65">
        <v>3267728.2374193701</v>
      </c>
      <c r="AN43" s="65">
        <v>32266.739629952601</v>
      </c>
      <c r="AO43" s="65" t="s">
        <v>311</v>
      </c>
      <c r="AP43" s="65" t="s">
        <v>71</v>
      </c>
      <c r="AQ43" s="65" t="s">
        <v>70</v>
      </c>
      <c r="AR43" s="77" t="s">
        <v>204</v>
      </c>
      <c r="AS43" s="11">
        <v>0.5</v>
      </c>
      <c r="AT43" s="11">
        <v>0.5</v>
      </c>
      <c r="AU43" s="11">
        <v>0.5</v>
      </c>
      <c r="AV43" s="11">
        <v>0.5</v>
      </c>
      <c r="AW43" s="11">
        <v>0</v>
      </c>
      <c r="AX43" s="11">
        <v>0.5</v>
      </c>
      <c r="AY43" s="11">
        <v>1</v>
      </c>
      <c r="AZ43" s="11">
        <v>1</v>
      </c>
      <c r="BA43" s="11">
        <v>0.5</v>
      </c>
      <c r="BB43" s="11">
        <v>1</v>
      </c>
      <c r="BC43" s="75">
        <v>0.75</v>
      </c>
      <c r="BD43" s="75">
        <v>0.75</v>
      </c>
      <c r="BE43" s="75">
        <v>1</v>
      </c>
      <c r="BF43" s="75">
        <v>0.5</v>
      </c>
      <c r="BG43" s="75">
        <v>0.5</v>
      </c>
      <c r="BH43" s="75">
        <v>0.5</v>
      </c>
      <c r="BI43" s="75">
        <v>1</v>
      </c>
      <c r="BJ43" s="75">
        <v>2</v>
      </c>
      <c r="BK43" s="76">
        <v>1.5</v>
      </c>
      <c r="BL43" s="76">
        <v>0.5</v>
      </c>
      <c r="BM43" s="76">
        <v>0</v>
      </c>
      <c r="BN43" s="76">
        <v>0</v>
      </c>
      <c r="BO43" s="76">
        <v>1</v>
      </c>
      <c r="BP43" s="76">
        <v>1</v>
      </c>
      <c r="BQ43" s="76">
        <v>0.25</v>
      </c>
      <c r="BR43" s="76">
        <v>0.25</v>
      </c>
      <c r="BS43" s="76">
        <v>0.25</v>
      </c>
      <c r="BT43" s="76">
        <v>0.25</v>
      </c>
      <c r="BU43" s="76">
        <v>0.25</v>
      </c>
      <c r="BV43" s="76">
        <v>0.25</v>
      </c>
      <c r="BW43" s="76">
        <v>0.25</v>
      </c>
      <c r="BX43" s="54">
        <v>0.25</v>
      </c>
      <c r="BY43" s="55">
        <v>1.5</v>
      </c>
      <c r="BZ43" s="60">
        <v>1.5</v>
      </c>
      <c r="CA43" s="5">
        <v>2</v>
      </c>
      <c r="CB43" s="5">
        <v>0</v>
      </c>
      <c r="CC43" s="5">
        <v>1</v>
      </c>
      <c r="CD43" s="5">
        <v>1</v>
      </c>
      <c r="CE43" s="5">
        <v>1</v>
      </c>
      <c r="CF43" s="5">
        <v>27</v>
      </c>
      <c r="CG43" s="191"/>
    </row>
    <row r="44" spans="1:85" s="5" customFormat="1" x14ac:dyDescent="0.15">
      <c r="A44" s="5" t="s">
        <v>247</v>
      </c>
      <c r="B44" s="5">
        <v>365</v>
      </c>
      <c r="C44" s="5" t="s">
        <v>362</v>
      </c>
      <c r="F44" s="65" t="s">
        <v>92</v>
      </c>
      <c r="G44" s="65" t="s">
        <v>70</v>
      </c>
      <c r="H44" s="65" t="s">
        <v>45</v>
      </c>
      <c r="I44" s="65" t="s">
        <v>92</v>
      </c>
      <c r="J44" s="68" t="s">
        <v>318</v>
      </c>
      <c r="K44" s="68" t="s">
        <v>9</v>
      </c>
      <c r="L44" s="65">
        <v>310000</v>
      </c>
      <c r="M44" s="68">
        <v>0</v>
      </c>
      <c r="N44" s="67" t="s">
        <v>41</v>
      </c>
      <c r="O44" s="67">
        <v>627.25</v>
      </c>
      <c r="P44" s="65">
        <v>507</v>
      </c>
      <c r="Q44" s="65">
        <v>120.25</v>
      </c>
      <c r="R44" s="65" t="s">
        <v>96</v>
      </c>
      <c r="S44" s="67">
        <v>6660164</v>
      </c>
      <c r="T44" s="65">
        <v>35356686</v>
      </c>
      <c r="U44" s="65">
        <v>294031.96999999997</v>
      </c>
      <c r="V44" s="65">
        <v>66.599999999999994</v>
      </c>
      <c r="W44" s="65">
        <v>258031.3</v>
      </c>
      <c r="X44" s="65">
        <v>36.000999999999998</v>
      </c>
      <c r="Y44" s="65" t="s">
        <v>311</v>
      </c>
      <c r="Z44" s="65">
        <v>0</v>
      </c>
      <c r="AA44" s="65">
        <v>0</v>
      </c>
      <c r="AB44" s="65">
        <v>229215337.34</v>
      </c>
      <c r="AC44" s="65">
        <v>217989522</v>
      </c>
      <c r="AD44" s="65">
        <v>11225815.34</v>
      </c>
      <c r="AE44" s="65">
        <v>181047</v>
      </c>
      <c r="AF44" s="65">
        <v>2321387</v>
      </c>
      <c r="AG44" s="65">
        <v>4157730</v>
      </c>
      <c r="AH44" s="65">
        <v>4565651.34</v>
      </c>
      <c r="AI44" s="65">
        <v>913130.27</v>
      </c>
      <c r="AJ44" s="65">
        <v>3652521.07</v>
      </c>
      <c r="AK44" s="65">
        <v>0.189996</v>
      </c>
      <c r="AL44" s="65">
        <v>226706346.30000001</v>
      </c>
      <c r="AM44" s="65">
        <v>2752627.5</v>
      </c>
      <c r="AN44" s="65">
        <v>97266.74</v>
      </c>
      <c r="AO44" s="65" t="s">
        <v>41</v>
      </c>
      <c r="AP44" s="65" t="s">
        <v>71</v>
      </c>
      <c r="AQ44" s="65" t="s">
        <v>70</v>
      </c>
      <c r="AR44" s="77" t="s">
        <v>70</v>
      </c>
      <c r="AS44" s="11">
        <v>0.5</v>
      </c>
      <c r="AT44" s="11">
        <v>0.5</v>
      </c>
      <c r="AU44" s="11">
        <v>0.5</v>
      </c>
      <c r="AV44" s="11">
        <v>0.5</v>
      </c>
      <c r="AW44" s="11">
        <v>0</v>
      </c>
      <c r="AX44" s="11">
        <v>0.5</v>
      </c>
      <c r="AY44" s="11">
        <v>0</v>
      </c>
      <c r="AZ44" s="11">
        <v>0</v>
      </c>
      <c r="BA44" s="11">
        <v>0.5</v>
      </c>
      <c r="BB44" s="11">
        <v>1</v>
      </c>
      <c r="BC44" s="75">
        <v>0.75</v>
      </c>
      <c r="BD44" s="75">
        <v>0.75</v>
      </c>
      <c r="BE44" s="75">
        <v>1</v>
      </c>
      <c r="BF44" s="75">
        <v>0.5</v>
      </c>
      <c r="BG44" s="75">
        <v>0.5</v>
      </c>
      <c r="BH44" s="75">
        <v>0.5</v>
      </c>
      <c r="BI44" s="75">
        <v>1</v>
      </c>
      <c r="BJ44" s="75">
        <v>2</v>
      </c>
      <c r="BK44" s="75">
        <v>0</v>
      </c>
      <c r="BL44" s="76">
        <v>0</v>
      </c>
      <c r="BM44" s="76">
        <v>0</v>
      </c>
      <c r="BN44" s="76">
        <v>0</v>
      </c>
      <c r="BO44" s="76">
        <v>1</v>
      </c>
      <c r="BP44" s="76">
        <v>1</v>
      </c>
      <c r="BQ44" s="76">
        <v>0.25</v>
      </c>
      <c r="BR44" s="76">
        <v>0.25</v>
      </c>
      <c r="BS44" s="76">
        <v>0.25</v>
      </c>
      <c r="BT44" s="76">
        <v>0.25</v>
      </c>
      <c r="BU44" s="76">
        <v>0.25</v>
      </c>
      <c r="BV44" s="76">
        <v>0.25</v>
      </c>
      <c r="BW44" s="76">
        <v>0.25</v>
      </c>
      <c r="BX44" s="54">
        <v>0.25</v>
      </c>
      <c r="BY44" s="5">
        <v>1.5</v>
      </c>
      <c r="BZ44" s="60">
        <v>0</v>
      </c>
      <c r="CA44" s="5">
        <v>0</v>
      </c>
      <c r="CB44" s="5">
        <v>1</v>
      </c>
      <c r="CC44" s="5">
        <v>1</v>
      </c>
      <c r="CD44" s="5">
        <v>1</v>
      </c>
      <c r="CE44" s="5">
        <v>0</v>
      </c>
      <c r="CF44" s="5">
        <v>19.5</v>
      </c>
      <c r="CG44" s="191"/>
    </row>
    <row r="45" spans="1:85" s="5" customFormat="1" x14ac:dyDescent="0.15">
      <c r="A45" s="5" t="s">
        <v>248</v>
      </c>
      <c r="B45" s="5">
        <v>422</v>
      </c>
      <c r="C45" s="5" t="s">
        <v>363</v>
      </c>
      <c r="F45" s="65" t="s">
        <v>92</v>
      </c>
      <c r="G45" s="65" t="s">
        <v>70</v>
      </c>
      <c r="H45" s="65" t="s">
        <v>45</v>
      </c>
      <c r="I45" s="65" t="s">
        <v>92</v>
      </c>
      <c r="J45" s="68" t="s">
        <v>93</v>
      </c>
      <c r="K45" s="68" t="s">
        <v>9</v>
      </c>
      <c r="L45" s="65">
        <v>0</v>
      </c>
      <c r="M45" s="68">
        <v>0</v>
      </c>
      <c r="N45" s="67" t="s">
        <v>41</v>
      </c>
      <c r="O45" s="67">
        <v>0</v>
      </c>
      <c r="P45" s="65">
        <v>0</v>
      </c>
      <c r="Q45" s="65">
        <v>0</v>
      </c>
      <c r="R45" s="65" t="s">
        <v>96</v>
      </c>
      <c r="S45" s="67">
        <v>0</v>
      </c>
      <c r="T45" s="65">
        <v>0</v>
      </c>
      <c r="U45" s="65">
        <v>0</v>
      </c>
      <c r="V45" s="65">
        <v>0</v>
      </c>
      <c r="W45" s="65">
        <v>0</v>
      </c>
      <c r="X45" s="65">
        <v>0</v>
      </c>
      <c r="Y45" s="65" t="s">
        <v>41</v>
      </c>
      <c r="Z45" s="65">
        <v>0</v>
      </c>
      <c r="AA45" s="65">
        <v>0</v>
      </c>
      <c r="AB45" s="65">
        <v>0</v>
      </c>
      <c r="AC45" s="65">
        <v>0</v>
      </c>
      <c r="AD45" s="65">
        <v>0</v>
      </c>
      <c r="AE45" s="65">
        <v>0</v>
      </c>
      <c r="AF45" s="65">
        <v>0</v>
      </c>
      <c r="AG45" s="65">
        <v>0</v>
      </c>
      <c r="AH45" s="65">
        <v>0</v>
      </c>
      <c r="AI45" s="65">
        <v>0</v>
      </c>
      <c r="AJ45" s="65">
        <v>0</v>
      </c>
      <c r="AK45" s="65">
        <v>0</v>
      </c>
      <c r="AL45" s="65">
        <v>0</v>
      </c>
      <c r="AM45" s="65">
        <v>0</v>
      </c>
      <c r="AN45" s="65">
        <v>0</v>
      </c>
      <c r="AO45" s="65" t="s">
        <v>41</v>
      </c>
      <c r="AP45" s="65" t="s">
        <v>71</v>
      </c>
      <c r="AQ45" s="65" t="s">
        <v>70</v>
      </c>
      <c r="AR45" s="78" t="s">
        <v>329</v>
      </c>
      <c r="AS45" s="11">
        <v>0.5</v>
      </c>
      <c r="AT45" s="11">
        <v>0.5</v>
      </c>
      <c r="AU45" s="11">
        <v>0.5</v>
      </c>
      <c r="AV45" s="11">
        <v>0.5</v>
      </c>
      <c r="AW45" s="11">
        <v>0.5</v>
      </c>
      <c r="AX45" s="11">
        <v>0.5</v>
      </c>
      <c r="AY45" s="11">
        <v>0</v>
      </c>
      <c r="AZ45" s="11">
        <v>0</v>
      </c>
      <c r="BA45" s="11">
        <v>0.5</v>
      </c>
      <c r="BB45" s="11">
        <v>0</v>
      </c>
      <c r="BC45" s="75">
        <v>0</v>
      </c>
      <c r="BD45" s="75">
        <v>0</v>
      </c>
      <c r="BE45" s="75">
        <v>1</v>
      </c>
      <c r="BF45" s="75">
        <v>0</v>
      </c>
      <c r="BG45" s="75">
        <v>0</v>
      </c>
      <c r="BH45" s="75">
        <v>0</v>
      </c>
      <c r="BI45" s="75">
        <v>0</v>
      </c>
      <c r="BJ45" s="75">
        <v>0</v>
      </c>
      <c r="BK45" s="76">
        <v>0</v>
      </c>
      <c r="BL45" s="76">
        <v>0.5</v>
      </c>
      <c r="BM45" s="76">
        <v>0</v>
      </c>
      <c r="BN45" s="76">
        <v>0</v>
      </c>
      <c r="BO45" s="76">
        <v>0</v>
      </c>
      <c r="BP45" s="76">
        <v>0</v>
      </c>
      <c r="BQ45" s="76">
        <v>0.25</v>
      </c>
      <c r="BR45" s="76">
        <v>0</v>
      </c>
      <c r="BS45" s="76">
        <v>0</v>
      </c>
      <c r="BT45" s="76">
        <v>0</v>
      </c>
      <c r="BU45" s="76">
        <v>0.25</v>
      </c>
      <c r="BV45" s="76">
        <v>0</v>
      </c>
      <c r="BW45" s="76">
        <v>0.25</v>
      </c>
      <c r="BX45" s="54">
        <v>0</v>
      </c>
      <c r="BY45" s="5">
        <v>0</v>
      </c>
      <c r="BZ45" s="60">
        <v>0</v>
      </c>
      <c r="CA45" s="5">
        <v>0</v>
      </c>
      <c r="CB45" s="5">
        <v>1</v>
      </c>
      <c r="CC45" s="5">
        <v>1</v>
      </c>
      <c r="CD45" s="5">
        <v>1</v>
      </c>
      <c r="CE45" s="5">
        <v>0</v>
      </c>
      <c r="CF45" s="5">
        <v>8.75</v>
      </c>
      <c r="CG45" s="191"/>
    </row>
    <row r="46" spans="1:85" s="5" customFormat="1" x14ac:dyDescent="0.15">
      <c r="A46" s="5" t="s">
        <v>249</v>
      </c>
      <c r="B46" s="5">
        <v>416</v>
      </c>
      <c r="C46" s="5" t="s">
        <v>364</v>
      </c>
      <c r="F46" s="65" t="s">
        <v>92</v>
      </c>
      <c r="G46" s="65" t="s">
        <v>70</v>
      </c>
      <c r="H46" s="65" t="s">
        <v>45</v>
      </c>
      <c r="I46" s="65" t="s">
        <v>92</v>
      </c>
      <c r="J46" s="68" t="s">
        <v>93</v>
      </c>
      <c r="K46" s="68" t="s">
        <v>9</v>
      </c>
      <c r="L46" s="65">
        <v>387500</v>
      </c>
      <c r="M46" s="68">
        <v>77500</v>
      </c>
      <c r="N46" s="67" t="s">
        <v>41</v>
      </c>
      <c r="O46" s="67">
        <v>627.24776129032296</v>
      </c>
      <c r="P46" s="65">
        <v>507</v>
      </c>
      <c r="Q46" s="65">
        <v>120.247761290323</v>
      </c>
      <c r="R46" s="65" t="s">
        <v>96</v>
      </c>
      <c r="S46" s="67">
        <v>6660164</v>
      </c>
      <c r="T46" s="65">
        <v>35356686</v>
      </c>
      <c r="U46" s="65">
        <v>294031.96883338102</v>
      </c>
      <c r="V46" s="65">
        <v>66.599999999999994</v>
      </c>
      <c r="W46" s="65">
        <v>258031.298604285</v>
      </c>
      <c r="X46" s="65">
        <v>36000.670229096402</v>
      </c>
      <c r="Y46" s="65" t="s">
        <v>41</v>
      </c>
      <c r="Z46" s="65">
        <v>1.8723294005578199E-2</v>
      </c>
      <c r="AA46" s="65">
        <v>1.8723294005578199E-2</v>
      </c>
      <c r="AB46" s="65">
        <v>229215337.34193501</v>
      </c>
      <c r="AC46" s="65">
        <v>217989522</v>
      </c>
      <c r="AD46" s="65">
        <v>11225815.341935501</v>
      </c>
      <c r="AE46" s="65">
        <v>181047</v>
      </c>
      <c r="AF46" s="65">
        <v>2321387</v>
      </c>
      <c r="AG46" s="65">
        <v>4157730</v>
      </c>
      <c r="AH46" s="65">
        <v>4565651.3419354996</v>
      </c>
      <c r="AI46" s="65">
        <v>913130.26838709996</v>
      </c>
      <c r="AJ46" s="65">
        <v>3652521.0735483998</v>
      </c>
      <c r="AK46" s="65">
        <v>0.18999601206892</v>
      </c>
      <c r="AL46" s="65">
        <v>226706346.296774</v>
      </c>
      <c r="AM46" s="65">
        <v>3267728.2374193701</v>
      </c>
      <c r="AN46" s="65">
        <v>32266.739629952601</v>
      </c>
      <c r="AO46" s="65" t="s">
        <v>41</v>
      </c>
      <c r="AP46" s="65" t="s">
        <v>71</v>
      </c>
      <c r="AQ46" s="65" t="s">
        <v>70</v>
      </c>
      <c r="AR46" s="65" t="s">
        <v>204</v>
      </c>
      <c r="AS46" s="11">
        <v>0.5</v>
      </c>
      <c r="AT46" s="11">
        <v>0.5</v>
      </c>
      <c r="AU46" s="11">
        <v>0.5</v>
      </c>
      <c r="AV46" s="11">
        <v>0.5</v>
      </c>
      <c r="AW46" s="11">
        <v>0.5</v>
      </c>
      <c r="AX46" s="11">
        <v>0.5</v>
      </c>
      <c r="AY46" s="11">
        <v>1</v>
      </c>
      <c r="AZ46" s="11">
        <v>1</v>
      </c>
      <c r="BA46" s="11">
        <v>0.5</v>
      </c>
      <c r="BB46" s="11">
        <v>1</v>
      </c>
      <c r="BC46" s="75">
        <v>0.75</v>
      </c>
      <c r="BD46" s="75">
        <v>0.75</v>
      </c>
      <c r="BE46" s="75">
        <v>1</v>
      </c>
      <c r="BF46" s="75">
        <v>0.5</v>
      </c>
      <c r="BG46" s="75">
        <v>0.5</v>
      </c>
      <c r="BH46" s="75">
        <v>0.5</v>
      </c>
      <c r="BI46" s="75">
        <v>1</v>
      </c>
      <c r="BJ46" s="75">
        <v>2</v>
      </c>
      <c r="BK46" s="75">
        <v>1.5</v>
      </c>
      <c r="BL46" s="76">
        <v>0.5</v>
      </c>
      <c r="BM46" s="76">
        <v>0</v>
      </c>
      <c r="BN46" s="76">
        <v>0.5</v>
      </c>
      <c r="BO46" s="76">
        <v>1</v>
      </c>
      <c r="BP46" s="76">
        <v>1</v>
      </c>
      <c r="BQ46" s="76">
        <v>0.25</v>
      </c>
      <c r="BR46" s="76">
        <v>0.25</v>
      </c>
      <c r="BS46" s="76">
        <v>0.25</v>
      </c>
      <c r="BT46" s="76">
        <v>0.25</v>
      </c>
      <c r="BU46" s="76">
        <v>0.25</v>
      </c>
      <c r="BV46" s="76">
        <v>0.25</v>
      </c>
      <c r="BW46" s="76">
        <v>0.25</v>
      </c>
      <c r="BX46" s="54">
        <v>0.25</v>
      </c>
      <c r="BY46" s="55">
        <v>1.5</v>
      </c>
      <c r="BZ46" s="60">
        <v>1.5</v>
      </c>
      <c r="CA46" s="5">
        <v>2</v>
      </c>
      <c r="CB46" s="5">
        <v>1</v>
      </c>
      <c r="CC46" s="5">
        <v>1</v>
      </c>
      <c r="CD46" s="5">
        <v>1</v>
      </c>
      <c r="CE46" s="5">
        <v>1</v>
      </c>
      <c r="CF46" s="5">
        <v>29</v>
      </c>
      <c r="CG46" s="191"/>
    </row>
    <row r="47" spans="1:85" s="5" customFormat="1" x14ac:dyDescent="0.15">
      <c r="A47" s="5" t="s">
        <v>250</v>
      </c>
      <c r="B47" s="5">
        <v>322</v>
      </c>
      <c r="C47" s="5" t="s">
        <v>365</v>
      </c>
      <c r="F47" s="10" t="s">
        <v>92</v>
      </c>
      <c r="G47" s="10" t="s">
        <v>70</v>
      </c>
      <c r="H47" s="10" t="s">
        <v>45</v>
      </c>
      <c r="I47" s="10" t="s">
        <v>92</v>
      </c>
      <c r="J47" s="10" t="s">
        <v>318</v>
      </c>
      <c r="K47" s="10" t="s">
        <v>9</v>
      </c>
      <c r="L47" s="10">
        <v>387500</v>
      </c>
      <c r="M47" s="72">
        <v>77500</v>
      </c>
      <c r="N47" s="54" t="s">
        <v>41</v>
      </c>
      <c r="O47" s="54">
        <v>627.24776129032296</v>
      </c>
      <c r="P47" s="10">
        <v>507</v>
      </c>
      <c r="Q47" s="60">
        <v>120.247761290323</v>
      </c>
      <c r="R47" s="60" t="s">
        <v>96</v>
      </c>
      <c r="S47" s="54">
        <v>6660164</v>
      </c>
      <c r="T47" s="60">
        <v>35356686</v>
      </c>
      <c r="U47" s="60">
        <v>294031.96883338102</v>
      </c>
      <c r="V47" s="60">
        <v>66.599999999999994</v>
      </c>
      <c r="W47" s="60">
        <v>258031.298604285</v>
      </c>
      <c r="X47" s="60">
        <v>36000.670229096402</v>
      </c>
      <c r="Y47" s="60" t="s">
        <v>41</v>
      </c>
      <c r="Z47" s="60">
        <v>1.8723294005578199E-2</v>
      </c>
      <c r="AA47" s="60">
        <v>1.8723294005578199E-2</v>
      </c>
      <c r="AB47" s="60">
        <v>229215337.34193501</v>
      </c>
      <c r="AC47" s="60">
        <v>217989522</v>
      </c>
      <c r="AD47" s="60">
        <v>11225815.341935501</v>
      </c>
      <c r="AE47" s="60">
        <v>181047</v>
      </c>
      <c r="AF47" s="65">
        <v>2321387</v>
      </c>
      <c r="AG47" s="65">
        <v>4157730</v>
      </c>
      <c r="AH47" s="65">
        <v>4565651.3419354903</v>
      </c>
      <c r="AI47" s="65">
        <v>913130.26838709705</v>
      </c>
      <c r="AJ47" s="65">
        <v>3652521.0735483901</v>
      </c>
      <c r="AK47" s="65">
        <v>0.18999601206892</v>
      </c>
      <c r="AL47" s="65">
        <v>226706346.296774</v>
      </c>
      <c r="AM47" s="65">
        <v>3267728.2374193701</v>
      </c>
      <c r="AN47" s="65">
        <v>32266.739629952601</v>
      </c>
      <c r="AO47" s="65" t="s">
        <v>311</v>
      </c>
      <c r="AP47" s="65" t="s">
        <v>71</v>
      </c>
      <c r="AQ47" s="65" t="s">
        <v>70</v>
      </c>
      <c r="AR47" s="11" t="s">
        <v>204</v>
      </c>
      <c r="AS47" s="11">
        <v>0.5</v>
      </c>
      <c r="AT47" s="11">
        <v>0.5</v>
      </c>
      <c r="AU47" s="11">
        <v>0.5</v>
      </c>
      <c r="AV47" s="11">
        <v>0.5</v>
      </c>
      <c r="AW47" s="11">
        <v>0</v>
      </c>
      <c r="AX47" s="11">
        <v>0.5</v>
      </c>
      <c r="AY47" s="11">
        <v>1</v>
      </c>
      <c r="AZ47" s="11">
        <v>1</v>
      </c>
      <c r="BA47" s="11">
        <v>0.5</v>
      </c>
      <c r="BB47" s="11">
        <v>1</v>
      </c>
      <c r="BC47" s="11">
        <v>0.75</v>
      </c>
      <c r="BD47" s="11">
        <v>0.75</v>
      </c>
      <c r="BE47" s="11">
        <v>1</v>
      </c>
      <c r="BF47" s="11">
        <v>0.5</v>
      </c>
      <c r="BG47" s="11">
        <v>0.5</v>
      </c>
      <c r="BH47" s="11">
        <v>0.5</v>
      </c>
      <c r="BI47" s="11">
        <v>1</v>
      </c>
      <c r="BJ47" s="11">
        <v>2</v>
      </c>
      <c r="BK47" s="10">
        <v>1.5</v>
      </c>
      <c r="BL47" s="5">
        <v>0.5</v>
      </c>
      <c r="BM47" s="5">
        <v>0</v>
      </c>
      <c r="BN47" s="5">
        <v>0.5</v>
      </c>
      <c r="BO47" s="5">
        <v>1</v>
      </c>
      <c r="BP47" s="5">
        <v>1</v>
      </c>
      <c r="BQ47" s="5">
        <v>0.25</v>
      </c>
      <c r="BR47" s="5">
        <v>0.25</v>
      </c>
      <c r="BS47" s="5">
        <v>0.25</v>
      </c>
      <c r="BT47" s="5">
        <v>0.25</v>
      </c>
      <c r="BU47" s="5">
        <v>0.25</v>
      </c>
      <c r="BV47" s="5">
        <v>0.25</v>
      </c>
      <c r="BW47" s="5">
        <v>0.25</v>
      </c>
      <c r="BX47" s="54">
        <v>0.25</v>
      </c>
      <c r="BY47" s="5">
        <v>1.5</v>
      </c>
      <c r="BZ47" s="60">
        <v>1.5</v>
      </c>
      <c r="CA47" s="5">
        <v>2</v>
      </c>
      <c r="CB47" s="5">
        <v>0</v>
      </c>
      <c r="CC47" s="5">
        <v>1</v>
      </c>
      <c r="CD47" s="5">
        <v>1</v>
      </c>
      <c r="CE47" s="5">
        <v>1</v>
      </c>
      <c r="CF47" s="5">
        <v>27.5</v>
      </c>
      <c r="CG47" s="191"/>
    </row>
    <row r="48" spans="1:85" s="5" customFormat="1" x14ac:dyDescent="0.15">
      <c r="A48" s="3" t="s">
        <v>251</v>
      </c>
      <c r="B48" s="3">
        <v>359</v>
      </c>
      <c r="C48" s="3" t="s">
        <v>366</v>
      </c>
      <c r="D48" s="3"/>
      <c r="E48" s="3"/>
      <c r="F48" s="3" t="s">
        <v>92</v>
      </c>
      <c r="G48" s="3" t="s">
        <v>70</v>
      </c>
      <c r="H48" s="3" t="s">
        <v>45</v>
      </c>
      <c r="I48" s="3" t="s">
        <v>92</v>
      </c>
      <c r="J48" s="70" t="s">
        <v>93</v>
      </c>
      <c r="K48" s="70" t="s">
        <v>9</v>
      </c>
      <c r="L48" s="3">
        <v>310000</v>
      </c>
      <c r="M48" s="74">
        <v>77500</v>
      </c>
      <c r="N48" s="58" t="s">
        <v>41</v>
      </c>
      <c r="O48" s="58">
        <v>627.24699999999996</v>
      </c>
      <c r="P48" s="3">
        <v>507</v>
      </c>
      <c r="Q48" s="63">
        <v>120.25</v>
      </c>
      <c r="R48" s="63" t="s">
        <v>96</v>
      </c>
      <c r="S48" s="58">
        <v>6660164</v>
      </c>
      <c r="T48" s="63">
        <v>71626686</v>
      </c>
      <c r="U48" s="63">
        <v>114192</v>
      </c>
      <c r="V48" s="63">
        <v>237.25</v>
      </c>
      <c r="W48" s="63">
        <v>55207</v>
      </c>
      <c r="X48" s="63">
        <v>36141.08</v>
      </c>
      <c r="Y48" s="63" t="s">
        <v>41</v>
      </c>
      <c r="Z48" s="63">
        <v>1.8723318383343599E-2</v>
      </c>
      <c r="AA48" s="63">
        <v>1.8723318383343599E-2</v>
      </c>
      <c r="AB48" s="63">
        <v>229216000</v>
      </c>
      <c r="AC48" s="63">
        <v>145535000</v>
      </c>
      <c r="AD48" s="63">
        <v>83681000</v>
      </c>
      <c r="AE48" s="63">
        <v>181047</v>
      </c>
      <c r="AF48" s="66">
        <v>2321387</v>
      </c>
      <c r="AG48" s="66">
        <v>4157730</v>
      </c>
      <c r="AH48" s="66">
        <v>4592314</v>
      </c>
      <c r="AI48" s="66">
        <v>918462.8</v>
      </c>
      <c r="AJ48" s="66">
        <v>3673851.2</v>
      </c>
      <c r="AK48" s="66">
        <v>0.18998999999999999</v>
      </c>
      <c r="AL48" s="66">
        <v>226707000</v>
      </c>
      <c r="AM48" s="66">
        <v>3289051.2</v>
      </c>
      <c r="AN48" s="66">
        <v>32154</v>
      </c>
      <c r="AO48" s="66" t="s">
        <v>311</v>
      </c>
      <c r="AP48" s="66" t="s">
        <v>71</v>
      </c>
      <c r="AQ48" s="66" t="s">
        <v>70</v>
      </c>
      <c r="AR48" s="9" t="s">
        <v>204</v>
      </c>
      <c r="AS48" s="9">
        <v>0.5</v>
      </c>
      <c r="AT48" s="9">
        <v>0.5</v>
      </c>
      <c r="AU48" s="9">
        <v>0.5</v>
      </c>
      <c r="AV48" s="9">
        <v>0.5</v>
      </c>
      <c r="AW48" s="9">
        <v>0.5</v>
      </c>
      <c r="AX48" s="9">
        <v>0.5</v>
      </c>
      <c r="AY48" s="9">
        <v>0</v>
      </c>
      <c r="AZ48" s="9">
        <v>1</v>
      </c>
      <c r="BA48" s="9">
        <v>0.5</v>
      </c>
      <c r="BB48" s="9">
        <v>1</v>
      </c>
      <c r="BC48" s="9">
        <v>0.75</v>
      </c>
      <c r="BD48" s="9">
        <v>0.75</v>
      </c>
      <c r="BE48" s="9">
        <v>1</v>
      </c>
      <c r="BF48" s="9">
        <v>0.5</v>
      </c>
      <c r="BG48" s="9">
        <v>0</v>
      </c>
      <c r="BH48" s="9">
        <v>0</v>
      </c>
      <c r="BI48" s="9">
        <v>0</v>
      </c>
      <c r="BJ48" s="9">
        <v>0</v>
      </c>
      <c r="BK48" s="3">
        <v>0</v>
      </c>
      <c r="BL48" s="3">
        <v>0.5</v>
      </c>
      <c r="BM48" s="3">
        <v>0</v>
      </c>
      <c r="BN48" s="3">
        <v>0.5</v>
      </c>
      <c r="BO48" s="3">
        <v>0</v>
      </c>
      <c r="BP48" s="3">
        <v>0</v>
      </c>
      <c r="BQ48" s="3">
        <v>0.25</v>
      </c>
      <c r="BR48" s="3">
        <v>0.25</v>
      </c>
      <c r="BS48" s="3">
        <v>0.25</v>
      </c>
      <c r="BT48" s="3">
        <v>0.25</v>
      </c>
      <c r="BU48" s="3">
        <v>0</v>
      </c>
      <c r="BV48" s="3">
        <v>0</v>
      </c>
      <c r="BW48" s="3">
        <v>0.25</v>
      </c>
      <c r="BX48" s="54">
        <v>0.25</v>
      </c>
      <c r="BY48" s="3">
        <v>0</v>
      </c>
      <c r="BZ48" s="60">
        <v>0</v>
      </c>
      <c r="CA48" s="5">
        <v>0</v>
      </c>
      <c r="CB48" s="5">
        <v>0</v>
      </c>
      <c r="CC48" s="5">
        <v>1</v>
      </c>
      <c r="CD48" s="5">
        <v>1</v>
      </c>
      <c r="CE48" s="5">
        <v>1</v>
      </c>
      <c r="CF48" s="5">
        <v>14</v>
      </c>
      <c r="CG48" s="191"/>
    </row>
    <row r="49" spans="1:85" s="5" customFormat="1" x14ac:dyDescent="0.15">
      <c r="A49" s="5" t="s">
        <v>252</v>
      </c>
      <c r="B49" s="5">
        <v>371</v>
      </c>
      <c r="C49" s="5" t="s">
        <v>367</v>
      </c>
      <c r="F49" s="65" t="s">
        <v>92</v>
      </c>
      <c r="G49" s="65" t="s">
        <v>70</v>
      </c>
      <c r="H49" s="65" t="s">
        <v>45</v>
      </c>
      <c r="I49" s="65" t="s">
        <v>92</v>
      </c>
      <c r="J49" s="68" t="s">
        <v>318</v>
      </c>
      <c r="K49" s="68" t="s">
        <v>9</v>
      </c>
      <c r="L49" s="65">
        <v>310000</v>
      </c>
      <c r="M49" s="68">
        <v>77500</v>
      </c>
      <c r="N49" s="67" t="s">
        <v>41</v>
      </c>
      <c r="O49" s="67">
        <v>627.24776129032296</v>
      </c>
      <c r="P49" s="65">
        <v>507</v>
      </c>
      <c r="Q49" s="65">
        <v>120.247761290323</v>
      </c>
      <c r="R49" s="65" t="s">
        <v>96</v>
      </c>
      <c r="S49" s="65">
        <v>6660164</v>
      </c>
      <c r="T49" s="65">
        <v>35356686</v>
      </c>
      <c r="U49" s="65">
        <v>294031.96883338102</v>
      </c>
      <c r="V49" s="65">
        <v>66.599999999999994</v>
      </c>
      <c r="W49" s="65">
        <v>258031.29860484999</v>
      </c>
      <c r="X49" s="65">
        <v>36000.670229096402</v>
      </c>
      <c r="Y49" s="65" t="s">
        <v>41</v>
      </c>
      <c r="Z49" s="65">
        <v>1.8723294005578199E-2</v>
      </c>
      <c r="AA49" s="65">
        <v>1.8723294005578199E-2</v>
      </c>
      <c r="AB49" s="65">
        <v>229215337.34193501</v>
      </c>
      <c r="AC49" s="65">
        <v>217989522</v>
      </c>
      <c r="AD49" s="65">
        <v>11225815.341935501</v>
      </c>
      <c r="AE49" s="65">
        <v>181047</v>
      </c>
      <c r="AF49" s="65">
        <v>2321387</v>
      </c>
      <c r="AG49" s="65">
        <v>4157730</v>
      </c>
      <c r="AH49" s="65">
        <v>4565651.3419354903</v>
      </c>
      <c r="AI49" s="65">
        <v>913130.26838709705</v>
      </c>
      <c r="AJ49" s="65">
        <v>3652521.0735483901</v>
      </c>
      <c r="AK49" s="65">
        <v>0.18999601206892</v>
      </c>
      <c r="AL49" s="65">
        <v>226706346.296774</v>
      </c>
      <c r="AM49" s="65">
        <v>2752627.4967742101</v>
      </c>
      <c r="AN49" s="65">
        <v>97266.7396880749</v>
      </c>
      <c r="AO49" s="65" t="s">
        <v>311</v>
      </c>
      <c r="AP49" s="65" t="s">
        <v>71</v>
      </c>
      <c r="AQ49" s="65" t="s">
        <v>70</v>
      </c>
      <c r="AR49" s="77" t="s">
        <v>204</v>
      </c>
      <c r="AS49" s="11">
        <v>0.5</v>
      </c>
      <c r="AT49" s="11">
        <v>0.5</v>
      </c>
      <c r="AU49" s="11">
        <v>0.5</v>
      </c>
      <c r="AV49" s="11">
        <v>0.5</v>
      </c>
      <c r="AW49" s="11">
        <v>0</v>
      </c>
      <c r="AX49" s="11">
        <v>0.5</v>
      </c>
      <c r="AY49" s="11">
        <v>0</v>
      </c>
      <c r="AZ49" s="11">
        <v>1</v>
      </c>
      <c r="BA49" s="11">
        <v>0.5</v>
      </c>
      <c r="BB49" s="11">
        <v>1</v>
      </c>
      <c r="BC49" s="75">
        <v>0.75</v>
      </c>
      <c r="BD49" s="75">
        <v>0.75</v>
      </c>
      <c r="BE49" s="75">
        <v>1</v>
      </c>
      <c r="BF49" s="75">
        <v>0.5</v>
      </c>
      <c r="BG49" s="75">
        <v>0.5</v>
      </c>
      <c r="BH49" s="75">
        <v>0.5</v>
      </c>
      <c r="BI49" s="75">
        <v>1</v>
      </c>
      <c r="BJ49" s="75">
        <v>2</v>
      </c>
      <c r="BK49" s="75">
        <v>1.5</v>
      </c>
      <c r="BL49" s="76">
        <v>0.5</v>
      </c>
      <c r="BM49" s="76">
        <v>0</v>
      </c>
      <c r="BN49" s="76">
        <v>0.5</v>
      </c>
      <c r="BO49" s="76">
        <v>1</v>
      </c>
      <c r="BP49" s="76">
        <v>1</v>
      </c>
      <c r="BQ49" s="76">
        <v>0.25</v>
      </c>
      <c r="BR49" s="76">
        <v>0.25</v>
      </c>
      <c r="BS49" s="76">
        <v>0.25</v>
      </c>
      <c r="BT49" s="76">
        <v>0.25</v>
      </c>
      <c r="BU49" s="76">
        <v>0.25</v>
      </c>
      <c r="BV49" s="76">
        <v>0.25</v>
      </c>
      <c r="BW49" s="76">
        <v>0.25</v>
      </c>
      <c r="BX49" s="54">
        <v>0.25</v>
      </c>
      <c r="BY49" s="5">
        <v>1.5</v>
      </c>
      <c r="BZ49" s="60">
        <v>0</v>
      </c>
      <c r="CA49" s="5">
        <v>0</v>
      </c>
      <c r="CB49" s="5">
        <v>0</v>
      </c>
      <c r="CC49" s="5">
        <v>1</v>
      </c>
      <c r="CD49" s="5">
        <v>1</v>
      </c>
      <c r="CE49" s="5">
        <v>1</v>
      </c>
      <c r="CF49" s="5">
        <v>23</v>
      </c>
      <c r="CG49" s="191"/>
    </row>
    <row r="50" spans="1:85" s="5" customFormat="1" x14ac:dyDescent="0.15">
      <c r="A50" s="3" t="s">
        <v>253</v>
      </c>
      <c r="B50" s="3">
        <v>399</v>
      </c>
      <c r="C50" s="3" t="s">
        <v>368</v>
      </c>
      <c r="D50" s="3"/>
      <c r="E50" s="3"/>
      <c r="F50" s="3" t="s">
        <v>92</v>
      </c>
      <c r="G50" s="3" t="s">
        <v>70</v>
      </c>
      <c r="H50" s="3" t="s">
        <v>45</v>
      </c>
      <c r="I50" s="3" t="s">
        <v>92</v>
      </c>
      <c r="J50" s="70" t="s">
        <v>93</v>
      </c>
      <c r="K50" s="70" t="s">
        <v>9</v>
      </c>
      <c r="L50" s="3">
        <v>387500</v>
      </c>
      <c r="M50" s="74">
        <v>77500</v>
      </c>
      <c r="N50" s="58" t="s">
        <v>41</v>
      </c>
      <c r="O50" s="58">
        <v>627.24776129032296</v>
      </c>
      <c r="P50" s="3">
        <v>492</v>
      </c>
      <c r="Q50" s="63">
        <v>120.247761290323</v>
      </c>
      <c r="R50" s="63" t="s">
        <v>96</v>
      </c>
      <c r="S50" s="58">
        <v>6660164</v>
      </c>
      <c r="T50" s="63">
        <v>35728686</v>
      </c>
      <c r="U50" s="63">
        <v>297125.58152112103</v>
      </c>
      <c r="V50" s="63">
        <v>66.599999999999994</v>
      </c>
      <c r="W50" s="63">
        <v>261124.91129202399</v>
      </c>
      <c r="X50" s="63">
        <v>36000.670229096402</v>
      </c>
      <c r="Y50" s="63" t="s">
        <v>311</v>
      </c>
      <c r="Z50" s="63">
        <v>0</v>
      </c>
      <c r="AA50" s="63">
        <v>0</v>
      </c>
      <c r="AB50" s="63">
        <v>229215337.3448</v>
      </c>
      <c r="AC50" s="63">
        <v>218361522</v>
      </c>
      <c r="AD50" s="63">
        <v>10853815.344799999</v>
      </c>
      <c r="AE50" s="63">
        <v>-181047</v>
      </c>
      <c r="AF50" s="66">
        <v>-2321387</v>
      </c>
      <c r="AG50" s="66">
        <v>-4157730</v>
      </c>
      <c r="AH50" s="66">
        <v>4193651.3448000001</v>
      </c>
      <c r="AI50" s="66">
        <v>838730.26895999897</v>
      </c>
      <c r="AJ50" s="66">
        <v>3354921.0758400001</v>
      </c>
      <c r="AK50" s="66">
        <v>0.18999601206654601</v>
      </c>
      <c r="AL50" s="66">
        <v>226706346.29960001</v>
      </c>
      <c r="AM50" s="66">
        <v>2970128.2396800001</v>
      </c>
      <c r="AN50" s="66">
        <v>31149.6225213213</v>
      </c>
      <c r="AO50" s="66" t="s">
        <v>311</v>
      </c>
      <c r="AP50" s="66" t="s">
        <v>71</v>
      </c>
      <c r="AQ50" s="66" t="s">
        <v>70</v>
      </c>
      <c r="AR50" s="9" t="s">
        <v>204</v>
      </c>
      <c r="AS50" s="9">
        <v>0.5</v>
      </c>
      <c r="AT50" s="9">
        <v>0.5</v>
      </c>
      <c r="AU50" s="9">
        <v>0.5</v>
      </c>
      <c r="AV50" s="9">
        <v>0.5</v>
      </c>
      <c r="AW50" s="9">
        <v>0.5</v>
      </c>
      <c r="AX50" s="9">
        <v>0.5</v>
      </c>
      <c r="AY50" s="9">
        <v>1</v>
      </c>
      <c r="AZ50" s="9">
        <v>1</v>
      </c>
      <c r="BA50" s="9">
        <v>0.5</v>
      </c>
      <c r="BB50" s="9">
        <v>1</v>
      </c>
      <c r="BC50" s="9">
        <v>0</v>
      </c>
      <c r="BD50" s="9">
        <v>0.75</v>
      </c>
      <c r="BE50" s="9">
        <v>1</v>
      </c>
      <c r="BF50" s="9">
        <v>0.5</v>
      </c>
      <c r="BG50" s="9">
        <v>0</v>
      </c>
      <c r="BH50" s="9">
        <v>0</v>
      </c>
      <c r="BI50" s="9">
        <v>1</v>
      </c>
      <c r="BJ50" s="9">
        <v>0</v>
      </c>
      <c r="BK50" s="3">
        <v>1.5</v>
      </c>
      <c r="BL50" s="3">
        <v>0</v>
      </c>
      <c r="BM50" s="3">
        <v>0</v>
      </c>
      <c r="BN50" s="3">
        <v>0</v>
      </c>
      <c r="BO50" s="3">
        <v>1</v>
      </c>
      <c r="BP50" s="3">
        <v>0</v>
      </c>
      <c r="BQ50" s="3">
        <v>0.25</v>
      </c>
      <c r="BR50" s="3">
        <v>0.25</v>
      </c>
      <c r="BS50" s="3">
        <v>0.25</v>
      </c>
      <c r="BT50" s="3">
        <v>0.25</v>
      </c>
      <c r="BU50" s="3">
        <v>0</v>
      </c>
      <c r="BV50" s="3">
        <v>0</v>
      </c>
      <c r="BW50" s="3">
        <v>0.25</v>
      </c>
      <c r="BX50" s="54">
        <v>0.25</v>
      </c>
      <c r="BY50" s="3">
        <v>1.5</v>
      </c>
      <c r="BZ50" s="60">
        <v>0</v>
      </c>
      <c r="CA50" s="5">
        <v>0</v>
      </c>
      <c r="CB50" s="5">
        <v>0</v>
      </c>
      <c r="CC50" s="5">
        <v>1</v>
      </c>
      <c r="CD50" s="5">
        <v>1</v>
      </c>
      <c r="CE50" s="5">
        <v>1</v>
      </c>
      <c r="CF50" s="5">
        <v>18.25</v>
      </c>
      <c r="CG50" s="191"/>
    </row>
    <row r="51" spans="1:85" s="5" customFormat="1" x14ac:dyDescent="0.15">
      <c r="A51" s="5" t="s">
        <v>254</v>
      </c>
      <c r="B51" s="5">
        <v>389</v>
      </c>
      <c r="C51" s="5" t="s">
        <v>369</v>
      </c>
      <c r="F51" s="65" t="s">
        <v>92</v>
      </c>
      <c r="G51" s="65" t="s">
        <v>70</v>
      </c>
      <c r="H51" s="65" t="s">
        <v>45</v>
      </c>
      <c r="I51" s="65" t="s">
        <v>92</v>
      </c>
      <c r="J51" s="68" t="s">
        <v>93</v>
      </c>
      <c r="K51" s="68" t="s">
        <v>9</v>
      </c>
      <c r="L51" s="65">
        <v>387500</v>
      </c>
      <c r="M51" s="68">
        <v>77500</v>
      </c>
      <c r="N51" s="67" t="s">
        <v>41</v>
      </c>
      <c r="O51" s="67">
        <v>627.24776129032296</v>
      </c>
      <c r="P51" s="65">
        <v>507</v>
      </c>
      <c r="Q51" s="65">
        <v>120.247761290323</v>
      </c>
      <c r="R51" s="65" t="s">
        <v>96</v>
      </c>
      <c r="S51" s="67">
        <v>6660164</v>
      </c>
      <c r="T51" s="65">
        <v>35356686</v>
      </c>
      <c r="U51" s="65">
        <v>294031.96883338102</v>
      </c>
      <c r="V51" s="65">
        <v>66.599999999999994</v>
      </c>
      <c r="W51" s="65">
        <v>258026.494802495</v>
      </c>
      <c r="X51" s="65">
        <v>36000</v>
      </c>
      <c r="Y51" s="65" t="s">
        <v>41</v>
      </c>
      <c r="Z51" s="65">
        <v>1.8723294005578199E-2</v>
      </c>
      <c r="AA51" s="65">
        <v>1.8723294005578199E-2</v>
      </c>
      <c r="AB51" s="65">
        <v>229215337.34193501</v>
      </c>
      <c r="AC51" s="65">
        <v>217989522</v>
      </c>
      <c r="AD51" s="65">
        <v>11225815.341935501</v>
      </c>
      <c r="AE51" s="65">
        <v>-181047</v>
      </c>
      <c r="AF51" s="65">
        <v>-2321387</v>
      </c>
      <c r="AG51" s="65">
        <v>-4157730</v>
      </c>
      <c r="AH51" s="65">
        <v>4565651.3419354903</v>
      </c>
      <c r="AI51" s="65">
        <v>913130.26838709705</v>
      </c>
      <c r="AJ51" s="65">
        <v>3652521.0735483901</v>
      </c>
      <c r="AK51" s="65">
        <v>0.18999601206892</v>
      </c>
      <c r="AL51" s="65">
        <v>226706346.296774</v>
      </c>
      <c r="AM51" s="65">
        <v>3267728.2374193701</v>
      </c>
      <c r="AN51" s="65">
        <v>0</v>
      </c>
      <c r="AO51" s="65" t="s">
        <v>41</v>
      </c>
      <c r="AP51" s="65" t="s">
        <v>71</v>
      </c>
      <c r="AQ51" s="65" t="s">
        <v>70</v>
      </c>
      <c r="AR51" s="78" t="s">
        <v>204</v>
      </c>
      <c r="AS51" s="11">
        <v>0.5</v>
      </c>
      <c r="AT51" s="11">
        <v>0.5</v>
      </c>
      <c r="AU51" s="11">
        <v>0.5</v>
      </c>
      <c r="AV51" s="11">
        <v>0.5</v>
      </c>
      <c r="AW51" s="11">
        <v>0.5</v>
      </c>
      <c r="AX51" s="11">
        <v>0.5</v>
      </c>
      <c r="AY51" s="11">
        <v>1</v>
      </c>
      <c r="AZ51" s="11">
        <v>1</v>
      </c>
      <c r="BA51" s="11">
        <v>0.5</v>
      </c>
      <c r="BB51" s="11">
        <v>1</v>
      </c>
      <c r="BC51" s="75">
        <v>0.75</v>
      </c>
      <c r="BD51" s="75">
        <v>0.75</v>
      </c>
      <c r="BE51" s="75">
        <v>1</v>
      </c>
      <c r="BF51" s="75">
        <v>0.5</v>
      </c>
      <c r="BG51" s="75">
        <v>0.5</v>
      </c>
      <c r="BH51" s="75">
        <v>0.5</v>
      </c>
      <c r="BI51" s="75">
        <v>1</v>
      </c>
      <c r="BJ51" s="75">
        <v>0</v>
      </c>
      <c r="BK51" s="75">
        <v>1.5</v>
      </c>
      <c r="BL51" s="76">
        <v>0.5</v>
      </c>
      <c r="BM51" s="76">
        <v>0</v>
      </c>
      <c r="BN51" s="76">
        <v>0.5</v>
      </c>
      <c r="BO51" s="76">
        <v>1</v>
      </c>
      <c r="BP51" s="76">
        <v>1</v>
      </c>
      <c r="BQ51" s="76">
        <v>0.25</v>
      </c>
      <c r="BR51" s="76">
        <v>0.25</v>
      </c>
      <c r="BS51" s="76">
        <v>0.25</v>
      </c>
      <c r="BT51" s="76">
        <v>0.25</v>
      </c>
      <c r="BU51" s="76">
        <v>0.25</v>
      </c>
      <c r="BV51" s="76">
        <v>0.25</v>
      </c>
      <c r="BW51" s="76">
        <v>0.25</v>
      </c>
      <c r="BX51" s="54">
        <v>0.25</v>
      </c>
      <c r="BY51" s="55">
        <v>1.5</v>
      </c>
      <c r="BZ51" s="60">
        <v>1.5</v>
      </c>
      <c r="CA51" s="5">
        <v>0</v>
      </c>
      <c r="CB51" s="5">
        <v>1</v>
      </c>
      <c r="CC51" s="5">
        <v>1</v>
      </c>
      <c r="CD51" s="5">
        <v>1</v>
      </c>
      <c r="CE51" s="5">
        <v>1</v>
      </c>
      <c r="CF51" s="5">
        <v>25</v>
      </c>
      <c r="CG51" s="191"/>
    </row>
    <row r="52" spans="1:85" s="5" customFormat="1" x14ac:dyDescent="0.15">
      <c r="A52" s="5" t="s">
        <v>255</v>
      </c>
      <c r="B52" s="5">
        <v>350</v>
      </c>
      <c r="C52" s="5" t="s">
        <v>370</v>
      </c>
      <c r="F52" s="65" t="s">
        <v>92</v>
      </c>
      <c r="G52" s="65" t="s">
        <v>70</v>
      </c>
      <c r="H52" s="65" t="s">
        <v>45</v>
      </c>
      <c r="I52" s="65" t="s">
        <v>92</v>
      </c>
      <c r="J52" s="68" t="s">
        <v>93</v>
      </c>
      <c r="K52" s="68" t="s">
        <v>9</v>
      </c>
      <c r="L52" s="65">
        <v>310000</v>
      </c>
      <c r="M52" s="68">
        <v>77500</v>
      </c>
      <c r="N52" s="67" t="s">
        <v>41</v>
      </c>
      <c r="O52" s="67">
        <v>627.25</v>
      </c>
      <c r="P52" s="65">
        <v>507</v>
      </c>
      <c r="Q52" s="65">
        <v>120.25</v>
      </c>
      <c r="R52" s="65" t="s">
        <v>96</v>
      </c>
      <c r="S52" s="65">
        <v>6660164</v>
      </c>
      <c r="T52" s="65">
        <v>71626686</v>
      </c>
      <c r="U52" s="65">
        <v>114192</v>
      </c>
      <c r="V52" s="65">
        <v>237</v>
      </c>
      <c r="W52" s="65">
        <v>55207</v>
      </c>
      <c r="X52" s="65">
        <v>36141</v>
      </c>
      <c r="Y52" s="65" t="s">
        <v>41</v>
      </c>
      <c r="Z52" s="65">
        <v>0.02</v>
      </c>
      <c r="AA52" s="65">
        <v>0.02</v>
      </c>
      <c r="AB52" s="65">
        <v>229216000</v>
      </c>
      <c r="AC52" s="65">
        <v>145535000</v>
      </c>
      <c r="AD52" s="65">
        <v>83681000</v>
      </c>
      <c r="AE52" s="65">
        <v>181047</v>
      </c>
      <c r="AF52" s="65">
        <v>2321387</v>
      </c>
      <c r="AG52" s="65">
        <v>4157730</v>
      </c>
      <c r="AH52" s="65">
        <v>4592314</v>
      </c>
      <c r="AI52" s="65">
        <v>918462.8</v>
      </c>
      <c r="AJ52" s="65">
        <v>3673851.2</v>
      </c>
      <c r="AK52" s="65">
        <v>0.19</v>
      </c>
      <c r="AL52" s="65">
        <v>226707000</v>
      </c>
      <c r="AM52" s="65">
        <v>3289051.2</v>
      </c>
      <c r="AN52" s="65">
        <v>32154</v>
      </c>
      <c r="AO52" s="65" t="s">
        <v>311</v>
      </c>
      <c r="AP52" s="65" t="s">
        <v>71</v>
      </c>
      <c r="AQ52" s="65" t="s">
        <v>70</v>
      </c>
      <c r="AR52" s="77" t="s">
        <v>204</v>
      </c>
      <c r="AS52" s="11">
        <v>0.5</v>
      </c>
      <c r="AT52" s="11">
        <v>0.5</v>
      </c>
      <c r="AU52" s="11">
        <v>0.5</v>
      </c>
      <c r="AV52" s="11">
        <v>0.5</v>
      </c>
      <c r="AW52" s="11">
        <v>0.5</v>
      </c>
      <c r="AX52" s="11">
        <v>0.5</v>
      </c>
      <c r="AY52" s="11">
        <v>0</v>
      </c>
      <c r="AZ52" s="11">
        <v>1</v>
      </c>
      <c r="BA52" s="11">
        <v>0.5</v>
      </c>
      <c r="BB52" s="11">
        <v>1</v>
      </c>
      <c r="BC52" s="75">
        <v>0.75</v>
      </c>
      <c r="BD52" s="75">
        <v>0.75</v>
      </c>
      <c r="BE52" s="75">
        <v>1</v>
      </c>
      <c r="BF52" s="75">
        <v>0.5</v>
      </c>
      <c r="BG52" s="75">
        <v>0</v>
      </c>
      <c r="BH52" s="75">
        <v>0</v>
      </c>
      <c r="BI52" s="75">
        <v>0</v>
      </c>
      <c r="BJ52" s="75">
        <v>0</v>
      </c>
      <c r="BK52" s="75">
        <v>0</v>
      </c>
      <c r="BL52" s="76">
        <v>0.5</v>
      </c>
      <c r="BM52" s="76">
        <v>0</v>
      </c>
      <c r="BN52" s="76">
        <v>0.5</v>
      </c>
      <c r="BO52" s="76">
        <v>0</v>
      </c>
      <c r="BP52" s="76">
        <v>0</v>
      </c>
      <c r="BQ52" s="76">
        <v>0.25</v>
      </c>
      <c r="BR52" s="76">
        <v>0.25</v>
      </c>
      <c r="BS52" s="76">
        <v>0.25</v>
      </c>
      <c r="BT52" s="76">
        <v>0.25</v>
      </c>
      <c r="BU52" s="76">
        <v>0</v>
      </c>
      <c r="BV52" s="76">
        <v>0</v>
      </c>
      <c r="BW52" s="76">
        <v>0.25</v>
      </c>
      <c r="BX52" s="54">
        <v>0.25</v>
      </c>
      <c r="BY52" s="5">
        <v>0</v>
      </c>
      <c r="BZ52" s="60">
        <v>0</v>
      </c>
      <c r="CA52" s="5">
        <v>0</v>
      </c>
      <c r="CB52" s="5">
        <v>0</v>
      </c>
      <c r="CC52" s="5">
        <v>1</v>
      </c>
      <c r="CD52" s="5">
        <v>1</v>
      </c>
      <c r="CE52" s="5">
        <v>1</v>
      </c>
      <c r="CF52" s="5">
        <v>14</v>
      </c>
      <c r="CG52" s="191"/>
    </row>
    <row r="53" spans="1:85" s="5" customFormat="1" x14ac:dyDescent="0.15">
      <c r="A53" s="3" t="s">
        <v>256</v>
      </c>
      <c r="B53" s="3">
        <v>318</v>
      </c>
      <c r="C53" s="3" t="s">
        <v>371</v>
      </c>
      <c r="D53" s="3"/>
      <c r="E53" s="3"/>
      <c r="F53" s="3" t="s">
        <v>92</v>
      </c>
      <c r="G53" s="3" t="s">
        <v>70</v>
      </c>
      <c r="H53" s="3" t="s">
        <v>45</v>
      </c>
      <c r="I53" s="3" t="s">
        <v>92</v>
      </c>
      <c r="J53" s="70" t="s">
        <v>93</v>
      </c>
      <c r="K53" s="70" t="s">
        <v>9</v>
      </c>
      <c r="L53" s="3">
        <v>325000</v>
      </c>
      <c r="M53" s="74">
        <v>15000</v>
      </c>
      <c r="N53" s="58" t="s">
        <v>41</v>
      </c>
      <c r="O53" s="58">
        <v>627.24776129032296</v>
      </c>
      <c r="P53" s="3">
        <v>507</v>
      </c>
      <c r="Q53" s="63">
        <v>120.247761290323</v>
      </c>
      <c r="R53" s="63" t="s">
        <v>96</v>
      </c>
      <c r="S53" s="58">
        <v>6660164</v>
      </c>
      <c r="T53" s="63">
        <v>35356686</v>
      </c>
      <c r="U53" s="63">
        <v>294031.96883338102</v>
      </c>
      <c r="V53" s="63">
        <v>66.599999999999994</v>
      </c>
      <c r="W53" s="63">
        <v>258031.298604285</v>
      </c>
      <c r="X53" s="63">
        <v>36000.670229096402</v>
      </c>
      <c r="Y53" s="63" t="s">
        <v>41</v>
      </c>
      <c r="Z53" s="63">
        <v>1.8723294005578199E-2</v>
      </c>
      <c r="AA53" s="63">
        <v>1.8723294005578199E-2</v>
      </c>
      <c r="AB53" s="63">
        <v>229215337.34193501</v>
      </c>
      <c r="AC53" s="63">
        <v>217989522</v>
      </c>
      <c r="AD53" s="63">
        <v>11225815.341935501</v>
      </c>
      <c r="AE53" s="63">
        <v>181047</v>
      </c>
      <c r="AF53" s="66">
        <v>2321387</v>
      </c>
      <c r="AG53" s="66">
        <v>4157730</v>
      </c>
      <c r="AH53" s="66">
        <v>4565651.3419354903</v>
      </c>
      <c r="AI53" s="66">
        <v>913130.26838709705</v>
      </c>
      <c r="AJ53" s="66">
        <v>3652521.0735483901</v>
      </c>
      <c r="AK53" s="66">
        <v>0.18999601206892</v>
      </c>
      <c r="AL53" s="66">
        <v>226706346.296774</v>
      </c>
      <c r="AM53" s="66">
        <v>3267728.2374193599</v>
      </c>
      <c r="AN53" s="66">
        <v>32266.739629952499</v>
      </c>
      <c r="AO53" s="66" t="s">
        <v>311</v>
      </c>
      <c r="AP53" s="66" t="s">
        <v>71</v>
      </c>
      <c r="AQ53" s="66" t="s">
        <v>70</v>
      </c>
      <c r="AR53" s="9" t="s">
        <v>204</v>
      </c>
      <c r="AS53" s="9">
        <v>0.5</v>
      </c>
      <c r="AT53" s="9">
        <v>0.5</v>
      </c>
      <c r="AU53" s="9">
        <v>0.5</v>
      </c>
      <c r="AV53" s="9">
        <v>0.5</v>
      </c>
      <c r="AW53" s="9">
        <v>0.5</v>
      </c>
      <c r="AX53" s="9">
        <v>0.5</v>
      </c>
      <c r="AY53" s="9">
        <v>0</v>
      </c>
      <c r="AZ53" s="9">
        <v>0</v>
      </c>
      <c r="BA53" s="9">
        <v>0.5</v>
      </c>
      <c r="BB53" s="9">
        <v>1</v>
      </c>
      <c r="BC53" s="9">
        <v>0.75</v>
      </c>
      <c r="BD53" s="9">
        <v>0.75</v>
      </c>
      <c r="BE53" s="9">
        <v>1</v>
      </c>
      <c r="BF53" s="9">
        <v>0.5</v>
      </c>
      <c r="BG53" s="9">
        <v>0.5</v>
      </c>
      <c r="BH53" s="9">
        <v>0.5</v>
      </c>
      <c r="BI53" s="9">
        <v>1</v>
      </c>
      <c r="BJ53" s="9">
        <v>2</v>
      </c>
      <c r="BK53" s="3">
        <v>1.5</v>
      </c>
      <c r="BL53" s="3">
        <v>0.5</v>
      </c>
      <c r="BM53" s="3">
        <v>0</v>
      </c>
      <c r="BN53" s="3">
        <v>0.5</v>
      </c>
      <c r="BO53" s="3">
        <v>1</v>
      </c>
      <c r="BP53" s="3">
        <v>1</v>
      </c>
      <c r="BQ53" s="3">
        <v>0.25</v>
      </c>
      <c r="BR53" s="3">
        <v>0.25</v>
      </c>
      <c r="BS53" s="3">
        <v>0.25</v>
      </c>
      <c r="BT53" s="3">
        <v>0.25</v>
      </c>
      <c r="BU53" s="3">
        <v>0.25</v>
      </c>
      <c r="BV53" s="3">
        <v>0.25</v>
      </c>
      <c r="BW53" s="3">
        <v>0.25</v>
      </c>
      <c r="BX53" s="3">
        <v>0.25</v>
      </c>
      <c r="BY53" s="3">
        <v>1.5</v>
      </c>
      <c r="BZ53" s="60">
        <v>1.5</v>
      </c>
      <c r="CA53" s="5">
        <v>2</v>
      </c>
      <c r="CB53" s="5">
        <v>0</v>
      </c>
      <c r="CC53" s="5">
        <v>1</v>
      </c>
      <c r="CD53" s="5">
        <v>1</v>
      </c>
      <c r="CE53" s="5">
        <v>1</v>
      </c>
      <c r="CF53" s="5">
        <v>26</v>
      </c>
      <c r="CG53" s="191"/>
    </row>
    <row r="54" spans="1:85" s="5" customFormat="1" x14ac:dyDescent="0.15">
      <c r="A54" s="3" t="s">
        <v>257</v>
      </c>
      <c r="B54" s="3">
        <v>358</v>
      </c>
      <c r="C54" s="3" t="s">
        <v>372</v>
      </c>
      <c r="D54" s="3"/>
      <c r="E54" s="3"/>
      <c r="F54" s="3" t="s">
        <v>309</v>
      </c>
      <c r="G54" s="3" t="s">
        <v>309</v>
      </c>
      <c r="H54" s="3" t="s">
        <v>309</v>
      </c>
      <c r="I54" s="3" t="s">
        <v>309</v>
      </c>
      <c r="J54" s="70" t="s">
        <v>309</v>
      </c>
      <c r="K54" s="70" t="s">
        <v>309</v>
      </c>
      <c r="L54" s="3">
        <v>387500</v>
      </c>
      <c r="M54" s="74">
        <v>65000</v>
      </c>
      <c r="N54" s="58" t="s">
        <v>41</v>
      </c>
      <c r="O54" s="58">
        <v>62725</v>
      </c>
      <c r="P54" s="3">
        <v>599.56942580645205</v>
      </c>
      <c r="Q54" s="63">
        <v>27.678335483870999</v>
      </c>
      <c r="R54" s="63" t="s">
        <v>328</v>
      </c>
      <c r="S54" s="58">
        <v>6660164</v>
      </c>
      <c r="T54" s="63">
        <v>36472686</v>
      </c>
      <c r="U54" s="63">
        <v>58170.153110047802</v>
      </c>
      <c r="V54" s="63">
        <v>66.602500000000106</v>
      </c>
      <c r="W54" s="63">
        <v>51245.337940907099</v>
      </c>
      <c r="X54" s="63">
        <v>153599.62066474001</v>
      </c>
      <c r="Y54" s="63" t="s">
        <v>41</v>
      </c>
      <c r="Z54" s="63">
        <v>1.8723294005578199E-2</v>
      </c>
      <c r="AA54" s="63">
        <v>1.8723294005578199E-2</v>
      </c>
      <c r="AB54" s="63">
        <v>229215337.34193501</v>
      </c>
      <c r="AC54" s="63">
        <v>216693387.53871</v>
      </c>
      <c r="AD54" s="63">
        <v>12521949.8032258</v>
      </c>
      <c r="AE54" s="63">
        <v>-181047</v>
      </c>
      <c r="AF54" s="66">
        <v>-2321387</v>
      </c>
      <c r="AG54" s="66">
        <v>-4157730</v>
      </c>
      <c r="AH54" s="66">
        <v>5861785.80322582</v>
      </c>
      <c r="AI54" s="66">
        <v>-384024</v>
      </c>
      <c r="AJ54" s="66">
        <v>5477761.80322582</v>
      </c>
      <c r="AK54" s="66">
        <v>0.18999601206892</v>
      </c>
      <c r="AL54" s="66">
        <v>226706346.296774</v>
      </c>
      <c r="AM54" s="66">
        <v>2968770.7580645401</v>
      </c>
      <c r="AN54" s="66">
        <v>0</v>
      </c>
      <c r="AO54" s="66" t="s">
        <v>311</v>
      </c>
      <c r="AP54" s="66" t="s">
        <v>309</v>
      </c>
      <c r="AQ54" s="66" t="s">
        <v>309</v>
      </c>
      <c r="AR54" s="9" t="s">
        <v>309</v>
      </c>
      <c r="AS54" s="9">
        <v>0</v>
      </c>
      <c r="AT54" s="9">
        <v>0</v>
      </c>
      <c r="AU54" s="9">
        <v>0</v>
      </c>
      <c r="AV54" s="9">
        <v>0</v>
      </c>
      <c r="AW54" s="9">
        <v>0</v>
      </c>
      <c r="AX54" s="9">
        <v>0</v>
      </c>
      <c r="AY54" s="9">
        <v>1</v>
      </c>
      <c r="AZ54" s="9">
        <v>0</v>
      </c>
      <c r="BA54" s="9">
        <v>0.5</v>
      </c>
      <c r="BB54" s="9">
        <v>0</v>
      </c>
      <c r="BC54" s="9">
        <v>0</v>
      </c>
      <c r="BD54" s="9">
        <v>0</v>
      </c>
      <c r="BE54" s="9">
        <v>0</v>
      </c>
      <c r="BF54" s="9">
        <v>0.5</v>
      </c>
      <c r="BG54" s="9">
        <v>0.5</v>
      </c>
      <c r="BH54" s="9">
        <v>0</v>
      </c>
      <c r="BI54" s="9">
        <v>1</v>
      </c>
      <c r="BJ54" s="9">
        <v>0</v>
      </c>
      <c r="BK54" s="3">
        <v>0</v>
      </c>
      <c r="BL54" s="3">
        <v>0.5</v>
      </c>
      <c r="BM54" s="3">
        <v>0</v>
      </c>
      <c r="BN54" s="3">
        <v>0.5</v>
      </c>
      <c r="BO54" s="3">
        <v>1</v>
      </c>
      <c r="BP54" s="3">
        <v>0</v>
      </c>
      <c r="BQ54" s="3">
        <v>0</v>
      </c>
      <c r="BR54" s="3">
        <v>0.25</v>
      </c>
      <c r="BS54" s="3">
        <v>0.25</v>
      </c>
      <c r="BT54" s="3">
        <v>0.25</v>
      </c>
      <c r="BU54" s="3">
        <v>0</v>
      </c>
      <c r="BV54" s="3">
        <v>0</v>
      </c>
      <c r="BW54" s="3">
        <v>0</v>
      </c>
      <c r="BX54" s="54">
        <v>0.25</v>
      </c>
      <c r="BY54" s="3">
        <v>1.5</v>
      </c>
      <c r="BZ54" s="60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8</v>
      </c>
      <c r="CG54" s="191"/>
    </row>
    <row r="55" spans="1:85" s="5" customFormat="1" x14ac:dyDescent="0.15">
      <c r="A55" s="5" t="s">
        <v>258</v>
      </c>
      <c r="B55" s="5">
        <v>401</v>
      </c>
      <c r="C55" s="5" t="s">
        <v>373</v>
      </c>
      <c r="F55" s="65" t="s">
        <v>92</v>
      </c>
      <c r="G55" s="65" t="s">
        <v>70</v>
      </c>
      <c r="H55" s="65" t="s">
        <v>45</v>
      </c>
      <c r="I55" s="65" t="s">
        <v>318</v>
      </c>
      <c r="J55" s="68" t="s">
        <v>93</v>
      </c>
      <c r="K55" s="68" t="s">
        <v>140</v>
      </c>
      <c r="L55" s="65">
        <v>387500</v>
      </c>
      <c r="M55" s="68">
        <v>-387500</v>
      </c>
      <c r="N55" s="67" t="s">
        <v>311</v>
      </c>
      <c r="O55" s="67">
        <v>0</v>
      </c>
      <c r="P55" s="65">
        <v>507</v>
      </c>
      <c r="Q55" s="65">
        <v>-507</v>
      </c>
      <c r="R55" s="65" t="s">
        <v>96</v>
      </c>
      <c r="S55" s="65">
        <v>-6660164</v>
      </c>
      <c r="T55" s="65">
        <v>22036358</v>
      </c>
      <c r="U55" s="65">
        <v>294031.96883338102</v>
      </c>
      <c r="V55" s="65">
        <v>667.54927536231901</v>
      </c>
      <c r="W55" s="65">
        <v>390600</v>
      </c>
      <c r="X55" s="65">
        <v>0</v>
      </c>
      <c r="Y55" s="65" t="s">
        <v>41</v>
      </c>
      <c r="Z55" s="65">
        <v>1.8723294005578199E-2</v>
      </c>
      <c r="AA55" s="65">
        <v>1.8723294005578199E-2</v>
      </c>
      <c r="AB55" s="65">
        <v>185665337.34193501</v>
      </c>
      <c r="AC55" s="65">
        <v>115440000</v>
      </c>
      <c r="AD55" s="65">
        <v>70225337.341935501</v>
      </c>
      <c r="AE55" s="65">
        <v>-181047</v>
      </c>
      <c r="AF55" s="65">
        <v>-2321387</v>
      </c>
      <c r="AG55" s="65">
        <v>-4157730</v>
      </c>
      <c r="AH55" s="65">
        <v>76704454.341935501</v>
      </c>
      <c r="AI55" s="65">
        <v>15340890.868387099</v>
      </c>
      <c r="AJ55" s="65">
        <v>61363563.473548397</v>
      </c>
      <c r="AK55" s="65">
        <v>0.234561823027822</v>
      </c>
      <c r="AL55" s="65">
        <v>183156346.296774</v>
      </c>
      <c r="AM55" s="65">
        <v>60604370.637419403</v>
      </c>
      <c r="AN55" s="65">
        <v>20679.506357245999</v>
      </c>
      <c r="AO55" s="65" t="s">
        <v>41</v>
      </c>
      <c r="AP55" s="65" t="s">
        <v>71</v>
      </c>
      <c r="AQ55" s="65" t="s">
        <v>70</v>
      </c>
      <c r="AR55" s="77" t="s">
        <v>204</v>
      </c>
      <c r="AS55" s="11">
        <v>0.5</v>
      </c>
      <c r="AT55" s="11">
        <v>0.5</v>
      </c>
      <c r="AU55" s="11">
        <v>0.5</v>
      </c>
      <c r="AV55" s="11">
        <v>0</v>
      </c>
      <c r="AW55" s="11">
        <v>0.5</v>
      </c>
      <c r="AX55" s="11">
        <v>0</v>
      </c>
      <c r="AY55" s="11">
        <v>1</v>
      </c>
      <c r="AZ55" s="11">
        <v>0</v>
      </c>
      <c r="BA55" s="11">
        <v>0</v>
      </c>
      <c r="BB55" s="11">
        <v>0</v>
      </c>
      <c r="BC55" s="75">
        <v>0.75</v>
      </c>
      <c r="BD55" s="75">
        <v>0</v>
      </c>
      <c r="BE55" s="75">
        <v>1</v>
      </c>
      <c r="BF55" s="75">
        <v>0.5</v>
      </c>
      <c r="BG55" s="75">
        <v>0</v>
      </c>
      <c r="BH55" s="75">
        <v>0.5</v>
      </c>
      <c r="BI55" s="75">
        <v>0</v>
      </c>
      <c r="BJ55" s="75">
        <v>0</v>
      </c>
      <c r="BK55" s="76">
        <v>0</v>
      </c>
      <c r="BL55" s="76">
        <v>0.5</v>
      </c>
      <c r="BM55" s="76">
        <v>0</v>
      </c>
      <c r="BN55" s="76">
        <v>0.5</v>
      </c>
      <c r="BO55" s="76">
        <v>0</v>
      </c>
      <c r="BP55" s="76">
        <v>0</v>
      </c>
      <c r="BQ55" s="76">
        <v>0</v>
      </c>
      <c r="BR55" s="76">
        <v>0.25</v>
      </c>
      <c r="BS55" s="76">
        <v>0.25</v>
      </c>
      <c r="BT55" s="76">
        <v>0.25</v>
      </c>
      <c r="BU55" s="76">
        <v>0</v>
      </c>
      <c r="BV55" s="76">
        <v>0</v>
      </c>
      <c r="BW55" s="76">
        <v>0.25</v>
      </c>
      <c r="BX55" s="54">
        <v>0</v>
      </c>
      <c r="BY55" s="55">
        <v>0</v>
      </c>
      <c r="BZ55" s="60">
        <v>0</v>
      </c>
      <c r="CA55" s="5">
        <v>0</v>
      </c>
      <c r="CB55" s="5">
        <v>1</v>
      </c>
      <c r="CC55" s="5">
        <v>1</v>
      </c>
      <c r="CD55" s="5">
        <v>1</v>
      </c>
      <c r="CE55" s="5">
        <v>1</v>
      </c>
      <c r="CF55" s="5">
        <v>11.75</v>
      </c>
      <c r="CG55" s="191"/>
    </row>
    <row r="56" spans="1:85" s="5" customFormat="1" x14ac:dyDescent="0.15">
      <c r="A56" s="5" t="s">
        <v>259</v>
      </c>
      <c r="B56" s="5">
        <v>352</v>
      </c>
      <c r="C56" s="5" t="s">
        <v>374</v>
      </c>
      <c r="F56" s="65" t="s">
        <v>92</v>
      </c>
      <c r="G56" s="65" t="s">
        <v>318</v>
      </c>
      <c r="H56" s="65" t="s">
        <v>45</v>
      </c>
      <c r="I56" s="65" t="s">
        <v>92</v>
      </c>
      <c r="J56" s="68" t="s">
        <v>318</v>
      </c>
      <c r="K56" s="68" t="s">
        <v>9</v>
      </c>
      <c r="L56" s="65">
        <v>0</v>
      </c>
      <c r="M56" s="68" t="s">
        <v>375</v>
      </c>
      <c r="N56" s="67" t="s">
        <v>311</v>
      </c>
      <c r="O56" s="67">
        <v>627.25</v>
      </c>
      <c r="P56" s="65">
        <v>507</v>
      </c>
      <c r="Q56" s="65">
        <v>120.25</v>
      </c>
      <c r="R56" s="65" t="s">
        <v>328</v>
      </c>
      <c r="S56" s="67" t="s">
        <v>376</v>
      </c>
      <c r="T56" s="65" t="s">
        <v>377</v>
      </c>
      <c r="U56" s="65" t="s">
        <v>378</v>
      </c>
      <c r="V56" s="65">
        <v>163000</v>
      </c>
      <c r="W56" s="65">
        <v>229830</v>
      </c>
      <c r="X56" s="65">
        <v>23108</v>
      </c>
      <c r="Y56" s="65" t="s">
        <v>311</v>
      </c>
      <c r="Z56" s="65">
        <v>0</v>
      </c>
      <c r="AA56" s="65">
        <v>0</v>
      </c>
      <c r="AB56" s="65" t="s">
        <v>379</v>
      </c>
      <c r="AC56" s="65" t="s">
        <v>380</v>
      </c>
      <c r="AD56" s="65" t="s">
        <v>381</v>
      </c>
      <c r="AE56" s="65" t="s">
        <v>382</v>
      </c>
      <c r="AF56" s="65" t="s">
        <v>383</v>
      </c>
      <c r="AG56" s="65" t="s">
        <v>384</v>
      </c>
      <c r="AH56" s="65" t="s">
        <v>385</v>
      </c>
      <c r="AI56" s="65" t="s">
        <v>386</v>
      </c>
      <c r="AJ56" s="65" t="s">
        <v>387</v>
      </c>
      <c r="AK56" s="65">
        <v>0.21820000000000001</v>
      </c>
      <c r="AL56" s="65" t="s">
        <v>388</v>
      </c>
      <c r="AM56" s="65" t="s">
        <v>389</v>
      </c>
      <c r="AN56" s="65" t="s">
        <v>390</v>
      </c>
      <c r="AO56" s="65" t="s">
        <v>311</v>
      </c>
      <c r="AP56" s="65" t="s">
        <v>71</v>
      </c>
      <c r="AQ56" s="65" t="s">
        <v>70</v>
      </c>
      <c r="AR56" s="77" t="s">
        <v>204</v>
      </c>
      <c r="AS56" s="11">
        <v>0.5</v>
      </c>
      <c r="AT56" s="11">
        <v>0</v>
      </c>
      <c r="AU56" s="11">
        <v>0.5</v>
      </c>
      <c r="AV56" s="11">
        <v>0.5</v>
      </c>
      <c r="AW56" s="11">
        <v>0</v>
      </c>
      <c r="AX56" s="11">
        <v>0.5</v>
      </c>
      <c r="AY56" s="11">
        <v>0</v>
      </c>
      <c r="AZ56" s="11">
        <v>0</v>
      </c>
      <c r="BA56" s="11">
        <v>0</v>
      </c>
      <c r="BB56" s="11">
        <v>1</v>
      </c>
      <c r="BC56" s="75">
        <v>0.75</v>
      </c>
      <c r="BD56" s="75">
        <v>0.75</v>
      </c>
      <c r="BE56" s="75">
        <v>0</v>
      </c>
      <c r="BF56" s="75">
        <v>0</v>
      </c>
      <c r="BG56" s="75">
        <v>0</v>
      </c>
      <c r="BH56" s="75">
        <v>0</v>
      </c>
      <c r="BI56" s="75">
        <v>0</v>
      </c>
      <c r="BJ56" s="75">
        <v>0</v>
      </c>
      <c r="BK56" s="75">
        <v>0</v>
      </c>
      <c r="BL56" s="76">
        <v>0</v>
      </c>
      <c r="BM56" s="76">
        <v>0</v>
      </c>
      <c r="BN56" s="76">
        <v>0</v>
      </c>
      <c r="BO56" s="76">
        <v>0</v>
      </c>
      <c r="BP56" s="76">
        <v>0</v>
      </c>
      <c r="BQ56" s="76">
        <v>0</v>
      </c>
      <c r="BR56" s="76">
        <v>0</v>
      </c>
      <c r="BS56" s="76">
        <v>0</v>
      </c>
      <c r="BT56" s="76">
        <v>0</v>
      </c>
      <c r="BU56" s="76">
        <v>0</v>
      </c>
      <c r="BV56" s="76">
        <v>0</v>
      </c>
      <c r="BW56" s="76">
        <v>0</v>
      </c>
      <c r="BX56" s="54">
        <v>0</v>
      </c>
      <c r="BY56" s="5">
        <v>0</v>
      </c>
      <c r="BZ56" s="60">
        <v>0</v>
      </c>
      <c r="CA56" s="5">
        <v>0</v>
      </c>
      <c r="CB56" s="5">
        <v>0</v>
      </c>
      <c r="CC56" s="5">
        <v>1</v>
      </c>
      <c r="CD56" s="5">
        <v>1</v>
      </c>
      <c r="CE56" s="5">
        <v>1</v>
      </c>
      <c r="CF56" s="5">
        <v>7.5</v>
      </c>
      <c r="CG56" s="191"/>
    </row>
    <row r="57" spans="1:85" s="5" customFormat="1" ht="12.75" customHeight="1" x14ac:dyDescent="0.15">
      <c r="A57" s="5" t="s">
        <v>260</v>
      </c>
      <c r="B57" s="5">
        <v>361</v>
      </c>
      <c r="C57" s="5" t="s">
        <v>391</v>
      </c>
      <c r="F57" s="10" t="s">
        <v>92</v>
      </c>
      <c r="G57" s="10" t="s">
        <v>70</v>
      </c>
      <c r="H57" s="10" t="s">
        <v>45</v>
      </c>
      <c r="I57" s="10" t="s">
        <v>92</v>
      </c>
      <c r="J57" s="10" t="s">
        <v>93</v>
      </c>
      <c r="K57" s="10" t="s">
        <v>9</v>
      </c>
      <c r="L57" s="10">
        <v>387500</v>
      </c>
      <c r="M57" s="72">
        <v>77500</v>
      </c>
      <c r="N57" s="54" t="s">
        <v>41</v>
      </c>
      <c r="O57" s="54">
        <v>627.24776129032296</v>
      </c>
      <c r="P57" s="10">
        <v>507</v>
      </c>
      <c r="Q57" s="60">
        <v>120.247761290323</v>
      </c>
      <c r="R57" s="60" t="s">
        <v>96</v>
      </c>
      <c r="S57" s="54">
        <v>6660164</v>
      </c>
      <c r="T57" s="60">
        <v>35356686</v>
      </c>
      <c r="U57" s="60">
        <v>294031.96883338102</v>
      </c>
      <c r="V57" s="60">
        <v>66.599999999999994</v>
      </c>
      <c r="W57" s="60">
        <v>258031.298604285</v>
      </c>
      <c r="X57" s="60">
        <v>36000.670229096402</v>
      </c>
      <c r="Y57" s="60" t="s">
        <v>41</v>
      </c>
      <c r="Z57" s="60">
        <v>1.8723294005578199E-2</v>
      </c>
      <c r="AA57" s="60">
        <v>1.8723294005578199E-2</v>
      </c>
      <c r="AB57" s="60">
        <v>229215337.34193501</v>
      </c>
      <c r="AC57" s="60">
        <v>217989522</v>
      </c>
      <c r="AD57" s="60">
        <v>11225815.341935501</v>
      </c>
      <c r="AE57" s="60">
        <v>181047</v>
      </c>
      <c r="AF57" s="65">
        <v>2321387</v>
      </c>
      <c r="AG57" s="65">
        <v>4157730</v>
      </c>
      <c r="AH57" s="65">
        <v>4565651.3419354903</v>
      </c>
      <c r="AI57" s="65">
        <v>913130.26838709705</v>
      </c>
      <c r="AJ57" s="65">
        <v>3652521.0735483901</v>
      </c>
      <c r="AK57" s="65">
        <v>0.18999601206892</v>
      </c>
      <c r="AL57" s="65">
        <v>226706346.296774</v>
      </c>
      <c r="AM57" s="65">
        <v>3267728.2374193701</v>
      </c>
      <c r="AN57" s="65">
        <v>32266.739629952601</v>
      </c>
      <c r="AO57" s="65" t="s">
        <v>41</v>
      </c>
      <c r="AP57" s="65" t="s">
        <v>71</v>
      </c>
      <c r="AQ57" s="65" t="s">
        <v>70</v>
      </c>
      <c r="AR57" s="11" t="s">
        <v>204</v>
      </c>
      <c r="AS57" s="11">
        <v>0.5</v>
      </c>
      <c r="AT57" s="11">
        <v>0.5</v>
      </c>
      <c r="AU57" s="11">
        <v>0.5</v>
      </c>
      <c r="AV57" s="11">
        <v>0.5</v>
      </c>
      <c r="AW57" s="11">
        <v>0.5</v>
      </c>
      <c r="AX57" s="11">
        <v>0.5</v>
      </c>
      <c r="AY57" s="11">
        <v>1</v>
      </c>
      <c r="AZ57" s="11">
        <v>1</v>
      </c>
      <c r="BA57" s="11">
        <v>0.5</v>
      </c>
      <c r="BB57" s="11">
        <v>1</v>
      </c>
      <c r="BC57" s="11">
        <v>0.75</v>
      </c>
      <c r="BD57" s="11">
        <v>0.75</v>
      </c>
      <c r="BE57" s="11">
        <v>1</v>
      </c>
      <c r="BF57" s="11">
        <v>0.5</v>
      </c>
      <c r="BG57" s="11">
        <v>0.5</v>
      </c>
      <c r="BH57" s="11">
        <v>0.5</v>
      </c>
      <c r="BI57" s="11">
        <v>1</v>
      </c>
      <c r="BJ57" s="11">
        <v>2</v>
      </c>
      <c r="BK57" s="10">
        <v>1.5</v>
      </c>
      <c r="BL57" s="5">
        <v>0.5</v>
      </c>
      <c r="BM57" s="5">
        <v>0</v>
      </c>
      <c r="BN57" s="5">
        <v>0.5</v>
      </c>
      <c r="BO57" s="5">
        <v>1</v>
      </c>
      <c r="BP57" s="5">
        <v>1</v>
      </c>
      <c r="BQ57" s="5">
        <v>0.25</v>
      </c>
      <c r="BR57" s="5">
        <v>0.25</v>
      </c>
      <c r="BS57" s="5">
        <v>0.25</v>
      </c>
      <c r="BT57" s="5">
        <v>0.25</v>
      </c>
      <c r="BU57" s="5">
        <v>0.25</v>
      </c>
      <c r="BV57" s="5">
        <v>0.25</v>
      </c>
      <c r="BW57" s="5">
        <v>0.25</v>
      </c>
      <c r="BX57" s="54">
        <v>0.25</v>
      </c>
      <c r="BY57" s="5">
        <v>1.5</v>
      </c>
      <c r="BZ57" s="60">
        <v>1.5</v>
      </c>
      <c r="CA57" s="5">
        <v>2</v>
      </c>
      <c r="CB57" s="5">
        <v>1</v>
      </c>
      <c r="CC57" s="5">
        <v>1</v>
      </c>
      <c r="CD57" s="5">
        <v>1</v>
      </c>
      <c r="CE57" s="5">
        <v>1</v>
      </c>
      <c r="CF57" s="5">
        <v>29</v>
      </c>
      <c r="CG57" s="191"/>
    </row>
    <row r="58" spans="1:85" s="5" customFormat="1" x14ac:dyDescent="0.15">
      <c r="A58" s="5" t="s">
        <v>261</v>
      </c>
      <c r="B58" s="5">
        <v>313</v>
      </c>
      <c r="C58" s="5" t="s">
        <v>392</v>
      </c>
      <c r="F58" s="65" t="s">
        <v>92</v>
      </c>
      <c r="G58" s="65" t="s">
        <v>70</v>
      </c>
      <c r="H58" s="65" t="s">
        <v>9</v>
      </c>
      <c r="I58" s="65" t="s">
        <v>92</v>
      </c>
      <c r="J58" s="68" t="s">
        <v>318</v>
      </c>
      <c r="K58" s="68" t="s">
        <v>45</v>
      </c>
      <c r="L58" s="65">
        <v>248000</v>
      </c>
      <c r="M58" s="68">
        <v>183000</v>
      </c>
      <c r="N58" s="67" t="s">
        <v>311</v>
      </c>
      <c r="O58" s="67">
        <v>670</v>
      </c>
      <c r="P58" s="65">
        <v>117</v>
      </c>
      <c r="Q58" s="65">
        <v>553</v>
      </c>
      <c r="R58" s="65" t="s">
        <v>96</v>
      </c>
      <c r="S58" s="67">
        <v>-6479117</v>
      </c>
      <c r="T58" s="65">
        <v>22217405</v>
      </c>
      <c r="U58" s="65">
        <v>40176.139240506302</v>
      </c>
      <c r="V58" s="65">
        <v>13455000</v>
      </c>
      <c r="W58" s="65">
        <v>1.6512378298030499</v>
      </c>
      <c r="X58" s="65">
        <v>1581509945.7504499</v>
      </c>
      <c r="Y58" s="65" t="s">
        <v>311</v>
      </c>
      <c r="Z58" s="65">
        <v>1.8723294005578199E-2</v>
      </c>
      <c r="AA58" s="65">
        <v>1.8723294005578199E-2</v>
      </c>
      <c r="AB58" s="65">
        <v>34170000</v>
      </c>
      <c r="AC58" s="65">
        <v>5967000</v>
      </c>
      <c r="AD58" s="65">
        <v>28203000</v>
      </c>
      <c r="AE58" s="65">
        <v>-181047</v>
      </c>
      <c r="AF58" s="65">
        <v>-2321387</v>
      </c>
      <c r="AG58" s="65">
        <v>-4157730</v>
      </c>
      <c r="AH58" s="65">
        <v>28203000</v>
      </c>
      <c r="AI58" s="65">
        <v>5640600</v>
      </c>
      <c r="AJ58" s="65">
        <v>22562400</v>
      </c>
      <c r="AK58" s="65">
        <v>0.66029850746268703</v>
      </c>
      <c r="AL58" s="65">
        <v>31490000</v>
      </c>
      <c r="AM58" s="65">
        <v>20792800</v>
      </c>
      <c r="AN58" s="65">
        <v>47448.955223880599</v>
      </c>
      <c r="AO58" s="65" t="s">
        <v>41</v>
      </c>
      <c r="AP58" s="65" t="s">
        <v>71</v>
      </c>
      <c r="AQ58" s="65" t="s">
        <v>329</v>
      </c>
      <c r="AR58" s="78" t="s">
        <v>204</v>
      </c>
      <c r="AS58" s="11">
        <v>0.5</v>
      </c>
      <c r="AT58" s="11">
        <v>0.5</v>
      </c>
      <c r="AU58" s="11">
        <v>0</v>
      </c>
      <c r="AV58" s="11">
        <v>0.5</v>
      </c>
      <c r="AW58" s="11">
        <v>0</v>
      </c>
      <c r="AX58" s="11">
        <v>0</v>
      </c>
      <c r="AY58" s="11">
        <v>0</v>
      </c>
      <c r="AZ58" s="11">
        <v>0</v>
      </c>
      <c r="BA58" s="11">
        <v>0</v>
      </c>
      <c r="BB58" s="11">
        <v>0</v>
      </c>
      <c r="BC58" s="75">
        <v>0</v>
      </c>
      <c r="BD58" s="75">
        <v>0</v>
      </c>
      <c r="BE58" s="75">
        <v>1</v>
      </c>
      <c r="BF58" s="75">
        <v>0</v>
      </c>
      <c r="BG58" s="75">
        <v>0</v>
      </c>
      <c r="BH58" s="75">
        <v>0</v>
      </c>
      <c r="BI58" s="75">
        <v>0</v>
      </c>
      <c r="BJ58" s="75">
        <v>0</v>
      </c>
      <c r="BK58" s="75">
        <v>0</v>
      </c>
      <c r="BL58" s="76">
        <v>0</v>
      </c>
      <c r="BM58" s="76">
        <v>0</v>
      </c>
      <c r="BN58" s="76">
        <v>0.5</v>
      </c>
      <c r="BO58" s="76">
        <v>0</v>
      </c>
      <c r="BP58" s="76">
        <v>0</v>
      </c>
      <c r="BQ58" s="76">
        <v>0.25</v>
      </c>
      <c r="BR58" s="76">
        <v>0.25</v>
      </c>
      <c r="BS58" s="76">
        <v>0.25</v>
      </c>
      <c r="BT58" s="76">
        <v>0.25</v>
      </c>
      <c r="BU58" s="76">
        <v>0</v>
      </c>
      <c r="BV58" s="76">
        <v>0</v>
      </c>
      <c r="BW58" s="76">
        <v>0.25</v>
      </c>
      <c r="BX58" s="54">
        <v>0</v>
      </c>
      <c r="BY58" s="55">
        <v>0</v>
      </c>
      <c r="BZ58" s="60">
        <v>0</v>
      </c>
      <c r="CA58" s="5">
        <v>0</v>
      </c>
      <c r="CB58" s="5">
        <v>1</v>
      </c>
      <c r="CC58" s="5">
        <v>1</v>
      </c>
      <c r="CD58" s="5">
        <v>0</v>
      </c>
      <c r="CE58" s="5">
        <v>1</v>
      </c>
      <c r="CF58" s="5">
        <v>7.25</v>
      </c>
      <c r="CG58" s="191"/>
    </row>
    <row r="59" spans="1:85" s="5" customFormat="1" x14ac:dyDescent="0.15">
      <c r="A59" s="5" t="s">
        <v>262</v>
      </c>
      <c r="B59" s="5">
        <v>363</v>
      </c>
      <c r="C59" s="5" t="s">
        <v>393</v>
      </c>
      <c r="F59" s="65" t="s">
        <v>92</v>
      </c>
      <c r="G59" s="65" t="s">
        <v>70</v>
      </c>
      <c r="H59" s="65" t="s">
        <v>45</v>
      </c>
      <c r="I59" s="65" t="s">
        <v>92</v>
      </c>
      <c r="J59" s="68" t="s">
        <v>93</v>
      </c>
      <c r="K59" s="68" t="s">
        <v>9</v>
      </c>
      <c r="L59" s="65">
        <v>372</v>
      </c>
      <c r="M59" s="68">
        <v>62</v>
      </c>
      <c r="N59" s="67" t="s">
        <v>41</v>
      </c>
      <c r="O59" s="67">
        <v>670</v>
      </c>
      <c r="P59" s="65">
        <v>390</v>
      </c>
      <c r="Q59" s="65">
        <v>280</v>
      </c>
      <c r="R59" s="65" t="s">
        <v>96</v>
      </c>
      <c r="S59" s="67">
        <v>-6660164</v>
      </c>
      <c r="T59" s="65">
        <v>22036358</v>
      </c>
      <c r="U59" s="65">
        <v>78701.2785714286</v>
      </c>
      <c r="V59" s="65">
        <v>207</v>
      </c>
      <c r="W59" s="65">
        <v>62</v>
      </c>
      <c r="X59" s="65">
        <v>0</v>
      </c>
      <c r="Y59" s="65" t="s">
        <v>309</v>
      </c>
      <c r="Z59" s="65">
        <v>0</v>
      </c>
      <c r="AA59" s="65">
        <v>0</v>
      </c>
      <c r="AB59" s="65">
        <v>0</v>
      </c>
      <c r="AC59" s="65">
        <v>0</v>
      </c>
      <c r="AD59" s="65">
        <v>0</v>
      </c>
      <c r="AE59" s="65">
        <v>0</v>
      </c>
      <c r="AF59" s="65">
        <v>0</v>
      </c>
      <c r="AG59" s="65">
        <v>0</v>
      </c>
      <c r="AH59" s="65">
        <v>0</v>
      </c>
      <c r="AI59" s="65">
        <v>0</v>
      </c>
      <c r="AJ59" s="65">
        <v>0</v>
      </c>
      <c r="AK59" s="65">
        <v>0</v>
      </c>
      <c r="AL59" s="65">
        <v>0</v>
      </c>
      <c r="AM59" s="65">
        <v>0</v>
      </c>
      <c r="AN59" s="65">
        <v>0</v>
      </c>
      <c r="AO59" s="65" t="s">
        <v>309</v>
      </c>
      <c r="AP59" s="65" t="s">
        <v>309</v>
      </c>
      <c r="AQ59" s="65" t="s">
        <v>309</v>
      </c>
      <c r="AR59" s="78" t="s">
        <v>309</v>
      </c>
      <c r="AS59" s="11">
        <v>0.5</v>
      </c>
      <c r="AT59" s="11">
        <v>0.5</v>
      </c>
      <c r="AU59" s="11">
        <v>0.5</v>
      </c>
      <c r="AV59" s="11">
        <v>0.5</v>
      </c>
      <c r="AW59" s="11">
        <v>0.5</v>
      </c>
      <c r="AX59" s="11">
        <v>0.5</v>
      </c>
      <c r="AY59" s="11">
        <v>0</v>
      </c>
      <c r="AZ59" s="11">
        <v>0</v>
      </c>
      <c r="BA59" s="11">
        <v>0.5</v>
      </c>
      <c r="BB59" s="11">
        <v>0</v>
      </c>
      <c r="BC59" s="75">
        <v>0</v>
      </c>
      <c r="BD59" s="75">
        <v>0</v>
      </c>
      <c r="BE59" s="75">
        <v>1</v>
      </c>
      <c r="BF59" s="75">
        <v>0.5</v>
      </c>
      <c r="BG59" s="75">
        <v>0</v>
      </c>
      <c r="BH59" s="75">
        <v>0</v>
      </c>
      <c r="BI59" s="75">
        <v>0</v>
      </c>
      <c r="BJ59" s="75">
        <v>0</v>
      </c>
      <c r="BK59" s="75">
        <v>0</v>
      </c>
      <c r="BL59" s="76">
        <v>0</v>
      </c>
      <c r="BM59" s="76">
        <v>0</v>
      </c>
      <c r="BN59" s="76">
        <v>0</v>
      </c>
      <c r="BO59" s="76">
        <v>0</v>
      </c>
      <c r="BP59" s="76">
        <v>0</v>
      </c>
      <c r="BQ59" s="76">
        <v>0.25</v>
      </c>
      <c r="BR59" s="76">
        <v>0</v>
      </c>
      <c r="BS59" s="76">
        <v>0</v>
      </c>
      <c r="BT59" s="76">
        <v>0</v>
      </c>
      <c r="BU59" s="76">
        <v>0.25</v>
      </c>
      <c r="BV59" s="76">
        <v>0</v>
      </c>
      <c r="BW59" s="76">
        <v>0.25</v>
      </c>
      <c r="BX59" s="54">
        <v>0</v>
      </c>
      <c r="BY59" s="5">
        <v>0</v>
      </c>
      <c r="BZ59" s="60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5.75</v>
      </c>
      <c r="CG59" s="191"/>
    </row>
    <row r="60" spans="1:85" s="5" customFormat="1" x14ac:dyDescent="0.15">
      <c r="A60" s="5" t="s">
        <v>263</v>
      </c>
      <c r="B60" s="5">
        <v>367</v>
      </c>
      <c r="C60" s="5" t="s">
        <v>394</v>
      </c>
      <c r="F60" s="65" t="s">
        <v>318</v>
      </c>
      <c r="G60" s="65" t="s">
        <v>70</v>
      </c>
      <c r="H60" s="65" t="s">
        <v>9</v>
      </c>
      <c r="I60" s="65" t="s">
        <v>93</v>
      </c>
      <c r="J60" s="68" t="s">
        <v>93</v>
      </c>
      <c r="K60" s="68" t="s">
        <v>140</v>
      </c>
      <c r="L60" s="65">
        <v>387500</v>
      </c>
      <c r="M60" s="68">
        <v>77500</v>
      </c>
      <c r="N60" s="67" t="s">
        <v>41</v>
      </c>
      <c r="O60" s="67">
        <v>627.25</v>
      </c>
      <c r="P60" s="65">
        <v>507</v>
      </c>
      <c r="Q60" s="65">
        <v>120.25</v>
      </c>
      <c r="R60" s="65" t="s">
        <v>96</v>
      </c>
      <c r="S60" s="65">
        <v>6660164</v>
      </c>
      <c r="T60" s="65">
        <v>28696522</v>
      </c>
      <c r="U60" s="65">
        <v>238640.52</v>
      </c>
      <c r="V60" s="65">
        <v>67</v>
      </c>
      <c r="W60" s="65">
        <v>202644</v>
      </c>
      <c r="X60" s="65">
        <v>0</v>
      </c>
      <c r="Y60" s="65" t="s">
        <v>309</v>
      </c>
      <c r="Z60" s="65">
        <v>0</v>
      </c>
      <c r="AA60" s="65">
        <v>0</v>
      </c>
      <c r="AB60" s="65">
        <v>229216000</v>
      </c>
      <c r="AC60" s="65">
        <v>205396522</v>
      </c>
      <c r="AD60" s="65">
        <v>23819478</v>
      </c>
      <c r="AE60" s="65">
        <v>181047</v>
      </c>
      <c r="AF60" s="65">
        <v>2321387</v>
      </c>
      <c r="AG60" s="65">
        <v>4157730</v>
      </c>
      <c r="AH60" s="65">
        <v>17159314</v>
      </c>
      <c r="AI60" s="65">
        <v>3431862.8</v>
      </c>
      <c r="AJ60" s="65">
        <v>13727451.199999999</v>
      </c>
      <c r="AK60" s="65">
        <v>18.999546279491799</v>
      </c>
      <c r="AL60" s="65">
        <v>226707000</v>
      </c>
      <c r="AM60" s="65">
        <v>0</v>
      </c>
      <c r="AN60" s="65">
        <v>0</v>
      </c>
      <c r="AO60" s="65" t="s">
        <v>311</v>
      </c>
      <c r="AP60" s="65" t="s">
        <v>71</v>
      </c>
      <c r="AQ60" s="65" t="s">
        <v>70</v>
      </c>
      <c r="AR60" s="77" t="s">
        <v>204</v>
      </c>
      <c r="AS60" s="11">
        <v>0</v>
      </c>
      <c r="AT60" s="11">
        <v>0.5</v>
      </c>
      <c r="AU60" s="11">
        <v>0</v>
      </c>
      <c r="AV60" s="11">
        <v>0</v>
      </c>
      <c r="AW60" s="11">
        <v>0.5</v>
      </c>
      <c r="AX60" s="11">
        <v>0</v>
      </c>
      <c r="AY60" s="11">
        <v>1</v>
      </c>
      <c r="AZ60" s="11">
        <v>1</v>
      </c>
      <c r="BA60" s="11">
        <v>0.5</v>
      </c>
      <c r="BB60" s="11">
        <v>1</v>
      </c>
      <c r="BC60" s="75">
        <v>0.75</v>
      </c>
      <c r="BD60" s="75">
        <v>0.75</v>
      </c>
      <c r="BE60" s="75">
        <v>1</v>
      </c>
      <c r="BF60" s="75">
        <v>0.5</v>
      </c>
      <c r="BG60" s="75">
        <v>0</v>
      </c>
      <c r="BH60" s="75">
        <v>0</v>
      </c>
      <c r="BI60" s="75">
        <v>1</v>
      </c>
      <c r="BJ60" s="75">
        <v>0</v>
      </c>
      <c r="BK60" s="75">
        <v>0</v>
      </c>
      <c r="BL60" s="76">
        <v>0</v>
      </c>
      <c r="BM60" s="76">
        <v>0</v>
      </c>
      <c r="BN60" s="76">
        <v>0</v>
      </c>
      <c r="BO60" s="76">
        <v>0</v>
      </c>
      <c r="BP60" s="76">
        <v>0</v>
      </c>
      <c r="BQ60" s="76">
        <v>0.25</v>
      </c>
      <c r="BR60" s="76">
        <v>0.25</v>
      </c>
      <c r="BS60" s="76">
        <v>0.25</v>
      </c>
      <c r="BT60" s="76">
        <v>0.25</v>
      </c>
      <c r="BU60" s="76">
        <v>0.25</v>
      </c>
      <c r="BV60" s="76">
        <v>0</v>
      </c>
      <c r="BW60" s="76">
        <v>0.25</v>
      </c>
      <c r="BX60" s="54">
        <v>0</v>
      </c>
      <c r="BY60" s="5">
        <v>0</v>
      </c>
      <c r="BZ60" s="60">
        <v>0</v>
      </c>
      <c r="CA60" s="5">
        <v>0</v>
      </c>
      <c r="CB60" s="5">
        <v>0</v>
      </c>
      <c r="CC60" s="5">
        <v>1</v>
      </c>
      <c r="CD60" s="5">
        <v>1</v>
      </c>
      <c r="CE60" s="5">
        <v>1</v>
      </c>
      <c r="CF60" s="5">
        <v>13</v>
      </c>
      <c r="CG60" s="191"/>
    </row>
    <row r="61" spans="1:85" s="5" customFormat="1" x14ac:dyDescent="0.15">
      <c r="A61" s="3" t="s">
        <v>264</v>
      </c>
      <c r="B61" s="3">
        <v>400</v>
      </c>
      <c r="C61" s="3" t="s">
        <v>395</v>
      </c>
      <c r="D61" s="3"/>
      <c r="E61" s="3"/>
      <c r="F61" s="3" t="s">
        <v>92</v>
      </c>
      <c r="G61" s="3" t="s">
        <v>70</v>
      </c>
      <c r="H61" s="3" t="s">
        <v>45</v>
      </c>
      <c r="I61" s="3" t="s">
        <v>92</v>
      </c>
      <c r="J61" s="70" t="s">
        <v>93</v>
      </c>
      <c r="K61" s="70" t="s">
        <v>9</v>
      </c>
      <c r="L61" s="3">
        <v>310000</v>
      </c>
      <c r="M61" s="74">
        <v>77500</v>
      </c>
      <c r="N61" s="58" t="s">
        <v>41</v>
      </c>
      <c r="O61" s="58">
        <v>627.24776129032296</v>
      </c>
      <c r="P61" s="3">
        <v>599.56942580645205</v>
      </c>
      <c r="Q61" s="63">
        <v>27.678335483870999</v>
      </c>
      <c r="R61" s="63" t="s">
        <v>96</v>
      </c>
      <c r="S61" s="58">
        <v>6660164</v>
      </c>
      <c r="T61" s="63">
        <v>35356686</v>
      </c>
      <c r="U61" s="63">
        <v>1277413.7382865199</v>
      </c>
      <c r="V61" s="63">
        <v>66.599999999999994</v>
      </c>
      <c r="W61" s="63">
        <v>258031.298604285</v>
      </c>
      <c r="X61" s="63">
        <v>2448.9461657704001</v>
      </c>
      <c r="Y61" s="63" t="s">
        <v>311</v>
      </c>
      <c r="Z61" s="63">
        <v>1.8723294005578199E-2</v>
      </c>
      <c r="AA61" s="63">
        <v>1.8723294005578199E-2</v>
      </c>
      <c r="AB61" s="63">
        <v>229215337.34193501</v>
      </c>
      <c r="AC61" s="63">
        <v>216693550.03871</v>
      </c>
      <c r="AD61" s="63">
        <v>12521787.3032258</v>
      </c>
      <c r="AE61" s="63">
        <v>181047</v>
      </c>
      <c r="AF61" s="66">
        <v>2321387</v>
      </c>
      <c r="AG61" s="66">
        <v>4157730</v>
      </c>
      <c r="AH61" s="66">
        <v>5861623.30322582</v>
      </c>
      <c r="AI61" s="66">
        <v>1172324.6606451599</v>
      </c>
      <c r="AJ61" s="66">
        <v>4689298.6425806498</v>
      </c>
      <c r="AK61" s="66">
        <v>0.18999601206892</v>
      </c>
      <c r="AL61" s="66">
        <v>226706346.296774</v>
      </c>
      <c r="AM61" s="66">
        <v>214295272.335484</v>
      </c>
      <c r="AN61" s="66">
        <v>0</v>
      </c>
      <c r="AO61" s="66" t="s">
        <v>41</v>
      </c>
      <c r="AP61" s="66" t="s">
        <v>71</v>
      </c>
      <c r="AQ61" s="66" t="s">
        <v>70</v>
      </c>
      <c r="AR61" s="9" t="s">
        <v>71</v>
      </c>
      <c r="AS61" s="9">
        <v>0.5</v>
      </c>
      <c r="AT61" s="9">
        <v>0.5</v>
      </c>
      <c r="AU61" s="9">
        <v>0.5</v>
      </c>
      <c r="AV61" s="9">
        <v>0.5</v>
      </c>
      <c r="AW61" s="9">
        <v>0.5</v>
      </c>
      <c r="AX61" s="9">
        <v>0.5</v>
      </c>
      <c r="AY61" s="9">
        <v>0</v>
      </c>
      <c r="AZ61" s="9">
        <v>1</v>
      </c>
      <c r="BA61" s="9">
        <v>0.5</v>
      </c>
      <c r="BB61" s="9">
        <v>1</v>
      </c>
      <c r="BC61" s="9">
        <v>0</v>
      </c>
      <c r="BD61" s="9">
        <v>0</v>
      </c>
      <c r="BE61" s="9">
        <v>1</v>
      </c>
      <c r="BF61" s="9">
        <v>0.5</v>
      </c>
      <c r="BG61" s="9">
        <v>0.5</v>
      </c>
      <c r="BH61" s="9">
        <v>0</v>
      </c>
      <c r="BI61" s="9">
        <v>1</v>
      </c>
      <c r="BJ61" s="9">
        <v>2</v>
      </c>
      <c r="BK61" s="3">
        <v>0</v>
      </c>
      <c r="BL61" s="3">
        <v>0</v>
      </c>
      <c r="BM61" s="3">
        <v>0</v>
      </c>
      <c r="BN61" s="3">
        <v>0.5</v>
      </c>
      <c r="BO61" s="3">
        <v>1</v>
      </c>
      <c r="BP61" s="3">
        <v>0</v>
      </c>
      <c r="BQ61" s="3">
        <v>0</v>
      </c>
      <c r="BR61" s="3">
        <v>0.25</v>
      </c>
      <c r="BS61" s="3">
        <v>0.25</v>
      </c>
      <c r="BT61" s="3">
        <v>0.25</v>
      </c>
      <c r="BU61" s="3">
        <v>0</v>
      </c>
      <c r="BV61" s="3">
        <v>0</v>
      </c>
      <c r="BW61" s="3">
        <v>0</v>
      </c>
      <c r="BX61" s="54">
        <v>0.25</v>
      </c>
      <c r="BY61" s="3">
        <v>1.5</v>
      </c>
      <c r="BZ61" s="60">
        <v>0</v>
      </c>
      <c r="CA61" s="5">
        <v>0</v>
      </c>
      <c r="CB61" s="5">
        <v>1</v>
      </c>
      <c r="CC61" s="5">
        <v>1</v>
      </c>
      <c r="CD61" s="5">
        <v>1</v>
      </c>
      <c r="CE61" s="5">
        <v>0</v>
      </c>
      <c r="CF61" s="5">
        <v>17.5</v>
      </c>
      <c r="CG61" s="191"/>
    </row>
    <row r="62" spans="1:85" s="5" customFormat="1" x14ac:dyDescent="0.15">
      <c r="A62" s="5" t="s">
        <v>265</v>
      </c>
      <c r="B62" s="5">
        <v>355</v>
      </c>
      <c r="C62" s="5" t="s">
        <v>396</v>
      </c>
      <c r="F62" s="65" t="s">
        <v>318</v>
      </c>
      <c r="G62" s="65" t="s">
        <v>70</v>
      </c>
      <c r="H62" s="65" t="s">
        <v>45</v>
      </c>
      <c r="I62" s="65" t="s">
        <v>92</v>
      </c>
      <c r="J62" s="68" t="s">
        <v>92</v>
      </c>
      <c r="K62" s="68" t="s">
        <v>9</v>
      </c>
      <c r="L62" s="65">
        <v>387500</v>
      </c>
      <c r="M62" s="68">
        <v>77500</v>
      </c>
      <c r="N62" s="67" t="s">
        <v>41</v>
      </c>
      <c r="O62" s="67">
        <v>627.24776129032296</v>
      </c>
      <c r="P62" s="65">
        <v>507</v>
      </c>
      <c r="Q62" s="65">
        <v>120.247761290323</v>
      </c>
      <c r="R62" s="65" t="s">
        <v>328</v>
      </c>
      <c r="S62" s="65">
        <v>6660164</v>
      </c>
      <c r="T62" s="65">
        <v>35356686</v>
      </c>
      <c r="U62" s="65">
        <v>69430</v>
      </c>
      <c r="V62" s="65">
        <v>66.602500000000006</v>
      </c>
      <c r="W62" s="65">
        <v>13062.324819056201</v>
      </c>
      <c r="X62" s="65">
        <v>99243.24</v>
      </c>
      <c r="Y62" s="65" t="s">
        <v>41</v>
      </c>
      <c r="Z62" s="65">
        <v>1.8723294005578199E-2</v>
      </c>
      <c r="AA62" s="65">
        <v>1.8723294005578199E-2</v>
      </c>
      <c r="AB62" s="65">
        <v>229215337.34193501</v>
      </c>
      <c r="AC62" s="65">
        <v>189292837.5</v>
      </c>
      <c r="AD62" s="65">
        <v>39922499.841935501</v>
      </c>
      <c r="AE62" s="65">
        <v>181047</v>
      </c>
      <c r="AF62" s="65">
        <v>2321387</v>
      </c>
      <c r="AG62" s="65">
        <v>4157730</v>
      </c>
      <c r="AH62" s="65">
        <v>33262335.841935501</v>
      </c>
      <c r="AI62" s="65">
        <v>6652467.1683871001</v>
      </c>
      <c r="AJ62" s="65">
        <v>26609868.6735484</v>
      </c>
      <c r="AK62" s="65">
        <v>0.18999601206892</v>
      </c>
      <c r="AL62" s="65">
        <v>226706346.296774</v>
      </c>
      <c r="AM62" s="65">
        <v>26225075.837419402</v>
      </c>
      <c r="AN62" s="65">
        <v>11157</v>
      </c>
      <c r="AO62" s="65" t="s">
        <v>41</v>
      </c>
      <c r="AP62" s="65" t="s">
        <v>71</v>
      </c>
      <c r="AQ62" s="65" t="s">
        <v>70</v>
      </c>
      <c r="AR62" s="77" t="s">
        <v>204</v>
      </c>
      <c r="AS62" s="11">
        <v>0</v>
      </c>
      <c r="AT62" s="11">
        <v>0.5</v>
      </c>
      <c r="AU62" s="11">
        <v>0.5</v>
      </c>
      <c r="AV62" s="11">
        <v>0.5</v>
      </c>
      <c r="AW62" s="11">
        <v>0</v>
      </c>
      <c r="AX62" s="11">
        <v>0.5</v>
      </c>
      <c r="AY62" s="11">
        <v>1</v>
      </c>
      <c r="AZ62" s="11">
        <v>1</v>
      </c>
      <c r="BA62" s="11">
        <v>0.5</v>
      </c>
      <c r="BB62" s="11">
        <v>1</v>
      </c>
      <c r="BC62" s="75">
        <v>0.75</v>
      </c>
      <c r="BD62" s="75">
        <v>0.75</v>
      </c>
      <c r="BE62" s="75">
        <v>0</v>
      </c>
      <c r="BF62" s="75">
        <v>0.5</v>
      </c>
      <c r="BG62" s="75">
        <v>0.5</v>
      </c>
      <c r="BH62" s="75">
        <v>0</v>
      </c>
      <c r="BI62" s="75">
        <v>1</v>
      </c>
      <c r="BJ62" s="75">
        <v>0</v>
      </c>
      <c r="BK62" s="75">
        <v>0</v>
      </c>
      <c r="BL62" s="76">
        <v>0.5</v>
      </c>
      <c r="BM62" s="76">
        <v>0</v>
      </c>
      <c r="BN62" s="76">
        <v>0.5</v>
      </c>
      <c r="BO62" s="76">
        <v>1</v>
      </c>
      <c r="BP62" s="76">
        <v>0</v>
      </c>
      <c r="BQ62" s="76">
        <v>0</v>
      </c>
      <c r="BR62" s="76">
        <v>0.25</v>
      </c>
      <c r="BS62" s="76">
        <v>0.25</v>
      </c>
      <c r="BT62" s="76">
        <v>0.25</v>
      </c>
      <c r="BU62" s="76">
        <v>0.25</v>
      </c>
      <c r="BV62" s="76">
        <v>0</v>
      </c>
      <c r="BW62" s="76">
        <v>0.25</v>
      </c>
      <c r="BX62" s="54">
        <v>0.25</v>
      </c>
      <c r="BY62" s="5">
        <v>1.5</v>
      </c>
      <c r="BZ62" s="60">
        <v>0</v>
      </c>
      <c r="CA62" s="5">
        <v>0</v>
      </c>
      <c r="CB62" s="5">
        <v>1</v>
      </c>
      <c r="CC62" s="5">
        <v>1</v>
      </c>
      <c r="CD62" s="5">
        <v>1</v>
      </c>
      <c r="CE62" s="5">
        <v>1</v>
      </c>
      <c r="CF62" s="5">
        <v>18</v>
      </c>
      <c r="CG62" s="191"/>
    </row>
    <row r="63" spans="1:85" s="5" customFormat="1" x14ac:dyDescent="0.15">
      <c r="A63" s="5" t="s">
        <v>266</v>
      </c>
      <c r="B63" s="5">
        <v>339</v>
      </c>
      <c r="C63" s="5" t="s">
        <v>397</v>
      </c>
      <c r="F63" s="5" t="s">
        <v>92</v>
      </c>
      <c r="G63" s="5" t="s">
        <v>70</v>
      </c>
      <c r="H63" s="5" t="s">
        <v>45</v>
      </c>
      <c r="I63" s="5" t="s">
        <v>92</v>
      </c>
      <c r="J63" s="10" t="s">
        <v>93</v>
      </c>
      <c r="K63" s="10" t="s">
        <v>9</v>
      </c>
      <c r="L63" s="5">
        <v>387500</v>
      </c>
      <c r="M63" s="72">
        <v>77500</v>
      </c>
      <c r="N63" s="54" t="s">
        <v>41</v>
      </c>
      <c r="O63" s="54">
        <v>627.24776129032296</v>
      </c>
      <c r="P63" s="5">
        <v>509.1</v>
      </c>
      <c r="Q63" s="60">
        <v>118.147761290323</v>
      </c>
      <c r="R63" s="60" t="s">
        <v>96</v>
      </c>
      <c r="S63" s="54">
        <v>6660164</v>
      </c>
      <c r="T63" s="60">
        <v>35356686</v>
      </c>
      <c r="U63" s="60">
        <v>299258.19680255</v>
      </c>
      <c r="V63" s="60">
        <v>146.59800000000001</v>
      </c>
      <c r="W63" s="60">
        <v>218601.91200000001</v>
      </c>
      <c r="X63" s="60">
        <v>80650.612999999998</v>
      </c>
      <c r="Y63" s="60" t="s">
        <v>41</v>
      </c>
      <c r="Z63" s="63">
        <v>1.8723294005578199E-2</v>
      </c>
      <c r="AA63" s="63">
        <v>1.8723294005578199E-2</v>
      </c>
      <c r="AB63" s="63">
        <v>229216000</v>
      </c>
      <c r="AC63" s="63">
        <v>0</v>
      </c>
      <c r="AD63" s="63">
        <v>0</v>
      </c>
      <c r="AE63" s="63">
        <v>0</v>
      </c>
      <c r="AF63" s="66">
        <v>0</v>
      </c>
      <c r="AG63" s="66">
        <v>0</v>
      </c>
      <c r="AH63" s="66">
        <v>0</v>
      </c>
      <c r="AI63" s="66">
        <v>0</v>
      </c>
      <c r="AJ63" s="66">
        <v>0</v>
      </c>
      <c r="AK63" s="66">
        <v>0</v>
      </c>
      <c r="AL63" s="66">
        <v>0</v>
      </c>
      <c r="AM63" s="66">
        <v>0</v>
      </c>
      <c r="AN63" s="66">
        <v>0</v>
      </c>
      <c r="AO63" s="66" t="s">
        <v>311</v>
      </c>
      <c r="AP63" s="66" t="s">
        <v>71</v>
      </c>
      <c r="AQ63" s="66" t="s">
        <v>70</v>
      </c>
      <c r="AR63" s="9" t="s">
        <v>204</v>
      </c>
      <c r="AS63" s="9">
        <v>0.5</v>
      </c>
      <c r="AT63" s="9">
        <v>0.5</v>
      </c>
      <c r="AU63" s="9">
        <v>0.5</v>
      </c>
      <c r="AV63" s="9">
        <v>0.5</v>
      </c>
      <c r="AW63" s="9">
        <v>0.5</v>
      </c>
      <c r="AX63" s="9">
        <v>0.5</v>
      </c>
      <c r="AY63" s="9">
        <v>1</v>
      </c>
      <c r="AZ63" s="9">
        <v>1</v>
      </c>
      <c r="BA63" s="9">
        <v>0.5</v>
      </c>
      <c r="BB63" s="9">
        <v>1</v>
      </c>
      <c r="BC63" s="9">
        <v>0</v>
      </c>
      <c r="BD63" s="9">
        <v>0</v>
      </c>
      <c r="BE63" s="9">
        <v>1</v>
      </c>
      <c r="BF63" s="9">
        <v>0.5</v>
      </c>
      <c r="BG63" s="9">
        <v>0.5</v>
      </c>
      <c r="BH63" s="9">
        <v>0</v>
      </c>
      <c r="BI63" s="9">
        <v>0</v>
      </c>
      <c r="BJ63" s="9">
        <v>0</v>
      </c>
      <c r="BK63" s="3">
        <v>0</v>
      </c>
      <c r="BL63" s="3">
        <v>0.5</v>
      </c>
      <c r="BM63" s="3">
        <v>0</v>
      </c>
      <c r="BN63" s="3">
        <v>0.5</v>
      </c>
      <c r="BO63" s="3">
        <v>0</v>
      </c>
      <c r="BP63" s="3">
        <v>0</v>
      </c>
      <c r="BQ63" s="3">
        <v>0</v>
      </c>
      <c r="BR63" s="3">
        <v>0</v>
      </c>
      <c r="BS63" s="3">
        <v>0</v>
      </c>
      <c r="BT63" s="3">
        <v>0</v>
      </c>
      <c r="BU63" s="3">
        <v>0.25</v>
      </c>
      <c r="BV63" s="3">
        <v>0</v>
      </c>
      <c r="BW63" s="3">
        <v>0.25</v>
      </c>
      <c r="BX63" s="54">
        <v>0</v>
      </c>
      <c r="BY63" s="3">
        <v>0</v>
      </c>
      <c r="BZ63" s="60">
        <v>0</v>
      </c>
      <c r="CA63" s="5">
        <v>0</v>
      </c>
      <c r="CB63" s="5">
        <v>0</v>
      </c>
      <c r="CC63" s="5">
        <v>1</v>
      </c>
      <c r="CD63" s="5">
        <v>1</v>
      </c>
      <c r="CE63" s="5">
        <v>1</v>
      </c>
      <c r="CF63" s="5">
        <v>13</v>
      </c>
      <c r="CG63" s="191"/>
    </row>
    <row r="64" spans="1:85" s="5" customFormat="1" x14ac:dyDescent="0.15">
      <c r="A64" s="5" t="s">
        <v>267</v>
      </c>
      <c r="B64" s="5">
        <v>330</v>
      </c>
      <c r="C64" s="5" t="s">
        <v>398</v>
      </c>
      <c r="F64" s="65" t="s">
        <v>92</v>
      </c>
      <c r="G64" s="65" t="s">
        <v>70</v>
      </c>
      <c r="H64" s="65" t="s">
        <v>140</v>
      </c>
      <c r="I64" s="65" t="s">
        <v>318</v>
      </c>
      <c r="J64" s="68" t="s">
        <v>92</v>
      </c>
      <c r="K64" s="68" t="s">
        <v>9</v>
      </c>
      <c r="L64" s="65">
        <v>310000</v>
      </c>
      <c r="M64" s="68">
        <v>0</v>
      </c>
      <c r="N64" s="67" t="s">
        <v>41</v>
      </c>
      <c r="O64" s="67">
        <v>390</v>
      </c>
      <c r="P64" s="65">
        <v>670</v>
      </c>
      <c r="Q64" s="65">
        <v>0</v>
      </c>
      <c r="R64" s="65" t="s">
        <v>328</v>
      </c>
      <c r="S64" s="67">
        <v>6660164</v>
      </c>
      <c r="T64" s="65">
        <v>82041974</v>
      </c>
      <c r="U64" s="65">
        <v>0</v>
      </c>
      <c r="V64" s="65">
        <v>0</v>
      </c>
      <c r="W64" s="65">
        <v>0</v>
      </c>
      <c r="X64" s="65">
        <v>0</v>
      </c>
      <c r="Y64" s="65" t="s">
        <v>41</v>
      </c>
      <c r="Z64" s="65">
        <v>82041974</v>
      </c>
      <c r="AA64" s="65">
        <v>82041974</v>
      </c>
      <c r="AB64" s="65">
        <v>197650000</v>
      </c>
      <c r="AC64" s="65">
        <v>178261522</v>
      </c>
      <c r="AD64" s="65">
        <v>19388478</v>
      </c>
      <c r="AE64" s="65">
        <v>181047</v>
      </c>
      <c r="AF64" s="65">
        <v>2321387</v>
      </c>
      <c r="AG64" s="65">
        <v>4157730</v>
      </c>
      <c r="AH64" s="65">
        <v>12728314</v>
      </c>
      <c r="AI64" s="65">
        <v>2545662.7999999998</v>
      </c>
      <c r="AJ64" s="65">
        <v>10182651.199999999</v>
      </c>
      <c r="AK64" s="65">
        <v>5.1518599544649601E-2</v>
      </c>
      <c r="AL64" s="65">
        <v>195640000</v>
      </c>
      <c r="AM64" s="65">
        <v>0</v>
      </c>
      <c r="AN64" s="65">
        <v>5787</v>
      </c>
      <c r="AO64" s="65" t="s">
        <v>41</v>
      </c>
      <c r="AP64" s="65" t="s">
        <v>71</v>
      </c>
      <c r="AQ64" s="65" t="s">
        <v>70</v>
      </c>
      <c r="AR64" s="78" t="s">
        <v>204</v>
      </c>
      <c r="AS64" s="11">
        <v>0.5</v>
      </c>
      <c r="AT64" s="11">
        <v>0.5</v>
      </c>
      <c r="AU64" s="11">
        <v>0</v>
      </c>
      <c r="AV64" s="11">
        <v>0</v>
      </c>
      <c r="AW64" s="11">
        <v>0</v>
      </c>
      <c r="AX64" s="11">
        <v>0.5</v>
      </c>
      <c r="AY64" s="11">
        <v>0</v>
      </c>
      <c r="AZ64" s="11">
        <v>0</v>
      </c>
      <c r="BA64" s="11">
        <v>0.5</v>
      </c>
      <c r="BB64" s="11">
        <v>0</v>
      </c>
      <c r="BC64" s="75">
        <v>0</v>
      </c>
      <c r="BD64" s="75">
        <v>0</v>
      </c>
      <c r="BE64" s="75">
        <v>0</v>
      </c>
      <c r="BF64" s="75">
        <v>0.5</v>
      </c>
      <c r="BG64" s="75">
        <v>0</v>
      </c>
      <c r="BH64" s="75">
        <v>0</v>
      </c>
      <c r="BI64" s="75">
        <v>0</v>
      </c>
      <c r="BJ64" s="75">
        <v>0</v>
      </c>
      <c r="BK64" s="75">
        <v>0</v>
      </c>
      <c r="BL64" s="76">
        <v>0.5</v>
      </c>
      <c r="BM64" s="76">
        <v>0</v>
      </c>
      <c r="BN64" s="76">
        <v>0</v>
      </c>
      <c r="BO64" s="76">
        <v>0</v>
      </c>
      <c r="BP64" s="76">
        <v>0</v>
      </c>
      <c r="BQ64" s="76">
        <v>0.25</v>
      </c>
      <c r="BR64" s="76">
        <v>0.25</v>
      </c>
      <c r="BS64" s="76">
        <v>0.25</v>
      </c>
      <c r="BT64" s="76">
        <v>0.25</v>
      </c>
      <c r="BU64" s="76">
        <v>0.25</v>
      </c>
      <c r="BV64" s="76">
        <v>0</v>
      </c>
      <c r="BW64" s="76">
        <v>0.25</v>
      </c>
      <c r="BX64" s="54">
        <v>0</v>
      </c>
      <c r="BY64" s="5">
        <v>0</v>
      </c>
      <c r="BZ64" s="60">
        <v>0</v>
      </c>
      <c r="CA64" s="5">
        <v>0</v>
      </c>
      <c r="CB64" s="5">
        <v>1</v>
      </c>
      <c r="CC64" s="5">
        <v>1</v>
      </c>
      <c r="CD64" s="5">
        <v>1</v>
      </c>
      <c r="CE64" s="5">
        <v>1</v>
      </c>
      <c r="CF64" s="5">
        <v>8.5</v>
      </c>
      <c r="CG64" s="191"/>
    </row>
    <row r="65" spans="1:85" s="5" customFormat="1" x14ac:dyDescent="0.15">
      <c r="A65" s="5" t="s">
        <v>268</v>
      </c>
      <c r="B65" s="5">
        <v>356</v>
      </c>
      <c r="C65" s="5" t="s">
        <v>399</v>
      </c>
      <c r="F65" s="65" t="s">
        <v>92</v>
      </c>
      <c r="G65" s="65" t="s">
        <v>70</v>
      </c>
      <c r="H65" s="65" t="s">
        <v>45</v>
      </c>
      <c r="I65" s="65" t="s">
        <v>92</v>
      </c>
      <c r="J65" s="68" t="s">
        <v>93</v>
      </c>
      <c r="K65" s="68" t="s">
        <v>9</v>
      </c>
      <c r="L65" s="65">
        <v>387500</v>
      </c>
      <c r="M65" s="68">
        <v>77500</v>
      </c>
      <c r="N65" s="67" t="s">
        <v>41</v>
      </c>
      <c r="O65" s="67">
        <v>627.24776129032296</v>
      </c>
      <c r="P65" s="65">
        <v>507</v>
      </c>
      <c r="Q65" s="65">
        <v>120.247761290323</v>
      </c>
      <c r="R65" s="65" t="s">
        <v>96</v>
      </c>
      <c r="S65" s="67">
        <v>6660164</v>
      </c>
      <c r="T65" s="65">
        <v>35356686</v>
      </c>
      <c r="U65" s="65">
        <v>56367.974797179202</v>
      </c>
      <c r="V65" s="65">
        <v>207</v>
      </c>
      <c r="W65" s="65">
        <v>58741.794317993001</v>
      </c>
      <c r="X65" s="65">
        <v>250000</v>
      </c>
      <c r="Y65" s="65" t="s">
        <v>311</v>
      </c>
      <c r="Z65" s="65">
        <v>1.8723294005578199E-2</v>
      </c>
      <c r="AA65" s="65">
        <v>1.8723294005578199E-2</v>
      </c>
      <c r="AB65" s="65">
        <v>176140016</v>
      </c>
      <c r="AC65" s="65">
        <v>177405086</v>
      </c>
      <c r="AD65" s="65">
        <v>-1265070</v>
      </c>
      <c r="AE65" s="65">
        <v>-181047</v>
      </c>
      <c r="AF65" s="65">
        <v>-2321387</v>
      </c>
      <c r="AG65" s="65">
        <v>-4157730</v>
      </c>
      <c r="AH65" s="65">
        <v>-7925234</v>
      </c>
      <c r="AI65" s="65">
        <v>0</v>
      </c>
      <c r="AJ65" s="65">
        <v>-7925234</v>
      </c>
      <c r="AK65" s="65">
        <v>0</v>
      </c>
      <c r="AL65" s="65">
        <v>173154592</v>
      </c>
      <c r="AM65" s="65">
        <v>19326423.800000001</v>
      </c>
      <c r="AN65" s="65">
        <v>300000</v>
      </c>
      <c r="AO65" s="65" t="s">
        <v>41</v>
      </c>
      <c r="AP65" s="65" t="s">
        <v>71</v>
      </c>
      <c r="AQ65" s="65" t="s">
        <v>70</v>
      </c>
      <c r="AR65" s="78" t="s">
        <v>204</v>
      </c>
      <c r="AS65" s="11">
        <v>0.5</v>
      </c>
      <c r="AT65" s="11">
        <v>0.5</v>
      </c>
      <c r="AU65" s="11">
        <v>0.5</v>
      </c>
      <c r="AV65" s="11">
        <v>0.5</v>
      </c>
      <c r="AW65" s="11">
        <v>0.5</v>
      </c>
      <c r="AX65" s="11">
        <v>0.5</v>
      </c>
      <c r="AY65" s="11">
        <v>1</v>
      </c>
      <c r="AZ65" s="11">
        <v>1</v>
      </c>
      <c r="BA65" s="11">
        <v>0.5</v>
      </c>
      <c r="BB65" s="11">
        <v>1</v>
      </c>
      <c r="BC65" s="75">
        <v>0.75</v>
      </c>
      <c r="BD65" s="75">
        <v>0.75</v>
      </c>
      <c r="BE65" s="75">
        <v>1</v>
      </c>
      <c r="BF65" s="75">
        <v>0.5</v>
      </c>
      <c r="BG65" s="75">
        <v>0.5</v>
      </c>
      <c r="BH65" s="75">
        <v>0</v>
      </c>
      <c r="BI65" s="75">
        <v>0</v>
      </c>
      <c r="BJ65" s="75">
        <v>0</v>
      </c>
      <c r="BK65" s="75">
        <v>0</v>
      </c>
      <c r="BL65" s="76">
        <v>0</v>
      </c>
      <c r="BM65" s="76">
        <v>0</v>
      </c>
      <c r="BN65" s="76">
        <v>0.5</v>
      </c>
      <c r="BO65" s="76">
        <v>0</v>
      </c>
      <c r="BP65" s="76">
        <v>0</v>
      </c>
      <c r="BQ65" s="76">
        <v>0.25</v>
      </c>
      <c r="BR65" s="76">
        <v>0.25</v>
      </c>
      <c r="BS65" s="76">
        <v>0.25</v>
      </c>
      <c r="BT65" s="76">
        <v>0.25</v>
      </c>
      <c r="BU65" s="76">
        <v>0</v>
      </c>
      <c r="BV65" s="76">
        <v>0</v>
      </c>
      <c r="BW65" s="76">
        <v>0.25</v>
      </c>
      <c r="BX65" s="54">
        <v>0</v>
      </c>
      <c r="BY65" s="5">
        <v>0</v>
      </c>
      <c r="BZ65" s="60">
        <v>0</v>
      </c>
      <c r="CA65" s="5">
        <v>0</v>
      </c>
      <c r="CB65" s="5">
        <v>1</v>
      </c>
      <c r="CC65" s="5">
        <v>1</v>
      </c>
      <c r="CD65" s="5">
        <v>1</v>
      </c>
      <c r="CE65" s="5">
        <v>1</v>
      </c>
      <c r="CF65" s="5">
        <v>15.75</v>
      </c>
      <c r="CG65" s="191"/>
    </row>
    <row r="66" spans="1:85" s="5" customFormat="1" x14ac:dyDescent="0.15">
      <c r="A66" s="5" t="s">
        <v>269</v>
      </c>
      <c r="B66" s="5">
        <v>336</v>
      </c>
      <c r="C66" s="5" t="s">
        <v>400</v>
      </c>
      <c r="F66" s="65" t="s">
        <v>92</v>
      </c>
      <c r="G66" s="65" t="s">
        <v>70</v>
      </c>
      <c r="H66" s="65" t="s">
        <v>45</v>
      </c>
      <c r="I66" s="65" t="s">
        <v>92</v>
      </c>
      <c r="J66" s="68" t="s">
        <v>93</v>
      </c>
      <c r="K66" s="68" t="s">
        <v>9</v>
      </c>
      <c r="L66" s="65">
        <v>387500</v>
      </c>
      <c r="M66" s="68">
        <v>77500</v>
      </c>
      <c r="N66" s="67" t="s">
        <v>41</v>
      </c>
      <c r="O66" s="67">
        <v>627.24776129032296</v>
      </c>
      <c r="P66" s="65">
        <v>507</v>
      </c>
      <c r="Q66" s="65">
        <v>120.247761290323</v>
      </c>
      <c r="R66" s="65" t="s">
        <v>96</v>
      </c>
      <c r="S66" s="65">
        <v>6660164</v>
      </c>
      <c r="T66" s="65">
        <v>35356686</v>
      </c>
      <c r="U66" s="65">
        <v>294031.96883338102</v>
      </c>
      <c r="V66" s="65">
        <v>66.599999999999994</v>
      </c>
      <c r="W66" s="65">
        <v>0</v>
      </c>
      <c r="X66" s="65">
        <v>36000.670229096402</v>
      </c>
      <c r="Y66" s="65" t="s">
        <v>41</v>
      </c>
      <c r="Z66" s="65">
        <v>1.8723294005578199E-2</v>
      </c>
      <c r="AA66" s="65">
        <v>1.8723294005578199E-2</v>
      </c>
      <c r="AB66" s="65">
        <v>229215337.34193501</v>
      </c>
      <c r="AC66" s="65">
        <v>217989522</v>
      </c>
      <c r="AD66" s="65">
        <v>11225815.341935501</v>
      </c>
      <c r="AE66" s="65">
        <v>-181047</v>
      </c>
      <c r="AF66" s="65">
        <v>-2321387</v>
      </c>
      <c r="AG66" s="65">
        <v>-4157730</v>
      </c>
      <c r="AH66" s="65">
        <v>4565651.3419354903</v>
      </c>
      <c r="AI66" s="65">
        <v>913130.26838709705</v>
      </c>
      <c r="AJ66" s="65">
        <v>3652521.0735483901</v>
      </c>
      <c r="AK66" s="65">
        <v>0.18999601206892</v>
      </c>
      <c r="AL66" s="65">
        <v>226706346.296774</v>
      </c>
      <c r="AM66" s="65">
        <v>-106309711.76258101</v>
      </c>
      <c r="AN66" s="65">
        <v>0</v>
      </c>
      <c r="AO66" s="65" t="s">
        <v>41</v>
      </c>
      <c r="AP66" s="65" t="s">
        <v>71</v>
      </c>
      <c r="AQ66" s="65" t="s">
        <v>70</v>
      </c>
      <c r="AR66" s="77" t="s">
        <v>309</v>
      </c>
      <c r="AS66" s="11">
        <v>0.5</v>
      </c>
      <c r="AT66" s="11">
        <v>0.5</v>
      </c>
      <c r="AU66" s="11">
        <v>0.5</v>
      </c>
      <c r="AV66" s="11">
        <v>0.5</v>
      </c>
      <c r="AW66" s="11">
        <v>0.5</v>
      </c>
      <c r="AX66" s="11">
        <v>0.5</v>
      </c>
      <c r="AY66" s="11">
        <v>1</v>
      </c>
      <c r="AZ66" s="11">
        <v>1</v>
      </c>
      <c r="BA66" s="11">
        <v>0.5</v>
      </c>
      <c r="BB66" s="11">
        <v>1</v>
      </c>
      <c r="BC66" s="75">
        <v>0.75</v>
      </c>
      <c r="BD66" s="75">
        <v>0.75</v>
      </c>
      <c r="BE66" s="75">
        <v>1</v>
      </c>
      <c r="BF66" s="75">
        <v>0.5</v>
      </c>
      <c r="BG66" s="75">
        <v>0.5</v>
      </c>
      <c r="BH66" s="75">
        <v>0.5</v>
      </c>
      <c r="BI66" s="75">
        <v>1</v>
      </c>
      <c r="BJ66" s="75">
        <v>0</v>
      </c>
      <c r="BK66" s="75">
        <v>1.5</v>
      </c>
      <c r="BL66" s="76">
        <v>0.5</v>
      </c>
      <c r="BM66" s="76">
        <v>0</v>
      </c>
      <c r="BN66" s="76">
        <v>0.5</v>
      </c>
      <c r="BO66" s="76">
        <v>1</v>
      </c>
      <c r="BP66" s="76">
        <v>1</v>
      </c>
      <c r="BQ66" s="76">
        <v>0.25</v>
      </c>
      <c r="BR66" s="76">
        <v>0.25</v>
      </c>
      <c r="BS66" s="76">
        <v>0.25</v>
      </c>
      <c r="BT66" s="76">
        <v>0.25</v>
      </c>
      <c r="BU66" s="76">
        <v>0.25</v>
      </c>
      <c r="BV66" s="76">
        <v>0.25</v>
      </c>
      <c r="BW66" s="76">
        <v>0.25</v>
      </c>
      <c r="BX66" s="54">
        <v>0.25</v>
      </c>
      <c r="BY66" s="5">
        <v>1.5</v>
      </c>
      <c r="BZ66" s="60">
        <v>0</v>
      </c>
      <c r="CA66" s="5">
        <v>0</v>
      </c>
      <c r="CB66" s="5">
        <v>1</v>
      </c>
      <c r="CC66" s="5">
        <v>1</v>
      </c>
      <c r="CD66" s="5">
        <v>1</v>
      </c>
      <c r="CE66" s="5">
        <v>0</v>
      </c>
      <c r="CF66" s="5">
        <v>22.5</v>
      </c>
      <c r="CG66" s="191"/>
    </row>
    <row r="67" spans="1:85" s="5" customFormat="1" x14ac:dyDescent="0.15">
      <c r="A67" s="5" t="s">
        <v>270</v>
      </c>
      <c r="B67" s="5">
        <v>394</v>
      </c>
      <c r="C67" s="5" t="s">
        <v>401</v>
      </c>
      <c r="F67" s="65" t="s">
        <v>318</v>
      </c>
      <c r="G67" s="65" t="s">
        <v>70</v>
      </c>
      <c r="H67" s="65" t="s">
        <v>45</v>
      </c>
      <c r="I67" s="65" t="s">
        <v>92</v>
      </c>
      <c r="J67" s="68" t="s">
        <v>93</v>
      </c>
      <c r="K67" s="68" t="s">
        <v>9</v>
      </c>
      <c r="L67" s="65">
        <v>310000</v>
      </c>
      <c r="M67" s="68">
        <v>387500</v>
      </c>
      <c r="N67" s="67" t="s">
        <v>41</v>
      </c>
      <c r="O67" s="67">
        <v>627.24776129032296</v>
      </c>
      <c r="P67" s="65">
        <v>507</v>
      </c>
      <c r="Q67" s="65">
        <v>120.247761290323</v>
      </c>
      <c r="R67" s="65" t="s">
        <v>328</v>
      </c>
      <c r="S67" s="67">
        <v>6660164</v>
      </c>
      <c r="T67" s="65">
        <v>35356686</v>
      </c>
      <c r="U67" s="65">
        <v>294031.96883338102</v>
      </c>
      <c r="V67" s="65">
        <v>146.6</v>
      </c>
      <c r="W67" s="65">
        <v>214787.250281046</v>
      </c>
      <c r="X67" s="65">
        <v>82438.812889812907</v>
      </c>
      <c r="Y67" s="65" t="s">
        <v>41</v>
      </c>
      <c r="Z67" s="65">
        <v>1.8723294005578199E-2</v>
      </c>
      <c r="AA67" s="65">
        <v>1.8723294005578199E-2</v>
      </c>
      <c r="AB67" s="65">
        <v>229215337.34193501</v>
      </c>
      <c r="AC67" s="65">
        <v>184093000</v>
      </c>
      <c r="AD67" s="65">
        <v>45122337.341935501</v>
      </c>
      <c r="AE67" s="65">
        <v>181047</v>
      </c>
      <c r="AF67" s="65">
        <v>2321387</v>
      </c>
      <c r="AG67" s="65">
        <v>4157730</v>
      </c>
      <c r="AH67" s="65">
        <v>38462173.341935501</v>
      </c>
      <c r="AI67" s="65">
        <v>7692434.6683871001</v>
      </c>
      <c r="AJ67" s="65">
        <v>30769738.6735484</v>
      </c>
      <c r="AK67" s="65">
        <v>18.999601206891999</v>
      </c>
      <c r="AL67" s="65">
        <v>226706337.34193501</v>
      </c>
      <c r="AM67" s="65">
        <v>30288747.628387101</v>
      </c>
      <c r="AN67" s="65">
        <v>60902.233754345798</v>
      </c>
      <c r="AO67" s="65" t="s">
        <v>41</v>
      </c>
      <c r="AP67" s="65" t="s">
        <v>71</v>
      </c>
      <c r="AQ67" s="65" t="s">
        <v>70</v>
      </c>
      <c r="AR67" s="78" t="s">
        <v>204</v>
      </c>
      <c r="AS67" s="11">
        <v>0</v>
      </c>
      <c r="AT67" s="11">
        <v>0.5</v>
      </c>
      <c r="AU67" s="11">
        <v>0.5</v>
      </c>
      <c r="AV67" s="11">
        <v>0.5</v>
      </c>
      <c r="AW67" s="11">
        <v>0.5</v>
      </c>
      <c r="AX67" s="11">
        <v>0.5</v>
      </c>
      <c r="AY67" s="11">
        <v>0</v>
      </c>
      <c r="AZ67" s="11">
        <v>0</v>
      </c>
      <c r="BA67" s="11">
        <v>0.5</v>
      </c>
      <c r="BB67" s="11">
        <v>1</v>
      </c>
      <c r="BC67" s="75">
        <v>0.75</v>
      </c>
      <c r="BD67" s="75">
        <v>0.75</v>
      </c>
      <c r="BE67" s="75">
        <v>0</v>
      </c>
      <c r="BF67" s="75">
        <v>0.5</v>
      </c>
      <c r="BG67" s="75">
        <v>0.5</v>
      </c>
      <c r="BH67" s="75">
        <v>0.5</v>
      </c>
      <c r="BI67" s="75">
        <v>0</v>
      </c>
      <c r="BJ67" s="75">
        <v>0</v>
      </c>
      <c r="BK67" s="75">
        <v>0</v>
      </c>
      <c r="BL67" s="76">
        <v>0.5</v>
      </c>
      <c r="BM67" s="76">
        <v>0</v>
      </c>
      <c r="BN67" s="76">
        <v>0.5</v>
      </c>
      <c r="BO67" s="76">
        <v>1</v>
      </c>
      <c r="BP67" s="76">
        <v>0</v>
      </c>
      <c r="BQ67" s="76">
        <v>0</v>
      </c>
      <c r="BR67" s="76">
        <v>0.25</v>
      </c>
      <c r="BS67" s="76">
        <v>0.25</v>
      </c>
      <c r="BT67" s="76">
        <v>0.25</v>
      </c>
      <c r="BU67" s="76">
        <v>0.25</v>
      </c>
      <c r="BV67" s="76">
        <v>0</v>
      </c>
      <c r="BW67" s="76">
        <v>0.25</v>
      </c>
      <c r="BX67" s="54">
        <v>0</v>
      </c>
      <c r="BY67" s="5">
        <v>0</v>
      </c>
      <c r="BZ67" s="60">
        <v>0</v>
      </c>
      <c r="CA67" s="5">
        <v>0</v>
      </c>
      <c r="CB67" s="5">
        <v>1</v>
      </c>
      <c r="CC67" s="5">
        <v>1</v>
      </c>
      <c r="CD67" s="5">
        <v>1</v>
      </c>
      <c r="CE67" s="5">
        <v>1</v>
      </c>
      <c r="CF67" s="5">
        <v>14.25</v>
      </c>
      <c r="CG67" s="191"/>
    </row>
    <row r="68" spans="1:85" s="5" customFormat="1" x14ac:dyDescent="0.15">
      <c r="A68" s="5" t="s">
        <v>271</v>
      </c>
      <c r="B68" s="5">
        <v>323</v>
      </c>
      <c r="C68" s="5" t="s">
        <v>402</v>
      </c>
      <c r="F68" s="65" t="s">
        <v>92</v>
      </c>
      <c r="G68" s="65" t="s">
        <v>70</v>
      </c>
      <c r="H68" s="65" t="s">
        <v>45</v>
      </c>
      <c r="I68" s="65" t="s">
        <v>92</v>
      </c>
      <c r="J68" s="68" t="s">
        <v>93</v>
      </c>
      <c r="K68" s="68" t="s">
        <v>9</v>
      </c>
      <c r="L68" s="65">
        <v>387500</v>
      </c>
      <c r="M68" s="68">
        <v>77500</v>
      </c>
      <c r="N68" s="67" t="s">
        <v>41</v>
      </c>
      <c r="O68" s="67">
        <v>627.25</v>
      </c>
      <c r="P68" s="65">
        <v>507</v>
      </c>
      <c r="Q68" s="65">
        <v>120.25</v>
      </c>
      <c r="R68" s="65" t="s">
        <v>96</v>
      </c>
      <c r="S68" s="65">
        <v>6660164</v>
      </c>
      <c r="T68" s="65">
        <v>35356686</v>
      </c>
      <c r="U68" s="65">
        <v>294026</v>
      </c>
      <c r="V68" s="65">
        <v>67</v>
      </c>
      <c r="W68" s="65">
        <v>258026</v>
      </c>
      <c r="X68" s="65">
        <v>36</v>
      </c>
      <c r="Y68" s="65" t="s">
        <v>41</v>
      </c>
      <c r="Z68" s="65">
        <v>1.8700000000000001E-2</v>
      </c>
      <c r="AA68" s="65">
        <v>1.8700000000000001E-2</v>
      </c>
      <c r="AB68" s="65">
        <v>229215337</v>
      </c>
      <c r="AC68" s="65">
        <v>217989522</v>
      </c>
      <c r="AD68" s="65">
        <v>11225815.34</v>
      </c>
      <c r="AE68" s="65">
        <v>181047</v>
      </c>
      <c r="AF68" s="65">
        <v>2321387</v>
      </c>
      <c r="AG68" s="65">
        <v>4157730</v>
      </c>
      <c r="AH68" s="65">
        <v>4565651.34</v>
      </c>
      <c r="AI68" s="65">
        <v>913130.27</v>
      </c>
      <c r="AJ68" s="65">
        <v>3652527.07</v>
      </c>
      <c r="AK68" s="65">
        <v>0.19</v>
      </c>
      <c r="AL68" s="65">
        <v>226706346</v>
      </c>
      <c r="AM68" s="65">
        <v>2216.8000000000002</v>
      </c>
      <c r="AN68" s="65">
        <v>0</v>
      </c>
      <c r="AO68" s="65" t="s">
        <v>41</v>
      </c>
      <c r="AP68" s="65" t="s">
        <v>71</v>
      </c>
      <c r="AQ68" s="65" t="s">
        <v>70</v>
      </c>
      <c r="AR68" s="77" t="s">
        <v>204</v>
      </c>
      <c r="AS68" s="11">
        <v>0.5</v>
      </c>
      <c r="AT68" s="11">
        <v>0.5</v>
      </c>
      <c r="AU68" s="11">
        <v>0.5</v>
      </c>
      <c r="AV68" s="11">
        <v>0.5</v>
      </c>
      <c r="AW68" s="11">
        <v>0.5</v>
      </c>
      <c r="AX68" s="11">
        <v>0.5</v>
      </c>
      <c r="AY68" s="11">
        <v>1</v>
      </c>
      <c r="AZ68" s="11">
        <v>1</v>
      </c>
      <c r="BA68" s="11">
        <v>0.5</v>
      </c>
      <c r="BB68" s="11">
        <v>1</v>
      </c>
      <c r="BC68" s="75">
        <v>0.75</v>
      </c>
      <c r="BD68" s="75">
        <v>0.75</v>
      </c>
      <c r="BE68" s="75">
        <v>1</v>
      </c>
      <c r="BF68" s="75">
        <v>0.5</v>
      </c>
      <c r="BG68" s="75">
        <v>0.5</v>
      </c>
      <c r="BH68" s="75">
        <v>0</v>
      </c>
      <c r="BI68" s="75">
        <v>1</v>
      </c>
      <c r="BJ68" s="75">
        <v>0</v>
      </c>
      <c r="BK68" s="75">
        <v>0</v>
      </c>
      <c r="BL68" s="76">
        <v>0.5</v>
      </c>
      <c r="BM68" s="76">
        <v>0</v>
      </c>
      <c r="BN68" s="76">
        <v>0.5</v>
      </c>
      <c r="BO68" s="76">
        <v>1</v>
      </c>
      <c r="BP68" s="76">
        <v>1</v>
      </c>
      <c r="BQ68" s="76">
        <v>0.25</v>
      </c>
      <c r="BR68" s="76">
        <v>0.25</v>
      </c>
      <c r="BS68" s="76">
        <v>0.25</v>
      </c>
      <c r="BT68" s="76">
        <v>0.25</v>
      </c>
      <c r="BU68" s="76">
        <v>0.25</v>
      </c>
      <c r="BV68" s="76">
        <v>0.25</v>
      </c>
      <c r="BW68" s="76">
        <v>0</v>
      </c>
      <c r="BX68" s="54">
        <v>0.25</v>
      </c>
      <c r="BY68" s="5">
        <v>1.5</v>
      </c>
      <c r="BZ68" s="60">
        <v>0</v>
      </c>
      <c r="CA68" s="5">
        <v>0</v>
      </c>
      <c r="CB68" s="5">
        <v>1</v>
      </c>
      <c r="CC68" s="5">
        <v>1</v>
      </c>
      <c r="CD68" s="5">
        <v>1</v>
      </c>
      <c r="CE68" s="5">
        <v>1</v>
      </c>
      <c r="CF68" s="5">
        <v>21.25</v>
      </c>
      <c r="CG68" s="191"/>
    </row>
    <row r="69" spans="1:85" s="5" customFormat="1" x14ac:dyDescent="0.15">
      <c r="A69" s="5" t="s">
        <v>272</v>
      </c>
      <c r="B69" s="5">
        <v>375</v>
      </c>
      <c r="C69" s="5" t="s">
        <v>403</v>
      </c>
      <c r="F69" s="10" t="s">
        <v>92</v>
      </c>
      <c r="G69" s="10" t="s">
        <v>70</v>
      </c>
      <c r="H69" s="10" t="s">
        <v>45</v>
      </c>
      <c r="I69" s="10" t="s">
        <v>92</v>
      </c>
      <c r="J69" s="10" t="s">
        <v>93</v>
      </c>
      <c r="K69" s="10" t="s">
        <v>9</v>
      </c>
      <c r="L69" s="10">
        <v>387500</v>
      </c>
      <c r="M69" s="72">
        <v>77500</v>
      </c>
      <c r="N69" s="54" t="s">
        <v>41</v>
      </c>
      <c r="O69" s="54">
        <v>627.24776129999998</v>
      </c>
      <c r="P69" s="10">
        <v>507</v>
      </c>
      <c r="Q69" s="60">
        <v>120.247761290323</v>
      </c>
      <c r="R69" s="60" t="s">
        <v>96</v>
      </c>
      <c r="S69" s="54">
        <v>6660164</v>
      </c>
      <c r="T69" s="60">
        <v>35356686</v>
      </c>
      <c r="U69" s="60">
        <v>294031.96883337997</v>
      </c>
      <c r="V69" s="60">
        <v>66.599999999999994</v>
      </c>
      <c r="W69" s="60">
        <v>258031.298604285</v>
      </c>
      <c r="X69" s="60">
        <v>36000.670229096402</v>
      </c>
      <c r="Y69" s="60" t="s">
        <v>41</v>
      </c>
      <c r="Z69" s="60">
        <v>1.8723294005578199E-2</v>
      </c>
      <c r="AA69" s="60">
        <v>1.8723294005578199E-2</v>
      </c>
      <c r="AB69" s="60">
        <v>229215337.34193501</v>
      </c>
      <c r="AC69" s="60">
        <v>217989522</v>
      </c>
      <c r="AD69" s="60">
        <v>11225815.341934999</v>
      </c>
      <c r="AE69" s="60">
        <v>181047</v>
      </c>
      <c r="AF69" s="65">
        <v>2321387</v>
      </c>
      <c r="AG69" s="65">
        <v>4157730</v>
      </c>
      <c r="AH69" s="65">
        <v>4565651.3419350097</v>
      </c>
      <c r="AI69" s="65">
        <v>913130.26838700206</v>
      </c>
      <c r="AJ69" s="65">
        <v>3652521.0735480101</v>
      </c>
      <c r="AK69" s="65">
        <v>0.189996012068921</v>
      </c>
      <c r="AL69" s="65">
        <v>226706346.296774</v>
      </c>
      <c r="AM69" s="65">
        <v>3267728.2374192001</v>
      </c>
      <c r="AN69" s="65">
        <v>32266.739629952601</v>
      </c>
      <c r="AO69" s="65" t="s">
        <v>41</v>
      </c>
      <c r="AP69" s="65" t="s">
        <v>71</v>
      </c>
      <c r="AQ69" s="65" t="s">
        <v>70</v>
      </c>
      <c r="AR69" s="11" t="s">
        <v>204</v>
      </c>
      <c r="AS69" s="11">
        <v>0.5</v>
      </c>
      <c r="AT69" s="11">
        <v>0.5</v>
      </c>
      <c r="AU69" s="11">
        <v>0.5</v>
      </c>
      <c r="AV69" s="11">
        <v>0.5</v>
      </c>
      <c r="AW69" s="11">
        <v>0.5</v>
      </c>
      <c r="AX69" s="11">
        <v>0.5</v>
      </c>
      <c r="AY69" s="11">
        <v>1</v>
      </c>
      <c r="AZ69" s="11">
        <v>1</v>
      </c>
      <c r="BA69" s="11">
        <v>0.5</v>
      </c>
      <c r="BB69" s="11">
        <v>1</v>
      </c>
      <c r="BC69" s="11">
        <v>0.75</v>
      </c>
      <c r="BD69" s="11">
        <v>0.75</v>
      </c>
      <c r="BE69" s="11">
        <v>1</v>
      </c>
      <c r="BF69" s="11">
        <v>0.5</v>
      </c>
      <c r="BG69" s="11">
        <v>0.5</v>
      </c>
      <c r="BH69" s="11">
        <v>0.5</v>
      </c>
      <c r="BI69" s="11">
        <v>1</v>
      </c>
      <c r="BJ69" s="11">
        <v>2</v>
      </c>
      <c r="BK69" s="10">
        <v>1.5</v>
      </c>
      <c r="BL69" s="5">
        <v>0.5</v>
      </c>
      <c r="BM69" s="5">
        <v>0</v>
      </c>
      <c r="BN69" s="5">
        <v>0.5</v>
      </c>
      <c r="BO69" s="5">
        <v>1</v>
      </c>
      <c r="BP69" s="5">
        <v>1</v>
      </c>
      <c r="BQ69" s="5">
        <v>0.25</v>
      </c>
      <c r="BR69" s="5">
        <v>0.25</v>
      </c>
      <c r="BS69" s="5">
        <v>0.25</v>
      </c>
      <c r="BT69" s="5">
        <v>0.25</v>
      </c>
      <c r="BU69" s="5">
        <v>0.25</v>
      </c>
      <c r="BV69" s="5">
        <v>0.25</v>
      </c>
      <c r="BW69" s="5">
        <v>0.25</v>
      </c>
      <c r="BX69" s="54">
        <v>0.25</v>
      </c>
      <c r="BY69" s="5">
        <v>1.5</v>
      </c>
      <c r="BZ69" s="60">
        <v>1.5</v>
      </c>
      <c r="CA69" s="5">
        <v>2</v>
      </c>
      <c r="CB69" s="5">
        <v>1</v>
      </c>
      <c r="CC69" s="5">
        <v>1</v>
      </c>
      <c r="CD69" s="5">
        <v>1</v>
      </c>
      <c r="CE69" s="5">
        <v>1</v>
      </c>
      <c r="CF69" s="5">
        <v>29</v>
      </c>
      <c r="CG69" s="191"/>
    </row>
    <row r="70" spans="1:85" s="5" customFormat="1" x14ac:dyDescent="0.15">
      <c r="A70" s="5" t="s">
        <v>273</v>
      </c>
      <c r="B70" s="5">
        <v>425</v>
      </c>
      <c r="C70" s="5" t="s">
        <v>404</v>
      </c>
      <c r="F70" s="65" t="s">
        <v>92</v>
      </c>
      <c r="G70" s="65" t="s">
        <v>70</v>
      </c>
      <c r="H70" s="65" t="s">
        <v>45</v>
      </c>
      <c r="I70" s="65" t="s">
        <v>92</v>
      </c>
      <c r="J70" s="68" t="s">
        <v>318</v>
      </c>
      <c r="K70" s="68" t="s">
        <v>9</v>
      </c>
      <c r="L70" s="65">
        <v>310</v>
      </c>
      <c r="M70" s="68">
        <v>77500</v>
      </c>
      <c r="N70" s="67" t="s">
        <v>41</v>
      </c>
      <c r="O70" s="67">
        <v>627.25</v>
      </c>
      <c r="P70" s="65">
        <v>507</v>
      </c>
      <c r="Q70" s="65">
        <v>120.25</v>
      </c>
      <c r="R70" s="65" t="s">
        <v>96</v>
      </c>
      <c r="S70" s="65" t="s">
        <v>376</v>
      </c>
      <c r="T70" s="65">
        <v>36356686</v>
      </c>
      <c r="U70" s="65">
        <v>234031.97</v>
      </c>
      <c r="V70" s="65">
        <v>66.599999999999994</v>
      </c>
      <c r="W70" s="65">
        <v>258031.3</v>
      </c>
      <c r="X70" s="65">
        <v>36001</v>
      </c>
      <c r="Y70" s="65" t="s">
        <v>41</v>
      </c>
      <c r="Z70" s="65">
        <v>1.8700000000000001E-2</v>
      </c>
      <c r="AA70" s="65">
        <v>1.8700000000000001E-2</v>
      </c>
      <c r="AB70" s="65">
        <v>229215337.34</v>
      </c>
      <c r="AC70" s="65">
        <v>217989522</v>
      </c>
      <c r="AD70" s="65">
        <v>11225815.34</v>
      </c>
      <c r="AE70" s="65">
        <v>181047</v>
      </c>
      <c r="AF70" s="65">
        <v>2321387</v>
      </c>
      <c r="AG70" s="65">
        <v>4157730</v>
      </c>
      <c r="AH70" s="65">
        <v>4565651.34</v>
      </c>
      <c r="AI70" s="65">
        <v>913130.27</v>
      </c>
      <c r="AJ70" s="65">
        <v>3652521</v>
      </c>
      <c r="AK70" s="65">
        <v>0.19</v>
      </c>
      <c r="AL70" s="65">
        <v>226706346.30000001</v>
      </c>
      <c r="AM70" s="65">
        <v>2752627.5</v>
      </c>
      <c r="AN70" s="65">
        <v>97266.74</v>
      </c>
      <c r="AO70" s="65" t="s">
        <v>311</v>
      </c>
      <c r="AP70" s="65" t="s">
        <v>71</v>
      </c>
      <c r="AQ70" s="65" t="s">
        <v>70</v>
      </c>
      <c r="AR70" s="77" t="s">
        <v>204</v>
      </c>
      <c r="AS70" s="11">
        <v>0.5</v>
      </c>
      <c r="AT70" s="11">
        <v>0.5</v>
      </c>
      <c r="AU70" s="11">
        <v>0.5</v>
      </c>
      <c r="AV70" s="11">
        <v>0.5</v>
      </c>
      <c r="AW70" s="11">
        <v>0</v>
      </c>
      <c r="AX70" s="11">
        <v>0.5</v>
      </c>
      <c r="AY70" s="11">
        <v>0</v>
      </c>
      <c r="AZ70" s="11">
        <v>1</v>
      </c>
      <c r="BA70" s="11">
        <v>0.5</v>
      </c>
      <c r="BB70" s="11">
        <v>1</v>
      </c>
      <c r="BC70" s="75">
        <v>0.75</v>
      </c>
      <c r="BD70" s="75">
        <v>0.75</v>
      </c>
      <c r="BE70" s="75">
        <v>1</v>
      </c>
      <c r="BF70" s="75">
        <v>0</v>
      </c>
      <c r="BG70" s="75">
        <v>0</v>
      </c>
      <c r="BH70" s="75">
        <v>0</v>
      </c>
      <c r="BI70" s="75">
        <v>1</v>
      </c>
      <c r="BJ70" s="75">
        <v>2</v>
      </c>
      <c r="BK70" s="76">
        <v>1.5</v>
      </c>
      <c r="BL70" s="76">
        <v>0.5</v>
      </c>
      <c r="BM70" s="76">
        <v>0</v>
      </c>
      <c r="BN70" s="76">
        <v>0.5</v>
      </c>
      <c r="BO70" s="76">
        <v>1</v>
      </c>
      <c r="BP70" s="76">
        <v>1</v>
      </c>
      <c r="BQ70" s="76">
        <v>0.25</v>
      </c>
      <c r="BR70" s="76">
        <v>0.25</v>
      </c>
      <c r="BS70" s="76">
        <v>0.25</v>
      </c>
      <c r="BT70" s="76">
        <v>0.25</v>
      </c>
      <c r="BU70" s="76">
        <v>0.25</v>
      </c>
      <c r="BV70" s="76">
        <v>0.25</v>
      </c>
      <c r="BW70" s="76">
        <v>0.25</v>
      </c>
      <c r="BX70" s="54">
        <v>0.25</v>
      </c>
      <c r="BY70" s="5">
        <v>1.5</v>
      </c>
      <c r="BZ70" s="60">
        <v>0</v>
      </c>
      <c r="CA70" s="5">
        <v>0</v>
      </c>
      <c r="CB70" s="5">
        <v>0</v>
      </c>
      <c r="CC70" s="5">
        <v>1</v>
      </c>
      <c r="CD70" s="5">
        <v>1</v>
      </c>
      <c r="CE70" s="5">
        <v>1</v>
      </c>
      <c r="CF70" s="5">
        <v>21.5</v>
      </c>
      <c r="CG70" s="191"/>
    </row>
    <row r="71" spans="1:85" s="5" customFormat="1" x14ac:dyDescent="0.15">
      <c r="A71" s="5" t="s">
        <v>274</v>
      </c>
      <c r="B71" s="5">
        <v>343</v>
      </c>
      <c r="C71" s="5" t="s">
        <v>405</v>
      </c>
      <c r="F71" s="10" t="s">
        <v>92</v>
      </c>
      <c r="G71" s="10" t="s">
        <v>70</v>
      </c>
      <c r="H71" s="10" t="s">
        <v>45</v>
      </c>
      <c r="I71" s="10" t="s">
        <v>92</v>
      </c>
      <c r="J71" s="10" t="s">
        <v>93</v>
      </c>
      <c r="K71" s="69" t="s">
        <v>9</v>
      </c>
      <c r="L71" s="10">
        <v>387500</v>
      </c>
      <c r="M71" s="72">
        <v>77500</v>
      </c>
      <c r="N71" s="57" t="s">
        <v>41</v>
      </c>
      <c r="O71" s="54">
        <v>627.24776129032296</v>
      </c>
      <c r="P71" s="10">
        <v>507</v>
      </c>
      <c r="Q71" s="61">
        <v>120.247761290323</v>
      </c>
      <c r="R71" s="61" t="s">
        <v>96</v>
      </c>
      <c r="S71" s="57">
        <v>6660164</v>
      </c>
      <c r="T71" s="61">
        <v>35356686</v>
      </c>
      <c r="U71" s="61">
        <v>294031.96883338102</v>
      </c>
      <c r="V71" s="60">
        <v>66.599999999999994</v>
      </c>
      <c r="W71" s="60">
        <v>258031.298604285</v>
      </c>
      <c r="X71" s="61">
        <v>36000.670229096402</v>
      </c>
      <c r="Y71" s="60" t="s">
        <v>41</v>
      </c>
      <c r="Z71" s="60">
        <v>1.8723294005578199E-2</v>
      </c>
      <c r="AA71" s="60">
        <v>1.8723294005578199E-2</v>
      </c>
      <c r="AB71" s="60">
        <v>229215337.34193501</v>
      </c>
      <c r="AC71" s="60">
        <v>217989522</v>
      </c>
      <c r="AD71" s="60">
        <v>11225815.341935501</v>
      </c>
      <c r="AE71" s="60">
        <v>-181047</v>
      </c>
      <c r="AF71" s="65">
        <v>-2321387</v>
      </c>
      <c r="AG71" s="65">
        <v>-4157730</v>
      </c>
      <c r="AH71" s="65">
        <v>4565651.3419354903</v>
      </c>
      <c r="AI71" s="65">
        <v>913130.26838709705</v>
      </c>
      <c r="AJ71" s="65">
        <v>3652521.0735483901</v>
      </c>
      <c r="AK71" s="65">
        <v>0.18999601206892</v>
      </c>
      <c r="AL71" s="65">
        <v>226706346.296774</v>
      </c>
      <c r="AM71" s="65">
        <v>3267728.2374193701</v>
      </c>
      <c r="AN71" s="65">
        <v>32266.739629952601</v>
      </c>
      <c r="AO71" s="65" t="s">
        <v>311</v>
      </c>
      <c r="AP71" s="65" t="s">
        <v>71</v>
      </c>
      <c r="AQ71" s="65" t="s">
        <v>70</v>
      </c>
      <c r="AR71" s="11" t="s">
        <v>204</v>
      </c>
      <c r="AS71" s="11">
        <v>0.5</v>
      </c>
      <c r="AT71" s="11">
        <v>0.5</v>
      </c>
      <c r="AU71" s="11">
        <v>0.5</v>
      </c>
      <c r="AV71" s="11">
        <v>0.5</v>
      </c>
      <c r="AW71" s="11">
        <v>0.5</v>
      </c>
      <c r="AX71" s="11">
        <v>0.5</v>
      </c>
      <c r="AY71" s="11">
        <v>1</v>
      </c>
      <c r="AZ71" s="11">
        <v>1</v>
      </c>
      <c r="BA71" s="11">
        <v>0.5</v>
      </c>
      <c r="BB71" s="11">
        <v>1</v>
      </c>
      <c r="BC71" s="11">
        <v>0.75</v>
      </c>
      <c r="BD71" s="11">
        <v>0.75</v>
      </c>
      <c r="BE71" s="11">
        <v>1</v>
      </c>
      <c r="BF71" s="11">
        <v>0.5</v>
      </c>
      <c r="BG71" s="11">
        <v>0.5</v>
      </c>
      <c r="BH71" s="11">
        <v>0.5</v>
      </c>
      <c r="BI71" s="11">
        <v>1</v>
      </c>
      <c r="BJ71" s="11">
        <v>2</v>
      </c>
      <c r="BK71" s="10">
        <v>1.5</v>
      </c>
      <c r="BL71" s="5">
        <v>0.5</v>
      </c>
      <c r="BM71" s="5">
        <v>0</v>
      </c>
      <c r="BN71" s="5">
        <v>0.5</v>
      </c>
      <c r="BO71" s="5">
        <v>1</v>
      </c>
      <c r="BP71" s="5">
        <v>1</v>
      </c>
      <c r="BQ71" s="5">
        <v>0.25</v>
      </c>
      <c r="BR71" s="5">
        <v>0.25</v>
      </c>
      <c r="BS71" s="5">
        <v>0.25</v>
      </c>
      <c r="BT71" s="5">
        <v>0.25</v>
      </c>
      <c r="BU71" s="5">
        <v>0.25</v>
      </c>
      <c r="BV71" s="5">
        <v>0.25</v>
      </c>
      <c r="BW71" s="5">
        <v>0.25</v>
      </c>
      <c r="BX71" s="54">
        <v>0.25</v>
      </c>
      <c r="BY71" s="5">
        <v>1.5</v>
      </c>
      <c r="BZ71" s="60">
        <v>1.5</v>
      </c>
      <c r="CA71" s="5">
        <v>2</v>
      </c>
      <c r="CB71" s="5">
        <v>0</v>
      </c>
      <c r="CC71" s="5">
        <v>1</v>
      </c>
      <c r="CD71" s="5">
        <v>1</v>
      </c>
      <c r="CE71" s="5">
        <v>1</v>
      </c>
      <c r="CF71" s="5">
        <v>28</v>
      </c>
      <c r="CG71" s="191"/>
    </row>
    <row r="72" spans="1:85" s="5" customFormat="1" x14ac:dyDescent="0.15">
      <c r="A72" s="5" t="s">
        <v>275</v>
      </c>
      <c r="B72" s="5">
        <v>362</v>
      </c>
      <c r="C72" s="5" t="s">
        <v>406</v>
      </c>
      <c r="F72" s="10" t="s">
        <v>92</v>
      </c>
      <c r="G72" s="10" t="s">
        <v>70</v>
      </c>
      <c r="H72" s="10" t="s">
        <v>45</v>
      </c>
      <c r="I72" s="10" t="s">
        <v>70</v>
      </c>
      <c r="J72" s="10" t="s">
        <v>93</v>
      </c>
      <c r="K72" s="10" t="s">
        <v>9</v>
      </c>
      <c r="L72" s="10">
        <v>387500</v>
      </c>
      <c r="M72" s="72">
        <v>77500</v>
      </c>
      <c r="N72" s="54" t="s">
        <v>41</v>
      </c>
      <c r="O72" s="54">
        <v>627.24776129032296</v>
      </c>
      <c r="P72" s="10">
        <v>507</v>
      </c>
      <c r="Q72" s="60">
        <v>120.247761290323</v>
      </c>
      <c r="R72" s="60" t="s">
        <v>328</v>
      </c>
      <c r="S72" s="54">
        <v>6660164</v>
      </c>
      <c r="T72" s="60">
        <v>35356686</v>
      </c>
      <c r="U72" s="60">
        <v>69430.299616235396</v>
      </c>
      <c r="V72" s="60">
        <v>66.025000000000006</v>
      </c>
      <c r="W72" s="60">
        <v>-13062.324819056201</v>
      </c>
      <c r="X72" s="60">
        <v>99243.24</v>
      </c>
      <c r="Y72" s="60" t="s">
        <v>41</v>
      </c>
      <c r="Z72" s="60">
        <v>1.8723294005578199E-2</v>
      </c>
      <c r="AA72" s="60">
        <v>1.8723294005578199E-2</v>
      </c>
      <c r="AB72" s="60">
        <v>229215337.34193501</v>
      </c>
      <c r="AC72" s="60">
        <v>189330375</v>
      </c>
      <c r="AD72" s="60">
        <v>39884962.341935501</v>
      </c>
      <c r="AE72" s="60">
        <v>-181047</v>
      </c>
      <c r="AF72" s="65">
        <v>-2321387</v>
      </c>
      <c r="AG72" s="65">
        <v>-4157730</v>
      </c>
      <c r="AH72" s="65">
        <v>33224798.341935501</v>
      </c>
      <c r="AI72" s="65">
        <v>6644959.6683871001</v>
      </c>
      <c r="AJ72" s="65">
        <v>26579838.6735484</v>
      </c>
      <c r="AK72" s="65">
        <v>0.18999601206892</v>
      </c>
      <c r="AL72" s="65">
        <v>226706346.296774</v>
      </c>
      <c r="AM72" s="65">
        <v>26195045.837419402</v>
      </c>
      <c r="AN72" s="65">
        <v>11157.006357246</v>
      </c>
      <c r="AO72" s="65" t="s">
        <v>41</v>
      </c>
      <c r="AP72" s="65" t="s">
        <v>71</v>
      </c>
      <c r="AQ72" s="65" t="s">
        <v>70</v>
      </c>
      <c r="AR72" s="11" t="s">
        <v>204</v>
      </c>
      <c r="AS72" s="11">
        <v>0.5</v>
      </c>
      <c r="AT72" s="11">
        <v>0.5</v>
      </c>
      <c r="AU72" s="11">
        <v>0.5</v>
      </c>
      <c r="AV72" s="11">
        <v>0</v>
      </c>
      <c r="AW72" s="11">
        <v>0.5</v>
      </c>
      <c r="AX72" s="11">
        <v>0.5</v>
      </c>
      <c r="AY72" s="11">
        <v>1</v>
      </c>
      <c r="AZ72" s="11">
        <v>1</v>
      </c>
      <c r="BA72" s="11">
        <v>0.5</v>
      </c>
      <c r="BB72" s="11">
        <v>1</v>
      </c>
      <c r="BC72" s="11">
        <v>0.75</v>
      </c>
      <c r="BD72" s="11">
        <v>0.75</v>
      </c>
      <c r="BE72" s="11">
        <v>0</v>
      </c>
      <c r="BF72" s="11">
        <v>0.5</v>
      </c>
      <c r="BG72" s="11">
        <v>0.5</v>
      </c>
      <c r="BH72" s="11">
        <v>0</v>
      </c>
      <c r="BI72" s="11">
        <v>1</v>
      </c>
      <c r="BJ72" s="11">
        <v>0</v>
      </c>
      <c r="BK72" s="10">
        <v>0</v>
      </c>
      <c r="BL72" s="5">
        <v>0.5</v>
      </c>
      <c r="BM72" s="5">
        <v>0</v>
      </c>
      <c r="BN72" s="5">
        <v>0.5</v>
      </c>
      <c r="BO72" s="5">
        <v>1</v>
      </c>
      <c r="BP72" s="5">
        <v>0</v>
      </c>
      <c r="BQ72" s="5">
        <v>0</v>
      </c>
      <c r="BR72" s="5">
        <v>0.25</v>
      </c>
      <c r="BS72" s="5">
        <v>0.25</v>
      </c>
      <c r="BT72" s="5">
        <v>0.25</v>
      </c>
      <c r="BU72" s="5">
        <v>0</v>
      </c>
      <c r="BV72" s="5">
        <v>0</v>
      </c>
      <c r="BW72" s="5">
        <v>0.25</v>
      </c>
      <c r="BX72" s="54">
        <v>0.25</v>
      </c>
      <c r="BY72" s="5">
        <v>1.5</v>
      </c>
      <c r="BZ72" s="60">
        <v>0</v>
      </c>
      <c r="CA72" s="5">
        <v>0</v>
      </c>
      <c r="CB72" s="5">
        <v>1</v>
      </c>
      <c r="CC72" s="5">
        <v>1</v>
      </c>
      <c r="CD72" s="5">
        <v>1</v>
      </c>
      <c r="CE72" s="5">
        <v>1</v>
      </c>
      <c r="CF72" s="5">
        <v>18.25</v>
      </c>
      <c r="CG72" s="191"/>
    </row>
    <row r="73" spans="1:85" s="5" customFormat="1" x14ac:dyDescent="0.15">
      <c r="A73" s="3" t="s">
        <v>276</v>
      </c>
      <c r="B73" s="3">
        <v>376</v>
      </c>
      <c r="C73" s="3" t="s">
        <v>407</v>
      </c>
      <c r="D73" s="3"/>
      <c r="E73" s="3"/>
      <c r="F73" s="3" t="s">
        <v>92</v>
      </c>
      <c r="G73" s="3" t="s">
        <v>70</v>
      </c>
      <c r="H73" s="3" t="s">
        <v>45</v>
      </c>
      <c r="I73" s="3" t="s">
        <v>92</v>
      </c>
      <c r="J73" s="70" t="s">
        <v>93</v>
      </c>
      <c r="K73" s="70" t="s">
        <v>9</v>
      </c>
      <c r="L73" s="3">
        <v>387500</v>
      </c>
      <c r="M73" s="74">
        <v>77500</v>
      </c>
      <c r="N73" s="58" t="s">
        <v>41</v>
      </c>
      <c r="O73" s="58">
        <v>627.24776129032296</v>
      </c>
      <c r="P73" s="3">
        <v>507</v>
      </c>
      <c r="Q73" s="63">
        <v>120.247761290323</v>
      </c>
      <c r="R73" s="63" t="s">
        <v>328</v>
      </c>
      <c r="S73" s="58">
        <v>6660164</v>
      </c>
      <c r="T73" s="63">
        <v>35356686</v>
      </c>
      <c r="U73" s="63">
        <v>294031.96883338102</v>
      </c>
      <c r="V73" s="63">
        <v>94.6</v>
      </c>
      <c r="W73" s="63">
        <v>308749.32346723002</v>
      </c>
      <c r="X73" s="63">
        <v>51136.087142229902</v>
      </c>
      <c r="Y73" s="63" t="s">
        <v>41</v>
      </c>
      <c r="Z73" s="63">
        <v>1.8723294005578199E-2</v>
      </c>
      <c r="AA73" s="63">
        <v>1.8723294005578199E-2</v>
      </c>
      <c r="AB73" s="63">
        <v>229216000</v>
      </c>
      <c r="AC73" s="63">
        <v>187148000</v>
      </c>
      <c r="AD73" s="63">
        <v>42068000</v>
      </c>
      <c r="AE73" s="63">
        <v>181047</v>
      </c>
      <c r="AF73" s="66">
        <v>2321387</v>
      </c>
      <c r="AG73" s="66">
        <v>4157730</v>
      </c>
      <c r="AH73" s="66">
        <v>35407836</v>
      </c>
      <c r="AI73" s="66">
        <v>7081567.2000000002</v>
      </c>
      <c r="AJ73" s="66">
        <v>28326268.800000001</v>
      </c>
      <c r="AK73" s="66">
        <v>18.999546279491799</v>
      </c>
      <c r="AL73" s="66">
        <v>189306000</v>
      </c>
      <c r="AM73" s="66">
        <v>-52873396.799999997</v>
      </c>
      <c r="AN73" s="66">
        <v>1467.7419354838701</v>
      </c>
      <c r="AO73" s="66" t="s">
        <v>41</v>
      </c>
      <c r="AP73" s="66" t="s">
        <v>71</v>
      </c>
      <c r="AQ73" s="66" t="s">
        <v>70</v>
      </c>
      <c r="AR73" s="9" t="s">
        <v>204</v>
      </c>
      <c r="AS73" s="9">
        <v>0.5</v>
      </c>
      <c r="AT73" s="9">
        <v>0.5</v>
      </c>
      <c r="AU73" s="9">
        <v>0.5</v>
      </c>
      <c r="AV73" s="9">
        <v>0.5</v>
      </c>
      <c r="AW73" s="9">
        <v>0.5</v>
      </c>
      <c r="AX73" s="9">
        <v>0.5</v>
      </c>
      <c r="AY73" s="9">
        <v>1</v>
      </c>
      <c r="AZ73" s="9">
        <v>1</v>
      </c>
      <c r="BA73" s="9">
        <v>0.5</v>
      </c>
      <c r="BB73" s="9">
        <v>1</v>
      </c>
      <c r="BC73" s="9">
        <v>0.75</v>
      </c>
      <c r="BD73" s="9">
        <v>0.75</v>
      </c>
      <c r="BE73" s="9">
        <v>0</v>
      </c>
      <c r="BF73" s="9">
        <v>0.5</v>
      </c>
      <c r="BG73" s="9">
        <v>0.5</v>
      </c>
      <c r="BH73" s="9">
        <v>0.5</v>
      </c>
      <c r="BI73" s="9">
        <v>0</v>
      </c>
      <c r="BJ73" s="9">
        <v>0</v>
      </c>
      <c r="BK73" s="3">
        <v>0</v>
      </c>
      <c r="BL73" s="3">
        <v>0.5</v>
      </c>
      <c r="BM73" s="3">
        <v>0</v>
      </c>
      <c r="BN73" s="3">
        <v>0.5</v>
      </c>
      <c r="BO73" s="3">
        <v>0</v>
      </c>
      <c r="BP73" s="3">
        <v>0</v>
      </c>
      <c r="BQ73" s="3">
        <v>0.25</v>
      </c>
      <c r="BR73" s="3">
        <v>0.25</v>
      </c>
      <c r="BS73" s="3">
        <v>0.25</v>
      </c>
      <c r="BT73" s="3">
        <v>0.25</v>
      </c>
      <c r="BU73" s="3">
        <v>0.25</v>
      </c>
      <c r="BV73" s="3">
        <v>0</v>
      </c>
      <c r="BW73" s="3">
        <v>0.25</v>
      </c>
      <c r="BX73" s="54">
        <v>0</v>
      </c>
      <c r="BY73" s="3">
        <v>0</v>
      </c>
      <c r="BZ73" s="60">
        <v>0</v>
      </c>
      <c r="CA73" s="5">
        <v>0</v>
      </c>
      <c r="CB73" s="5">
        <v>1</v>
      </c>
      <c r="CC73" s="5">
        <v>1</v>
      </c>
      <c r="CD73" s="5">
        <v>1</v>
      </c>
      <c r="CE73" s="5">
        <v>1</v>
      </c>
      <c r="CF73" s="5">
        <v>16</v>
      </c>
      <c r="CG73" s="191"/>
    </row>
    <row r="74" spans="1:85" s="5" customFormat="1" x14ac:dyDescent="0.15">
      <c r="A74" s="5" t="s">
        <v>277</v>
      </c>
      <c r="B74" s="5">
        <v>384</v>
      </c>
      <c r="C74" s="5" t="s">
        <v>408</v>
      </c>
      <c r="F74" s="65" t="s">
        <v>92</v>
      </c>
      <c r="G74" s="65" t="s">
        <v>70</v>
      </c>
      <c r="H74" s="65" t="s">
        <v>45</v>
      </c>
      <c r="I74" s="65" t="s">
        <v>92</v>
      </c>
      <c r="J74" s="68" t="s">
        <v>93</v>
      </c>
      <c r="K74" s="68" t="s">
        <v>9</v>
      </c>
      <c r="L74" s="65">
        <v>387500</v>
      </c>
      <c r="M74" s="68">
        <v>77500</v>
      </c>
      <c r="N74" s="67" t="s">
        <v>41</v>
      </c>
      <c r="O74" s="67">
        <v>627.24776129032296</v>
      </c>
      <c r="P74" s="65">
        <v>507</v>
      </c>
      <c r="Q74" s="65">
        <v>120.247761290323</v>
      </c>
      <c r="R74" s="65" t="s">
        <v>96</v>
      </c>
      <c r="S74" s="67">
        <v>6660164</v>
      </c>
      <c r="T74" s="65">
        <v>35356686</v>
      </c>
      <c r="U74" s="65">
        <v>294031.96883338102</v>
      </c>
      <c r="V74" s="65">
        <v>66.599999999999994</v>
      </c>
      <c r="W74" s="65">
        <v>258031.298604285</v>
      </c>
      <c r="X74" s="65">
        <v>36000.670229096402</v>
      </c>
      <c r="Y74" s="65" t="s">
        <v>41</v>
      </c>
      <c r="Z74" s="65">
        <v>1.8723294005578199E-2</v>
      </c>
      <c r="AA74" s="65">
        <v>1.8723294005578199E-2</v>
      </c>
      <c r="AB74" s="65">
        <v>229215337.34193501</v>
      </c>
      <c r="AC74" s="65">
        <v>217989522</v>
      </c>
      <c r="AD74" s="65">
        <v>11225815.34</v>
      </c>
      <c r="AE74" s="65">
        <v>181047</v>
      </c>
      <c r="AF74" s="65">
        <v>2321387</v>
      </c>
      <c r="AG74" s="65">
        <v>4157730</v>
      </c>
      <c r="AH74" s="65">
        <v>4565651.34</v>
      </c>
      <c r="AI74" s="65">
        <v>760941.89</v>
      </c>
      <c r="AJ74" s="65">
        <v>3804709.45</v>
      </c>
      <c r="AK74" s="65">
        <v>0.19</v>
      </c>
      <c r="AL74" s="65">
        <v>226706346.296774</v>
      </c>
      <c r="AM74" s="65">
        <v>-816932.05935484101</v>
      </c>
      <c r="AN74" s="65">
        <v>193600.44</v>
      </c>
      <c r="AO74" s="65" t="s">
        <v>311</v>
      </c>
      <c r="AP74" s="65" t="s">
        <v>71</v>
      </c>
      <c r="AQ74" s="65" t="s">
        <v>70</v>
      </c>
      <c r="AR74" s="78" t="s">
        <v>204</v>
      </c>
      <c r="AS74" s="11">
        <v>0.5</v>
      </c>
      <c r="AT74" s="11">
        <v>0.5</v>
      </c>
      <c r="AU74" s="11">
        <v>0.5</v>
      </c>
      <c r="AV74" s="11">
        <v>0.5</v>
      </c>
      <c r="AW74" s="11">
        <v>0.5</v>
      </c>
      <c r="AX74" s="11">
        <v>0.5</v>
      </c>
      <c r="AY74" s="11">
        <v>1</v>
      </c>
      <c r="AZ74" s="11">
        <v>1</v>
      </c>
      <c r="BA74" s="11">
        <v>0.5</v>
      </c>
      <c r="BB74" s="11">
        <v>1</v>
      </c>
      <c r="BC74" s="75">
        <v>0.75</v>
      </c>
      <c r="BD74" s="75">
        <v>0.75</v>
      </c>
      <c r="BE74" s="75">
        <v>1</v>
      </c>
      <c r="BF74" s="75">
        <v>0.5</v>
      </c>
      <c r="BG74" s="75">
        <v>0.5</v>
      </c>
      <c r="BH74" s="75">
        <v>0.5</v>
      </c>
      <c r="BI74" s="75">
        <v>1</v>
      </c>
      <c r="BJ74" s="75">
        <v>2</v>
      </c>
      <c r="BK74" s="76">
        <v>1.5</v>
      </c>
      <c r="BL74" s="76">
        <v>0.5</v>
      </c>
      <c r="BM74" s="76">
        <v>0</v>
      </c>
      <c r="BN74" s="76">
        <v>0.5</v>
      </c>
      <c r="BO74" s="76">
        <v>1</v>
      </c>
      <c r="BP74" s="76">
        <v>1</v>
      </c>
      <c r="BQ74" s="76">
        <v>0.25</v>
      </c>
      <c r="BR74" s="76">
        <v>0.25</v>
      </c>
      <c r="BS74" s="76">
        <v>0.25</v>
      </c>
      <c r="BT74" s="76">
        <v>0.25</v>
      </c>
      <c r="BU74" s="76">
        <v>0.25</v>
      </c>
      <c r="BV74" s="76">
        <v>0</v>
      </c>
      <c r="BW74" s="76">
        <v>0.25</v>
      </c>
      <c r="BX74" s="54">
        <v>0.25</v>
      </c>
      <c r="BY74" s="5">
        <v>1.5</v>
      </c>
      <c r="BZ74" s="60">
        <v>0</v>
      </c>
      <c r="CA74" s="5">
        <v>0</v>
      </c>
      <c r="CB74" s="5">
        <v>0</v>
      </c>
      <c r="CC74" s="5">
        <v>1</v>
      </c>
      <c r="CD74" s="5">
        <v>1</v>
      </c>
      <c r="CE74" s="5">
        <v>1</v>
      </c>
      <c r="CF74" s="5">
        <v>24.25</v>
      </c>
      <c r="CG74" s="191"/>
    </row>
    <row r="75" spans="1:85" s="5" customFormat="1" x14ac:dyDescent="0.15">
      <c r="A75" s="5" t="s">
        <v>278</v>
      </c>
      <c r="B75" s="5">
        <v>403</v>
      </c>
      <c r="C75" s="5" t="s">
        <v>409</v>
      </c>
      <c r="F75" s="65" t="s">
        <v>318</v>
      </c>
      <c r="G75" s="65" t="s">
        <v>70</v>
      </c>
      <c r="H75" s="65" t="s">
        <v>45</v>
      </c>
      <c r="I75" s="65" t="s">
        <v>92</v>
      </c>
      <c r="J75" s="68" t="s">
        <v>318</v>
      </c>
      <c r="K75" s="68" t="s">
        <v>9</v>
      </c>
      <c r="L75" s="65">
        <v>310000</v>
      </c>
      <c r="M75" s="68">
        <v>77500</v>
      </c>
      <c r="N75" s="67" t="s">
        <v>41</v>
      </c>
      <c r="O75" s="67">
        <v>390</v>
      </c>
      <c r="P75" s="65">
        <v>507</v>
      </c>
      <c r="Q75" s="65">
        <v>163</v>
      </c>
      <c r="R75" s="65" t="s">
        <v>96</v>
      </c>
      <c r="S75" s="65">
        <v>7044188</v>
      </c>
      <c r="T75" s="65">
        <v>35740710</v>
      </c>
      <c r="U75" s="65">
        <v>1291210.6200000001</v>
      </c>
      <c r="V75" s="65">
        <v>0</v>
      </c>
      <c r="W75" s="65">
        <v>219268</v>
      </c>
      <c r="X75" s="65">
        <v>382767</v>
      </c>
      <c r="Y75" s="65" t="s">
        <v>41</v>
      </c>
      <c r="Z75" s="65">
        <v>1.8723294005578199E-2</v>
      </c>
      <c r="AA75" s="65">
        <v>1.8723294005578199E-2</v>
      </c>
      <c r="AB75" s="65">
        <v>185666000</v>
      </c>
      <c r="AC75" s="65">
        <v>150072000</v>
      </c>
      <c r="AD75" s="65">
        <v>35594000</v>
      </c>
      <c r="AE75" s="65">
        <v>181047</v>
      </c>
      <c r="AF75" s="65">
        <v>2321387</v>
      </c>
      <c r="AG75" s="65">
        <v>4157730</v>
      </c>
      <c r="AH75" s="65">
        <v>28933836</v>
      </c>
      <c r="AI75" s="65">
        <v>5786767.2000000002</v>
      </c>
      <c r="AJ75" s="65">
        <v>23147068.800000001</v>
      </c>
      <c r="AK75" s="65">
        <v>0.23</v>
      </c>
      <c r="AL75" s="65">
        <v>0</v>
      </c>
      <c r="AM75" s="65">
        <v>0</v>
      </c>
      <c r="AN75" s="65">
        <v>0</v>
      </c>
      <c r="AO75" s="65" t="s">
        <v>41</v>
      </c>
      <c r="AP75" s="65" t="s">
        <v>71</v>
      </c>
      <c r="AQ75" s="65" t="s">
        <v>70</v>
      </c>
      <c r="AR75" s="77" t="s">
        <v>204</v>
      </c>
      <c r="AS75" s="11">
        <v>0</v>
      </c>
      <c r="AT75" s="11">
        <v>0.5</v>
      </c>
      <c r="AU75" s="11">
        <v>0.5</v>
      </c>
      <c r="AV75" s="11">
        <v>0.5</v>
      </c>
      <c r="AW75" s="11">
        <v>0</v>
      </c>
      <c r="AX75" s="11">
        <v>0.5</v>
      </c>
      <c r="AY75" s="11">
        <v>0</v>
      </c>
      <c r="AZ75" s="11">
        <v>1</v>
      </c>
      <c r="BA75" s="11">
        <v>0.5</v>
      </c>
      <c r="BB75" s="11">
        <v>0</v>
      </c>
      <c r="BC75" s="75">
        <v>0.75</v>
      </c>
      <c r="BD75" s="75">
        <v>0</v>
      </c>
      <c r="BE75" s="75">
        <v>1</v>
      </c>
      <c r="BF75" s="75">
        <v>0</v>
      </c>
      <c r="BG75" s="75">
        <v>0</v>
      </c>
      <c r="BH75" s="75">
        <v>0</v>
      </c>
      <c r="BI75" s="75">
        <v>0</v>
      </c>
      <c r="BJ75" s="75">
        <v>0</v>
      </c>
      <c r="BK75" s="75">
        <v>0</v>
      </c>
      <c r="BL75" s="76">
        <v>0.5</v>
      </c>
      <c r="BM75" s="76">
        <v>0</v>
      </c>
      <c r="BN75" s="76">
        <v>0.5</v>
      </c>
      <c r="BO75" s="76">
        <v>0</v>
      </c>
      <c r="BP75" s="76">
        <v>0</v>
      </c>
      <c r="BQ75" s="76">
        <v>0.25</v>
      </c>
      <c r="BR75" s="76">
        <v>0.25</v>
      </c>
      <c r="BS75" s="76">
        <v>0.25</v>
      </c>
      <c r="BT75" s="76">
        <v>0.25</v>
      </c>
      <c r="BU75" s="76">
        <v>0.25</v>
      </c>
      <c r="BV75" s="76">
        <v>0</v>
      </c>
      <c r="BW75" s="76">
        <v>0.25</v>
      </c>
      <c r="BX75" s="54">
        <v>0</v>
      </c>
      <c r="BY75" s="5">
        <v>0</v>
      </c>
      <c r="BZ75" s="60">
        <v>0</v>
      </c>
      <c r="CA75" s="5">
        <v>0</v>
      </c>
      <c r="CB75" s="5">
        <v>1</v>
      </c>
      <c r="CC75" s="5">
        <v>1</v>
      </c>
      <c r="CD75" s="5">
        <v>1</v>
      </c>
      <c r="CE75" s="5">
        <v>1</v>
      </c>
      <c r="CF75" s="5">
        <v>11.75</v>
      </c>
      <c r="CG75" s="191"/>
    </row>
    <row r="76" spans="1:85" s="5" customFormat="1" x14ac:dyDescent="0.15">
      <c r="A76" s="5" t="s">
        <v>279</v>
      </c>
      <c r="B76" s="5">
        <v>307</v>
      </c>
      <c r="C76" s="5" t="s">
        <v>410</v>
      </c>
      <c r="F76" s="10" t="s">
        <v>318</v>
      </c>
      <c r="G76" s="10" t="s">
        <v>70</v>
      </c>
      <c r="H76" s="10" t="s">
        <v>45</v>
      </c>
      <c r="I76" s="10" t="s">
        <v>318</v>
      </c>
      <c r="J76" s="10" t="s">
        <v>93</v>
      </c>
      <c r="K76" s="10" t="s">
        <v>9</v>
      </c>
      <c r="L76" s="10">
        <v>0</v>
      </c>
      <c r="M76" s="72">
        <v>0</v>
      </c>
      <c r="N76" s="54" t="s">
        <v>311</v>
      </c>
      <c r="O76" s="54">
        <v>627.24776129032296</v>
      </c>
      <c r="P76" s="10">
        <v>507</v>
      </c>
      <c r="Q76" s="60">
        <v>120.247761290323</v>
      </c>
      <c r="R76" s="60" t="s">
        <v>96</v>
      </c>
      <c r="S76" s="54">
        <v>6660164</v>
      </c>
      <c r="T76" s="60">
        <v>35356686</v>
      </c>
      <c r="U76" s="60">
        <v>238644.95847632401</v>
      </c>
      <c r="V76" s="60">
        <v>148</v>
      </c>
      <c r="W76" s="60">
        <v>202252.93516699399</v>
      </c>
      <c r="X76" s="60">
        <v>5663783.7837837804</v>
      </c>
      <c r="Y76" s="60" t="s">
        <v>311</v>
      </c>
      <c r="Z76" s="60">
        <v>0</v>
      </c>
      <c r="AA76" s="60">
        <v>0</v>
      </c>
      <c r="AB76" s="60">
        <v>0</v>
      </c>
      <c r="AC76" s="60">
        <v>0</v>
      </c>
      <c r="AD76" s="60">
        <v>0</v>
      </c>
      <c r="AE76" s="60">
        <v>0</v>
      </c>
      <c r="AF76" s="65">
        <v>0</v>
      </c>
      <c r="AG76" s="65">
        <v>0</v>
      </c>
      <c r="AH76" s="65">
        <v>0</v>
      </c>
      <c r="AI76" s="65">
        <v>0</v>
      </c>
      <c r="AJ76" s="65">
        <v>0</v>
      </c>
      <c r="AK76" s="65">
        <v>0</v>
      </c>
      <c r="AL76" s="65">
        <v>0</v>
      </c>
      <c r="AM76" s="65">
        <v>0</v>
      </c>
      <c r="AN76" s="65">
        <v>0</v>
      </c>
      <c r="AO76" s="65" t="s">
        <v>309</v>
      </c>
      <c r="AP76" s="65" t="s">
        <v>71</v>
      </c>
      <c r="AQ76" s="65" t="s">
        <v>70</v>
      </c>
      <c r="AR76" s="11" t="s">
        <v>204</v>
      </c>
      <c r="AS76" s="11">
        <v>0</v>
      </c>
      <c r="AT76" s="11">
        <v>0.5</v>
      </c>
      <c r="AU76" s="11">
        <v>0.5</v>
      </c>
      <c r="AV76" s="11">
        <v>0</v>
      </c>
      <c r="AW76" s="11">
        <v>0.5</v>
      </c>
      <c r="AX76" s="11">
        <v>0.5</v>
      </c>
      <c r="AY76" s="11">
        <v>0</v>
      </c>
      <c r="AZ76" s="11">
        <v>0</v>
      </c>
      <c r="BA76" s="11">
        <v>0</v>
      </c>
      <c r="BB76" s="11">
        <v>1</v>
      </c>
      <c r="BC76" s="11">
        <v>0.75</v>
      </c>
      <c r="BD76" s="11">
        <v>0.75</v>
      </c>
      <c r="BE76" s="11">
        <v>1</v>
      </c>
      <c r="BF76" s="11">
        <v>0.5</v>
      </c>
      <c r="BG76" s="11">
        <v>0.5</v>
      </c>
      <c r="BH76" s="11">
        <v>0</v>
      </c>
      <c r="BI76" s="11">
        <v>0</v>
      </c>
      <c r="BJ76" s="11">
        <v>0</v>
      </c>
      <c r="BK76" s="10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0.25</v>
      </c>
      <c r="BR76" s="5">
        <v>0</v>
      </c>
      <c r="BS76" s="5">
        <v>0</v>
      </c>
      <c r="BT76" s="5">
        <v>0</v>
      </c>
      <c r="BU76" s="5">
        <v>0.25</v>
      </c>
      <c r="BV76" s="5">
        <v>0</v>
      </c>
      <c r="BW76" s="5">
        <v>0.25</v>
      </c>
      <c r="BX76" s="54">
        <v>0</v>
      </c>
      <c r="BY76" s="5">
        <v>0</v>
      </c>
      <c r="BZ76" s="60">
        <v>0</v>
      </c>
      <c r="CA76" s="5">
        <v>0</v>
      </c>
      <c r="CB76" s="5">
        <v>0</v>
      </c>
      <c r="CC76" s="5">
        <v>1</v>
      </c>
      <c r="CD76" s="5">
        <v>1</v>
      </c>
      <c r="CE76" s="5">
        <v>1</v>
      </c>
      <c r="CF76" s="5">
        <v>10.25</v>
      </c>
      <c r="CG76" s="191"/>
    </row>
    <row r="77" spans="1:85" s="5" customFormat="1" x14ac:dyDescent="0.15">
      <c r="A77" s="3" t="s">
        <v>280</v>
      </c>
      <c r="B77" s="3">
        <v>316</v>
      </c>
      <c r="C77" s="3" t="s">
        <v>411</v>
      </c>
      <c r="D77" s="3"/>
      <c r="E77" s="3"/>
      <c r="F77" s="3" t="s">
        <v>92</v>
      </c>
      <c r="G77" s="3" t="s">
        <v>70</v>
      </c>
      <c r="H77" s="3" t="s">
        <v>45</v>
      </c>
      <c r="I77" s="3" t="s">
        <v>92</v>
      </c>
      <c r="J77" s="70" t="s">
        <v>93</v>
      </c>
      <c r="K77" s="70" t="s">
        <v>9</v>
      </c>
      <c r="L77" s="3">
        <v>310000</v>
      </c>
      <c r="M77" s="74">
        <v>77500</v>
      </c>
      <c r="N77" s="58" t="s">
        <v>41</v>
      </c>
      <c r="O77" s="58">
        <v>627.24776129032296</v>
      </c>
      <c r="P77" s="3">
        <v>390</v>
      </c>
      <c r="Q77" s="63">
        <v>120.247761290323</v>
      </c>
      <c r="R77" s="63" t="s">
        <v>96</v>
      </c>
      <c r="S77" s="58">
        <v>6660164</v>
      </c>
      <c r="T77" s="63">
        <v>35356686</v>
      </c>
      <c r="U77" s="63">
        <v>294031.96883338102</v>
      </c>
      <c r="V77" s="63">
        <v>66.599999999999994</v>
      </c>
      <c r="W77" s="63">
        <v>202644.28824722799</v>
      </c>
      <c r="X77" s="63">
        <v>36000.670229096402</v>
      </c>
      <c r="Y77" s="63" t="s">
        <v>41</v>
      </c>
      <c r="Z77" s="63">
        <v>1.8723294005578199E-2</v>
      </c>
      <c r="AA77" s="63">
        <v>1.8723294005578199E-2</v>
      </c>
      <c r="AB77" s="63">
        <v>0</v>
      </c>
      <c r="AC77" s="63">
        <v>0</v>
      </c>
      <c r="AD77" s="63">
        <v>0</v>
      </c>
      <c r="AE77" s="63">
        <v>-181047</v>
      </c>
      <c r="AF77" s="66">
        <v>-2321387</v>
      </c>
      <c r="AG77" s="66">
        <v>-4157730</v>
      </c>
      <c r="AH77" s="66">
        <v>0</v>
      </c>
      <c r="AI77" s="66">
        <v>0</v>
      </c>
      <c r="AJ77" s="66">
        <v>0</v>
      </c>
      <c r="AK77" s="66">
        <v>0</v>
      </c>
      <c r="AL77" s="66">
        <v>0</v>
      </c>
      <c r="AM77" s="66">
        <v>0</v>
      </c>
      <c r="AN77" s="66">
        <v>0</v>
      </c>
      <c r="AO77" s="66" t="s">
        <v>41</v>
      </c>
      <c r="AP77" s="66" t="s">
        <v>71</v>
      </c>
      <c r="AQ77" s="66" t="s">
        <v>70</v>
      </c>
      <c r="AR77" s="9" t="s">
        <v>204</v>
      </c>
      <c r="AS77" s="9">
        <v>0.5</v>
      </c>
      <c r="AT77" s="9">
        <v>0.5</v>
      </c>
      <c r="AU77" s="9">
        <v>0.5</v>
      </c>
      <c r="AV77" s="9">
        <v>0.5</v>
      </c>
      <c r="AW77" s="9">
        <v>0.5</v>
      </c>
      <c r="AX77" s="9">
        <v>0.5</v>
      </c>
      <c r="AY77" s="9">
        <v>0</v>
      </c>
      <c r="AZ77" s="9">
        <v>1</v>
      </c>
      <c r="BA77" s="9">
        <v>0.5</v>
      </c>
      <c r="BB77" s="9">
        <v>1</v>
      </c>
      <c r="BC77" s="9">
        <v>0</v>
      </c>
      <c r="BD77" s="9">
        <v>0.75</v>
      </c>
      <c r="BE77" s="9">
        <v>1</v>
      </c>
      <c r="BF77" s="9">
        <v>0.5</v>
      </c>
      <c r="BG77" s="9">
        <v>0.5</v>
      </c>
      <c r="BH77" s="9">
        <v>0.5</v>
      </c>
      <c r="BI77" s="9">
        <v>1</v>
      </c>
      <c r="BJ77" s="9">
        <v>0</v>
      </c>
      <c r="BK77" s="3">
        <v>1.5</v>
      </c>
      <c r="BL77" s="3">
        <v>0.5</v>
      </c>
      <c r="BM77" s="3">
        <v>0</v>
      </c>
      <c r="BN77" s="3">
        <v>0.5</v>
      </c>
      <c r="BO77" s="3">
        <v>0</v>
      </c>
      <c r="BP77" s="3">
        <v>0</v>
      </c>
      <c r="BQ77" s="3">
        <v>0.25</v>
      </c>
      <c r="BR77" s="3">
        <v>0.25</v>
      </c>
      <c r="BS77" s="3">
        <v>0.25</v>
      </c>
      <c r="BT77" s="3">
        <v>0.25</v>
      </c>
      <c r="BU77" s="3">
        <v>0</v>
      </c>
      <c r="BV77" s="3">
        <v>0</v>
      </c>
      <c r="BW77" s="3">
        <v>0.25</v>
      </c>
      <c r="BX77" s="3">
        <v>0</v>
      </c>
      <c r="BY77" s="3">
        <v>0</v>
      </c>
      <c r="BZ77" s="60">
        <v>0</v>
      </c>
      <c r="CA77" s="5">
        <v>0</v>
      </c>
      <c r="CB77" s="5">
        <v>1</v>
      </c>
      <c r="CC77" s="5">
        <v>1</v>
      </c>
      <c r="CD77" s="5">
        <v>1</v>
      </c>
      <c r="CE77" s="5">
        <v>1</v>
      </c>
      <c r="CF77" s="5">
        <v>17.5</v>
      </c>
      <c r="CG77" s="191"/>
    </row>
    <row r="78" spans="1:85" s="5" customFormat="1" x14ac:dyDescent="0.15">
      <c r="A78" s="5" t="s">
        <v>281</v>
      </c>
      <c r="B78" s="5">
        <v>326</v>
      </c>
      <c r="C78" s="5" t="s">
        <v>412</v>
      </c>
      <c r="F78" s="10" t="s">
        <v>92</v>
      </c>
      <c r="G78" s="10" t="s">
        <v>70</v>
      </c>
      <c r="H78" s="10" t="s">
        <v>45</v>
      </c>
      <c r="I78" s="10" t="s">
        <v>92</v>
      </c>
      <c r="J78" s="69" t="s">
        <v>93</v>
      </c>
      <c r="K78" s="69" t="s">
        <v>9</v>
      </c>
      <c r="L78" s="10">
        <v>387500</v>
      </c>
      <c r="M78" s="72">
        <v>77500</v>
      </c>
      <c r="N78" s="57" t="s">
        <v>41</v>
      </c>
      <c r="O78" s="54">
        <v>627.24776129032296</v>
      </c>
      <c r="P78" s="10">
        <v>599.56942580645205</v>
      </c>
      <c r="Q78" s="61">
        <v>27.678335483870999</v>
      </c>
      <c r="R78" s="61" t="s">
        <v>96</v>
      </c>
      <c r="S78" s="57">
        <v>6660164</v>
      </c>
      <c r="T78" s="61">
        <v>35356686</v>
      </c>
      <c r="U78" s="61">
        <v>56367.974797179202</v>
      </c>
      <c r="V78" s="60">
        <v>70.430574193548395</v>
      </c>
      <c r="W78" s="60">
        <v>49069.443650311201</v>
      </c>
      <c r="X78" s="61">
        <v>0</v>
      </c>
      <c r="Y78" s="60" t="s">
        <v>41</v>
      </c>
      <c r="Z78" s="60">
        <v>0.10202175099517501</v>
      </c>
      <c r="AA78" s="60">
        <v>0.10202175099517501</v>
      </c>
      <c r="AB78" s="60">
        <v>229215337.34193501</v>
      </c>
      <c r="AC78" s="60">
        <v>210427550.03871</v>
      </c>
      <c r="AD78" s="60">
        <v>18787787.3032258</v>
      </c>
      <c r="AE78" s="60">
        <v>181047</v>
      </c>
      <c r="AF78" s="65">
        <v>2321387</v>
      </c>
      <c r="AG78" s="65">
        <v>4157730</v>
      </c>
      <c r="AH78" s="65">
        <v>12127623.3032258</v>
      </c>
      <c r="AI78" s="65">
        <v>3757557.4606451602</v>
      </c>
      <c r="AJ78" s="65">
        <v>8370065.84258065</v>
      </c>
      <c r="AK78" s="65">
        <v>0.18999601206892</v>
      </c>
      <c r="AL78" s="65">
        <v>226706346.296774</v>
      </c>
      <c r="AM78" s="65">
        <v>9613527.9690322597</v>
      </c>
      <c r="AN78" s="65">
        <v>14744.6747991292</v>
      </c>
      <c r="AO78" s="65" t="s">
        <v>311</v>
      </c>
      <c r="AP78" s="65" t="s">
        <v>71</v>
      </c>
      <c r="AQ78" s="65" t="s">
        <v>70</v>
      </c>
      <c r="AR78" s="11" t="s">
        <v>204</v>
      </c>
      <c r="AS78" s="11">
        <v>0.5</v>
      </c>
      <c r="AT78" s="11">
        <v>0.5</v>
      </c>
      <c r="AU78" s="11">
        <v>0.5</v>
      </c>
      <c r="AV78" s="11">
        <v>0.5</v>
      </c>
      <c r="AW78" s="11">
        <v>0.5</v>
      </c>
      <c r="AX78" s="11">
        <v>0.5</v>
      </c>
      <c r="AY78" s="11">
        <v>1</v>
      </c>
      <c r="AZ78" s="11">
        <v>1</v>
      </c>
      <c r="BA78" s="11">
        <v>0.5</v>
      </c>
      <c r="BB78" s="11">
        <v>1</v>
      </c>
      <c r="BC78" s="11">
        <v>0</v>
      </c>
      <c r="BD78" s="11">
        <v>0</v>
      </c>
      <c r="BE78" s="11">
        <v>1</v>
      </c>
      <c r="BF78" s="11">
        <v>0.5</v>
      </c>
      <c r="BG78" s="11">
        <v>0.5</v>
      </c>
      <c r="BH78" s="11">
        <v>0</v>
      </c>
      <c r="BI78" s="11">
        <v>0</v>
      </c>
      <c r="BJ78" s="11">
        <v>0</v>
      </c>
      <c r="BK78" s="10">
        <v>0</v>
      </c>
      <c r="BL78" s="5">
        <v>0.5</v>
      </c>
      <c r="BM78" s="5">
        <v>0</v>
      </c>
      <c r="BN78" s="5">
        <v>0</v>
      </c>
      <c r="BO78" s="5">
        <v>1</v>
      </c>
      <c r="BP78" s="5">
        <v>0</v>
      </c>
      <c r="BQ78" s="5">
        <v>0</v>
      </c>
      <c r="BR78" s="5">
        <v>0.25</v>
      </c>
      <c r="BS78" s="5">
        <v>0.25</v>
      </c>
      <c r="BT78" s="5">
        <v>0.25</v>
      </c>
      <c r="BU78" s="5">
        <v>0.25</v>
      </c>
      <c r="BV78" s="5">
        <v>0</v>
      </c>
      <c r="BW78" s="5">
        <v>0</v>
      </c>
      <c r="BX78" s="54">
        <v>0.25</v>
      </c>
      <c r="BY78" s="5">
        <v>1.5</v>
      </c>
      <c r="BZ78" s="60">
        <v>0</v>
      </c>
      <c r="CA78" s="5">
        <v>0</v>
      </c>
      <c r="CB78" s="5">
        <v>0</v>
      </c>
      <c r="CC78" s="5">
        <v>1</v>
      </c>
      <c r="CD78" s="5">
        <v>1</v>
      </c>
      <c r="CE78" s="5">
        <v>1</v>
      </c>
      <c r="CF78" s="5">
        <v>15.75</v>
      </c>
      <c r="CG78" s="191"/>
    </row>
    <row r="79" spans="1:85" s="5" customFormat="1" x14ac:dyDescent="0.15">
      <c r="A79" s="5" t="s">
        <v>282</v>
      </c>
      <c r="B79" s="5">
        <v>39</v>
      </c>
      <c r="C79" s="5" t="s">
        <v>413</v>
      </c>
      <c r="F79" s="65" t="s">
        <v>92</v>
      </c>
      <c r="G79" s="65" t="s">
        <v>70</v>
      </c>
      <c r="H79" s="65" t="s">
        <v>45</v>
      </c>
      <c r="I79" s="65" t="s">
        <v>318</v>
      </c>
      <c r="J79" s="68" t="s">
        <v>93</v>
      </c>
      <c r="K79" s="68" t="s">
        <v>9</v>
      </c>
      <c r="L79" s="65">
        <v>387500</v>
      </c>
      <c r="M79" s="68">
        <v>77500</v>
      </c>
      <c r="N79" s="67" t="s">
        <v>41</v>
      </c>
      <c r="O79" s="67">
        <v>627.247764516129</v>
      </c>
      <c r="P79" s="65">
        <v>507</v>
      </c>
      <c r="Q79" s="65">
        <v>120.247764516129</v>
      </c>
      <c r="R79" s="65" t="s">
        <v>96</v>
      </c>
      <c r="S79" s="67">
        <v>6660164</v>
      </c>
      <c r="T79" s="65">
        <v>28696522</v>
      </c>
      <c r="U79" s="65">
        <v>238644.95847632401</v>
      </c>
      <c r="V79" s="65">
        <v>66.602500000000006</v>
      </c>
      <c r="W79" s="65">
        <v>202640.51559251599</v>
      </c>
      <c r="X79" s="65">
        <v>53169.230769230802</v>
      </c>
      <c r="Y79" s="65" t="s">
        <v>41</v>
      </c>
      <c r="Z79" s="65">
        <v>1.8723294005578199E-2</v>
      </c>
      <c r="AA79" s="65">
        <v>1.8723294005578199E-2</v>
      </c>
      <c r="AB79" s="65">
        <v>229216000</v>
      </c>
      <c r="AC79" s="65">
        <v>217989522</v>
      </c>
      <c r="AD79" s="65">
        <v>11226478</v>
      </c>
      <c r="AE79" s="65">
        <v>181047</v>
      </c>
      <c r="AF79" s="65">
        <v>2321387</v>
      </c>
      <c r="AG79" s="65">
        <v>4157730</v>
      </c>
      <c r="AH79" s="65">
        <v>4566314</v>
      </c>
      <c r="AI79" s="65">
        <v>913262.8</v>
      </c>
      <c r="AJ79" s="65">
        <v>3653051.2</v>
      </c>
      <c r="AK79" s="65">
        <v>0.189995462794918</v>
      </c>
      <c r="AL79" s="65">
        <v>226707000</v>
      </c>
      <c r="AM79" s="65">
        <v>3268251.2</v>
      </c>
      <c r="AN79" s="65">
        <v>32268.7027027027</v>
      </c>
      <c r="AO79" s="65" t="s">
        <v>311</v>
      </c>
      <c r="AP79" s="65" t="s">
        <v>71</v>
      </c>
      <c r="AQ79" s="65" t="s">
        <v>70</v>
      </c>
      <c r="AR79" s="78" t="s">
        <v>204</v>
      </c>
      <c r="AS79" s="11">
        <v>0.5</v>
      </c>
      <c r="AT79" s="11">
        <v>0.5</v>
      </c>
      <c r="AU79" s="11">
        <v>0.5</v>
      </c>
      <c r="AV79" s="11">
        <v>0</v>
      </c>
      <c r="AW79" s="11">
        <v>0.5</v>
      </c>
      <c r="AX79" s="11">
        <v>0.5</v>
      </c>
      <c r="AY79" s="11">
        <v>1</v>
      </c>
      <c r="AZ79" s="11">
        <v>1</v>
      </c>
      <c r="BA79" s="11">
        <v>0.5</v>
      </c>
      <c r="BB79" s="11">
        <v>1</v>
      </c>
      <c r="BC79" s="75">
        <v>0.75</v>
      </c>
      <c r="BD79" s="75">
        <v>0.75</v>
      </c>
      <c r="BE79" s="75">
        <v>1</v>
      </c>
      <c r="BF79" s="75">
        <v>0.5</v>
      </c>
      <c r="BG79" s="75">
        <v>0</v>
      </c>
      <c r="BH79" s="75">
        <v>0</v>
      </c>
      <c r="BI79" s="75">
        <v>1</v>
      </c>
      <c r="BJ79" s="75">
        <v>0</v>
      </c>
      <c r="BK79" s="76">
        <v>0</v>
      </c>
      <c r="BL79" s="76">
        <v>0.5</v>
      </c>
      <c r="BM79" s="76">
        <v>0</v>
      </c>
      <c r="BN79" s="76">
        <v>0.5</v>
      </c>
      <c r="BO79" s="76">
        <v>0</v>
      </c>
      <c r="BP79" s="76">
        <v>1</v>
      </c>
      <c r="BQ79" s="76">
        <v>0.25</v>
      </c>
      <c r="BR79" s="76">
        <v>0.25</v>
      </c>
      <c r="BS79" s="76">
        <v>0.25</v>
      </c>
      <c r="BT79" s="76">
        <v>0.25</v>
      </c>
      <c r="BU79" s="76">
        <v>0.25</v>
      </c>
      <c r="BV79" s="76">
        <v>0</v>
      </c>
      <c r="BW79" s="76">
        <v>0.25</v>
      </c>
      <c r="BX79" s="54">
        <v>0.25</v>
      </c>
      <c r="BY79" s="55">
        <v>0</v>
      </c>
      <c r="BZ79" s="60">
        <v>0</v>
      </c>
      <c r="CA79" s="5">
        <v>0</v>
      </c>
      <c r="CB79" s="5">
        <v>0</v>
      </c>
      <c r="CC79" s="5">
        <v>1</v>
      </c>
      <c r="CD79" s="5">
        <v>1</v>
      </c>
      <c r="CE79" s="5">
        <v>1</v>
      </c>
      <c r="CF79" s="5">
        <v>16.75</v>
      </c>
      <c r="CG79" s="191"/>
    </row>
    <row r="80" spans="1:85" s="5" customFormat="1" x14ac:dyDescent="0.15">
      <c r="A80" s="5" t="s">
        <v>283</v>
      </c>
      <c r="B80" s="5">
        <v>171</v>
      </c>
      <c r="C80" s="5" t="s">
        <v>414</v>
      </c>
      <c r="F80" s="10" t="s">
        <v>92</v>
      </c>
      <c r="G80" s="10" t="s">
        <v>70</v>
      </c>
      <c r="H80" s="10" t="s">
        <v>45</v>
      </c>
      <c r="I80" s="10" t="s">
        <v>92</v>
      </c>
      <c r="J80" s="10" t="s">
        <v>93</v>
      </c>
      <c r="K80" s="10" t="s">
        <v>9</v>
      </c>
      <c r="L80" s="10">
        <v>387500</v>
      </c>
      <c r="M80" s="72">
        <v>77500</v>
      </c>
      <c r="N80" s="54" t="s">
        <v>41</v>
      </c>
      <c r="O80" s="54">
        <v>627.24776129032296</v>
      </c>
      <c r="P80" s="10">
        <v>507</v>
      </c>
      <c r="Q80" s="60">
        <v>120.247761290323</v>
      </c>
      <c r="R80" s="60" t="s">
        <v>96</v>
      </c>
      <c r="S80" s="54">
        <v>-6660164</v>
      </c>
      <c r="T80" s="60">
        <v>36472686</v>
      </c>
      <c r="U80" s="60">
        <v>303312.80689659901</v>
      </c>
      <c r="V80" s="60">
        <v>66.599999999999994</v>
      </c>
      <c r="W80" s="60">
        <v>267312.13666750299</v>
      </c>
      <c r="X80" s="60">
        <v>36000.670229096402</v>
      </c>
      <c r="Y80" s="60" t="s">
        <v>41</v>
      </c>
      <c r="Z80" s="60">
        <v>1.8723294005578199E-2</v>
      </c>
      <c r="AA80" s="60">
        <v>1.8723294005578199E-2</v>
      </c>
      <c r="AB80" s="60">
        <v>229215337.34193501</v>
      </c>
      <c r="AC80" s="60">
        <v>219105522</v>
      </c>
      <c r="AD80" s="60">
        <v>10109815.341935501</v>
      </c>
      <c r="AE80" s="60">
        <v>181047</v>
      </c>
      <c r="AF80" s="65">
        <v>2321387</v>
      </c>
      <c r="AG80" s="65">
        <v>4157730</v>
      </c>
      <c r="AH80" s="65">
        <v>3449651.3419354898</v>
      </c>
      <c r="AI80" s="65">
        <v>689930.26838709705</v>
      </c>
      <c r="AJ80" s="65">
        <v>2759721.0735483901</v>
      </c>
      <c r="AK80" s="65">
        <v>0.18999601206892</v>
      </c>
      <c r="AL80" s="65">
        <v>226706346.296774</v>
      </c>
      <c r="AM80" s="65">
        <v>2374928.2374193701</v>
      </c>
      <c r="AN80" s="65">
        <v>28915.3882786012</v>
      </c>
      <c r="AO80" s="65" t="s">
        <v>41</v>
      </c>
      <c r="AP80" s="65" t="s">
        <v>71</v>
      </c>
      <c r="AQ80" s="65" t="s">
        <v>70</v>
      </c>
      <c r="AR80" s="11" t="s">
        <v>329</v>
      </c>
      <c r="AS80" s="11">
        <v>0.5</v>
      </c>
      <c r="AT80" s="11">
        <v>0.5</v>
      </c>
      <c r="AU80" s="11">
        <v>0.5</v>
      </c>
      <c r="AV80" s="11">
        <v>0.5</v>
      </c>
      <c r="AW80" s="11">
        <v>0.5</v>
      </c>
      <c r="AX80" s="11">
        <v>0.5</v>
      </c>
      <c r="AY80" s="11">
        <v>1</v>
      </c>
      <c r="AZ80" s="11">
        <v>1</v>
      </c>
      <c r="BA80" s="11">
        <v>0.5</v>
      </c>
      <c r="BB80" s="11">
        <v>1</v>
      </c>
      <c r="BC80" s="11">
        <v>0.75</v>
      </c>
      <c r="BD80" s="11">
        <v>0.75</v>
      </c>
      <c r="BE80" s="11">
        <v>1</v>
      </c>
      <c r="BF80" s="11">
        <v>0.5</v>
      </c>
      <c r="BG80" s="11">
        <v>0.5</v>
      </c>
      <c r="BH80" s="11">
        <v>0.5</v>
      </c>
      <c r="BI80" s="11">
        <v>1</v>
      </c>
      <c r="BJ80" s="11">
        <v>2</v>
      </c>
      <c r="BK80" s="10">
        <v>1.5</v>
      </c>
      <c r="BL80" s="5">
        <v>0.5</v>
      </c>
      <c r="BM80" s="5">
        <v>0</v>
      </c>
      <c r="BN80" s="5">
        <v>0.5</v>
      </c>
      <c r="BO80" s="5">
        <v>1</v>
      </c>
      <c r="BP80" s="5">
        <v>1</v>
      </c>
      <c r="BQ80" s="5">
        <v>0.25</v>
      </c>
      <c r="BR80" s="5">
        <v>0.25</v>
      </c>
      <c r="BS80" s="5">
        <v>0.25</v>
      </c>
      <c r="BT80" s="5">
        <v>0.25</v>
      </c>
      <c r="BU80" s="5">
        <v>0.25</v>
      </c>
      <c r="BV80" s="5">
        <v>0.25</v>
      </c>
      <c r="BW80" s="5">
        <v>0.25</v>
      </c>
      <c r="BX80" s="54">
        <v>0.25</v>
      </c>
      <c r="BY80" s="5">
        <v>1.5</v>
      </c>
      <c r="BZ80" s="60">
        <v>1.5</v>
      </c>
      <c r="CA80" s="5">
        <v>2</v>
      </c>
      <c r="CB80" s="5">
        <v>1</v>
      </c>
      <c r="CC80" s="5">
        <v>1</v>
      </c>
      <c r="CD80" s="5">
        <v>1</v>
      </c>
      <c r="CE80" s="5">
        <v>0</v>
      </c>
      <c r="CF80" s="5">
        <v>28</v>
      </c>
      <c r="CG80" s="191"/>
    </row>
    <row r="81" spans="1:85" s="5" customFormat="1" x14ac:dyDescent="0.15">
      <c r="A81" s="5" t="s">
        <v>284</v>
      </c>
      <c r="B81" s="5">
        <v>366</v>
      </c>
      <c r="C81" s="5" t="s">
        <v>415</v>
      </c>
      <c r="F81" s="65" t="s">
        <v>92</v>
      </c>
      <c r="G81" s="65" t="s">
        <v>70</v>
      </c>
      <c r="H81" s="65" t="s">
        <v>45</v>
      </c>
      <c r="I81" s="65" t="s">
        <v>92</v>
      </c>
      <c r="J81" s="68" t="s">
        <v>93</v>
      </c>
      <c r="K81" s="68" t="s">
        <v>9</v>
      </c>
      <c r="L81" s="65">
        <v>387500</v>
      </c>
      <c r="M81" s="68">
        <v>77500</v>
      </c>
      <c r="N81" s="67" t="s">
        <v>41</v>
      </c>
      <c r="O81" s="67">
        <v>627.24776129032296</v>
      </c>
      <c r="P81" s="65">
        <v>507</v>
      </c>
      <c r="Q81" s="65">
        <v>120.247761290323</v>
      </c>
      <c r="R81" s="65" t="s">
        <v>96</v>
      </c>
      <c r="S81" s="67">
        <v>6660164</v>
      </c>
      <c r="T81" s="65">
        <v>35356686</v>
      </c>
      <c r="U81" s="65">
        <v>294032</v>
      </c>
      <c r="V81" s="65">
        <v>57.268999999999998</v>
      </c>
      <c r="W81" s="65">
        <v>263076</v>
      </c>
      <c r="X81" s="65">
        <v>30956</v>
      </c>
      <c r="Y81" s="65" t="s">
        <v>311</v>
      </c>
      <c r="Z81" s="65">
        <v>0.42192502766026402</v>
      </c>
      <c r="AA81" s="65">
        <v>0.42192502766026402</v>
      </c>
      <c r="AB81" s="65">
        <v>227915337.34193501</v>
      </c>
      <c r="AC81" s="65">
        <v>218596037</v>
      </c>
      <c r="AD81" s="65">
        <v>9319300.3419354893</v>
      </c>
      <c r="AE81" s="65">
        <v>181047</v>
      </c>
      <c r="AF81" s="65">
        <v>2321387</v>
      </c>
      <c r="AG81" s="65">
        <v>4157730</v>
      </c>
      <c r="AH81" s="65">
        <v>2659136.3419354898</v>
      </c>
      <c r="AI81" s="65">
        <v>531827.26838709705</v>
      </c>
      <c r="AJ81" s="65">
        <v>2127309.0735483901</v>
      </c>
      <c r="AK81" s="65">
        <v>0.18537585268609399</v>
      </c>
      <c r="AL81" s="65">
        <v>225406346.296774</v>
      </c>
      <c r="AM81" s="65">
        <v>1742516.2374193701</v>
      </c>
      <c r="AN81" s="65">
        <v>30866</v>
      </c>
      <c r="AO81" s="65" t="s">
        <v>311</v>
      </c>
      <c r="AP81" s="65" t="s">
        <v>71</v>
      </c>
      <c r="AQ81" s="65" t="s">
        <v>70</v>
      </c>
      <c r="AR81" s="77" t="s">
        <v>204</v>
      </c>
      <c r="AS81" s="11">
        <v>0.5</v>
      </c>
      <c r="AT81" s="11">
        <v>0.5</v>
      </c>
      <c r="AU81" s="11">
        <v>0.5</v>
      </c>
      <c r="AV81" s="11">
        <v>0.5</v>
      </c>
      <c r="AW81" s="11">
        <v>0.5</v>
      </c>
      <c r="AX81" s="11">
        <v>0.5</v>
      </c>
      <c r="AY81" s="11">
        <v>1</v>
      </c>
      <c r="AZ81" s="11">
        <v>1</v>
      </c>
      <c r="BA81" s="11">
        <v>0.5</v>
      </c>
      <c r="BB81" s="11">
        <v>1</v>
      </c>
      <c r="BC81" s="75">
        <v>0.75</v>
      </c>
      <c r="BD81" s="75">
        <v>0.75</v>
      </c>
      <c r="BE81" s="75">
        <v>1</v>
      </c>
      <c r="BF81" s="75">
        <v>0.5</v>
      </c>
      <c r="BG81" s="75">
        <v>0.5</v>
      </c>
      <c r="BH81" s="75">
        <v>0.5</v>
      </c>
      <c r="BI81" s="75">
        <v>0</v>
      </c>
      <c r="BJ81" s="75">
        <v>0</v>
      </c>
      <c r="BK81" s="75">
        <v>0</v>
      </c>
      <c r="BL81" s="76">
        <v>0</v>
      </c>
      <c r="BM81" s="76">
        <v>0</v>
      </c>
      <c r="BN81" s="76">
        <v>0</v>
      </c>
      <c r="BO81" s="76">
        <v>0</v>
      </c>
      <c r="BP81" s="76">
        <v>0</v>
      </c>
      <c r="BQ81" s="76">
        <v>0</v>
      </c>
      <c r="BR81" s="76">
        <v>0.25</v>
      </c>
      <c r="BS81" s="76">
        <v>0.25</v>
      </c>
      <c r="BT81" s="76">
        <v>0.25</v>
      </c>
      <c r="BU81" s="76">
        <v>0.25</v>
      </c>
      <c r="BV81" s="76">
        <v>0</v>
      </c>
      <c r="BW81" s="76">
        <v>0.25</v>
      </c>
      <c r="BX81" s="54">
        <v>0.25</v>
      </c>
      <c r="BY81" s="5">
        <v>0</v>
      </c>
      <c r="BZ81" s="60">
        <v>0</v>
      </c>
      <c r="CA81" s="5">
        <v>0</v>
      </c>
      <c r="CB81" s="5">
        <v>0</v>
      </c>
      <c r="CC81" s="5">
        <v>1</v>
      </c>
      <c r="CD81" s="5">
        <v>1</v>
      </c>
      <c r="CE81" s="5">
        <v>1</v>
      </c>
      <c r="CF81" s="5">
        <v>15</v>
      </c>
      <c r="CG81" s="191"/>
    </row>
    <row r="82" spans="1:85" s="5" customFormat="1" x14ac:dyDescent="0.15">
      <c r="A82" s="5" t="s">
        <v>285</v>
      </c>
      <c r="B82" s="5">
        <v>430</v>
      </c>
      <c r="C82" s="5" t="s">
        <v>416</v>
      </c>
      <c r="F82" s="65" t="s">
        <v>318</v>
      </c>
      <c r="G82" s="65" t="s">
        <v>70</v>
      </c>
      <c r="H82" s="65" t="s">
        <v>45</v>
      </c>
      <c r="I82" s="65" t="s">
        <v>92</v>
      </c>
      <c r="J82" s="68" t="s">
        <v>9</v>
      </c>
      <c r="K82" s="68" t="s">
        <v>140</v>
      </c>
      <c r="L82" s="65">
        <v>384500</v>
      </c>
      <c r="M82" s="68">
        <v>77500</v>
      </c>
      <c r="N82" s="67" t="s">
        <v>41</v>
      </c>
      <c r="O82" s="67">
        <v>625.25</v>
      </c>
      <c r="P82" s="65">
        <v>599.57000000000005</v>
      </c>
      <c r="Q82" s="65">
        <v>27.68</v>
      </c>
      <c r="R82" s="65" t="s">
        <v>96</v>
      </c>
      <c r="S82" s="67">
        <v>6660164</v>
      </c>
      <c r="T82" s="65">
        <v>35356686</v>
      </c>
      <c r="U82" s="65">
        <v>216.91200000000001</v>
      </c>
      <c r="V82" s="65">
        <v>70.430000000000007</v>
      </c>
      <c r="W82" s="65">
        <v>0</v>
      </c>
      <c r="X82" s="65">
        <v>0</v>
      </c>
      <c r="Y82" s="65" t="s">
        <v>311</v>
      </c>
      <c r="Z82" s="65">
        <v>1</v>
      </c>
      <c r="AA82" s="65">
        <v>1</v>
      </c>
      <c r="AB82" s="65">
        <v>0</v>
      </c>
      <c r="AC82" s="65">
        <v>0</v>
      </c>
      <c r="AD82" s="65">
        <v>0</v>
      </c>
      <c r="AE82" s="65">
        <v>0</v>
      </c>
      <c r="AF82" s="65">
        <v>0</v>
      </c>
      <c r="AG82" s="65">
        <v>0</v>
      </c>
      <c r="AH82" s="65">
        <v>0</v>
      </c>
      <c r="AI82" s="65">
        <v>0</v>
      </c>
      <c r="AJ82" s="65">
        <v>0</v>
      </c>
      <c r="AK82" s="65">
        <v>0</v>
      </c>
      <c r="AL82" s="65">
        <v>0</v>
      </c>
      <c r="AM82" s="65">
        <v>0</v>
      </c>
      <c r="AN82" s="65">
        <v>0</v>
      </c>
      <c r="AO82" s="65" t="s">
        <v>311</v>
      </c>
      <c r="AP82" s="65" t="s">
        <v>71</v>
      </c>
      <c r="AQ82" s="65" t="s">
        <v>70</v>
      </c>
      <c r="AR82" s="77" t="s">
        <v>204</v>
      </c>
      <c r="AS82" s="11">
        <v>0</v>
      </c>
      <c r="AT82" s="11">
        <v>0.5</v>
      </c>
      <c r="AU82" s="11">
        <v>0.5</v>
      </c>
      <c r="AV82" s="11">
        <v>0.5</v>
      </c>
      <c r="AW82" s="11">
        <v>0</v>
      </c>
      <c r="AX82" s="11">
        <v>0</v>
      </c>
      <c r="AY82" s="11">
        <v>0</v>
      </c>
      <c r="AZ82" s="11">
        <v>1</v>
      </c>
      <c r="BA82" s="11">
        <v>0.5</v>
      </c>
      <c r="BB82" s="11">
        <v>0</v>
      </c>
      <c r="BC82" s="75">
        <v>0</v>
      </c>
      <c r="BD82" s="75">
        <v>0</v>
      </c>
      <c r="BE82" s="75">
        <v>1</v>
      </c>
      <c r="BF82" s="75">
        <v>0.5</v>
      </c>
      <c r="BG82" s="75">
        <v>0.5</v>
      </c>
      <c r="BH82" s="75">
        <v>0</v>
      </c>
      <c r="BI82" s="75">
        <v>0</v>
      </c>
      <c r="BJ82" s="75">
        <v>0</v>
      </c>
      <c r="BK82" s="76">
        <v>0</v>
      </c>
      <c r="BL82" s="76">
        <v>0</v>
      </c>
      <c r="BM82" s="76">
        <v>0</v>
      </c>
      <c r="BN82" s="76">
        <v>0</v>
      </c>
      <c r="BO82" s="76">
        <v>0</v>
      </c>
      <c r="BP82" s="76">
        <v>0</v>
      </c>
      <c r="BQ82" s="76">
        <v>0.25</v>
      </c>
      <c r="BR82" s="76">
        <v>0</v>
      </c>
      <c r="BS82" s="76">
        <v>0</v>
      </c>
      <c r="BT82" s="76">
        <v>0</v>
      </c>
      <c r="BU82" s="76">
        <v>0.25</v>
      </c>
      <c r="BV82" s="76">
        <v>0</v>
      </c>
      <c r="BW82" s="76">
        <v>0.25</v>
      </c>
      <c r="BX82" s="54">
        <v>0</v>
      </c>
      <c r="BY82" s="5">
        <v>0</v>
      </c>
      <c r="BZ82" s="60">
        <v>0</v>
      </c>
      <c r="CA82" s="5">
        <v>0</v>
      </c>
      <c r="CB82" s="5">
        <v>0</v>
      </c>
      <c r="CC82" s="5">
        <v>1</v>
      </c>
      <c r="CD82" s="5">
        <v>1</v>
      </c>
      <c r="CE82" s="5">
        <v>1</v>
      </c>
      <c r="CF82" s="5">
        <v>8.75</v>
      </c>
      <c r="CG82" s="191"/>
    </row>
    <row r="83" spans="1:85" s="5" customFormat="1" x14ac:dyDescent="0.15">
      <c r="A83" s="5" t="s">
        <v>286</v>
      </c>
      <c r="B83" s="5">
        <v>378</v>
      </c>
      <c r="C83" s="5" t="s">
        <v>417</v>
      </c>
      <c r="F83" s="65" t="s">
        <v>92</v>
      </c>
      <c r="G83" s="65" t="s">
        <v>70</v>
      </c>
      <c r="H83" s="65" t="s">
        <v>45</v>
      </c>
      <c r="I83" s="65" t="s">
        <v>92</v>
      </c>
      <c r="J83" s="68" t="s">
        <v>93</v>
      </c>
      <c r="K83" s="68" t="s">
        <v>9</v>
      </c>
      <c r="L83" s="65">
        <v>387500</v>
      </c>
      <c r="M83" s="68">
        <v>77500</v>
      </c>
      <c r="N83" s="67" t="s">
        <v>41</v>
      </c>
      <c r="O83" s="67">
        <v>627.25</v>
      </c>
      <c r="P83" s="65">
        <v>507</v>
      </c>
      <c r="Q83" s="65">
        <v>120.25</v>
      </c>
      <c r="R83" s="65" t="s">
        <v>96</v>
      </c>
      <c r="S83" s="67">
        <v>6660164</v>
      </c>
      <c r="T83" s="65">
        <v>35356686</v>
      </c>
      <c r="U83" s="65">
        <v>294031.96883338102</v>
      </c>
      <c r="V83" s="65">
        <v>66.599999999999994</v>
      </c>
      <c r="W83" s="65">
        <v>258031.298604285</v>
      </c>
      <c r="X83" s="65">
        <v>36000.670229096402</v>
      </c>
      <c r="Y83" s="65" t="s">
        <v>41</v>
      </c>
      <c r="Z83" s="65">
        <v>1.8700000000000001E-2</v>
      </c>
      <c r="AA83" s="65">
        <v>1.8700000000000001E-2</v>
      </c>
      <c r="AB83" s="65">
        <v>229215337.34193501</v>
      </c>
      <c r="AC83" s="65">
        <v>217989522</v>
      </c>
      <c r="AD83" s="65">
        <v>11225815.341935501</v>
      </c>
      <c r="AE83" s="65">
        <v>181047</v>
      </c>
      <c r="AF83" s="65">
        <v>2321387</v>
      </c>
      <c r="AG83" s="65">
        <v>4157730</v>
      </c>
      <c r="AH83" s="65">
        <v>4565651.3419354903</v>
      </c>
      <c r="AI83" s="65">
        <v>913130.26838709705</v>
      </c>
      <c r="AJ83" s="65">
        <v>3652521.0735483901</v>
      </c>
      <c r="AK83" s="65">
        <v>0.18999601206892</v>
      </c>
      <c r="AL83" s="65">
        <v>226706346.296774</v>
      </c>
      <c r="AM83" s="65">
        <v>3267728.24</v>
      </c>
      <c r="AN83" s="65">
        <v>32266.739629952601</v>
      </c>
      <c r="AO83" s="65" t="s">
        <v>41</v>
      </c>
      <c r="AP83" s="65" t="s">
        <v>71</v>
      </c>
      <c r="AQ83" s="65" t="s">
        <v>70</v>
      </c>
      <c r="AR83" s="77" t="s">
        <v>204</v>
      </c>
      <c r="AS83" s="11">
        <v>0.5</v>
      </c>
      <c r="AT83" s="11">
        <v>0.5</v>
      </c>
      <c r="AU83" s="11">
        <v>0.5</v>
      </c>
      <c r="AV83" s="11">
        <v>0.5</v>
      </c>
      <c r="AW83" s="11">
        <v>0.5</v>
      </c>
      <c r="AX83" s="11">
        <v>0.5</v>
      </c>
      <c r="AY83" s="11">
        <v>1</v>
      </c>
      <c r="AZ83" s="11">
        <v>1</v>
      </c>
      <c r="BA83" s="11">
        <v>0.5</v>
      </c>
      <c r="BB83" s="11">
        <v>1</v>
      </c>
      <c r="BC83" s="75">
        <v>0.75</v>
      </c>
      <c r="BD83" s="75">
        <v>0.75</v>
      </c>
      <c r="BE83" s="75">
        <v>1</v>
      </c>
      <c r="BF83" s="75">
        <v>0.5</v>
      </c>
      <c r="BG83" s="75">
        <v>0.5</v>
      </c>
      <c r="BH83" s="75">
        <v>0.5</v>
      </c>
      <c r="BI83" s="75">
        <v>1</v>
      </c>
      <c r="BJ83" s="75">
        <v>2</v>
      </c>
      <c r="BK83" s="76">
        <v>1.5</v>
      </c>
      <c r="BL83" s="76">
        <v>0.5</v>
      </c>
      <c r="BM83" s="76">
        <v>0</v>
      </c>
      <c r="BN83" s="76">
        <v>0.5</v>
      </c>
      <c r="BO83" s="76">
        <v>1</v>
      </c>
      <c r="BP83" s="76">
        <v>1</v>
      </c>
      <c r="BQ83" s="76">
        <v>0.25</v>
      </c>
      <c r="BR83" s="76">
        <v>0.25</v>
      </c>
      <c r="BS83" s="76">
        <v>0.25</v>
      </c>
      <c r="BT83" s="76">
        <v>0.25</v>
      </c>
      <c r="BU83" s="76">
        <v>0.25</v>
      </c>
      <c r="BV83" s="76">
        <v>0.25</v>
      </c>
      <c r="BW83" s="76">
        <v>0.25</v>
      </c>
      <c r="BX83" s="54">
        <v>0.25</v>
      </c>
      <c r="BY83" s="5">
        <v>1.5</v>
      </c>
      <c r="BZ83" s="60">
        <v>1.5</v>
      </c>
      <c r="CA83" s="5">
        <v>2</v>
      </c>
      <c r="CB83" s="5">
        <v>1</v>
      </c>
      <c r="CC83" s="5">
        <v>1</v>
      </c>
      <c r="CD83" s="5">
        <v>1</v>
      </c>
      <c r="CE83" s="5">
        <v>1</v>
      </c>
      <c r="CF83" s="5">
        <v>29</v>
      </c>
      <c r="CG83" s="191"/>
    </row>
    <row r="84" spans="1:85" s="5" customFormat="1" x14ac:dyDescent="0.15">
      <c r="A84" s="5" t="s">
        <v>287</v>
      </c>
      <c r="B84" s="5">
        <v>357</v>
      </c>
      <c r="C84" s="5" t="s">
        <v>418</v>
      </c>
      <c r="F84" s="5" t="s">
        <v>92</v>
      </c>
      <c r="G84" s="5" t="s">
        <v>70</v>
      </c>
      <c r="H84" s="5" t="s">
        <v>45</v>
      </c>
      <c r="I84" s="5" t="s">
        <v>92</v>
      </c>
      <c r="J84" s="10" t="s">
        <v>93</v>
      </c>
      <c r="K84" s="10" t="s">
        <v>9</v>
      </c>
      <c r="L84" s="5">
        <v>3875</v>
      </c>
      <c r="M84" s="72">
        <v>77500</v>
      </c>
      <c r="N84" s="54" t="s">
        <v>41</v>
      </c>
      <c r="O84" s="54">
        <v>62725</v>
      </c>
      <c r="P84" s="5">
        <v>507</v>
      </c>
      <c r="Q84" s="60">
        <v>120.25</v>
      </c>
      <c r="R84" s="60" t="s">
        <v>96</v>
      </c>
      <c r="S84" s="54" t="s">
        <v>376</v>
      </c>
      <c r="T84" s="60" t="s">
        <v>419</v>
      </c>
      <c r="U84" s="60">
        <v>29403197</v>
      </c>
      <c r="V84" s="60">
        <v>67</v>
      </c>
      <c r="W84" s="60">
        <v>258031</v>
      </c>
      <c r="X84" s="60">
        <v>36001</v>
      </c>
      <c r="Y84" s="60" t="s">
        <v>41</v>
      </c>
      <c r="Z84" s="60">
        <v>0.02</v>
      </c>
      <c r="AA84" s="60">
        <v>0.02</v>
      </c>
      <c r="AB84" s="60">
        <v>22921533734</v>
      </c>
      <c r="AC84" s="60">
        <v>217989522</v>
      </c>
      <c r="AD84" s="60">
        <v>1122581534</v>
      </c>
      <c r="AE84" s="60">
        <v>18104700</v>
      </c>
      <c r="AF84" s="65">
        <v>2321387</v>
      </c>
      <c r="AG84" s="65">
        <v>4157730</v>
      </c>
      <c r="AH84" s="65">
        <v>456565134</v>
      </c>
      <c r="AI84" s="65">
        <v>91313027</v>
      </c>
      <c r="AJ84" s="65">
        <v>365252107</v>
      </c>
      <c r="AK84" s="65">
        <v>0.19</v>
      </c>
      <c r="AL84" s="65">
        <v>22670634630</v>
      </c>
      <c r="AM84" s="65">
        <v>326772824</v>
      </c>
      <c r="AN84" s="65">
        <v>3226674</v>
      </c>
      <c r="AO84" s="65" t="s">
        <v>311</v>
      </c>
      <c r="AP84" s="65" t="s">
        <v>71</v>
      </c>
      <c r="AQ84" s="65" t="s">
        <v>70</v>
      </c>
      <c r="AR84" s="8" t="s">
        <v>204</v>
      </c>
      <c r="AS84" s="8">
        <v>0.5</v>
      </c>
      <c r="AT84" s="8">
        <v>0.5</v>
      </c>
      <c r="AU84" s="8">
        <v>0.5</v>
      </c>
      <c r="AV84" s="8">
        <v>0.5</v>
      </c>
      <c r="AW84" s="8">
        <v>0.5</v>
      </c>
      <c r="AX84" s="8">
        <v>0.5</v>
      </c>
      <c r="AY84" s="8">
        <v>0</v>
      </c>
      <c r="AZ84" s="8">
        <v>1</v>
      </c>
      <c r="BA84" s="8">
        <v>0.5</v>
      </c>
      <c r="BB84" s="8">
        <v>0</v>
      </c>
      <c r="BC84" s="8">
        <v>0.75</v>
      </c>
      <c r="BD84" s="8">
        <v>0.75</v>
      </c>
      <c r="BE84" s="8">
        <v>1</v>
      </c>
      <c r="BF84" s="8">
        <v>0</v>
      </c>
      <c r="BG84" s="8">
        <v>0</v>
      </c>
      <c r="BH84" s="8">
        <v>0</v>
      </c>
      <c r="BI84" s="8">
        <v>1</v>
      </c>
      <c r="BJ84" s="8">
        <v>2</v>
      </c>
      <c r="BK84" s="5">
        <v>1.5</v>
      </c>
      <c r="BL84" s="5">
        <v>0.5</v>
      </c>
      <c r="BM84" s="5">
        <v>0</v>
      </c>
      <c r="BN84" s="5">
        <v>0.5</v>
      </c>
      <c r="BO84" s="5">
        <v>0</v>
      </c>
      <c r="BP84" s="5">
        <v>1</v>
      </c>
      <c r="BQ84" s="5">
        <v>0</v>
      </c>
      <c r="BR84" s="5">
        <v>0</v>
      </c>
      <c r="BS84" s="5">
        <v>0.25</v>
      </c>
      <c r="BT84" s="5">
        <v>0.25</v>
      </c>
      <c r="BU84" s="5">
        <v>0</v>
      </c>
      <c r="BV84" s="5">
        <v>0</v>
      </c>
      <c r="BW84" s="5">
        <v>0.25</v>
      </c>
      <c r="BX84" s="54">
        <v>0.25</v>
      </c>
      <c r="BY84" s="5">
        <v>0</v>
      </c>
      <c r="BZ84" s="60">
        <v>0</v>
      </c>
      <c r="CA84" s="5">
        <v>0</v>
      </c>
      <c r="CB84" s="5">
        <v>0</v>
      </c>
      <c r="CC84" s="5">
        <v>1</v>
      </c>
      <c r="CD84" s="5">
        <v>1</v>
      </c>
      <c r="CE84" s="5">
        <v>1</v>
      </c>
      <c r="CF84" s="5">
        <v>17.5</v>
      </c>
      <c r="CG84" s="191"/>
    </row>
    <row r="85" spans="1:85" s="5" customFormat="1" x14ac:dyDescent="0.15">
      <c r="A85" s="5" t="s">
        <v>288</v>
      </c>
      <c r="B85" s="5">
        <v>412</v>
      </c>
      <c r="C85" s="5" t="s">
        <v>420</v>
      </c>
      <c r="F85" s="5" t="s">
        <v>92</v>
      </c>
      <c r="G85" s="5" t="s">
        <v>70</v>
      </c>
      <c r="H85" s="5" t="s">
        <v>45</v>
      </c>
      <c r="I85" s="5" t="s">
        <v>318</v>
      </c>
      <c r="J85" s="69" t="s">
        <v>93</v>
      </c>
      <c r="K85" s="69" t="s">
        <v>9</v>
      </c>
      <c r="L85" s="5">
        <v>387500</v>
      </c>
      <c r="M85" s="72">
        <v>77500</v>
      </c>
      <c r="N85" s="57" t="s">
        <v>41</v>
      </c>
      <c r="O85" s="54">
        <v>627.24776129032296</v>
      </c>
      <c r="P85" s="5">
        <v>507</v>
      </c>
      <c r="Q85" s="61">
        <v>120.247761290323</v>
      </c>
      <c r="R85" s="61" t="s">
        <v>96</v>
      </c>
      <c r="S85" s="57">
        <v>6660164</v>
      </c>
      <c r="T85" s="61">
        <v>36472686</v>
      </c>
      <c r="U85" s="61">
        <v>303312.80689659901</v>
      </c>
      <c r="V85" s="60">
        <v>66.599999999999994</v>
      </c>
      <c r="W85" s="60">
        <v>267312.13666750299</v>
      </c>
      <c r="X85" s="61">
        <v>36000.670229096402</v>
      </c>
      <c r="Y85" s="60" t="s">
        <v>41</v>
      </c>
      <c r="Z85" s="63">
        <v>1.8723294005578199E-2</v>
      </c>
      <c r="AA85" s="63">
        <v>1.8723294005578199E-2</v>
      </c>
      <c r="AB85" s="63">
        <v>229215337.34193501</v>
      </c>
      <c r="AC85" s="63">
        <v>219105522</v>
      </c>
      <c r="AD85" s="63">
        <v>10109815.341935501</v>
      </c>
      <c r="AE85" s="63">
        <v>-181047</v>
      </c>
      <c r="AF85" s="66">
        <v>-2321387</v>
      </c>
      <c r="AG85" s="66">
        <v>-4157730</v>
      </c>
      <c r="AH85" s="66">
        <v>3449651.3419354898</v>
      </c>
      <c r="AI85" s="66">
        <v>689930.26838709705</v>
      </c>
      <c r="AJ85" s="66">
        <v>2759721.0735483901</v>
      </c>
      <c r="AK85" s="66">
        <v>0.18999601206892</v>
      </c>
      <c r="AL85" s="66">
        <v>226706346.296774</v>
      </c>
      <c r="AM85" s="66">
        <v>2374928.2374193701</v>
      </c>
      <c r="AN85" s="66">
        <v>28915.3882786012</v>
      </c>
      <c r="AO85" s="66" t="s">
        <v>41</v>
      </c>
      <c r="AP85" s="66" t="s">
        <v>71</v>
      </c>
      <c r="AQ85" s="66" t="s">
        <v>70</v>
      </c>
      <c r="AR85" s="9" t="s">
        <v>309</v>
      </c>
      <c r="AS85" s="9">
        <v>0.5</v>
      </c>
      <c r="AT85" s="9">
        <v>0.5</v>
      </c>
      <c r="AU85" s="9">
        <v>0.5</v>
      </c>
      <c r="AV85" s="9">
        <v>0</v>
      </c>
      <c r="AW85" s="9">
        <v>0.5</v>
      </c>
      <c r="AX85" s="9">
        <v>0.5</v>
      </c>
      <c r="AY85" s="9">
        <v>1</v>
      </c>
      <c r="AZ85" s="9">
        <v>1</v>
      </c>
      <c r="BA85" s="9">
        <v>0.5</v>
      </c>
      <c r="BB85" s="9">
        <v>1</v>
      </c>
      <c r="BC85" s="9">
        <v>0.75</v>
      </c>
      <c r="BD85" s="9">
        <v>0.75</v>
      </c>
      <c r="BE85" s="9">
        <v>1</v>
      </c>
      <c r="BF85" s="9">
        <v>0.5</v>
      </c>
      <c r="BG85" s="9">
        <v>0.5</v>
      </c>
      <c r="BH85" s="9">
        <v>0.5</v>
      </c>
      <c r="BI85" s="9">
        <v>1</v>
      </c>
      <c r="BJ85" s="9">
        <v>2</v>
      </c>
      <c r="BK85" s="3">
        <v>1.5</v>
      </c>
      <c r="BL85" s="3">
        <v>0.5</v>
      </c>
      <c r="BM85" s="3">
        <v>0</v>
      </c>
      <c r="BN85" s="3">
        <v>0.5</v>
      </c>
      <c r="BO85" s="3">
        <v>1</v>
      </c>
      <c r="BP85" s="3">
        <v>1</v>
      </c>
      <c r="BQ85" s="3">
        <v>0.25</v>
      </c>
      <c r="BR85" s="3">
        <v>0.25</v>
      </c>
      <c r="BS85" s="3">
        <v>0.25</v>
      </c>
      <c r="BT85" s="3">
        <v>0.25</v>
      </c>
      <c r="BU85" s="3">
        <v>0.25</v>
      </c>
      <c r="BV85" s="3">
        <v>0.25</v>
      </c>
      <c r="BW85" s="3">
        <v>0.25</v>
      </c>
      <c r="BX85" s="54">
        <v>0.25</v>
      </c>
      <c r="BY85" s="3">
        <v>1.5</v>
      </c>
      <c r="BZ85" s="60">
        <v>1.5</v>
      </c>
      <c r="CA85" s="5">
        <v>2</v>
      </c>
      <c r="CB85" s="5">
        <v>1</v>
      </c>
      <c r="CC85" s="5">
        <v>1</v>
      </c>
      <c r="CD85" s="5">
        <v>1</v>
      </c>
      <c r="CE85" s="5">
        <v>0</v>
      </c>
      <c r="CF85" s="5">
        <v>27.5</v>
      </c>
      <c r="CG85" s="191"/>
    </row>
    <row r="86" spans="1:85" s="5" customFormat="1" x14ac:dyDescent="0.15">
      <c r="A86" s="5" t="s">
        <v>289</v>
      </c>
      <c r="B86" s="5">
        <v>395</v>
      </c>
      <c r="C86" s="5" t="s">
        <v>421</v>
      </c>
      <c r="F86" s="5" t="s">
        <v>92</v>
      </c>
      <c r="G86" s="5" t="s">
        <v>70</v>
      </c>
      <c r="H86" s="5" t="s">
        <v>45</v>
      </c>
      <c r="I86" s="5" t="s">
        <v>318</v>
      </c>
      <c r="J86" s="10" t="s">
        <v>93</v>
      </c>
      <c r="K86" s="10" t="s">
        <v>9</v>
      </c>
      <c r="L86" s="5">
        <v>387500</v>
      </c>
      <c r="M86" s="72">
        <v>77500</v>
      </c>
      <c r="N86" s="54" t="s">
        <v>41</v>
      </c>
      <c r="O86" s="54">
        <v>627.24776129032296</v>
      </c>
      <c r="P86" s="5">
        <v>507</v>
      </c>
      <c r="Q86" s="60">
        <v>120.247761290323</v>
      </c>
      <c r="R86" s="60" t="s">
        <v>96</v>
      </c>
      <c r="S86" s="54">
        <v>-6660164</v>
      </c>
      <c r="T86" s="60">
        <v>35356686</v>
      </c>
      <c r="U86" s="60">
        <v>294031.96883338102</v>
      </c>
      <c r="V86" s="60">
        <v>66.599999999999994</v>
      </c>
      <c r="W86" s="60">
        <v>257731.293019042</v>
      </c>
      <c r="X86" s="60">
        <v>36000.6702290963</v>
      </c>
      <c r="Y86" s="60" t="s">
        <v>41</v>
      </c>
      <c r="Z86" s="63">
        <v>1.8723294005578199E-2</v>
      </c>
      <c r="AA86" s="63">
        <v>1.8723294005578199E-2</v>
      </c>
      <c r="AB86" s="63">
        <v>229215337.34193501</v>
      </c>
      <c r="AC86" s="63">
        <v>217989522</v>
      </c>
      <c r="AD86" s="63">
        <v>11225815.341935501</v>
      </c>
      <c r="AE86" s="63">
        <v>181047</v>
      </c>
      <c r="AF86" s="66">
        <v>2321387</v>
      </c>
      <c r="AG86" s="66">
        <v>4157730</v>
      </c>
      <c r="AH86" s="66">
        <v>4565651.3419354903</v>
      </c>
      <c r="AI86" s="66">
        <v>913130.26838709705</v>
      </c>
      <c r="AJ86" s="66">
        <v>3652521.0735483901</v>
      </c>
      <c r="AK86" s="66">
        <v>0.18999601206892</v>
      </c>
      <c r="AL86" s="66">
        <v>226706346.296774</v>
      </c>
      <c r="AM86" s="66">
        <v>3267728.2374193701</v>
      </c>
      <c r="AN86" s="66">
        <v>0</v>
      </c>
      <c r="AO86" s="66" t="s">
        <v>41</v>
      </c>
      <c r="AP86" s="66" t="s">
        <v>71</v>
      </c>
      <c r="AQ86" s="66" t="s">
        <v>70</v>
      </c>
      <c r="AR86" s="9" t="s">
        <v>204</v>
      </c>
      <c r="AS86" s="9">
        <v>0.5</v>
      </c>
      <c r="AT86" s="9">
        <v>0.5</v>
      </c>
      <c r="AU86" s="9">
        <v>0.5</v>
      </c>
      <c r="AV86" s="9">
        <v>0</v>
      </c>
      <c r="AW86" s="9">
        <v>0.5</v>
      </c>
      <c r="AX86" s="9">
        <v>0.5</v>
      </c>
      <c r="AY86" s="9">
        <v>1</v>
      </c>
      <c r="AZ86" s="9">
        <v>1</v>
      </c>
      <c r="BA86" s="9">
        <v>0.5</v>
      </c>
      <c r="BB86" s="9">
        <v>1</v>
      </c>
      <c r="BC86" s="9">
        <v>0.75</v>
      </c>
      <c r="BD86" s="9">
        <v>0.75</v>
      </c>
      <c r="BE86" s="9">
        <v>1</v>
      </c>
      <c r="BF86" s="9">
        <v>0.5</v>
      </c>
      <c r="BG86" s="9">
        <v>0.5</v>
      </c>
      <c r="BH86" s="9">
        <v>0.5</v>
      </c>
      <c r="BI86" s="9">
        <v>1</v>
      </c>
      <c r="BJ86" s="9">
        <v>0</v>
      </c>
      <c r="BK86" s="3">
        <v>1.5</v>
      </c>
      <c r="BL86" s="3">
        <v>0.5</v>
      </c>
      <c r="BM86" s="3">
        <v>0</v>
      </c>
      <c r="BN86" s="3">
        <v>0.5</v>
      </c>
      <c r="BO86" s="3">
        <v>1</v>
      </c>
      <c r="BP86" s="3">
        <v>1</v>
      </c>
      <c r="BQ86" s="3">
        <v>0.25</v>
      </c>
      <c r="BR86" s="3">
        <v>0.25</v>
      </c>
      <c r="BS86" s="3">
        <v>0.25</v>
      </c>
      <c r="BT86" s="3">
        <v>0.25</v>
      </c>
      <c r="BU86" s="3">
        <v>0.25</v>
      </c>
      <c r="BV86" s="3">
        <v>0.25</v>
      </c>
      <c r="BW86" s="3">
        <v>0.25</v>
      </c>
      <c r="BX86" s="54">
        <v>0.25</v>
      </c>
      <c r="BY86" s="3">
        <v>1.5</v>
      </c>
      <c r="BZ86" s="60">
        <v>1.5</v>
      </c>
      <c r="CA86" s="5">
        <v>0</v>
      </c>
      <c r="CB86" s="5">
        <v>1</v>
      </c>
      <c r="CC86" s="5">
        <v>1</v>
      </c>
      <c r="CD86" s="5">
        <v>1</v>
      </c>
      <c r="CE86" s="5">
        <v>1</v>
      </c>
      <c r="CF86" s="5">
        <v>24.5</v>
      </c>
      <c r="CG86" s="191"/>
    </row>
    <row r="87" spans="1:85" s="5" customFormat="1" x14ac:dyDescent="0.15">
      <c r="A87" s="5" t="s">
        <v>290</v>
      </c>
      <c r="B87" s="5">
        <v>432</v>
      </c>
      <c r="C87" s="5" t="s">
        <v>422</v>
      </c>
      <c r="F87" s="65" t="s">
        <v>92</v>
      </c>
      <c r="G87" s="65" t="s">
        <v>70</v>
      </c>
      <c r="H87" s="65" t="s">
        <v>45</v>
      </c>
      <c r="I87" s="65" t="s">
        <v>318</v>
      </c>
      <c r="J87" s="68" t="s">
        <v>318</v>
      </c>
      <c r="K87" s="68" t="s">
        <v>9</v>
      </c>
      <c r="L87" s="65">
        <v>310000</v>
      </c>
      <c r="M87" s="68">
        <v>0</v>
      </c>
      <c r="N87" s="67" t="s">
        <v>309</v>
      </c>
      <c r="O87" s="67">
        <v>0</v>
      </c>
      <c r="P87" s="65">
        <v>0</v>
      </c>
      <c r="Q87" s="65">
        <v>0</v>
      </c>
      <c r="R87" s="65" t="s">
        <v>328</v>
      </c>
      <c r="S87" s="67">
        <v>0</v>
      </c>
      <c r="T87" s="65">
        <v>0</v>
      </c>
      <c r="U87" s="65">
        <v>0</v>
      </c>
      <c r="V87" s="65">
        <v>0</v>
      </c>
      <c r="W87" s="65">
        <v>0</v>
      </c>
      <c r="X87" s="65">
        <v>0</v>
      </c>
      <c r="Y87" s="65" t="s">
        <v>41</v>
      </c>
      <c r="Z87" s="65">
        <v>0</v>
      </c>
      <c r="AA87" s="65">
        <v>0</v>
      </c>
      <c r="AB87" s="65">
        <v>0</v>
      </c>
      <c r="AC87" s="65">
        <v>0</v>
      </c>
      <c r="AD87" s="65">
        <v>0</v>
      </c>
      <c r="AE87" s="65">
        <v>0</v>
      </c>
      <c r="AF87" s="65">
        <v>0</v>
      </c>
      <c r="AG87" s="65">
        <v>0</v>
      </c>
      <c r="AH87" s="65">
        <v>0</v>
      </c>
      <c r="AI87" s="65">
        <v>0</v>
      </c>
      <c r="AJ87" s="65">
        <v>0</v>
      </c>
      <c r="AK87" s="65">
        <v>0</v>
      </c>
      <c r="AL87" s="65">
        <v>0</v>
      </c>
      <c r="AM87" s="65">
        <v>0</v>
      </c>
      <c r="AN87" s="65">
        <v>0</v>
      </c>
      <c r="AO87" s="65" t="s">
        <v>41</v>
      </c>
      <c r="AP87" s="65" t="s">
        <v>71</v>
      </c>
      <c r="AQ87" s="65" t="s">
        <v>70</v>
      </c>
      <c r="AR87" s="78" t="s">
        <v>204</v>
      </c>
      <c r="AS87" s="11">
        <v>0.5</v>
      </c>
      <c r="AT87" s="11">
        <v>0.5</v>
      </c>
      <c r="AU87" s="11">
        <v>0.5</v>
      </c>
      <c r="AV87" s="11">
        <v>0</v>
      </c>
      <c r="AW87" s="11">
        <v>0</v>
      </c>
      <c r="AX87" s="11">
        <v>0.5</v>
      </c>
      <c r="AY87" s="11">
        <v>0</v>
      </c>
      <c r="AZ87" s="11">
        <v>0</v>
      </c>
      <c r="BA87" s="11">
        <v>0</v>
      </c>
      <c r="BB87" s="11">
        <v>0</v>
      </c>
      <c r="BC87" s="75">
        <v>0</v>
      </c>
      <c r="BD87" s="75">
        <v>0</v>
      </c>
      <c r="BE87" s="75">
        <v>0</v>
      </c>
      <c r="BF87" s="75">
        <v>0</v>
      </c>
      <c r="BG87" s="75">
        <v>0</v>
      </c>
      <c r="BH87" s="75">
        <v>0</v>
      </c>
      <c r="BI87" s="75">
        <v>0</v>
      </c>
      <c r="BJ87" s="75">
        <v>0</v>
      </c>
      <c r="BK87" s="75">
        <v>0</v>
      </c>
      <c r="BL87" s="76">
        <v>0.5</v>
      </c>
      <c r="BM87" s="76">
        <v>0</v>
      </c>
      <c r="BN87" s="76">
        <v>0</v>
      </c>
      <c r="BO87" s="76">
        <v>0</v>
      </c>
      <c r="BP87" s="76">
        <v>0</v>
      </c>
      <c r="BQ87" s="76">
        <v>0.25</v>
      </c>
      <c r="BR87" s="76">
        <v>0</v>
      </c>
      <c r="BS87" s="76">
        <v>0</v>
      </c>
      <c r="BT87" s="76">
        <v>0</v>
      </c>
      <c r="BU87" s="76">
        <v>0.25</v>
      </c>
      <c r="BV87" s="76">
        <v>0</v>
      </c>
      <c r="BW87" s="76">
        <v>0.25</v>
      </c>
      <c r="BX87" s="54">
        <v>0</v>
      </c>
      <c r="BY87" s="5">
        <v>0</v>
      </c>
      <c r="BZ87" s="60">
        <v>0</v>
      </c>
      <c r="CA87" s="5">
        <v>0</v>
      </c>
      <c r="CB87" s="5">
        <v>1</v>
      </c>
      <c r="CC87" s="5">
        <v>1</v>
      </c>
      <c r="CD87" s="5">
        <v>1</v>
      </c>
      <c r="CE87" s="5">
        <v>1</v>
      </c>
      <c r="CF87" s="5">
        <v>7.25</v>
      </c>
      <c r="CG87" s="191"/>
    </row>
    <row r="88" spans="1:85" s="5" customFormat="1" x14ac:dyDescent="0.15">
      <c r="A88" s="5" t="s">
        <v>291</v>
      </c>
      <c r="B88" s="5">
        <v>372</v>
      </c>
      <c r="C88" s="5" t="s">
        <v>423</v>
      </c>
      <c r="F88" s="10" t="s">
        <v>92</v>
      </c>
      <c r="G88" s="10" t="s">
        <v>318</v>
      </c>
      <c r="H88" s="10" t="s">
        <v>45</v>
      </c>
      <c r="I88" s="10" t="s">
        <v>92</v>
      </c>
      <c r="J88" s="69" t="s">
        <v>318</v>
      </c>
      <c r="K88" s="69" t="s">
        <v>9</v>
      </c>
      <c r="L88" s="10">
        <v>387500</v>
      </c>
      <c r="M88" s="72">
        <v>77500</v>
      </c>
      <c r="N88" s="57" t="s">
        <v>41</v>
      </c>
      <c r="O88" s="54">
        <v>627.25</v>
      </c>
      <c r="P88" s="10">
        <v>507</v>
      </c>
      <c r="Q88" s="61">
        <v>120.25</v>
      </c>
      <c r="R88" s="61" t="s">
        <v>96</v>
      </c>
      <c r="S88" s="57">
        <v>6660164</v>
      </c>
      <c r="T88" s="61">
        <v>35356686</v>
      </c>
      <c r="U88" s="61">
        <v>294026</v>
      </c>
      <c r="V88" s="60">
        <v>67</v>
      </c>
      <c r="W88" s="60">
        <v>258026</v>
      </c>
      <c r="X88" s="61">
        <v>36001</v>
      </c>
      <c r="Y88" s="60" t="s">
        <v>41</v>
      </c>
      <c r="Z88" s="60">
        <v>0.02</v>
      </c>
      <c r="AA88" s="60">
        <v>0.02</v>
      </c>
      <c r="AB88" s="60">
        <v>229215337</v>
      </c>
      <c r="AC88" s="60">
        <v>217989522</v>
      </c>
      <c r="AD88" s="60">
        <v>11225815.34</v>
      </c>
      <c r="AE88" s="60">
        <v>181047</v>
      </c>
      <c r="AF88" s="65">
        <v>2321387</v>
      </c>
      <c r="AG88" s="65">
        <v>4157730</v>
      </c>
      <c r="AH88" s="65">
        <v>4565651.34</v>
      </c>
      <c r="AI88" s="65">
        <v>913130.27</v>
      </c>
      <c r="AJ88" s="65">
        <v>3652521.07</v>
      </c>
      <c r="AK88" s="65">
        <v>0.19</v>
      </c>
      <c r="AL88" s="65">
        <v>226706346</v>
      </c>
      <c r="AM88" s="65">
        <v>2216.8000000000002</v>
      </c>
      <c r="AN88" s="65">
        <v>28320</v>
      </c>
      <c r="AO88" s="65" t="s">
        <v>41</v>
      </c>
      <c r="AP88" s="65" t="s">
        <v>71</v>
      </c>
      <c r="AQ88" s="65" t="s">
        <v>70</v>
      </c>
      <c r="AR88" s="11" t="s">
        <v>204</v>
      </c>
      <c r="AS88" s="11">
        <v>0.5</v>
      </c>
      <c r="AT88" s="11">
        <v>0</v>
      </c>
      <c r="AU88" s="11">
        <v>0.5</v>
      </c>
      <c r="AV88" s="11">
        <v>0.5</v>
      </c>
      <c r="AW88" s="11">
        <v>0</v>
      </c>
      <c r="AX88" s="11">
        <v>0.5</v>
      </c>
      <c r="AY88" s="11">
        <v>1</v>
      </c>
      <c r="AZ88" s="11">
        <v>1</v>
      </c>
      <c r="BA88" s="11">
        <v>0.5</v>
      </c>
      <c r="BB88" s="11">
        <v>1</v>
      </c>
      <c r="BC88" s="11">
        <v>0.75</v>
      </c>
      <c r="BD88" s="11">
        <v>0.75</v>
      </c>
      <c r="BE88" s="11">
        <v>1</v>
      </c>
      <c r="BF88" s="11">
        <v>0.5</v>
      </c>
      <c r="BG88" s="11">
        <v>0.5</v>
      </c>
      <c r="BH88" s="11">
        <v>0</v>
      </c>
      <c r="BI88" s="11">
        <v>1</v>
      </c>
      <c r="BJ88" s="11">
        <v>0</v>
      </c>
      <c r="BK88" s="10">
        <v>1.5</v>
      </c>
      <c r="BL88" s="5">
        <v>0.5</v>
      </c>
      <c r="BM88" s="5">
        <v>0</v>
      </c>
      <c r="BN88" s="5">
        <v>0.5</v>
      </c>
      <c r="BO88" s="5">
        <v>1</v>
      </c>
      <c r="BP88" s="5">
        <v>1</v>
      </c>
      <c r="BQ88" s="5">
        <v>0.25</v>
      </c>
      <c r="BR88" s="5">
        <v>0.25</v>
      </c>
      <c r="BS88" s="5">
        <v>0.25</v>
      </c>
      <c r="BT88" s="5">
        <v>0.25</v>
      </c>
      <c r="BU88" s="5">
        <v>0.25</v>
      </c>
      <c r="BV88" s="5">
        <v>0.25</v>
      </c>
      <c r="BW88" s="5">
        <v>0.25</v>
      </c>
      <c r="BX88" s="54">
        <v>0.25</v>
      </c>
      <c r="BY88" s="5">
        <v>1.5</v>
      </c>
      <c r="BZ88" s="60">
        <v>0</v>
      </c>
      <c r="CA88" s="5">
        <v>0</v>
      </c>
      <c r="CB88" s="5">
        <v>1</v>
      </c>
      <c r="CC88" s="5">
        <v>1</v>
      </c>
      <c r="CD88" s="5">
        <v>1</v>
      </c>
      <c r="CE88" s="5">
        <v>1</v>
      </c>
      <c r="CF88" s="5">
        <v>22</v>
      </c>
      <c r="CG88" s="191"/>
    </row>
    <row r="89" spans="1:85" s="5" customFormat="1" x14ac:dyDescent="0.15">
      <c r="A89" s="3" t="s">
        <v>292</v>
      </c>
      <c r="B89" s="3">
        <v>360</v>
      </c>
      <c r="C89" s="3" t="s">
        <v>424</v>
      </c>
      <c r="D89" s="3"/>
      <c r="E89" s="3"/>
      <c r="F89" s="3" t="s">
        <v>92</v>
      </c>
      <c r="G89" s="3" t="s">
        <v>70</v>
      </c>
      <c r="H89" s="3" t="s">
        <v>45</v>
      </c>
      <c r="I89" s="3" t="s">
        <v>92</v>
      </c>
      <c r="J89" s="70" t="s">
        <v>93</v>
      </c>
      <c r="K89" s="70" t="s">
        <v>9</v>
      </c>
      <c r="L89" s="3">
        <v>387500</v>
      </c>
      <c r="M89" s="74">
        <v>77500</v>
      </c>
      <c r="N89" s="58" t="s">
        <v>41</v>
      </c>
      <c r="O89" s="58">
        <v>627.24776129032296</v>
      </c>
      <c r="P89" s="3">
        <v>507</v>
      </c>
      <c r="Q89" s="63">
        <v>120.247761290323</v>
      </c>
      <c r="R89" s="63" t="s">
        <v>96</v>
      </c>
      <c r="S89" s="58">
        <v>6660164</v>
      </c>
      <c r="T89" s="63">
        <v>35356686</v>
      </c>
      <c r="U89" s="63">
        <v>294031.96883338102</v>
      </c>
      <c r="V89" s="63">
        <v>66.599999999999994</v>
      </c>
      <c r="W89" s="63">
        <v>258031.298604285</v>
      </c>
      <c r="X89" s="63">
        <v>36000.670229096402</v>
      </c>
      <c r="Y89" s="63" t="s">
        <v>41</v>
      </c>
      <c r="Z89" s="63">
        <v>1.8723294005578199E-2</v>
      </c>
      <c r="AA89" s="63">
        <v>1.8723294005578199E-2</v>
      </c>
      <c r="AB89" s="63">
        <v>229215337.34193501</v>
      </c>
      <c r="AC89" s="63">
        <v>217989522</v>
      </c>
      <c r="AD89" s="63">
        <v>11225815.341935501</v>
      </c>
      <c r="AE89" s="63">
        <v>181047</v>
      </c>
      <c r="AF89" s="66">
        <v>2321387</v>
      </c>
      <c r="AG89" s="66">
        <v>4157730</v>
      </c>
      <c r="AH89" s="66">
        <v>4565651.3419354903</v>
      </c>
      <c r="AI89" s="66">
        <v>913130.26838709705</v>
      </c>
      <c r="AJ89" s="66">
        <v>3652521.0735483901</v>
      </c>
      <c r="AK89" s="66">
        <v>0.18999601206892</v>
      </c>
      <c r="AL89" s="66">
        <v>226706346.296774</v>
      </c>
      <c r="AM89" s="66">
        <v>3267728.2374193701</v>
      </c>
      <c r="AN89" s="66">
        <v>32266.739629952601</v>
      </c>
      <c r="AO89" s="66" t="s">
        <v>41</v>
      </c>
      <c r="AP89" s="66" t="s">
        <v>71</v>
      </c>
      <c r="AQ89" s="66" t="s">
        <v>70</v>
      </c>
      <c r="AR89" s="9" t="s">
        <v>204</v>
      </c>
      <c r="AS89" s="9">
        <v>0.5</v>
      </c>
      <c r="AT89" s="9">
        <v>0.5</v>
      </c>
      <c r="AU89" s="9">
        <v>0.5</v>
      </c>
      <c r="AV89" s="9">
        <v>0.5</v>
      </c>
      <c r="AW89" s="9">
        <v>0.5</v>
      </c>
      <c r="AX89" s="9">
        <v>0.5</v>
      </c>
      <c r="AY89" s="9">
        <v>1</v>
      </c>
      <c r="AZ89" s="9">
        <v>1</v>
      </c>
      <c r="BA89" s="9">
        <v>0.5</v>
      </c>
      <c r="BB89" s="9">
        <v>1</v>
      </c>
      <c r="BC89" s="9">
        <v>0.75</v>
      </c>
      <c r="BD89" s="9">
        <v>0.75</v>
      </c>
      <c r="BE89" s="9">
        <v>1</v>
      </c>
      <c r="BF89" s="9">
        <v>0.5</v>
      </c>
      <c r="BG89" s="9">
        <v>0.5</v>
      </c>
      <c r="BH89" s="9">
        <v>0.5</v>
      </c>
      <c r="BI89" s="9">
        <v>1</v>
      </c>
      <c r="BJ89" s="9">
        <v>2</v>
      </c>
      <c r="BK89" s="3">
        <v>1.5</v>
      </c>
      <c r="BL89" s="3">
        <v>0.5</v>
      </c>
      <c r="BM89" s="3">
        <v>0</v>
      </c>
      <c r="BN89" s="3">
        <v>0.5</v>
      </c>
      <c r="BO89" s="3">
        <v>1</v>
      </c>
      <c r="BP89" s="3">
        <v>1</v>
      </c>
      <c r="BQ89" s="3">
        <v>0.25</v>
      </c>
      <c r="BR89" s="3">
        <v>0.25</v>
      </c>
      <c r="BS89" s="3">
        <v>0.25</v>
      </c>
      <c r="BT89" s="3">
        <v>0.25</v>
      </c>
      <c r="BU89" s="3">
        <v>0.25</v>
      </c>
      <c r="BV89" s="3">
        <v>0.25</v>
      </c>
      <c r="BW89" s="3">
        <v>0.25</v>
      </c>
      <c r="BX89" s="54">
        <v>0.25</v>
      </c>
      <c r="BY89" s="3">
        <v>1.5</v>
      </c>
      <c r="BZ89" s="60">
        <v>1.5</v>
      </c>
      <c r="CA89" s="5">
        <v>2</v>
      </c>
      <c r="CB89" s="5">
        <v>1</v>
      </c>
      <c r="CC89" s="5">
        <v>1</v>
      </c>
      <c r="CD89" s="5">
        <v>1</v>
      </c>
      <c r="CE89" s="5">
        <v>1</v>
      </c>
      <c r="CF89" s="5">
        <v>29</v>
      </c>
      <c r="CG89" s="191"/>
    </row>
    <row r="90" spans="1:85" s="5" customFormat="1" x14ac:dyDescent="0.15">
      <c r="A90" s="3" t="s">
        <v>293</v>
      </c>
      <c r="B90" s="3">
        <v>377</v>
      </c>
      <c r="C90" s="3" t="s">
        <v>425</v>
      </c>
      <c r="D90" s="3"/>
      <c r="E90" s="3"/>
      <c r="F90" s="3" t="s">
        <v>92</v>
      </c>
      <c r="G90" s="3" t="s">
        <v>70</v>
      </c>
      <c r="H90" s="3" t="s">
        <v>45</v>
      </c>
      <c r="I90" s="3" t="s">
        <v>92</v>
      </c>
      <c r="J90" s="70" t="s">
        <v>93</v>
      </c>
      <c r="K90" s="70" t="s">
        <v>9</v>
      </c>
      <c r="L90" s="3">
        <v>387500</v>
      </c>
      <c r="M90" s="74">
        <v>77500</v>
      </c>
      <c r="N90" s="58" t="s">
        <v>41</v>
      </c>
      <c r="O90" s="58">
        <v>627.24776129032296</v>
      </c>
      <c r="P90" s="3">
        <v>507</v>
      </c>
      <c r="Q90" s="63">
        <v>120.247761290323</v>
      </c>
      <c r="R90" s="63" t="s">
        <v>96</v>
      </c>
      <c r="S90" s="58">
        <v>6660164</v>
      </c>
      <c r="T90" s="63">
        <v>35356686</v>
      </c>
      <c r="U90" s="63">
        <v>56367.974797179202</v>
      </c>
      <c r="V90" s="63">
        <v>207</v>
      </c>
      <c r="W90" s="63">
        <v>104348.59184725001</v>
      </c>
      <c r="X90" s="63">
        <v>36000.670229096402</v>
      </c>
      <c r="Y90" s="63" t="s">
        <v>41</v>
      </c>
      <c r="Z90" s="63">
        <v>1.8723294005578199E-2</v>
      </c>
      <c r="AA90" s="63">
        <v>1.8723294005578199E-2</v>
      </c>
      <c r="AB90" s="63">
        <v>229215337.34</v>
      </c>
      <c r="AC90" s="63">
        <v>217989522</v>
      </c>
      <c r="AD90" s="63">
        <v>11225815.34</v>
      </c>
      <c r="AE90" s="63">
        <v>181047</v>
      </c>
      <c r="AF90" s="66">
        <v>2321387</v>
      </c>
      <c r="AG90" s="66">
        <v>4157730</v>
      </c>
      <c r="AH90" s="66">
        <v>4592314</v>
      </c>
      <c r="AI90" s="66">
        <v>918462.8</v>
      </c>
      <c r="AJ90" s="66">
        <v>3673851.2</v>
      </c>
      <c r="AK90" s="66">
        <v>0.19</v>
      </c>
      <c r="AL90" s="66">
        <v>226707000</v>
      </c>
      <c r="AM90" s="66">
        <v>3289051.2</v>
      </c>
      <c r="AN90" s="66">
        <v>32154</v>
      </c>
      <c r="AO90" s="66" t="s">
        <v>311</v>
      </c>
      <c r="AP90" s="66" t="s">
        <v>71</v>
      </c>
      <c r="AQ90" s="66" t="s">
        <v>70</v>
      </c>
      <c r="AR90" s="9" t="s">
        <v>204</v>
      </c>
      <c r="AS90" s="9">
        <v>0.5</v>
      </c>
      <c r="AT90" s="9">
        <v>0.5</v>
      </c>
      <c r="AU90" s="9">
        <v>0.5</v>
      </c>
      <c r="AV90" s="9">
        <v>0.5</v>
      </c>
      <c r="AW90" s="9">
        <v>0.5</v>
      </c>
      <c r="AX90" s="9">
        <v>0.5</v>
      </c>
      <c r="AY90" s="9">
        <v>1</v>
      </c>
      <c r="AZ90" s="9">
        <v>1</v>
      </c>
      <c r="BA90" s="9">
        <v>0.5</v>
      </c>
      <c r="BB90" s="9">
        <v>1</v>
      </c>
      <c r="BC90" s="9">
        <v>0.75</v>
      </c>
      <c r="BD90" s="9">
        <v>0.75</v>
      </c>
      <c r="BE90" s="9">
        <v>1</v>
      </c>
      <c r="BF90" s="9">
        <v>0.5</v>
      </c>
      <c r="BG90" s="9">
        <v>0.5</v>
      </c>
      <c r="BH90" s="9">
        <v>0</v>
      </c>
      <c r="BI90" s="9">
        <v>0</v>
      </c>
      <c r="BJ90" s="9">
        <v>0</v>
      </c>
      <c r="BK90" s="3">
        <v>1.5</v>
      </c>
      <c r="BL90" s="3">
        <v>0.5</v>
      </c>
      <c r="BM90" s="3">
        <v>0</v>
      </c>
      <c r="BN90" s="3">
        <v>0.5</v>
      </c>
      <c r="BO90" s="3">
        <v>1</v>
      </c>
      <c r="BP90" s="3">
        <v>1</v>
      </c>
      <c r="BQ90" s="3">
        <v>0.25</v>
      </c>
      <c r="BR90" s="3">
        <v>0.25</v>
      </c>
      <c r="BS90" s="3">
        <v>0.25</v>
      </c>
      <c r="BT90" s="3">
        <v>0.25</v>
      </c>
      <c r="BU90" s="3">
        <v>0</v>
      </c>
      <c r="BV90" s="3">
        <v>0</v>
      </c>
      <c r="BW90" s="3">
        <v>0.25</v>
      </c>
      <c r="BX90" s="54">
        <v>0.25</v>
      </c>
      <c r="BY90" s="3">
        <v>0</v>
      </c>
      <c r="BZ90" s="60">
        <v>0</v>
      </c>
      <c r="CA90" s="5">
        <v>0</v>
      </c>
      <c r="CB90" s="5">
        <v>0</v>
      </c>
      <c r="CC90" s="5">
        <v>1</v>
      </c>
      <c r="CD90" s="5">
        <v>1</v>
      </c>
      <c r="CE90" s="5">
        <v>1</v>
      </c>
      <c r="CF90" s="5">
        <v>19</v>
      </c>
      <c r="CG90" s="191"/>
    </row>
    <row r="91" spans="1:85" s="5" customFormat="1" x14ac:dyDescent="0.15">
      <c r="A91" s="3" t="s">
        <v>294</v>
      </c>
      <c r="B91" s="3">
        <v>419</v>
      </c>
      <c r="C91" s="3" t="s">
        <v>426</v>
      </c>
      <c r="D91" s="3"/>
      <c r="E91" s="3"/>
      <c r="F91" s="3" t="s">
        <v>92</v>
      </c>
      <c r="G91" s="3" t="s">
        <v>70</v>
      </c>
      <c r="H91" s="3" t="s">
        <v>45</v>
      </c>
      <c r="I91" s="3" t="s">
        <v>92</v>
      </c>
      <c r="J91" s="70" t="s">
        <v>93</v>
      </c>
      <c r="K91" s="70" t="s">
        <v>9</v>
      </c>
      <c r="L91" s="3">
        <v>387500</v>
      </c>
      <c r="M91" s="74">
        <v>77500</v>
      </c>
      <c r="N91" s="58" t="s">
        <v>41</v>
      </c>
      <c r="O91" s="58">
        <v>627.25</v>
      </c>
      <c r="P91" s="3">
        <v>507</v>
      </c>
      <c r="Q91" s="63">
        <v>120.25</v>
      </c>
      <c r="R91" s="63" t="s">
        <v>96</v>
      </c>
      <c r="S91" s="58">
        <v>6660164</v>
      </c>
      <c r="T91" s="63">
        <v>36472686</v>
      </c>
      <c r="U91" s="63">
        <v>303312.81</v>
      </c>
      <c r="V91" s="63">
        <v>66.599999999999994</v>
      </c>
      <c r="W91" s="63">
        <v>267312</v>
      </c>
      <c r="X91" s="63">
        <v>36001</v>
      </c>
      <c r="Y91" s="63" t="s">
        <v>41</v>
      </c>
      <c r="Z91" s="63">
        <v>1.8700000000000001E-2</v>
      </c>
      <c r="AA91" s="63">
        <v>1.8700000000000001E-2</v>
      </c>
      <c r="AB91" s="63">
        <v>229215337</v>
      </c>
      <c r="AC91" s="63">
        <v>219105522</v>
      </c>
      <c r="AD91" s="63">
        <v>10109815</v>
      </c>
      <c r="AE91" s="63">
        <v>-181047</v>
      </c>
      <c r="AF91" s="66">
        <v>-2321387</v>
      </c>
      <c r="AG91" s="66">
        <v>-4157730</v>
      </c>
      <c r="AH91" s="66">
        <v>3449651.34</v>
      </c>
      <c r="AI91" s="66">
        <v>689930.27</v>
      </c>
      <c r="AJ91" s="66">
        <v>2759721</v>
      </c>
      <c r="AK91" s="66">
        <v>0.19</v>
      </c>
      <c r="AL91" s="66">
        <v>226706346</v>
      </c>
      <c r="AM91" s="66">
        <v>2374928</v>
      </c>
      <c r="AN91" s="66">
        <v>28915</v>
      </c>
      <c r="AO91" s="66" t="s">
        <v>41</v>
      </c>
      <c r="AP91" s="66" t="s">
        <v>71</v>
      </c>
      <c r="AQ91" s="66" t="s">
        <v>70</v>
      </c>
      <c r="AR91" s="9" t="s">
        <v>309</v>
      </c>
      <c r="AS91" s="9">
        <v>0.5</v>
      </c>
      <c r="AT91" s="9">
        <v>0.5</v>
      </c>
      <c r="AU91" s="9">
        <v>0.5</v>
      </c>
      <c r="AV91" s="9">
        <v>0.5</v>
      </c>
      <c r="AW91" s="9">
        <v>0.5</v>
      </c>
      <c r="AX91" s="9">
        <v>0.5</v>
      </c>
      <c r="AY91" s="9">
        <v>1</v>
      </c>
      <c r="AZ91" s="9">
        <v>1</v>
      </c>
      <c r="BA91" s="9">
        <v>0.5</v>
      </c>
      <c r="BB91" s="9">
        <v>1</v>
      </c>
      <c r="BC91" s="9">
        <v>0.75</v>
      </c>
      <c r="BD91" s="9">
        <v>0.75</v>
      </c>
      <c r="BE91" s="9">
        <v>1</v>
      </c>
      <c r="BF91" s="9">
        <v>0.5</v>
      </c>
      <c r="BG91" s="9">
        <v>0.5</v>
      </c>
      <c r="BH91" s="9">
        <v>0.5</v>
      </c>
      <c r="BI91" s="9">
        <v>1</v>
      </c>
      <c r="BJ91" s="9">
        <v>2</v>
      </c>
      <c r="BK91" s="3">
        <v>1.5</v>
      </c>
      <c r="BL91" s="3">
        <v>0.5</v>
      </c>
      <c r="BM91" s="3">
        <v>0</v>
      </c>
      <c r="BN91" s="3">
        <v>0.5</v>
      </c>
      <c r="BO91" s="3">
        <v>1</v>
      </c>
      <c r="BP91" s="3">
        <v>1</v>
      </c>
      <c r="BQ91" s="3">
        <v>0.25</v>
      </c>
      <c r="BR91" s="3">
        <v>0.25</v>
      </c>
      <c r="BS91" s="3">
        <v>0.25</v>
      </c>
      <c r="BT91" s="3">
        <v>0.25</v>
      </c>
      <c r="BU91" s="3">
        <v>0.25</v>
      </c>
      <c r="BV91" s="3">
        <v>0.25</v>
      </c>
      <c r="BW91" s="3">
        <v>0.25</v>
      </c>
      <c r="BX91" s="3">
        <v>0.25</v>
      </c>
      <c r="BY91" s="3">
        <v>1.5</v>
      </c>
      <c r="BZ91" s="60">
        <v>1.5</v>
      </c>
      <c r="CA91" s="5">
        <v>2</v>
      </c>
      <c r="CB91" s="5">
        <v>1</v>
      </c>
      <c r="CC91" s="5">
        <v>1</v>
      </c>
      <c r="CD91" s="5">
        <v>1</v>
      </c>
      <c r="CE91" s="5">
        <v>0</v>
      </c>
      <c r="CF91" s="5">
        <v>28</v>
      </c>
      <c r="CG91" s="191"/>
    </row>
    <row r="92" spans="1:85" s="5" customFormat="1" x14ac:dyDescent="0.15">
      <c r="A92" s="5" t="s">
        <v>295</v>
      </c>
      <c r="B92" s="5">
        <v>348</v>
      </c>
      <c r="C92" s="5" t="s">
        <v>427</v>
      </c>
      <c r="F92" s="5" t="s">
        <v>92</v>
      </c>
      <c r="G92" s="5" t="s">
        <v>70</v>
      </c>
      <c r="H92" s="5" t="s">
        <v>45</v>
      </c>
      <c r="I92" s="5" t="s">
        <v>92</v>
      </c>
      <c r="J92" s="10" t="s">
        <v>93</v>
      </c>
      <c r="K92" s="10" t="s">
        <v>9</v>
      </c>
      <c r="L92" s="5">
        <v>325000</v>
      </c>
      <c r="M92" s="72">
        <v>275000</v>
      </c>
      <c r="N92" s="54" t="s">
        <v>41</v>
      </c>
      <c r="O92" s="54">
        <v>627.24776129032296</v>
      </c>
      <c r="P92" s="5">
        <v>507</v>
      </c>
      <c r="Q92" s="60">
        <v>120.247761290323</v>
      </c>
      <c r="R92" s="60" t="s">
        <v>96</v>
      </c>
      <c r="S92" s="54">
        <v>6660164</v>
      </c>
      <c r="T92" s="60">
        <v>35356686</v>
      </c>
      <c r="U92" s="60">
        <v>294031.96883337997</v>
      </c>
      <c r="V92" s="60">
        <v>66.599999999999994</v>
      </c>
      <c r="W92" s="60">
        <v>236949.82504670601</v>
      </c>
      <c r="X92" s="60">
        <v>36001</v>
      </c>
      <c r="Y92" s="60" t="s">
        <v>41</v>
      </c>
      <c r="Z92" s="63">
        <v>1.8723294005578199E-2</v>
      </c>
      <c r="AA92" s="63">
        <v>1.8723294005578199E-2</v>
      </c>
      <c r="AB92" s="63">
        <v>229215337.34</v>
      </c>
      <c r="AC92" s="63">
        <v>217989522</v>
      </c>
      <c r="AD92" s="63">
        <v>11225815.34</v>
      </c>
      <c r="AE92" s="63">
        <v>181047</v>
      </c>
      <c r="AF92" s="66">
        <v>2321387</v>
      </c>
      <c r="AG92" s="66">
        <v>4157730</v>
      </c>
      <c r="AH92" s="66">
        <v>4565651.34</v>
      </c>
      <c r="AI92" s="66">
        <v>913130.26800000097</v>
      </c>
      <c r="AJ92" s="66">
        <v>3652521.0720000002</v>
      </c>
      <c r="AK92" s="66">
        <v>0.18999601207052499</v>
      </c>
      <c r="AL92" s="66">
        <v>226706346.296774</v>
      </c>
      <c r="AM92" s="66">
        <v>3267728.24</v>
      </c>
      <c r="AN92" s="66">
        <v>32266.74</v>
      </c>
      <c r="AO92" s="66" t="s">
        <v>311</v>
      </c>
      <c r="AP92" s="66" t="s">
        <v>71</v>
      </c>
      <c r="AQ92" s="66" t="s">
        <v>70</v>
      </c>
      <c r="AR92" s="9" t="s">
        <v>204</v>
      </c>
      <c r="AS92" s="9">
        <v>0.5</v>
      </c>
      <c r="AT92" s="9">
        <v>0.5</v>
      </c>
      <c r="AU92" s="9">
        <v>0.5</v>
      </c>
      <c r="AV92" s="9">
        <v>0.5</v>
      </c>
      <c r="AW92" s="9">
        <v>0.5</v>
      </c>
      <c r="AX92" s="9">
        <v>0.5</v>
      </c>
      <c r="AY92" s="9">
        <v>0</v>
      </c>
      <c r="AZ92" s="9">
        <v>0</v>
      </c>
      <c r="BA92" s="9">
        <v>0.5</v>
      </c>
      <c r="BB92" s="9">
        <v>1</v>
      </c>
      <c r="BC92" s="9">
        <v>0.75</v>
      </c>
      <c r="BD92" s="9">
        <v>0.75</v>
      </c>
      <c r="BE92" s="9">
        <v>1</v>
      </c>
      <c r="BF92" s="9">
        <v>0.5</v>
      </c>
      <c r="BG92" s="9">
        <v>0.5</v>
      </c>
      <c r="BH92" s="9">
        <v>0.5</v>
      </c>
      <c r="BI92" s="9">
        <v>1</v>
      </c>
      <c r="BJ92" s="9">
        <v>0</v>
      </c>
      <c r="BK92" s="3">
        <v>1.5</v>
      </c>
      <c r="BL92" s="3">
        <v>0.5</v>
      </c>
      <c r="BM92" s="3">
        <v>0</v>
      </c>
      <c r="BN92" s="3">
        <v>0.5</v>
      </c>
      <c r="BO92" s="3">
        <v>1</v>
      </c>
      <c r="BP92" s="3">
        <v>1</v>
      </c>
      <c r="BQ92" s="3">
        <v>0.25</v>
      </c>
      <c r="BR92" s="3">
        <v>0.25</v>
      </c>
      <c r="BS92" s="3">
        <v>0.25</v>
      </c>
      <c r="BT92" s="3">
        <v>0.25</v>
      </c>
      <c r="BU92" s="3">
        <v>0.25</v>
      </c>
      <c r="BV92" s="3">
        <v>0.25</v>
      </c>
      <c r="BW92" s="3">
        <v>0.25</v>
      </c>
      <c r="BX92" s="54">
        <v>0.25</v>
      </c>
      <c r="BY92" s="3">
        <v>1.5</v>
      </c>
      <c r="BZ92" s="60">
        <v>1.5</v>
      </c>
      <c r="CA92" s="5">
        <v>2</v>
      </c>
      <c r="CB92" s="5">
        <v>0</v>
      </c>
      <c r="CC92" s="5">
        <v>1</v>
      </c>
      <c r="CD92" s="5">
        <v>1</v>
      </c>
      <c r="CE92" s="5">
        <v>1</v>
      </c>
      <c r="CF92" s="5">
        <v>24</v>
      </c>
      <c r="CG92" s="191"/>
    </row>
    <row r="93" spans="1:85" s="5" customFormat="1" x14ac:dyDescent="0.15">
      <c r="A93" s="5" t="s">
        <v>296</v>
      </c>
      <c r="B93" s="5">
        <v>396</v>
      </c>
      <c r="C93" s="5" t="s">
        <v>428</v>
      </c>
      <c r="F93" s="10" t="s">
        <v>92</v>
      </c>
      <c r="G93" s="10" t="s">
        <v>70</v>
      </c>
      <c r="H93" s="10" t="s">
        <v>45</v>
      </c>
      <c r="I93" s="10" t="s">
        <v>318</v>
      </c>
      <c r="J93" s="10" t="s">
        <v>93</v>
      </c>
      <c r="K93" s="10" t="s">
        <v>9</v>
      </c>
      <c r="L93" s="10">
        <v>387500</v>
      </c>
      <c r="M93" s="72">
        <v>77500</v>
      </c>
      <c r="N93" s="54" t="s">
        <v>41</v>
      </c>
      <c r="O93" s="54">
        <v>627.24776129032296</v>
      </c>
      <c r="P93" s="10">
        <v>507</v>
      </c>
      <c r="Q93" s="60">
        <v>120.247761290323</v>
      </c>
      <c r="R93" s="60" t="s">
        <v>96</v>
      </c>
      <c r="S93" s="54">
        <v>6660164</v>
      </c>
      <c r="T93" s="60">
        <v>71626686</v>
      </c>
      <c r="U93" s="60">
        <v>114192</v>
      </c>
      <c r="V93" s="60">
        <v>237</v>
      </c>
      <c r="W93" s="60">
        <v>55207</v>
      </c>
      <c r="X93" s="60">
        <v>36141</v>
      </c>
      <c r="Y93" s="60" t="s">
        <v>41</v>
      </c>
      <c r="Z93" s="60">
        <v>0.02</v>
      </c>
      <c r="AA93" s="60">
        <v>0.02</v>
      </c>
      <c r="AB93" s="60">
        <v>229216000</v>
      </c>
      <c r="AC93" s="60">
        <v>145535000</v>
      </c>
      <c r="AD93" s="60">
        <v>83681000</v>
      </c>
      <c r="AE93" s="60">
        <v>181047</v>
      </c>
      <c r="AF93" s="65">
        <v>2321387</v>
      </c>
      <c r="AG93" s="65">
        <v>4157730</v>
      </c>
      <c r="AH93" s="65">
        <v>4592314</v>
      </c>
      <c r="AI93" s="65">
        <v>918462.8</v>
      </c>
      <c r="AJ93" s="65">
        <v>3673851.2</v>
      </c>
      <c r="AK93" s="65">
        <v>19</v>
      </c>
      <c r="AL93" s="65" t="s">
        <v>429</v>
      </c>
      <c r="AM93" s="65">
        <v>3289051.2</v>
      </c>
      <c r="AN93" s="65">
        <v>32154</v>
      </c>
      <c r="AO93" s="65" t="s">
        <v>311</v>
      </c>
      <c r="AP93" s="65" t="s">
        <v>71</v>
      </c>
      <c r="AQ93" s="65" t="s">
        <v>70</v>
      </c>
      <c r="AR93" s="11" t="s">
        <v>204</v>
      </c>
      <c r="AS93" s="11">
        <v>0.5</v>
      </c>
      <c r="AT93" s="11">
        <v>0.5</v>
      </c>
      <c r="AU93" s="11">
        <v>0.5</v>
      </c>
      <c r="AV93" s="11">
        <v>0</v>
      </c>
      <c r="AW93" s="11">
        <v>0.5</v>
      </c>
      <c r="AX93" s="11">
        <v>0.5</v>
      </c>
      <c r="AY93" s="11">
        <v>1</v>
      </c>
      <c r="AZ93" s="11">
        <v>1</v>
      </c>
      <c r="BA93" s="11">
        <v>0.5</v>
      </c>
      <c r="BB93" s="11">
        <v>1</v>
      </c>
      <c r="BC93" s="11">
        <v>0.75</v>
      </c>
      <c r="BD93" s="11">
        <v>0.75</v>
      </c>
      <c r="BE93" s="11">
        <v>1</v>
      </c>
      <c r="BF93" s="11">
        <v>0.5</v>
      </c>
      <c r="BG93" s="11">
        <v>0</v>
      </c>
      <c r="BH93" s="11">
        <v>0</v>
      </c>
      <c r="BI93" s="11">
        <v>0</v>
      </c>
      <c r="BJ93" s="11">
        <v>0</v>
      </c>
      <c r="BK93" s="10">
        <v>0</v>
      </c>
      <c r="BL93" s="5">
        <v>0.5</v>
      </c>
      <c r="BM93" s="5">
        <v>0</v>
      </c>
      <c r="BN93" s="5">
        <v>0.5</v>
      </c>
      <c r="BO93" s="5">
        <v>0</v>
      </c>
      <c r="BP93" s="5">
        <v>0</v>
      </c>
      <c r="BQ93" s="5">
        <v>0.25</v>
      </c>
      <c r="BR93" s="5">
        <v>0.25</v>
      </c>
      <c r="BS93" s="5">
        <v>0.25</v>
      </c>
      <c r="BT93" s="5">
        <v>0.25</v>
      </c>
      <c r="BU93" s="5">
        <v>0</v>
      </c>
      <c r="BV93" s="5">
        <v>0</v>
      </c>
      <c r="BW93" s="5">
        <v>0.25</v>
      </c>
      <c r="BX93" s="54">
        <v>0</v>
      </c>
      <c r="BY93" s="5">
        <v>0</v>
      </c>
      <c r="BZ93" s="60">
        <v>0</v>
      </c>
      <c r="CA93" s="5">
        <v>0</v>
      </c>
      <c r="CB93" s="5">
        <v>0</v>
      </c>
      <c r="CC93" s="5">
        <v>1</v>
      </c>
      <c r="CD93" s="5">
        <v>1</v>
      </c>
      <c r="CE93" s="5">
        <v>1</v>
      </c>
      <c r="CF93" s="5">
        <v>14.25</v>
      </c>
      <c r="CG93" s="191"/>
    </row>
    <row r="94" spans="1:85" s="5" customFormat="1" x14ac:dyDescent="0.15">
      <c r="A94" s="5" t="s">
        <v>297</v>
      </c>
      <c r="B94" s="5">
        <v>408</v>
      </c>
      <c r="C94" s="5" t="s">
        <v>430</v>
      </c>
      <c r="F94" s="65" t="s">
        <v>92</v>
      </c>
      <c r="G94" s="65" t="s">
        <v>70</v>
      </c>
      <c r="H94" s="65" t="s">
        <v>45</v>
      </c>
      <c r="I94" s="65" t="s">
        <v>92</v>
      </c>
      <c r="J94" s="68" t="s">
        <v>93</v>
      </c>
      <c r="K94" s="68" t="s">
        <v>9</v>
      </c>
      <c r="L94" s="65">
        <v>387500</v>
      </c>
      <c r="M94" s="68">
        <v>77500</v>
      </c>
      <c r="N94" s="67" t="s">
        <v>41</v>
      </c>
      <c r="O94" s="67">
        <v>627.25</v>
      </c>
      <c r="P94" s="65">
        <v>507</v>
      </c>
      <c r="Q94" s="65">
        <v>120.25</v>
      </c>
      <c r="R94" s="65" t="s">
        <v>96</v>
      </c>
      <c r="S94" s="67">
        <v>6660164</v>
      </c>
      <c r="T94" s="65">
        <v>36472686</v>
      </c>
      <c r="U94" s="65">
        <v>303312.81</v>
      </c>
      <c r="V94" s="65">
        <v>67</v>
      </c>
      <c r="W94" s="65">
        <v>267312</v>
      </c>
      <c r="X94" s="65">
        <v>36001</v>
      </c>
      <c r="Y94" s="65" t="s">
        <v>41</v>
      </c>
      <c r="Z94" s="65">
        <v>1.8700000000000001E-2</v>
      </c>
      <c r="AA94" s="65">
        <v>1.8700000000000001E-2</v>
      </c>
      <c r="AB94" s="65">
        <v>229215337</v>
      </c>
      <c r="AC94" s="65">
        <v>219105522</v>
      </c>
      <c r="AD94" s="65">
        <v>10109815</v>
      </c>
      <c r="AE94" s="65">
        <v>-181047</v>
      </c>
      <c r="AF94" s="65">
        <v>-2321387</v>
      </c>
      <c r="AG94" s="65">
        <v>-4157730</v>
      </c>
      <c r="AH94" s="65">
        <v>3449651.34</v>
      </c>
      <c r="AI94" s="65">
        <v>689930.27</v>
      </c>
      <c r="AJ94" s="65">
        <v>2759721</v>
      </c>
      <c r="AK94" s="65">
        <v>0.19</v>
      </c>
      <c r="AL94" s="65">
        <v>226706346</v>
      </c>
      <c r="AM94" s="65">
        <v>2374928</v>
      </c>
      <c r="AN94" s="65">
        <v>28915</v>
      </c>
      <c r="AO94" s="65" t="s">
        <v>41</v>
      </c>
      <c r="AP94" s="65" t="s">
        <v>71</v>
      </c>
      <c r="AQ94" s="65" t="s">
        <v>70</v>
      </c>
      <c r="AR94" s="78" t="s">
        <v>204</v>
      </c>
      <c r="AS94" s="11">
        <v>0.5</v>
      </c>
      <c r="AT94" s="11">
        <v>0.5</v>
      </c>
      <c r="AU94" s="11">
        <v>0.5</v>
      </c>
      <c r="AV94" s="11">
        <v>0.5</v>
      </c>
      <c r="AW94" s="11">
        <v>0.5</v>
      </c>
      <c r="AX94" s="11">
        <v>0.5</v>
      </c>
      <c r="AY94" s="11">
        <v>1</v>
      </c>
      <c r="AZ94" s="11">
        <v>1</v>
      </c>
      <c r="BA94" s="11">
        <v>0.5</v>
      </c>
      <c r="BB94" s="11">
        <v>1</v>
      </c>
      <c r="BC94" s="75">
        <v>0.75</v>
      </c>
      <c r="BD94" s="75">
        <v>0.75</v>
      </c>
      <c r="BE94" s="75">
        <v>1</v>
      </c>
      <c r="BF94" s="75">
        <v>0.5</v>
      </c>
      <c r="BG94" s="75">
        <v>0.5</v>
      </c>
      <c r="BH94" s="75">
        <v>0.5</v>
      </c>
      <c r="BI94" s="75">
        <v>1</v>
      </c>
      <c r="BJ94" s="75">
        <v>2</v>
      </c>
      <c r="BK94" s="76">
        <v>1.5</v>
      </c>
      <c r="BL94" s="76">
        <v>0.5</v>
      </c>
      <c r="BM94" s="76">
        <v>0</v>
      </c>
      <c r="BN94" s="76">
        <v>0.5</v>
      </c>
      <c r="BO94" s="76">
        <v>1</v>
      </c>
      <c r="BP94" s="76">
        <v>1</v>
      </c>
      <c r="BQ94" s="76">
        <v>0.25</v>
      </c>
      <c r="BR94" s="76">
        <v>0.25</v>
      </c>
      <c r="BS94" s="76">
        <v>0.25</v>
      </c>
      <c r="BT94" s="76">
        <v>0.25</v>
      </c>
      <c r="BU94" s="76">
        <v>0.25</v>
      </c>
      <c r="BV94" s="76">
        <v>0.25</v>
      </c>
      <c r="BW94" s="76">
        <v>0.25</v>
      </c>
      <c r="BX94" s="54">
        <v>0.25</v>
      </c>
      <c r="BY94" s="55">
        <v>1.5</v>
      </c>
      <c r="BZ94" s="60">
        <v>1.5</v>
      </c>
      <c r="CA94" s="5">
        <v>2</v>
      </c>
      <c r="CB94" s="5">
        <v>1</v>
      </c>
      <c r="CC94" s="5">
        <v>1</v>
      </c>
      <c r="CD94" s="5">
        <v>1</v>
      </c>
      <c r="CE94" s="5">
        <v>1</v>
      </c>
      <c r="CF94" s="5">
        <v>29</v>
      </c>
      <c r="CG94" s="191"/>
    </row>
    <row r="95" spans="1:85" s="5" customFormat="1" x14ac:dyDescent="0.15">
      <c r="A95" s="5" t="s">
        <v>298</v>
      </c>
      <c r="B95" s="5">
        <v>354</v>
      </c>
      <c r="C95" s="5" t="s">
        <v>431</v>
      </c>
      <c r="F95" s="65" t="s">
        <v>92</v>
      </c>
      <c r="G95" s="65" t="s">
        <v>70</v>
      </c>
      <c r="H95" s="65" t="s">
        <v>45</v>
      </c>
      <c r="I95" s="65" t="s">
        <v>92</v>
      </c>
      <c r="J95" s="68" t="s">
        <v>93</v>
      </c>
      <c r="K95" s="68" t="s">
        <v>9</v>
      </c>
      <c r="L95" s="65">
        <v>387500</v>
      </c>
      <c r="M95" s="68">
        <v>77500</v>
      </c>
      <c r="N95" s="67" t="s">
        <v>41</v>
      </c>
      <c r="O95" s="67">
        <v>627.24776129032296</v>
      </c>
      <c r="P95" s="65">
        <v>507</v>
      </c>
      <c r="Q95" s="65">
        <v>120.247761290323</v>
      </c>
      <c r="R95" s="65" t="s">
        <v>96</v>
      </c>
      <c r="S95" s="67">
        <v>6660164</v>
      </c>
      <c r="T95" s="65">
        <v>35356686</v>
      </c>
      <c r="U95" s="65">
        <v>294031.96883338102</v>
      </c>
      <c r="V95" s="65">
        <v>66.599999999999994</v>
      </c>
      <c r="W95" s="65">
        <v>258031.298604285</v>
      </c>
      <c r="X95" s="65">
        <v>36000.670229096402</v>
      </c>
      <c r="Y95" s="65" t="s">
        <v>41</v>
      </c>
      <c r="Z95" s="65">
        <v>1.8723294005578199E-2</v>
      </c>
      <c r="AA95" s="65">
        <v>1.8723294005578199E-2</v>
      </c>
      <c r="AB95" s="65">
        <v>229215337.34193501</v>
      </c>
      <c r="AC95" s="65">
        <v>217989522</v>
      </c>
      <c r="AD95" s="65">
        <v>11225815.341935501</v>
      </c>
      <c r="AE95" s="65">
        <v>181047</v>
      </c>
      <c r="AF95" s="65">
        <v>2321387</v>
      </c>
      <c r="AG95" s="65">
        <v>4157730</v>
      </c>
      <c r="AH95" s="65">
        <v>4565651.3419354903</v>
      </c>
      <c r="AI95" s="65">
        <v>913130.26838709705</v>
      </c>
      <c r="AJ95" s="65">
        <v>3652521.0735483901</v>
      </c>
      <c r="AK95" s="65">
        <v>0.18999601206892</v>
      </c>
      <c r="AL95" s="65">
        <v>226706346.296774</v>
      </c>
      <c r="AM95" s="65">
        <v>3267728.2374193701</v>
      </c>
      <c r="AN95" s="65">
        <v>32266.739629952601</v>
      </c>
      <c r="AO95" s="65" t="s">
        <v>41</v>
      </c>
      <c r="AP95" s="65" t="s">
        <v>71</v>
      </c>
      <c r="AQ95" s="65" t="s">
        <v>70</v>
      </c>
      <c r="AR95" s="77" t="s">
        <v>204</v>
      </c>
      <c r="AS95" s="11">
        <v>0.5</v>
      </c>
      <c r="AT95" s="11">
        <v>0.5</v>
      </c>
      <c r="AU95" s="11">
        <v>0.5</v>
      </c>
      <c r="AV95" s="11">
        <v>0.5</v>
      </c>
      <c r="AW95" s="11">
        <v>0.5</v>
      </c>
      <c r="AX95" s="11">
        <v>0.5</v>
      </c>
      <c r="AY95" s="11">
        <v>1</v>
      </c>
      <c r="AZ95" s="11">
        <v>1</v>
      </c>
      <c r="BA95" s="11">
        <v>0.5</v>
      </c>
      <c r="BB95" s="11">
        <v>1</v>
      </c>
      <c r="BC95" s="75">
        <v>0.75</v>
      </c>
      <c r="BD95" s="75">
        <v>0.75</v>
      </c>
      <c r="BE95" s="75">
        <v>1</v>
      </c>
      <c r="BF95" s="75">
        <v>0.5</v>
      </c>
      <c r="BG95" s="75">
        <v>0.5</v>
      </c>
      <c r="BH95" s="75">
        <v>0.5</v>
      </c>
      <c r="BI95" s="75">
        <v>1</v>
      </c>
      <c r="BJ95" s="75">
        <v>2</v>
      </c>
      <c r="BK95" s="75">
        <v>1.5</v>
      </c>
      <c r="BL95" s="76">
        <v>0.5</v>
      </c>
      <c r="BM95" s="76">
        <v>0</v>
      </c>
      <c r="BN95" s="76">
        <v>0.5</v>
      </c>
      <c r="BO95" s="76">
        <v>1</v>
      </c>
      <c r="BP95" s="76">
        <v>1</v>
      </c>
      <c r="BQ95" s="76">
        <v>0.25</v>
      </c>
      <c r="BR95" s="76">
        <v>0.25</v>
      </c>
      <c r="BS95" s="76">
        <v>0.25</v>
      </c>
      <c r="BT95" s="76">
        <v>0.25</v>
      </c>
      <c r="BU95" s="76">
        <v>0.25</v>
      </c>
      <c r="BV95" s="76">
        <v>0.25</v>
      </c>
      <c r="BW95" s="76">
        <v>0.25</v>
      </c>
      <c r="BX95" s="54">
        <v>0.25</v>
      </c>
      <c r="BY95" s="5">
        <v>1.5</v>
      </c>
      <c r="BZ95" s="60">
        <v>1.5</v>
      </c>
      <c r="CA95" s="5">
        <v>2</v>
      </c>
      <c r="CB95" s="5">
        <v>1</v>
      </c>
      <c r="CC95" s="5">
        <v>1</v>
      </c>
      <c r="CD95" s="5">
        <v>1</v>
      </c>
      <c r="CE95" s="5">
        <v>1</v>
      </c>
      <c r="CF95" s="5">
        <v>29</v>
      </c>
      <c r="CG95" s="191"/>
    </row>
    <row r="96" spans="1:85" s="5" customFormat="1" x14ac:dyDescent="0.15">
      <c r="A96" s="5" t="s">
        <v>299</v>
      </c>
      <c r="B96" s="5">
        <v>331</v>
      </c>
      <c r="C96" s="5" t="s">
        <v>432</v>
      </c>
      <c r="F96" s="65" t="s">
        <v>92</v>
      </c>
      <c r="G96" s="65" t="s">
        <v>70</v>
      </c>
      <c r="H96" s="65" t="s">
        <v>45</v>
      </c>
      <c r="I96" s="65" t="s">
        <v>92</v>
      </c>
      <c r="J96" s="68" t="s">
        <v>93</v>
      </c>
      <c r="K96" s="68" t="s">
        <v>9</v>
      </c>
      <c r="L96" s="65">
        <v>387500</v>
      </c>
      <c r="M96" s="68">
        <v>81250</v>
      </c>
      <c r="N96" s="67" t="s">
        <v>41</v>
      </c>
      <c r="O96" s="67">
        <v>627.24776129032296</v>
      </c>
      <c r="P96" s="65">
        <v>507</v>
      </c>
      <c r="Q96" s="65">
        <v>120.247761290323</v>
      </c>
      <c r="R96" s="65" t="s">
        <v>96</v>
      </c>
      <c r="S96" s="67">
        <v>6660164</v>
      </c>
      <c r="T96" s="65">
        <v>35356686</v>
      </c>
      <c r="U96" s="65">
        <v>0</v>
      </c>
      <c r="V96" s="65">
        <v>66.599999999999994</v>
      </c>
      <c r="W96" s="65">
        <v>0</v>
      </c>
      <c r="X96" s="65">
        <v>36000</v>
      </c>
      <c r="Y96" s="65" t="s">
        <v>311</v>
      </c>
      <c r="Z96" s="65">
        <v>1.87</v>
      </c>
      <c r="AA96" s="65">
        <v>1.87</v>
      </c>
      <c r="AB96" s="65">
        <v>185666000</v>
      </c>
      <c r="AC96" s="65">
        <v>-150072000</v>
      </c>
      <c r="AD96" s="65">
        <v>35594000</v>
      </c>
      <c r="AE96" s="65">
        <v>181047</v>
      </c>
      <c r="AF96" s="65">
        <v>2321387</v>
      </c>
      <c r="AG96" s="65">
        <v>4157730</v>
      </c>
      <c r="AH96" s="65">
        <v>28933836</v>
      </c>
      <c r="AI96" s="65">
        <v>5786767.2000000002</v>
      </c>
      <c r="AJ96" s="65">
        <v>23147068.800000001</v>
      </c>
      <c r="AK96" s="65">
        <v>0.23456098585632301</v>
      </c>
      <c r="AL96" s="65">
        <v>183157000</v>
      </c>
      <c r="AM96" s="65">
        <v>22762268.800000001</v>
      </c>
      <c r="AN96" s="65">
        <v>0</v>
      </c>
      <c r="AO96" s="65" t="s">
        <v>311</v>
      </c>
      <c r="AP96" s="65" t="s">
        <v>71</v>
      </c>
      <c r="AQ96" s="65" t="s">
        <v>70</v>
      </c>
      <c r="AR96" s="77" t="s">
        <v>204</v>
      </c>
      <c r="AS96" s="11">
        <v>0.5</v>
      </c>
      <c r="AT96" s="11">
        <v>0.5</v>
      </c>
      <c r="AU96" s="11">
        <v>0.5</v>
      </c>
      <c r="AV96" s="11">
        <v>0.5</v>
      </c>
      <c r="AW96" s="11">
        <v>0.5</v>
      </c>
      <c r="AX96" s="11">
        <v>0.5</v>
      </c>
      <c r="AY96" s="11">
        <v>1</v>
      </c>
      <c r="AZ96" s="11">
        <v>0</v>
      </c>
      <c r="BA96" s="11">
        <v>0.5</v>
      </c>
      <c r="BB96" s="11">
        <v>1</v>
      </c>
      <c r="BC96" s="75">
        <v>0.75</v>
      </c>
      <c r="BD96" s="75">
        <v>0.75</v>
      </c>
      <c r="BE96" s="75">
        <v>1</v>
      </c>
      <c r="BF96" s="75">
        <v>0.5</v>
      </c>
      <c r="BG96" s="75">
        <v>0.5</v>
      </c>
      <c r="BH96" s="75">
        <v>0</v>
      </c>
      <c r="BI96" s="75">
        <v>1</v>
      </c>
      <c r="BJ96" s="75">
        <v>0</v>
      </c>
      <c r="BK96" s="76">
        <v>1.5</v>
      </c>
      <c r="BL96" s="76">
        <v>0</v>
      </c>
      <c r="BM96" s="76">
        <v>0</v>
      </c>
      <c r="BN96" s="76">
        <v>0</v>
      </c>
      <c r="BO96" s="76">
        <v>0</v>
      </c>
      <c r="BP96" s="76">
        <v>0</v>
      </c>
      <c r="BQ96" s="76">
        <v>0</v>
      </c>
      <c r="BR96" s="76">
        <v>0.25</v>
      </c>
      <c r="BS96" s="76">
        <v>0.25</v>
      </c>
      <c r="BT96" s="76">
        <v>0.25</v>
      </c>
      <c r="BU96" s="76">
        <v>0.25</v>
      </c>
      <c r="BV96" s="76">
        <v>0</v>
      </c>
      <c r="BW96" s="76">
        <v>0.25</v>
      </c>
      <c r="BX96" s="54">
        <v>0</v>
      </c>
      <c r="BY96" s="5">
        <v>0</v>
      </c>
      <c r="BZ96" s="60">
        <v>0</v>
      </c>
      <c r="CA96" s="5">
        <v>0</v>
      </c>
      <c r="CB96" s="5">
        <v>0</v>
      </c>
      <c r="CC96" s="5">
        <v>1</v>
      </c>
      <c r="CD96" s="5">
        <v>1</v>
      </c>
      <c r="CE96" s="5">
        <v>1</v>
      </c>
      <c r="CF96" s="5">
        <v>15.75</v>
      </c>
      <c r="CG96" s="191"/>
    </row>
    <row r="97" spans="1:85" s="5" customFormat="1" x14ac:dyDescent="0.15">
      <c r="A97" s="5" t="s">
        <v>300</v>
      </c>
      <c r="B97" s="5">
        <v>381</v>
      </c>
      <c r="C97" s="5" t="s">
        <v>433</v>
      </c>
      <c r="F97" s="10" t="s">
        <v>92</v>
      </c>
      <c r="G97" s="10" t="s">
        <v>70</v>
      </c>
      <c r="H97" s="10" t="s">
        <v>45</v>
      </c>
      <c r="I97" s="10" t="s">
        <v>70</v>
      </c>
      <c r="J97" s="10" t="s">
        <v>93</v>
      </c>
      <c r="K97" s="10" t="s">
        <v>9</v>
      </c>
      <c r="L97" s="10">
        <v>390000</v>
      </c>
      <c r="M97" s="72">
        <v>310000</v>
      </c>
      <c r="N97" s="54" t="s">
        <v>41</v>
      </c>
      <c r="O97" s="54">
        <v>0</v>
      </c>
      <c r="P97" s="10">
        <v>0</v>
      </c>
      <c r="Q97" s="60">
        <v>0</v>
      </c>
      <c r="R97" s="60" t="s">
        <v>96</v>
      </c>
      <c r="S97" s="54">
        <v>0</v>
      </c>
      <c r="T97" s="60">
        <v>0</v>
      </c>
      <c r="U97" s="60">
        <v>0</v>
      </c>
      <c r="V97" s="60">
        <v>0</v>
      </c>
      <c r="W97" s="60">
        <v>0</v>
      </c>
      <c r="X97" s="60">
        <v>0</v>
      </c>
      <c r="Y97" s="60" t="s">
        <v>311</v>
      </c>
      <c r="Z97" s="60">
        <v>0</v>
      </c>
      <c r="AA97" s="60">
        <v>0</v>
      </c>
      <c r="AB97" s="60">
        <v>0</v>
      </c>
      <c r="AC97" s="60">
        <v>0</v>
      </c>
      <c r="AD97" s="60">
        <v>0</v>
      </c>
      <c r="AE97" s="60">
        <v>0</v>
      </c>
      <c r="AF97" s="65">
        <v>0</v>
      </c>
      <c r="AG97" s="65">
        <v>0</v>
      </c>
      <c r="AH97" s="65">
        <v>0</v>
      </c>
      <c r="AI97" s="65">
        <v>0</v>
      </c>
      <c r="AJ97" s="65">
        <v>0</v>
      </c>
      <c r="AK97" s="65">
        <v>0</v>
      </c>
      <c r="AL97" s="65">
        <v>0</v>
      </c>
      <c r="AM97" s="65">
        <v>0</v>
      </c>
      <c r="AN97" s="65">
        <v>0</v>
      </c>
      <c r="AO97" s="65" t="s">
        <v>311</v>
      </c>
      <c r="AP97" s="65" t="s">
        <v>70</v>
      </c>
      <c r="AQ97" s="65" t="s">
        <v>204</v>
      </c>
      <c r="AR97" s="11" t="s">
        <v>204</v>
      </c>
      <c r="AS97" s="11">
        <v>0.5</v>
      </c>
      <c r="AT97" s="11">
        <v>0.5</v>
      </c>
      <c r="AU97" s="11">
        <v>0.5</v>
      </c>
      <c r="AV97" s="11">
        <v>0</v>
      </c>
      <c r="AW97" s="11">
        <v>0.5</v>
      </c>
      <c r="AX97" s="11">
        <v>0.5</v>
      </c>
      <c r="AY97" s="11">
        <v>0</v>
      </c>
      <c r="AZ97" s="11">
        <v>0</v>
      </c>
      <c r="BA97" s="11">
        <v>0.5</v>
      </c>
      <c r="BB97" s="11">
        <v>0</v>
      </c>
      <c r="BC97" s="11">
        <v>0</v>
      </c>
      <c r="BD97" s="11">
        <v>0</v>
      </c>
      <c r="BE97" s="11">
        <v>1</v>
      </c>
      <c r="BF97" s="11">
        <v>0</v>
      </c>
      <c r="BG97" s="11">
        <v>0</v>
      </c>
      <c r="BH97" s="11">
        <v>0</v>
      </c>
      <c r="BI97" s="11">
        <v>0</v>
      </c>
      <c r="BJ97" s="11">
        <v>0</v>
      </c>
      <c r="BK97" s="10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0.25</v>
      </c>
      <c r="BR97" s="5">
        <v>0</v>
      </c>
      <c r="BS97" s="5">
        <v>0</v>
      </c>
      <c r="BT97" s="5">
        <v>0</v>
      </c>
      <c r="BU97" s="5">
        <v>0.25</v>
      </c>
      <c r="BV97" s="5">
        <v>0</v>
      </c>
      <c r="BW97" s="5">
        <v>0.25</v>
      </c>
      <c r="BX97" s="54">
        <v>0</v>
      </c>
      <c r="BY97" s="55">
        <v>0</v>
      </c>
      <c r="BZ97" s="60">
        <v>0</v>
      </c>
      <c r="CA97" s="5">
        <v>0</v>
      </c>
      <c r="CB97" s="5">
        <v>0</v>
      </c>
      <c r="CC97" s="5">
        <v>0</v>
      </c>
      <c r="CD97" s="5">
        <v>0</v>
      </c>
      <c r="CE97" s="5">
        <v>1</v>
      </c>
      <c r="CF97" s="5">
        <v>5.75</v>
      </c>
      <c r="CG97" s="191"/>
    </row>
    <row r="98" spans="1:85" s="5" customFormat="1" x14ac:dyDescent="0.15">
      <c r="A98" s="5" t="s">
        <v>301</v>
      </c>
      <c r="B98" s="5">
        <v>420</v>
      </c>
      <c r="C98" s="5" t="s">
        <v>434</v>
      </c>
      <c r="F98" s="65" t="s">
        <v>92</v>
      </c>
      <c r="G98" s="65" t="s">
        <v>70</v>
      </c>
      <c r="H98" s="65" t="s">
        <v>45</v>
      </c>
      <c r="I98" s="65" t="s">
        <v>92</v>
      </c>
      <c r="J98" s="68" t="s">
        <v>93</v>
      </c>
      <c r="K98" s="68" t="s">
        <v>9</v>
      </c>
      <c r="L98" s="65">
        <v>387500</v>
      </c>
      <c r="M98" s="68">
        <v>77500</v>
      </c>
      <c r="N98" s="67" t="s">
        <v>41</v>
      </c>
      <c r="O98" s="67">
        <v>627.24776129032296</v>
      </c>
      <c r="P98" s="65">
        <v>507</v>
      </c>
      <c r="Q98" s="65">
        <v>120.247761290323</v>
      </c>
      <c r="R98" s="65" t="s">
        <v>96</v>
      </c>
      <c r="S98" s="67">
        <v>6660164</v>
      </c>
      <c r="T98" s="65">
        <v>35356686</v>
      </c>
      <c r="U98" s="65">
        <v>56367.974797179202</v>
      </c>
      <c r="V98" s="65">
        <v>207</v>
      </c>
      <c r="W98" s="65">
        <v>104348.59</v>
      </c>
      <c r="X98" s="65">
        <v>36000.670229096402</v>
      </c>
      <c r="Y98" s="65" t="s">
        <v>41</v>
      </c>
      <c r="Z98" s="65">
        <v>1.8723294005578199E-2</v>
      </c>
      <c r="AA98" s="65">
        <v>1.8723294005578199E-2</v>
      </c>
      <c r="AB98" s="65">
        <v>229215337.34</v>
      </c>
      <c r="AC98" s="65">
        <v>217989522</v>
      </c>
      <c r="AD98" s="65">
        <v>11225815.34</v>
      </c>
      <c r="AE98" s="65">
        <v>181047</v>
      </c>
      <c r="AF98" s="65">
        <v>2321387</v>
      </c>
      <c r="AG98" s="65">
        <v>4157730</v>
      </c>
      <c r="AH98" s="65">
        <v>17885979.34</v>
      </c>
      <c r="AI98" s="65">
        <v>0</v>
      </c>
      <c r="AJ98" s="65">
        <v>0</v>
      </c>
      <c r="AK98" s="65">
        <v>0</v>
      </c>
      <c r="AL98" s="65">
        <v>0</v>
      </c>
      <c r="AM98" s="65">
        <v>0</v>
      </c>
      <c r="AN98" s="65">
        <v>0</v>
      </c>
      <c r="AO98" s="65" t="s">
        <v>311</v>
      </c>
      <c r="AP98" s="65" t="s">
        <v>71</v>
      </c>
      <c r="AQ98" s="65" t="s">
        <v>70</v>
      </c>
      <c r="AR98" s="78" t="s">
        <v>204</v>
      </c>
      <c r="AS98" s="11">
        <v>0.5</v>
      </c>
      <c r="AT98" s="11">
        <v>0.5</v>
      </c>
      <c r="AU98" s="11">
        <v>0.5</v>
      </c>
      <c r="AV98" s="11">
        <v>0.5</v>
      </c>
      <c r="AW98" s="11">
        <v>0.5</v>
      </c>
      <c r="AX98" s="11">
        <v>0.5</v>
      </c>
      <c r="AY98" s="11">
        <v>1</v>
      </c>
      <c r="AZ98" s="11">
        <v>1</v>
      </c>
      <c r="BA98" s="11">
        <v>0.5</v>
      </c>
      <c r="BB98" s="11">
        <v>1</v>
      </c>
      <c r="BC98" s="75">
        <v>0.75</v>
      </c>
      <c r="BD98" s="75">
        <v>0.75</v>
      </c>
      <c r="BE98" s="75">
        <v>1</v>
      </c>
      <c r="BF98" s="75">
        <v>0.5</v>
      </c>
      <c r="BG98" s="75">
        <v>0.5</v>
      </c>
      <c r="BH98" s="75">
        <v>0</v>
      </c>
      <c r="BI98" s="75">
        <v>0</v>
      </c>
      <c r="BJ98" s="75">
        <v>0</v>
      </c>
      <c r="BK98" s="75">
        <v>1.5</v>
      </c>
      <c r="BL98" s="76">
        <v>0.5</v>
      </c>
      <c r="BM98" s="76">
        <v>0</v>
      </c>
      <c r="BN98" s="76">
        <v>0.5</v>
      </c>
      <c r="BO98" s="76">
        <v>1</v>
      </c>
      <c r="BP98" s="76">
        <v>1</v>
      </c>
      <c r="BQ98" s="76">
        <v>0.25</v>
      </c>
      <c r="BR98" s="76">
        <v>0.25</v>
      </c>
      <c r="BS98" s="76">
        <v>0.25</v>
      </c>
      <c r="BT98" s="76">
        <v>0.25</v>
      </c>
      <c r="BU98" s="76">
        <v>0</v>
      </c>
      <c r="BV98" s="76">
        <v>0</v>
      </c>
      <c r="BW98" s="76">
        <v>0</v>
      </c>
      <c r="BX98" s="54">
        <v>0</v>
      </c>
      <c r="BY98" s="5">
        <v>0</v>
      </c>
      <c r="BZ98" s="60">
        <v>0</v>
      </c>
      <c r="CA98" s="5">
        <v>0</v>
      </c>
      <c r="CB98" s="5">
        <v>0</v>
      </c>
      <c r="CC98" s="5">
        <v>1</v>
      </c>
      <c r="CD98" s="5">
        <v>1</v>
      </c>
      <c r="CE98" s="5">
        <v>1</v>
      </c>
      <c r="CF98" s="5">
        <v>18.5</v>
      </c>
      <c r="CG98" s="191"/>
    </row>
    <row r="99" spans="1:85" s="5" customFormat="1" x14ac:dyDescent="0.15">
      <c r="A99" s="3" t="s">
        <v>302</v>
      </c>
      <c r="B99" s="3">
        <v>393</v>
      </c>
      <c r="C99" s="3" t="s">
        <v>435</v>
      </c>
      <c r="D99" s="3"/>
      <c r="E99" s="3"/>
      <c r="F99" s="3" t="s">
        <v>92</v>
      </c>
      <c r="G99" s="3" t="s">
        <v>70</v>
      </c>
      <c r="H99" s="3" t="s">
        <v>45</v>
      </c>
      <c r="I99" s="3" t="s">
        <v>92</v>
      </c>
      <c r="J99" s="70" t="s">
        <v>93</v>
      </c>
      <c r="K99" s="70" t="s">
        <v>9</v>
      </c>
      <c r="L99" s="3">
        <v>387500</v>
      </c>
      <c r="M99" s="74">
        <v>77500</v>
      </c>
      <c r="N99" s="58" t="s">
        <v>41</v>
      </c>
      <c r="O99" s="58">
        <v>627.24776129032296</v>
      </c>
      <c r="P99" s="3">
        <v>507</v>
      </c>
      <c r="Q99" s="63">
        <v>120.247761290323</v>
      </c>
      <c r="R99" s="63" t="s">
        <v>96</v>
      </c>
      <c r="S99" s="58">
        <v>-6660164</v>
      </c>
      <c r="T99" s="63">
        <v>35356686</v>
      </c>
      <c r="U99" s="63">
        <v>294031.96883338102</v>
      </c>
      <c r="V99" s="63">
        <v>66.599999999999994</v>
      </c>
      <c r="W99" s="63">
        <v>257731.293019042</v>
      </c>
      <c r="X99" s="63">
        <v>36000.6702290963</v>
      </c>
      <c r="Y99" s="63" t="s">
        <v>41</v>
      </c>
      <c r="Z99" s="63">
        <v>1.8723294005578199E-2</v>
      </c>
      <c r="AA99" s="63">
        <v>1.8723294005578199E-2</v>
      </c>
      <c r="AB99" s="63">
        <v>229215337.34193501</v>
      </c>
      <c r="AC99" s="63">
        <v>217989522</v>
      </c>
      <c r="AD99" s="63">
        <v>11225815.341935501</v>
      </c>
      <c r="AE99" s="63">
        <v>181047</v>
      </c>
      <c r="AF99" s="66">
        <v>2321387</v>
      </c>
      <c r="AG99" s="66">
        <v>4157730</v>
      </c>
      <c r="AH99" s="66">
        <v>4565651.3419354903</v>
      </c>
      <c r="AI99" s="66">
        <v>913130.26838709705</v>
      </c>
      <c r="AJ99" s="66">
        <v>3652521.0735483901</v>
      </c>
      <c r="AK99" s="66">
        <v>0.18999601206892</v>
      </c>
      <c r="AL99" s="66">
        <v>226706346.296774</v>
      </c>
      <c r="AM99" s="66">
        <v>3267728.2374193701</v>
      </c>
      <c r="AN99" s="66">
        <v>0</v>
      </c>
      <c r="AO99" s="66" t="s">
        <v>41</v>
      </c>
      <c r="AP99" s="66" t="s">
        <v>71</v>
      </c>
      <c r="AQ99" s="66" t="s">
        <v>70</v>
      </c>
      <c r="AR99" s="9" t="s">
        <v>204</v>
      </c>
      <c r="AS99" s="9">
        <v>0.5</v>
      </c>
      <c r="AT99" s="9">
        <v>0.5</v>
      </c>
      <c r="AU99" s="9">
        <v>0.5</v>
      </c>
      <c r="AV99" s="9">
        <v>0.5</v>
      </c>
      <c r="AW99" s="9">
        <v>0.5</v>
      </c>
      <c r="AX99" s="9">
        <v>0.5</v>
      </c>
      <c r="AY99" s="9">
        <v>1</v>
      </c>
      <c r="AZ99" s="9">
        <v>1</v>
      </c>
      <c r="BA99" s="9">
        <v>0.5</v>
      </c>
      <c r="BB99" s="9">
        <v>1</v>
      </c>
      <c r="BC99" s="9">
        <v>0.75</v>
      </c>
      <c r="BD99" s="9">
        <v>0.75</v>
      </c>
      <c r="BE99" s="9">
        <v>1</v>
      </c>
      <c r="BF99" s="9">
        <v>0.5</v>
      </c>
      <c r="BG99" s="9">
        <v>0.5</v>
      </c>
      <c r="BH99" s="9">
        <v>0.5</v>
      </c>
      <c r="BI99" s="9">
        <v>1</v>
      </c>
      <c r="BJ99" s="9">
        <v>0</v>
      </c>
      <c r="BK99" s="3">
        <v>1.5</v>
      </c>
      <c r="BL99" s="3">
        <v>0.5</v>
      </c>
      <c r="BM99" s="3">
        <v>0</v>
      </c>
      <c r="BN99" s="3">
        <v>0.5</v>
      </c>
      <c r="BO99" s="3">
        <v>1</v>
      </c>
      <c r="BP99" s="3">
        <v>1</v>
      </c>
      <c r="BQ99" s="3">
        <v>0.25</v>
      </c>
      <c r="BR99" s="3">
        <v>0.25</v>
      </c>
      <c r="BS99" s="3">
        <v>0.25</v>
      </c>
      <c r="BT99" s="3">
        <v>0.25</v>
      </c>
      <c r="BU99" s="3">
        <v>0.25</v>
      </c>
      <c r="BV99" s="3">
        <v>0.25</v>
      </c>
      <c r="BW99" s="3">
        <v>0.25</v>
      </c>
      <c r="BX99" s="54">
        <v>0.25</v>
      </c>
      <c r="BY99" s="3">
        <v>1.5</v>
      </c>
      <c r="BZ99" s="60">
        <v>1.5</v>
      </c>
      <c r="CA99" s="5">
        <v>0</v>
      </c>
      <c r="CB99" s="5">
        <v>1</v>
      </c>
      <c r="CC99" s="5">
        <v>1</v>
      </c>
      <c r="CD99" s="5">
        <v>1</v>
      </c>
      <c r="CE99" s="5">
        <v>1</v>
      </c>
      <c r="CF99" s="5">
        <v>25</v>
      </c>
      <c r="CG99" s="191"/>
    </row>
    <row r="100" spans="1:85" s="5" customFormat="1" x14ac:dyDescent="0.15">
      <c r="A100" s="5" t="s">
        <v>303</v>
      </c>
      <c r="B100" s="5">
        <v>429</v>
      </c>
      <c r="C100" s="5" t="s">
        <v>436</v>
      </c>
      <c r="F100" s="65" t="s">
        <v>92</v>
      </c>
      <c r="G100" s="65" t="s">
        <v>70</v>
      </c>
      <c r="H100" s="65" t="s">
        <v>45</v>
      </c>
      <c r="I100" s="65" t="s">
        <v>92</v>
      </c>
      <c r="J100" s="68" t="s">
        <v>93</v>
      </c>
      <c r="K100" s="68" t="s">
        <v>9</v>
      </c>
      <c r="L100" s="65">
        <v>0</v>
      </c>
      <c r="M100" s="68">
        <v>0</v>
      </c>
      <c r="N100" s="67" t="s">
        <v>41</v>
      </c>
      <c r="O100" s="67">
        <v>0</v>
      </c>
      <c r="P100" s="65">
        <v>0</v>
      </c>
      <c r="Q100" s="65">
        <v>0</v>
      </c>
      <c r="R100" s="65" t="s">
        <v>96</v>
      </c>
      <c r="S100" s="67">
        <v>0</v>
      </c>
      <c r="T100" s="65">
        <v>0</v>
      </c>
      <c r="U100" s="65">
        <v>0</v>
      </c>
      <c r="V100" s="65">
        <v>0</v>
      </c>
      <c r="W100" s="65">
        <v>0</v>
      </c>
      <c r="X100" s="65">
        <v>0</v>
      </c>
      <c r="Y100" s="65" t="s">
        <v>309</v>
      </c>
      <c r="Z100" s="65">
        <v>0</v>
      </c>
      <c r="AA100" s="65">
        <v>0</v>
      </c>
      <c r="AB100" s="65">
        <v>0</v>
      </c>
      <c r="AC100" s="65">
        <v>0</v>
      </c>
      <c r="AD100" s="65">
        <v>0</v>
      </c>
      <c r="AE100" s="65">
        <v>0</v>
      </c>
      <c r="AF100" s="65">
        <v>0</v>
      </c>
      <c r="AG100" s="65">
        <v>0</v>
      </c>
      <c r="AH100" s="65">
        <v>0</v>
      </c>
      <c r="AI100" s="65">
        <v>0</v>
      </c>
      <c r="AJ100" s="65">
        <v>0</v>
      </c>
      <c r="AK100" s="65">
        <v>0</v>
      </c>
      <c r="AL100" s="65">
        <v>0</v>
      </c>
      <c r="AM100" s="65">
        <v>0</v>
      </c>
      <c r="AN100" s="65">
        <v>0</v>
      </c>
      <c r="AO100" s="65" t="s">
        <v>41</v>
      </c>
      <c r="AP100" s="65" t="s">
        <v>71</v>
      </c>
      <c r="AQ100" s="65" t="s">
        <v>70</v>
      </c>
      <c r="AR100" s="78" t="s">
        <v>329</v>
      </c>
      <c r="AS100" s="11">
        <v>0.5</v>
      </c>
      <c r="AT100" s="11">
        <v>0.5</v>
      </c>
      <c r="AU100" s="11">
        <v>0.5</v>
      </c>
      <c r="AV100" s="11">
        <v>0.5</v>
      </c>
      <c r="AW100" s="11">
        <v>0.5</v>
      </c>
      <c r="AX100" s="11">
        <v>0.5</v>
      </c>
      <c r="AY100" s="11">
        <v>0</v>
      </c>
      <c r="AZ100" s="11">
        <v>0</v>
      </c>
      <c r="BA100" s="11">
        <v>0.5</v>
      </c>
      <c r="BB100" s="11">
        <v>0</v>
      </c>
      <c r="BC100" s="75">
        <v>0</v>
      </c>
      <c r="BD100" s="75">
        <v>0</v>
      </c>
      <c r="BE100" s="75">
        <v>1</v>
      </c>
      <c r="BF100" s="75">
        <v>0</v>
      </c>
      <c r="BG100" s="75">
        <v>0</v>
      </c>
      <c r="BH100" s="75">
        <v>0</v>
      </c>
      <c r="BI100" s="75">
        <v>0</v>
      </c>
      <c r="BJ100" s="75">
        <v>0</v>
      </c>
      <c r="BK100" s="76">
        <v>0</v>
      </c>
      <c r="BL100" s="76">
        <v>0</v>
      </c>
      <c r="BM100" s="76">
        <v>0</v>
      </c>
      <c r="BN100" s="76">
        <v>0</v>
      </c>
      <c r="BO100" s="76">
        <v>0</v>
      </c>
      <c r="BP100" s="76">
        <v>0</v>
      </c>
      <c r="BQ100" s="76">
        <v>0.25</v>
      </c>
      <c r="BR100" s="76">
        <v>0</v>
      </c>
      <c r="BS100" s="76">
        <v>0</v>
      </c>
      <c r="BT100" s="76">
        <v>0</v>
      </c>
      <c r="BU100" s="76">
        <v>0.25</v>
      </c>
      <c r="BV100" s="76">
        <v>0</v>
      </c>
      <c r="BW100" s="76">
        <v>0.25</v>
      </c>
      <c r="BX100" s="54">
        <v>0</v>
      </c>
      <c r="BY100" s="55">
        <v>0</v>
      </c>
      <c r="BZ100" s="60">
        <v>0</v>
      </c>
      <c r="CA100" s="5">
        <v>0</v>
      </c>
      <c r="CB100" s="5">
        <v>1</v>
      </c>
      <c r="CC100" s="5">
        <v>1</v>
      </c>
      <c r="CD100" s="5">
        <v>1</v>
      </c>
      <c r="CE100" s="5">
        <v>0</v>
      </c>
      <c r="CF100" s="5">
        <v>8.25</v>
      </c>
      <c r="CG100" s="191"/>
    </row>
    <row r="101" spans="1:85" s="5" customFormat="1" x14ac:dyDescent="0.15">
      <c r="A101" s="5" t="s">
        <v>304</v>
      </c>
      <c r="B101" s="5">
        <v>379</v>
      </c>
      <c r="C101" s="5" t="s">
        <v>437</v>
      </c>
      <c r="F101" s="65" t="s">
        <v>92</v>
      </c>
      <c r="G101" s="65" t="s">
        <v>70</v>
      </c>
      <c r="H101" s="65" t="s">
        <v>45</v>
      </c>
      <c r="I101" s="65" t="s">
        <v>92</v>
      </c>
      <c r="J101" s="68" t="s">
        <v>318</v>
      </c>
      <c r="K101" s="68" t="s">
        <v>9</v>
      </c>
      <c r="L101" s="65">
        <v>310000</v>
      </c>
      <c r="M101" s="68">
        <v>77500</v>
      </c>
      <c r="N101" s="67" t="s">
        <v>41</v>
      </c>
      <c r="O101" s="67">
        <v>627.24776129032296</v>
      </c>
      <c r="P101" s="65">
        <v>507</v>
      </c>
      <c r="Q101" s="65">
        <v>120.247761290323</v>
      </c>
      <c r="R101" s="65" t="s">
        <v>96</v>
      </c>
      <c r="S101" s="67">
        <v>6660164</v>
      </c>
      <c r="T101" s="65">
        <v>35356686</v>
      </c>
      <c r="U101" s="65">
        <v>294031.96883338102</v>
      </c>
      <c r="V101" s="65">
        <v>66.599999999999994</v>
      </c>
      <c r="W101" s="65">
        <v>258031.29860484999</v>
      </c>
      <c r="X101" s="65">
        <v>36000.670229096402</v>
      </c>
      <c r="Y101" s="65" t="s">
        <v>41</v>
      </c>
      <c r="Z101" s="65">
        <v>1.8723294005578199E-2</v>
      </c>
      <c r="AA101" s="65">
        <v>1.8723294005578199E-2</v>
      </c>
      <c r="AB101" s="65">
        <v>229215337.34193501</v>
      </c>
      <c r="AC101" s="65">
        <v>217989522</v>
      </c>
      <c r="AD101" s="65">
        <v>11225815.341935501</v>
      </c>
      <c r="AE101" s="65">
        <v>181047</v>
      </c>
      <c r="AF101" s="65">
        <v>2321387</v>
      </c>
      <c r="AG101" s="65">
        <v>4157730</v>
      </c>
      <c r="AH101" s="65">
        <v>4565651.3419354903</v>
      </c>
      <c r="AI101" s="65">
        <v>913130.26838709705</v>
      </c>
      <c r="AJ101" s="65">
        <v>3652521.0735483901</v>
      </c>
      <c r="AK101" s="65">
        <v>0.18999601206892</v>
      </c>
      <c r="AL101" s="65">
        <v>226706346.296774</v>
      </c>
      <c r="AM101" s="65">
        <v>2752627.4967742101</v>
      </c>
      <c r="AN101" s="65">
        <v>97266.7396880749</v>
      </c>
      <c r="AO101" s="65" t="s">
        <v>311</v>
      </c>
      <c r="AP101" s="65" t="s">
        <v>71</v>
      </c>
      <c r="AQ101" s="65" t="s">
        <v>70</v>
      </c>
      <c r="AR101" s="77" t="s">
        <v>204</v>
      </c>
      <c r="AS101" s="11">
        <v>0.5</v>
      </c>
      <c r="AT101" s="11">
        <v>0.5</v>
      </c>
      <c r="AU101" s="11">
        <v>0.5</v>
      </c>
      <c r="AV101" s="11">
        <v>0.5</v>
      </c>
      <c r="AW101" s="11">
        <v>0</v>
      </c>
      <c r="AX101" s="11">
        <v>0.5</v>
      </c>
      <c r="AY101" s="11">
        <v>0</v>
      </c>
      <c r="AZ101" s="11">
        <v>1</v>
      </c>
      <c r="BA101" s="11">
        <v>0.5</v>
      </c>
      <c r="BB101" s="11">
        <v>1</v>
      </c>
      <c r="BC101" s="75">
        <v>0.75</v>
      </c>
      <c r="BD101" s="75">
        <v>0.75</v>
      </c>
      <c r="BE101" s="75">
        <v>1</v>
      </c>
      <c r="BF101" s="75">
        <v>0.5</v>
      </c>
      <c r="BG101" s="75">
        <v>0.5</v>
      </c>
      <c r="BH101" s="75">
        <v>0.5</v>
      </c>
      <c r="BI101" s="75">
        <v>1</v>
      </c>
      <c r="BJ101" s="75">
        <v>2</v>
      </c>
      <c r="BK101" s="76">
        <v>1.5</v>
      </c>
      <c r="BL101" s="76">
        <v>0.5</v>
      </c>
      <c r="BM101" s="76">
        <v>0</v>
      </c>
      <c r="BN101" s="76">
        <v>0.5</v>
      </c>
      <c r="BO101" s="76">
        <v>1</v>
      </c>
      <c r="BP101" s="76">
        <v>1</v>
      </c>
      <c r="BQ101" s="76">
        <v>0.25</v>
      </c>
      <c r="BR101" s="76">
        <v>0.25</v>
      </c>
      <c r="BS101" s="76">
        <v>0.25</v>
      </c>
      <c r="BT101" s="76">
        <v>0.25</v>
      </c>
      <c r="BU101" s="76">
        <v>0.25</v>
      </c>
      <c r="BV101" s="76">
        <v>0.25</v>
      </c>
      <c r="BW101" s="76">
        <v>0.25</v>
      </c>
      <c r="BX101" s="54">
        <v>0.25</v>
      </c>
      <c r="BY101" s="5">
        <v>1.5</v>
      </c>
      <c r="BZ101" s="60">
        <v>0</v>
      </c>
      <c r="CA101" s="5">
        <v>0</v>
      </c>
      <c r="CB101" s="5">
        <v>0</v>
      </c>
      <c r="CC101" s="5">
        <v>1</v>
      </c>
      <c r="CD101" s="5">
        <v>1</v>
      </c>
      <c r="CE101" s="5">
        <v>1</v>
      </c>
      <c r="CF101" s="5">
        <v>23</v>
      </c>
      <c r="CG101" s="191"/>
    </row>
    <row r="102" spans="1:85" s="5" customFormat="1" x14ac:dyDescent="0.15">
      <c r="A102" s="5" t="s">
        <v>305</v>
      </c>
      <c r="B102" s="5">
        <v>374</v>
      </c>
      <c r="C102" s="5" t="s">
        <v>438</v>
      </c>
      <c r="F102" s="5" t="s">
        <v>92</v>
      </c>
      <c r="G102" s="5" t="s">
        <v>70</v>
      </c>
      <c r="H102" s="5" t="s">
        <v>45</v>
      </c>
      <c r="I102" s="5" t="s">
        <v>92</v>
      </c>
      <c r="J102" s="10" t="s">
        <v>93</v>
      </c>
      <c r="K102" s="10" t="s">
        <v>9</v>
      </c>
      <c r="L102" s="5">
        <v>387500</v>
      </c>
      <c r="M102" s="72">
        <v>77500</v>
      </c>
      <c r="N102" s="54" t="s">
        <v>41</v>
      </c>
      <c r="O102" s="54">
        <v>627.24779999999998</v>
      </c>
      <c r="P102" s="5">
        <v>507</v>
      </c>
      <c r="Q102" s="60">
        <v>120.247761290323</v>
      </c>
      <c r="R102" s="60" t="s">
        <v>96</v>
      </c>
      <c r="S102" s="54">
        <v>6660164</v>
      </c>
      <c r="T102" s="60">
        <v>35356686</v>
      </c>
      <c r="U102" s="60">
        <v>0</v>
      </c>
      <c r="V102" s="60">
        <v>67</v>
      </c>
      <c r="W102" s="60">
        <v>267312</v>
      </c>
      <c r="X102" s="60">
        <v>36001</v>
      </c>
      <c r="Y102" s="60" t="s">
        <v>41</v>
      </c>
      <c r="Z102" s="63">
        <v>1.8723294005578199E-2</v>
      </c>
      <c r="AA102" s="63">
        <v>1.8723294005578199E-2</v>
      </c>
      <c r="AB102" s="63">
        <v>229215337.34193501</v>
      </c>
      <c r="AC102" s="63">
        <v>219105522</v>
      </c>
      <c r="AD102" s="63">
        <v>10109815.341935501</v>
      </c>
      <c r="AE102" s="63">
        <v>181047</v>
      </c>
      <c r="AF102" s="66">
        <v>2321387</v>
      </c>
      <c r="AG102" s="66">
        <v>4157730</v>
      </c>
      <c r="AH102" s="66">
        <v>3449651.3419354898</v>
      </c>
      <c r="AI102" s="66">
        <v>689930.26838709705</v>
      </c>
      <c r="AJ102" s="66">
        <v>2759721.0735483901</v>
      </c>
      <c r="AK102" s="66">
        <v>0.18999601206892</v>
      </c>
      <c r="AL102" s="66">
        <v>226706346.296774</v>
      </c>
      <c r="AM102" s="66">
        <v>2374928.2374193701</v>
      </c>
      <c r="AN102" s="66">
        <v>28915.3882786012</v>
      </c>
      <c r="AO102" s="66" t="s">
        <v>41</v>
      </c>
      <c r="AP102" s="66" t="s">
        <v>71</v>
      </c>
      <c r="AQ102" s="66" t="s">
        <v>70</v>
      </c>
      <c r="AR102" s="9" t="s">
        <v>204</v>
      </c>
      <c r="AS102" s="9">
        <v>0.5</v>
      </c>
      <c r="AT102" s="9">
        <v>0.5</v>
      </c>
      <c r="AU102" s="9">
        <v>0.5</v>
      </c>
      <c r="AV102" s="9">
        <v>0.5</v>
      </c>
      <c r="AW102" s="9">
        <v>0.5</v>
      </c>
      <c r="AX102" s="9">
        <v>0.5</v>
      </c>
      <c r="AY102" s="9">
        <v>1</v>
      </c>
      <c r="AZ102" s="9">
        <v>1</v>
      </c>
      <c r="BA102" s="9">
        <v>0.5</v>
      </c>
      <c r="BB102" s="9">
        <v>1</v>
      </c>
      <c r="BC102" s="9">
        <v>0.75</v>
      </c>
      <c r="BD102" s="9">
        <v>0.75</v>
      </c>
      <c r="BE102" s="9">
        <v>1</v>
      </c>
      <c r="BF102" s="9">
        <v>0.5</v>
      </c>
      <c r="BG102" s="9">
        <v>0.5</v>
      </c>
      <c r="BH102" s="9">
        <v>0</v>
      </c>
      <c r="BI102" s="9">
        <v>1</v>
      </c>
      <c r="BJ102" s="9">
        <v>2</v>
      </c>
      <c r="BK102" s="3">
        <v>1.5</v>
      </c>
      <c r="BL102" s="3">
        <v>0.5</v>
      </c>
      <c r="BM102" s="3">
        <v>0</v>
      </c>
      <c r="BN102" s="3">
        <v>0.5</v>
      </c>
      <c r="BO102" s="3">
        <v>1</v>
      </c>
      <c r="BP102" s="3">
        <v>1</v>
      </c>
      <c r="BQ102" s="3">
        <v>0.25</v>
      </c>
      <c r="BR102" s="3">
        <v>0.25</v>
      </c>
      <c r="BS102" s="3">
        <v>0.25</v>
      </c>
      <c r="BT102" s="3">
        <v>0.25</v>
      </c>
      <c r="BU102" s="3">
        <v>0.25</v>
      </c>
      <c r="BV102" s="3">
        <v>0.25</v>
      </c>
      <c r="BW102" s="3">
        <v>0.25</v>
      </c>
      <c r="BX102" s="54">
        <v>0.25</v>
      </c>
      <c r="BY102" s="3">
        <v>1.5</v>
      </c>
      <c r="BZ102" s="60">
        <v>1.5</v>
      </c>
      <c r="CA102" s="5">
        <v>2</v>
      </c>
      <c r="CB102" s="5">
        <v>1</v>
      </c>
      <c r="CC102" s="5">
        <v>1</v>
      </c>
      <c r="CD102" s="5">
        <v>1</v>
      </c>
      <c r="CE102" s="5">
        <v>1</v>
      </c>
      <c r="CF102" s="5">
        <v>28.5</v>
      </c>
      <c r="CG102" s="191"/>
    </row>
    <row r="103" spans="1:85" s="5" customFormat="1" x14ac:dyDescent="0.15">
      <c r="A103" s="5" t="s">
        <v>306</v>
      </c>
      <c r="B103" s="5">
        <v>351</v>
      </c>
      <c r="C103" s="5" t="s">
        <v>439</v>
      </c>
      <c r="F103" s="65" t="s">
        <v>92</v>
      </c>
      <c r="G103" s="65" t="s">
        <v>70</v>
      </c>
      <c r="H103" s="65" t="s">
        <v>45</v>
      </c>
      <c r="I103" s="65" t="s">
        <v>92</v>
      </c>
      <c r="J103" s="68" t="s">
        <v>93</v>
      </c>
      <c r="K103" s="68" t="s">
        <v>9</v>
      </c>
      <c r="L103" s="65">
        <v>387500</v>
      </c>
      <c r="M103" s="68">
        <v>77500</v>
      </c>
      <c r="N103" s="67" t="s">
        <v>41</v>
      </c>
      <c r="O103" s="67">
        <v>627.24776129032296</v>
      </c>
      <c r="P103" s="65">
        <v>507</v>
      </c>
      <c r="Q103" s="65">
        <v>120.25</v>
      </c>
      <c r="R103" s="65" t="s">
        <v>96</v>
      </c>
      <c r="S103" s="67">
        <v>-6660164</v>
      </c>
      <c r="T103" s="65">
        <v>36472686</v>
      </c>
      <c r="U103" s="65">
        <v>303312.80689659901</v>
      </c>
      <c r="V103" s="65">
        <v>66.599999999999994</v>
      </c>
      <c r="W103" s="65">
        <v>267312.13666750299</v>
      </c>
      <c r="X103" s="65">
        <v>36000.670229096402</v>
      </c>
      <c r="Y103" s="65" t="s">
        <v>41</v>
      </c>
      <c r="Z103" s="65">
        <v>0.02</v>
      </c>
      <c r="AA103" s="65">
        <v>0.02</v>
      </c>
      <c r="AB103" s="65">
        <v>229215337.34193501</v>
      </c>
      <c r="AC103" s="65">
        <v>219105522</v>
      </c>
      <c r="AD103" s="65">
        <v>10109815.341935501</v>
      </c>
      <c r="AE103" s="65">
        <v>181047</v>
      </c>
      <c r="AF103" s="65">
        <v>2321387</v>
      </c>
      <c r="AG103" s="65">
        <v>4157730</v>
      </c>
      <c r="AH103" s="65">
        <v>3449651.3419354898</v>
      </c>
      <c r="AI103" s="65">
        <v>689930.26838709705</v>
      </c>
      <c r="AJ103" s="65">
        <v>2759721.0735483901</v>
      </c>
      <c r="AK103" s="65">
        <v>0.18999601206892</v>
      </c>
      <c r="AL103" s="65">
        <v>226706346.296774</v>
      </c>
      <c r="AM103" s="65">
        <v>2374928.2374193701</v>
      </c>
      <c r="AN103" s="65">
        <v>28915.3882786012</v>
      </c>
      <c r="AO103" s="65" t="s">
        <v>41</v>
      </c>
      <c r="AP103" s="65" t="s">
        <v>71</v>
      </c>
      <c r="AQ103" s="65" t="s">
        <v>70</v>
      </c>
      <c r="AR103" s="78" t="s">
        <v>329</v>
      </c>
      <c r="AS103" s="11">
        <v>0.5</v>
      </c>
      <c r="AT103" s="11">
        <v>0.5</v>
      </c>
      <c r="AU103" s="11">
        <v>0.5</v>
      </c>
      <c r="AV103" s="11">
        <v>0.5</v>
      </c>
      <c r="AW103" s="11">
        <v>0.5</v>
      </c>
      <c r="AX103" s="11">
        <v>0.5</v>
      </c>
      <c r="AY103" s="11">
        <v>1</v>
      </c>
      <c r="AZ103" s="11">
        <v>1</v>
      </c>
      <c r="BA103" s="11">
        <v>0.5</v>
      </c>
      <c r="BB103" s="11">
        <v>1</v>
      </c>
      <c r="BC103" s="75">
        <v>0.75</v>
      </c>
      <c r="BD103" s="75">
        <v>0.75</v>
      </c>
      <c r="BE103" s="75">
        <v>1</v>
      </c>
      <c r="BF103" s="75">
        <v>0.5</v>
      </c>
      <c r="BG103" s="75">
        <v>0.5</v>
      </c>
      <c r="BH103" s="75">
        <v>0.5</v>
      </c>
      <c r="BI103" s="75">
        <v>1</v>
      </c>
      <c r="BJ103" s="75">
        <v>2</v>
      </c>
      <c r="BK103" s="75">
        <v>1.5</v>
      </c>
      <c r="BL103" s="76">
        <v>0.5</v>
      </c>
      <c r="BM103" s="76">
        <v>0</v>
      </c>
      <c r="BN103" s="76">
        <v>0.5</v>
      </c>
      <c r="BO103" s="76">
        <v>1</v>
      </c>
      <c r="BP103" s="76">
        <v>1</v>
      </c>
      <c r="BQ103" s="76">
        <v>0.25</v>
      </c>
      <c r="BR103" s="76">
        <v>0.25</v>
      </c>
      <c r="BS103" s="76">
        <v>0.25</v>
      </c>
      <c r="BT103" s="76">
        <v>0.25</v>
      </c>
      <c r="BU103" s="76">
        <v>0.25</v>
      </c>
      <c r="BV103" s="76">
        <v>0.25</v>
      </c>
      <c r="BW103" s="76">
        <v>0.25</v>
      </c>
      <c r="BX103" s="54">
        <v>0.25</v>
      </c>
      <c r="BY103" s="55">
        <v>1.5</v>
      </c>
      <c r="BZ103" s="60">
        <v>1.5</v>
      </c>
      <c r="CA103" s="5">
        <v>2</v>
      </c>
      <c r="CB103" s="5">
        <v>1</v>
      </c>
      <c r="CC103" s="5">
        <v>1</v>
      </c>
      <c r="CD103" s="5">
        <v>1</v>
      </c>
      <c r="CE103" s="5">
        <v>0</v>
      </c>
      <c r="CF103" s="5">
        <v>28</v>
      </c>
      <c r="CG103" s="191"/>
    </row>
    <row r="104" spans="1:85" s="5" customFormat="1" x14ac:dyDescent="0.15">
      <c r="A104" s="5" t="s">
        <v>440</v>
      </c>
      <c r="F104" s="65"/>
      <c r="G104" s="65"/>
      <c r="H104" s="65"/>
      <c r="I104" s="65"/>
      <c r="J104" s="68"/>
      <c r="K104" s="68"/>
      <c r="L104" s="65"/>
      <c r="M104" s="68"/>
      <c r="N104" s="67"/>
      <c r="O104" s="67"/>
      <c r="P104" s="65"/>
      <c r="Q104" s="65"/>
      <c r="R104" s="65"/>
      <c r="S104" s="67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78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75"/>
      <c r="BD104" s="75"/>
      <c r="BE104" s="75"/>
      <c r="BF104" s="75"/>
      <c r="BG104" s="75"/>
      <c r="BH104" s="75"/>
      <c r="BI104" s="75"/>
      <c r="BJ104" s="75"/>
      <c r="BK104" s="75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54"/>
      <c r="BZ104" s="60"/>
      <c r="CF104" s="5">
        <v>8.75</v>
      </c>
      <c r="CG104" s="191"/>
    </row>
    <row r="105" spans="1:85" s="5" customFormat="1" x14ac:dyDescent="0.15">
      <c r="F105" s="65"/>
      <c r="G105" s="65"/>
      <c r="H105" s="65"/>
      <c r="I105" s="65"/>
      <c r="J105" s="68"/>
      <c r="K105" s="68"/>
      <c r="L105" s="65"/>
      <c r="M105" s="68"/>
      <c r="N105" s="67"/>
      <c r="O105" s="67"/>
      <c r="P105" s="65"/>
      <c r="Q105" s="65"/>
      <c r="R105" s="65"/>
      <c r="S105" s="67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78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75"/>
      <c r="BD105" s="75"/>
      <c r="BE105" s="75"/>
      <c r="BF105" s="75"/>
      <c r="BG105" s="75"/>
      <c r="BH105" s="75"/>
      <c r="BI105" s="75"/>
      <c r="BJ105" s="75"/>
      <c r="BK105" s="75"/>
      <c r="BL105" s="76"/>
      <c r="BM105" s="76"/>
      <c r="BN105" s="76"/>
      <c r="BO105" s="76"/>
      <c r="BP105" s="76"/>
      <c r="BQ105" s="76"/>
      <c r="BR105" s="76"/>
      <c r="BS105" s="76"/>
      <c r="BT105" s="76"/>
      <c r="BU105" s="76"/>
      <c r="BV105" s="76"/>
      <c r="BW105" s="76"/>
      <c r="BX105" s="54"/>
      <c r="BZ105" s="60"/>
      <c r="CG105" s="191"/>
    </row>
    <row r="106" spans="1:85" s="5" customFormat="1" x14ac:dyDescent="0.15">
      <c r="A106" s="3"/>
      <c r="B106" s="3"/>
      <c r="C106" s="3"/>
      <c r="D106" s="3"/>
      <c r="E106" s="3"/>
      <c r="F106" s="3"/>
      <c r="G106" s="3"/>
      <c r="H106" s="3"/>
      <c r="I106" s="3"/>
      <c r="J106" s="70"/>
      <c r="K106" s="70"/>
      <c r="L106" s="3"/>
      <c r="M106" s="74"/>
      <c r="N106" s="58"/>
      <c r="O106" s="58"/>
      <c r="P106" s="3"/>
      <c r="Q106" s="63"/>
      <c r="R106" s="63"/>
      <c r="S106" s="58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193"/>
      <c r="AG106" s="193"/>
      <c r="AH106" s="193"/>
      <c r="AI106" s="193"/>
      <c r="AJ106" s="193"/>
      <c r="AK106" s="193"/>
      <c r="AL106" s="193"/>
      <c r="AM106" s="193"/>
      <c r="AN106" s="193"/>
      <c r="AO106" s="193"/>
      <c r="AP106" s="193"/>
      <c r="AQ106" s="193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54"/>
      <c r="BY106" s="3"/>
      <c r="BZ106" s="60"/>
      <c r="CG106" s="191"/>
    </row>
    <row r="107" spans="1:85" s="5" customFormat="1" x14ac:dyDescent="0.15">
      <c r="F107" s="115"/>
      <c r="G107" s="115"/>
      <c r="H107" s="115"/>
      <c r="I107" s="115"/>
      <c r="J107" s="116"/>
      <c r="K107" s="116"/>
      <c r="L107" s="115"/>
      <c r="M107" s="116"/>
      <c r="N107" s="117"/>
      <c r="O107" s="117"/>
      <c r="P107" s="115"/>
      <c r="Q107" s="115"/>
      <c r="R107" s="115"/>
      <c r="S107" s="117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78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54"/>
      <c r="BY107" s="55"/>
      <c r="BZ107" s="60"/>
      <c r="CG107" s="191"/>
    </row>
    <row r="108" spans="1:85" s="5" customFormat="1" x14ac:dyDescent="0.15">
      <c r="F108" s="65"/>
      <c r="G108" s="65"/>
      <c r="H108" s="65"/>
      <c r="I108" s="65"/>
      <c r="J108" s="68"/>
      <c r="K108" s="68"/>
      <c r="L108" s="65"/>
      <c r="M108" s="68"/>
      <c r="N108" s="67"/>
      <c r="O108" s="67"/>
      <c r="P108" s="65"/>
      <c r="Q108" s="65"/>
      <c r="R108" s="65"/>
      <c r="S108" s="67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78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75"/>
      <c r="BD108" s="75"/>
      <c r="BE108" s="75"/>
      <c r="BF108" s="75"/>
      <c r="BG108" s="75"/>
      <c r="BH108" s="75"/>
      <c r="BI108" s="75"/>
      <c r="BJ108" s="75"/>
      <c r="BK108" s="75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/>
      <c r="BW108" s="76"/>
      <c r="BX108" s="54"/>
      <c r="BY108" s="55"/>
      <c r="BZ108" s="60"/>
      <c r="CG108" s="191"/>
    </row>
    <row r="109" spans="1:85" s="5" customFormat="1" x14ac:dyDescent="0.15">
      <c r="A109" s="3"/>
      <c r="B109" s="3"/>
      <c r="C109" s="3"/>
      <c r="D109" s="3"/>
      <c r="E109" s="3"/>
      <c r="F109" s="3"/>
      <c r="G109" s="3"/>
      <c r="H109" s="3"/>
      <c r="I109" s="3"/>
      <c r="J109" s="70"/>
      <c r="K109" s="70"/>
      <c r="L109" s="3"/>
      <c r="M109" s="74"/>
      <c r="N109" s="58"/>
      <c r="O109" s="58"/>
      <c r="P109" s="3"/>
      <c r="Q109" s="63"/>
      <c r="R109" s="63"/>
      <c r="S109" s="58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54"/>
      <c r="BY109" s="3"/>
      <c r="BZ109" s="60"/>
      <c r="CG109" s="191"/>
    </row>
    <row r="110" spans="1:85" s="5" customFormat="1" x14ac:dyDescent="0.15">
      <c r="F110" s="65"/>
      <c r="G110" s="65"/>
      <c r="H110" s="65"/>
      <c r="I110" s="65"/>
      <c r="J110" s="68"/>
      <c r="K110" s="68"/>
      <c r="L110" s="65"/>
      <c r="M110" s="68"/>
      <c r="N110" s="67"/>
      <c r="O110" s="67"/>
      <c r="P110" s="65"/>
      <c r="Q110" s="65"/>
      <c r="R110" s="65"/>
      <c r="S110" s="67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78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54"/>
      <c r="BZ110" s="60"/>
      <c r="CG110" s="191"/>
    </row>
    <row r="111" spans="1:85" s="5" customFormat="1" x14ac:dyDescent="0.15">
      <c r="F111" s="65"/>
      <c r="G111" s="65"/>
      <c r="H111" s="65"/>
      <c r="I111" s="65"/>
      <c r="J111" s="68"/>
      <c r="K111" s="68"/>
      <c r="L111" s="65"/>
      <c r="M111" s="68"/>
      <c r="N111" s="67"/>
      <c r="O111" s="67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  <c r="AR111" s="77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75"/>
      <c r="BD111" s="75"/>
      <c r="BE111" s="75"/>
      <c r="BF111" s="75"/>
      <c r="BG111" s="75"/>
      <c r="BH111" s="75"/>
      <c r="BI111" s="75"/>
      <c r="BJ111" s="75"/>
      <c r="BK111" s="75"/>
      <c r="BL111" s="76"/>
      <c r="BM111" s="76"/>
      <c r="BN111" s="76"/>
      <c r="BO111" s="76"/>
      <c r="BP111" s="76"/>
      <c r="BQ111" s="76"/>
      <c r="BR111" s="76"/>
      <c r="BS111" s="76"/>
      <c r="BT111" s="76"/>
      <c r="BU111" s="76"/>
      <c r="BV111" s="76"/>
      <c r="BW111" s="76"/>
      <c r="BX111" s="54"/>
      <c r="BZ111" s="60"/>
      <c r="CG111" s="191"/>
    </row>
    <row r="112" spans="1:85" s="5" customFormat="1" x14ac:dyDescent="0.15">
      <c r="A112" s="3"/>
      <c r="B112" s="3"/>
      <c r="C112" s="3"/>
      <c r="D112" s="3"/>
      <c r="E112" s="3"/>
      <c r="F112" s="3"/>
      <c r="G112" s="3"/>
      <c r="H112" s="3"/>
      <c r="I112" s="3"/>
      <c r="J112" s="70"/>
      <c r="K112" s="70"/>
      <c r="L112" s="3"/>
      <c r="M112" s="74"/>
      <c r="N112" s="58"/>
      <c r="O112" s="58"/>
      <c r="P112" s="3"/>
      <c r="Q112" s="63"/>
      <c r="R112" s="63"/>
      <c r="S112" s="58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54"/>
      <c r="BY112" s="3"/>
      <c r="BZ112" s="60"/>
      <c r="CG112" s="191"/>
    </row>
    <row r="113" spans="1:85" s="5" customFormat="1" x14ac:dyDescent="0.15">
      <c r="F113" s="65"/>
      <c r="G113" s="65"/>
      <c r="H113" s="65"/>
      <c r="I113" s="65"/>
      <c r="J113" s="68"/>
      <c r="K113" s="68"/>
      <c r="L113" s="65"/>
      <c r="M113" s="68"/>
      <c r="N113" s="67"/>
      <c r="O113" s="67"/>
      <c r="P113" s="65"/>
      <c r="Q113" s="65"/>
      <c r="R113" s="65"/>
      <c r="S113" s="67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78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75"/>
      <c r="BD113" s="75"/>
      <c r="BE113" s="75"/>
      <c r="BF113" s="75"/>
      <c r="BG113" s="75"/>
      <c r="BH113" s="75"/>
      <c r="BI113" s="75"/>
      <c r="BJ113" s="75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54"/>
      <c r="BZ113" s="60"/>
      <c r="CG113" s="191"/>
    </row>
    <row r="114" spans="1:85" s="5" customFormat="1" x14ac:dyDescent="0.15">
      <c r="J114" s="69"/>
      <c r="K114" s="69"/>
      <c r="M114" s="72"/>
      <c r="N114" s="57"/>
      <c r="O114" s="54"/>
      <c r="Q114" s="61"/>
      <c r="R114" s="61"/>
      <c r="S114" s="57"/>
      <c r="T114" s="61"/>
      <c r="U114" s="61"/>
      <c r="V114" s="60"/>
      <c r="W114" s="60"/>
      <c r="X114" s="61"/>
      <c r="Y114" s="60"/>
      <c r="Z114" s="63"/>
      <c r="AA114" s="63"/>
      <c r="AB114" s="63"/>
      <c r="AC114" s="63"/>
      <c r="AD114" s="63"/>
      <c r="AE114" s="63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54"/>
      <c r="BY114" s="3"/>
      <c r="BZ114" s="60"/>
      <c r="CG114" s="191"/>
    </row>
    <row r="115" spans="1:85" s="5" customFormat="1" x14ac:dyDescent="0.15">
      <c r="F115" s="10"/>
      <c r="G115" s="10"/>
      <c r="H115" s="10"/>
      <c r="I115" s="10"/>
      <c r="J115" s="69"/>
      <c r="K115" s="69"/>
      <c r="L115" s="10"/>
      <c r="M115" s="72"/>
      <c r="N115" s="57"/>
      <c r="O115" s="54"/>
      <c r="P115" s="10"/>
      <c r="Q115" s="61"/>
      <c r="R115" s="61"/>
      <c r="S115" s="54"/>
      <c r="T115" s="61"/>
      <c r="U115" s="61"/>
      <c r="V115" s="60"/>
      <c r="W115" s="60"/>
      <c r="X115" s="61"/>
      <c r="Y115" s="60"/>
      <c r="Z115" s="60"/>
      <c r="AA115" s="60"/>
      <c r="AB115" s="60"/>
      <c r="AC115" s="60"/>
      <c r="AD115" s="60"/>
      <c r="AE115" s="60"/>
      <c r="AF115" s="65"/>
      <c r="AG115" s="65"/>
      <c r="AH115" s="65"/>
      <c r="AI115" s="65"/>
      <c r="AJ115" s="65"/>
      <c r="AK115" s="65"/>
      <c r="AL115" s="65"/>
      <c r="AM115" s="65"/>
      <c r="AN115" s="65"/>
      <c r="AO115" s="65"/>
      <c r="AP115" s="65"/>
      <c r="AQ115" s="65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0"/>
      <c r="BX115" s="54"/>
      <c r="BZ115" s="60"/>
      <c r="CG115" s="191"/>
    </row>
    <row r="116" spans="1:85" s="5" customFormat="1" x14ac:dyDescent="0.15">
      <c r="F116" s="10"/>
      <c r="G116" s="10"/>
      <c r="H116" s="10"/>
      <c r="I116" s="10"/>
      <c r="J116" s="10"/>
      <c r="K116" s="10"/>
      <c r="L116" s="10"/>
      <c r="M116" s="72"/>
      <c r="N116" s="54"/>
      <c r="O116" s="54"/>
      <c r="P116" s="10"/>
      <c r="Q116" s="60"/>
      <c r="R116" s="60"/>
      <c r="S116" s="54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0"/>
      <c r="BX116" s="54"/>
      <c r="BZ116" s="60"/>
      <c r="CG116" s="191"/>
    </row>
    <row r="117" spans="1:85" s="5" customFormat="1" x14ac:dyDescent="0.15">
      <c r="F117" s="65"/>
      <c r="G117" s="65"/>
      <c r="H117" s="65"/>
      <c r="I117" s="65"/>
      <c r="J117" s="68"/>
      <c r="K117" s="68"/>
      <c r="L117" s="65"/>
      <c r="M117" s="68"/>
      <c r="N117" s="67"/>
      <c r="O117" s="67"/>
      <c r="P117" s="65"/>
      <c r="Q117" s="65"/>
      <c r="R117" s="65"/>
      <c r="S117" s="67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5"/>
      <c r="AP117" s="65"/>
      <c r="AQ117" s="65"/>
      <c r="AR117" s="78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75"/>
      <c r="BD117" s="75"/>
      <c r="BE117" s="75"/>
      <c r="BF117" s="75"/>
      <c r="BG117" s="75"/>
      <c r="BH117" s="75"/>
      <c r="BI117" s="75"/>
      <c r="BJ117" s="75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  <c r="BU117" s="76"/>
      <c r="BV117" s="76"/>
      <c r="BW117" s="76"/>
      <c r="BX117" s="54"/>
      <c r="BZ117" s="60"/>
      <c r="CG117" s="191"/>
    </row>
    <row r="118" spans="1:85" s="5" customFormat="1" x14ac:dyDescent="0.15">
      <c r="F118" s="10"/>
      <c r="G118" s="10"/>
      <c r="H118" s="10"/>
      <c r="I118" s="10"/>
      <c r="J118" s="10"/>
      <c r="K118" s="10"/>
      <c r="L118" s="10"/>
      <c r="M118" s="72"/>
      <c r="N118" s="54"/>
      <c r="O118" s="54"/>
      <c r="P118" s="10"/>
      <c r="Q118" s="60"/>
      <c r="R118" s="60"/>
      <c r="S118" s="54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5"/>
      <c r="AG118" s="65"/>
      <c r="AH118" s="65"/>
      <c r="AI118" s="65"/>
      <c r="AJ118" s="65"/>
      <c r="AK118" s="65"/>
      <c r="AL118" s="65"/>
      <c r="AM118" s="65"/>
      <c r="AN118" s="65"/>
      <c r="AO118" s="65"/>
      <c r="AP118" s="65"/>
      <c r="AQ118" s="65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0"/>
      <c r="BX118" s="54"/>
      <c r="BZ118" s="60"/>
      <c r="CG118" s="191"/>
    </row>
    <row r="119" spans="1:85" s="5" customFormat="1" x14ac:dyDescent="0.15">
      <c r="F119" s="10"/>
      <c r="G119" s="10"/>
      <c r="H119" s="10"/>
      <c r="I119" s="10"/>
      <c r="J119" s="10"/>
      <c r="K119" s="10"/>
      <c r="L119" s="10"/>
      <c r="M119" s="72"/>
      <c r="N119" s="54"/>
      <c r="O119" s="54"/>
      <c r="P119" s="10"/>
      <c r="Q119" s="60"/>
      <c r="R119" s="60"/>
      <c r="S119" s="54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5"/>
      <c r="AG119" s="65"/>
      <c r="AH119" s="65"/>
      <c r="AI119" s="65"/>
      <c r="AJ119" s="65"/>
      <c r="AK119" s="65"/>
      <c r="AL119" s="65"/>
      <c r="AM119" s="65"/>
      <c r="AN119" s="65"/>
      <c r="AO119" s="65"/>
      <c r="AP119" s="65"/>
      <c r="AQ119" s="65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0"/>
      <c r="BX119" s="54"/>
      <c r="BZ119" s="60"/>
      <c r="CG119" s="191"/>
    </row>
    <row r="120" spans="1:85" s="5" customFormat="1" x14ac:dyDescent="0.15">
      <c r="F120" s="65"/>
      <c r="G120" s="65"/>
      <c r="H120" s="65"/>
      <c r="I120" s="65"/>
      <c r="J120" s="68"/>
      <c r="K120" s="68"/>
      <c r="L120" s="65"/>
      <c r="M120" s="68"/>
      <c r="N120" s="67"/>
      <c r="O120" s="67"/>
      <c r="P120" s="65"/>
      <c r="Q120" s="65"/>
      <c r="R120" s="65"/>
      <c r="S120" s="67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78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75"/>
      <c r="BD120" s="75"/>
      <c r="BE120" s="75"/>
      <c r="BF120" s="75"/>
      <c r="BG120" s="75"/>
      <c r="BH120" s="75"/>
      <c r="BI120" s="75"/>
      <c r="BJ120" s="75"/>
      <c r="BK120" s="75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/>
      <c r="BW120" s="76"/>
      <c r="BX120" s="54"/>
      <c r="BZ120" s="60"/>
      <c r="CG120" s="191"/>
    </row>
    <row r="121" spans="1:85" s="5" customFormat="1" x14ac:dyDescent="0.15">
      <c r="F121" s="10"/>
      <c r="G121" s="10"/>
      <c r="H121" s="10"/>
      <c r="I121" s="10"/>
      <c r="J121" s="10"/>
      <c r="K121" s="10"/>
      <c r="L121" s="10"/>
      <c r="M121" s="72"/>
      <c r="N121" s="54"/>
      <c r="O121" s="54"/>
      <c r="P121" s="10"/>
      <c r="Q121" s="60"/>
      <c r="R121" s="60"/>
      <c r="S121" s="54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0"/>
      <c r="BX121" s="54"/>
      <c r="BZ121" s="60"/>
      <c r="CG121" s="191"/>
    </row>
    <row r="122" spans="1:85" s="5" customFormat="1" x14ac:dyDescent="0.15">
      <c r="F122" s="10"/>
      <c r="G122" s="10"/>
      <c r="H122" s="10"/>
      <c r="I122" s="10"/>
      <c r="J122" s="69"/>
      <c r="K122" s="69"/>
      <c r="L122" s="10"/>
      <c r="M122" s="72"/>
      <c r="N122" s="57"/>
      <c r="O122" s="54"/>
      <c r="P122" s="10"/>
      <c r="Q122" s="61"/>
      <c r="R122" s="61"/>
      <c r="S122" s="57"/>
      <c r="T122" s="61"/>
      <c r="U122" s="61"/>
      <c r="V122" s="60"/>
      <c r="W122" s="60"/>
      <c r="X122" s="61"/>
      <c r="Y122" s="60"/>
      <c r="Z122" s="60"/>
      <c r="AA122" s="60"/>
      <c r="AB122" s="60"/>
      <c r="AC122" s="60"/>
      <c r="AD122" s="60"/>
      <c r="AE122" s="60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0"/>
      <c r="BX122" s="54"/>
      <c r="BZ122" s="60"/>
      <c r="CG122" s="191"/>
    </row>
    <row r="123" spans="1:85" s="5" customFormat="1" x14ac:dyDescent="0.15">
      <c r="J123" s="10"/>
      <c r="K123" s="10"/>
      <c r="M123" s="72"/>
      <c r="N123" s="54"/>
      <c r="O123" s="54"/>
      <c r="Q123" s="60"/>
      <c r="R123" s="60"/>
      <c r="S123" s="54"/>
      <c r="T123" s="60"/>
      <c r="U123" s="60"/>
      <c r="V123" s="60"/>
      <c r="W123" s="60"/>
      <c r="X123" s="60"/>
      <c r="Y123" s="60"/>
      <c r="Z123" s="63"/>
      <c r="AA123" s="63"/>
      <c r="AB123" s="63"/>
      <c r="AC123" s="63"/>
      <c r="AD123" s="63"/>
      <c r="AE123" s="63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54"/>
      <c r="BY123" s="3"/>
      <c r="BZ123" s="60"/>
    </row>
    <row r="124" spans="1:85" s="5" customFormat="1" x14ac:dyDescent="0.15">
      <c r="F124" s="10"/>
      <c r="G124" s="10"/>
      <c r="H124" s="10"/>
      <c r="I124" s="10"/>
      <c r="J124" s="10"/>
      <c r="K124" s="10"/>
      <c r="L124" s="10"/>
      <c r="M124" s="72"/>
      <c r="N124" s="54"/>
      <c r="O124" s="54"/>
      <c r="P124" s="10"/>
      <c r="Q124" s="60"/>
      <c r="R124" s="60"/>
      <c r="S124" s="54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0"/>
      <c r="BX124" s="54"/>
      <c r="BZ124" s="60"/>
    </row>
    <row r="125" spans="1:85" s="5" customFormat="1" x14ac:dyDescent="0.15">
      <c r="F125" s="65"/>
      <c r="G125" s="65"/>
      <c r="H125" s="65"/>
      <c r="I125" s="65"/>
      <c r="J125" s="68"/>
      <c r="K125" s="68"/>
      <c r="L125" s="65"/>
      <c r="M125" s="68"/>
      <c r="N125" s="67"/>
      <c r="O125" s="67"/>
      <c r="P125" s="65"/>
      <c r="Q125" s="65"/>
      <c r="R125" s="65"/>
      <c r="S125" s="67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78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75"/>
      <c r="BD125" s="75"/>
      <c r="BE125" s="75"/>
      <c r="BF125" s="75"/>
      <c r="BG125" s="75"/>
      <c r="BH125" s="75"/>
      <c r="BI125" s="75"/>
      <c r="BJ125" s="75"/>
      <c r="BK125" s="75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54"/>
      <c r="BZ125" s="60"/>
    </row>
    <row r="126" spans="1:85" s="5" customFormat="1" x14ac:dyDescent="0.15">
      <c r="F126" s="65"/>
      <c r="G126" s="65"/>
      <c r="H126" s="65"/>
      <c r="I126" s="65"/>
      <c r="J126" s="68"/>
      <c r="K126" s="68"/>
      <c r="L126" s="65"/>
      <c r="M126" s="68"/>
      <c r="N126" s="67"/>
      <c r="O126" s="67"/>
      <c r="P126" s="65"/>
      <c r="Q126" s="65"/>
      <c r="R126" s="65"/>
      <c r="S126" s="67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77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75"/>
      <c r="BD126" s="75"/>
      <c r="BE126" s="75"/>
      <c r="BF126" s="75"/>
      <c r="BG126" s="75"/>
      <c r="BH126" s="75"/>
      <c r="BI126" s="75"/>
      <c r="BJ126" s="75"/>
      <c r="BK126" s="75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54"/>
      <c r="BZ126" s="60"/>
    </row>
    <row r="127" spans="1:85" s="5" customFormat="1" x14ac:dyDescent="0.15">
      <c r="F127" s="10"/>
      <c r="G127" s="10"/>
      <c r="H127" s="10"/>
      <c r="I127" s="10"/>
      <c r="J127" s="10"/>
      <c r="K127" s="10"/>
      <c r="L127" s="10"/>
      <c r="M127" s="72"/>
      <c r="N127" s="54"/>
      <c r="O127" s="54"/>
      <c r="P127" s="10"/>
      <c r="Q127" s="60"/>
      <c r="R127" s="60"/>
      <c r="S127" s="54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0"/>
      <c r="BX127" s="54"/>
      <c r="BZ127" s="60"/>
    </row>
    <row r="128" spans="1:85" s="5" customFormat="1" x14ac:dyDescent="0.15">
      <c r="A128" s="3"/>
      <c r="B128" s="3"/>
      <c r="C128" s="3"/>
      <c r="D128" s="3"/>
      <c r="E128" s="3"/>
      <c r="F128" s="3"/>
      <c r="G128" s="3"/>
      <c r="H128" s="3"/>
      <c r="I128" s="3"/>
      <c r="J128" s="70"/>
      <c r="K128" s="70"/>
      <c r="L128" s="3"/>
      <c r="M128" s="74"/>
      <c r="N128" s="58"/>
      <c r="O128" s="58"/>
      <c r="P128" s="3"/>
      <c r="Q128" s="63"/>
      <c r="R128" s="63"/>
      <c r="S128" s="58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54"/>
      <c r="BY128" s="3"/>
      <c r="BZ128" s="60"/>
    </row>
    <row r="129" spans="1:78" s="5" customFormat="1" x14ac:dyDescent="0.15">
      <c r="F129" s="10"/>
      <c r="G129" s="10"/>
      <c r="H129" s="10"/>
      <c r="I129" s="10"/>
      <c r="J129" s="10"/>
      <c r="K129" s="10"/>
      <c r="L129" s="10"/>
      <c r="M129" s="72"/>
      <c r="N129" s="54"/>
      <c r="O129" s="54"/>
      <c r="P129" s="10"/>
      <c r="Q129" s="60"/>
      <c r="R129" s="60"/>
      <c r="S129" s="54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0"/>
      <c r="BX129" s="54"/>
      <c r="BZ129" s="60"/>
    </row>
    <row r="130" spans="1:78" s="5" customFormat="1" x14ac:dyDescent="0.15">
      <c r="A130" s="3"/>
      <c r="B130" s="3"/>
      <c r="C130" s="3"/>
      <c r="D130" s="3"/>
      <c r="E130" s="3"/>
      <c r="F130" s="3"/>
      <c r="G130" s="3"/>
      <c r="H130" s="3"/>
      <c r="I130" s="3"/>
      <c r="J130" s="70"/>
      <c r="K130" s="70"/>
      <c r="L130" s="3"/>
      <c r="M130" s="74"/>
      <c r="N130" s="58"/>
      <c r="O130" s="58"/>
      <c r="P130" s="3"/>
      <c r="Q130" s="63"/>
      <c r="R130" s="63"/>
      <c r="S130" s="58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54"/>
      <c r="BY130" s="3"/>
      <c r="BZ130" s="60"/>
    </row>
    <row r="131" spans="1:78" s="5" customFormat="1" x14ac:dyDescent="0.15">
      <c r="F131" s="65"/>
      <c r="G131" s="65"/>
      <c r="H131" s="65"/>
      <c r="I131" s="65"/>
      <c r="J131" s="68"/>
      <c r="K131" s="68"/>
      <c r="L131" s="65"/>
      <c r="M131" s="68"/>
      <c r="N131" s="67"/>
      <c r="O131" s="67"/>
      <c r="P131" s="65"/>
      <c r="Q131" s="65"/>
      <c r="R131" s="65"/>
      <c r="S131" s="67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78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75"/>
      <c r="BD131" s="75"/>
      <c r="BE131" s="75"/>
      <c r="BF131" s="75"/>
      <c r="BG131" s="75"/>
      <c r="BH131" s="75"/>
      <c r="BI131" s="75"/>
      <c r="BJ131" s="75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  <c r="BU131" s="76"/>
      <c r="BV131" s="76"/>
      <c r="BW131" s="76"/>
      <c r="BX131" s="54"/>
      <c r="BZ131" s="60"/>
    </row>
    <row r="132" spans="1:78" s="5" customFormat="1" x14ac:dyDescent="0.15">
      <c r="A132" s="3"/>
      <c r="B132" s="3"/>
      <c r="C132" s="3"/>
      <c r="D132" s="3"/>
      <c r="E132" s="3"/>
      <c r="F132" s="3"/>
      <c r="G132" s="3"/>
      <c r="H132" s="3"/>
      <c r="I132" s="3"/>
      <c r="J132" s="70"/>
      <c r="K132" s="70"/>
      <c r="L132" s="3"/>
      <c r="M132" s="74"/>
      <c r="N132" s="58"/>
      <c r="O132" s="58"/>
      <c r="P132" s="3"/>
      <c r="Q132" s="63"/>
      <c r="R132" s="63"/>
      <c r="S132" s="58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54"/>
      <c r="BY132" s="3"/>
      <c r="BZ132" s="60"/>
    </row>
    <row r="133" spans="1:78" s="5" customFormat="1" x14ac:dyDescent="0.15">
      <c r="A133" s="3"/>
      <c r="B133" s="3"/>
      <c r="C133" s="3"/>
      <c r="D133" s="3"/>
      <c r="E133" s="3"/>
      <c r="F133" s="3"/>
      <c r="G133" s="3"/>
      <c r="H133" s="3"/>
      <c r="I133" s="3"/>
      <c r="J133" s="70"/>
      <c r="K133" s="70"/>
      <c r="L133" s="3"/>
      <c r="M133" s="74"/>
      <c r="N133" s="58"/>
      <c r="O133" s="58"/>
      <c r="P133" s="3"/>
      <c r="Q133" s="63"/>
      <c r="R133" s="63"/>
      <c r="S133" s="58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54"/>
      <c r="BY133" s="3"/>
      <c r="BZ133" s="60"/>
    </row>
    <row r="134" spans="1:78" s="5" customFormat="1" x14ac:dyDescent="0.15">
      <c r="A134" s="3"/>
      <c r="B134" s="3"/>
      <c r="C134" s="3"/>
      <c r="D134" s="3"/>
      <c r="E134" s="3"/>
      <c r="F134" s="3"/>
      <c r="G134" s="3"/>
      <c r="H134" s="3"/>
      <c r="I134" s="3"/>
      <c r="J134" s="70"/>
      <c r="K134" s="70"/>
      <c r="L134" s="3"/>
      <c r="M134" s="74"/>
      <c r="N134" s="58"/>
      <c r="O134" s="58"/>
      <c r="P134" s="3"/>
      <c r="Q134" s="63"/>
      <c r="R134" s="63"/>
      <c r="S134" s="58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54"/>
      <c r="BY134" s="3"/>
      <c r="BZ134" s="60"/>
    </row>
    <row r="135" spans="1:78" s="5" customFormat="1" x14ac:dyDescent="0.15">
      <c r="A135" s="3"/>
      <c r="B135" s="3"/>
      <c r="C135" s="3"/>
      <c r="D135" s="3"/>
      <c r="E135" s="3"/>
      <c r="F135" s="3"/>
      <c r="G135" s="3"/>
      <c r="H135" s="3"/>
      <c r="I135" s="3"/>
      <c r="J135" s="70"/>
      <c r="K135" s="70"/>
      <c r="L135" s="3"/>
      <c r="M135" s="74"/>
      <c r="N135" s="58"/>
      <c r="O135" s="58"/>
      <c r="P135" s="3"/>
      <c r="Q135" s="63"/>
      <c r="R135" s="63"/>
      <c r="S135" s="58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54"/>
      <c r="BY135" s="3"/>
      <c r="BZ135" s="60"/>
    </row>
    <row r="136" spans="1:78" s="5" customFormat="1" x14ac:dyDescent="0.15">
      <c r="A136" s="3"/>
      <c r="B136" s="3"/>
      <c r="C136" s="3"/>
      <c r="D136" s="3"/>
      <c r="E136" s="3"/>
      <c r="F136" s="3"/>
      <c r="G136" s="3"/>
      <c r="H136" s="3"/>
      <c r="I136" s="3"/>
      <c r="J136" s="70"/>
      <c r="K136" s="70"/>
      <c r="L136" s="3"/>
      <c r="M136" s="74"/>
      <c r="N136" s="58"/>
      <c r="O136" s="58"/>
      <c r="P136" s="3"/>
      <c r="Q136" s="63"/>
      <c r="R136" s="63"/>
      <c r="S136" s="58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60"/>
    </row>
    <row r="137" spans="1:78" s="5" customFormat="1" x14ac:dyDescent="0.15">
      <c r="F137" s="65"/>
      <c r="G137" s="65"/>
      <c r="H137" s="65"/>
      <c r="I137" s="65"/>
      <c r="J137" s="68"/>
      <c r="K137" s="68"/>
      <c r="L137" s="65"/>
      <c r="M137" s="68"/>
      <c r="N137" s="67"/>
      <c r="O137" s="67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77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75"/>
      <c r="BD137" s="75"/>
      <c r="BE137" s="75"/>
      <c r="BF137" s="75"/>
      <c r="BG137" s="75"/>
      <c r="BH137" s="75"/>
      <c r="BI137" s="75"/>
      <c r="BJ137" s="75"/>
      <c r="BK137" s="75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54"/>
      <c r="BZ137" s="60"/>
    </row>
    <row r="138" spans="1:78" s="5" customFormat="1" x14ac:dyDescent="0.15">
      <c r="F138" s="10"/>
      <c r="G138" s="10"/>
      <c r="H138" s="10"/>
      <c r="I138" s="10"/>
      <c r="J138" s="10"/>
      <c r="K138" s="69"/>
      <c r="L138" s="10"/>
      <c r="M138" s="72"/>
      <c r="N138" s="57"/>
      <c r="O138" s="54"/>
      <c r="P138" s="10"/>
      <c r="Q138" s="61"/>
      <c r="R138" s="61"/>
      <c r="S138" s="57"/>
      <c r="T138" s="61"/>
      <c r="U138" s="61"/>
      <c r="V138" s="60"/>
      <c r="W138" s="60"/>
      <c r="X138" s="61"/>
      <c r="Y138" s="60"/>
      <c r="Z138" s="60"/>
      <c r="AA138" s="60"/>
      <c r="AB138" s="60"/>
      <c r="AC138" s="60"/>
      <c r="AD138" s="60"/>
      <c r="AE138" s="60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0"/>
      <c r="BX138" s="54"/>
      <c r="BZ138" s="60"/>
    </row>
    <row r="139" spans="1:78" s="5" customFormat="1" x14ac:dyDescent="0.15">
      <c r="F139" s="65"/>
      <c r="G139" s="65"/>
      <c r="H139" s="65"/>
      <c r="I139" s="65"/>
      <c r="J139" s="68"/>
      <c r="K139" s="68"/>
      <c r="L139" s="65"/>
      <c r="M139" s="68"/>
      <c r="N139" s="67"/>
      <c r="O139" s="67"/>
      <c r="P139" s="65"/>
      <c r="Q139" s="65"/>
      <c r="R139" s="65"/>
      <c r="S139" s="263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78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75"/>
      <c r="BD139" s="75"/>
      <c r="BE139" s="75"/>
      <c r="BF139" s="75"/>
      <c r="BG139" s="75"/>
      <c r="BH139" s="75"/>
      <c r="BI139" s="75"/>
      <c r="BJ139" s="75"/>
      <c r="BK139" s="75"/>
      <c r="BL139" s="76"/>
      <c r="BM139" s="76"/>
      <c r="BN139" s="76"/>
      <c r="BO139" s="76"/>
      <c r="BP139" s="76"/>
      <c r="BQ139" s="76"/>
      <c r="BR139" s="76"/>
      <c r="BS139" s="76"/>
      <c r="BT139" s="76"/>
      <c r="BU139" s="76"/>
      <c r="BV139" s="76"/>
      <c r="BW139" s="76"/>
      <c r="BX139" s="54"/>
      <c r="BZ139" s="60"/>
    </row>
    <row r="140" spans="1:78" s="5" customFormat="1" x14ac:dyDescent="0.15">
      <c r="F140" s="65"/>
      <c r="G140" s="65"/>
      <c r="H140" s="65"/>
      <c r="I140" s="65"/>
      <c r="J140" s="68"/>
      <c r="K140" s="68"/>
      <c r="L140" s="65"/>
      <c r="M140" s="68"/>
      <c r="N140" s="67"/>
      <c r="O140" s="67"/>
      <c r="P140" s="65"/>
      <c r="Q140" s="65"/>
      <c r="R140" s="65"/>
      <c r="S140" s="67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78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75"/>
      <c r="BD140" s="75"/>
      <c r="BE140" s="75"/>
      <c r="BF140" s="75"/>
      <c r="BG140" s="75"/>
      <c r="BH140" s="75"/>
      <c r="BI140" s="75"/>
      <c r="BJ140" s="75"/>
      <c r="BK140" s="75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54"/>
      <c r="BZ140" s="60"/>
    </row>
    <row r="141" spans="1:78" s="5" customFormat="1" x14ac:dyDescent="0.15">
      <c r="J141" s="69"/>
      <c r="K141" s="69"/>
      <c r="M141" s="72"/>
      <c r="N141" s="57"/>
      <c r="O141" s="54"/>
      <c r="Q141" s="61"/>
      <c r="R141" s="61"/>
      <c r="S141" s="57"/>
      <c r="T141" s="61"/>
      <c r="U141" s="61"/>
      <c r="V141" s="60"/>
      <c r="W141" s="60"/>
      <c r="X141" s="61"/>
      <c r="Y141" s="60"/>
      <c r="Z141" s="60"/>
      <c r="AA141" s="60"/>
      <c r="AB141" s="60"/>
      <c r="AC141" s="60"/>
      <c r="AD141" s="60"/>
      <c r="AE141" s="60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X141" s="54"/>
      <c r="BY141" s="55"/>
      <c r="BZ141" s="60"/>
    </row>
    <row r="142" spans="1:78" s="5" customFormat="1" x14ac:dyDescent="0.15">
      <c r="F142" s="65"/>
      <c r="G142" s="65"/>
      <c r="H142" s="65"/>
      <c r="I142" s="65"/>
      <c r="J142" s="68"/>
      <c r="K142" s="68"/>
      <c r="L142" s="65"/>
      <c r="M142" s="68"/>
      <c r="N142" s="67"/>
      <c r="O142" s="67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77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75"/>
      <c r="BD142" s="75"/>
      <c r="BE142" s="75"/>
      <c r="BF142" s="75"/>
      <c r="BG142" s="75"/>
      <c r="BH142" s="75"/>
      <c r="BI142" s="75"/>
      <c r="BJ142" s="75"/>
      <c r="BK142" s="75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54"/>
      <c r="BZ142" s="60"/>
    </row>
    <row r="143" spans="1:78" s="5" customFormat="1" x14ac:dyDescent="0.15">
      <c r="F143" s="65"/>
      <c r="G143" s="65"/>
      <c r="H143" s="65"/>
      <c r="I143" s="65"/>
      <c r="J143" s="68"/>
      <c r="K143" s="68"/>
      <c r="L143" s="65"/>
      <c r="M143" s="68"/>
      <c r="N143" s="67"/>
      <c r="O143" s="67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77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75"/>
      <c r="BD143" s="75"/>
      <c r="BE143" s="75"/>
      <c r="BF143" s="75"/>
      <c r="BG143" s="75"/>
      <c r="BH143" s="75"/>
      <c r="BI143" s="75"/>
      <c r="BJ143" s="75"/>
      <c r="BK143" s="75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54"/>
      <c r="BZ143" s="60"/>
    </row>
    <row r="144" spans="1:78" s="5" customFormat="1" x14ac:dyDescent="0.15">
      <c r="A144" s="3"/>
      <c r="B144" s="3"/>
      <c r="C144" s="3"/>
      <c r="D144" s="3"/>
      <c r="E144" s="3"/>
      <c r="F144" s="3"/>
      <c r="G144" s="3"/>
      <c r="H144" s="3"/>
      <c r="I144" s="3"/>
      <c r="J144" s="70"/>
      <c r="K144" s="70"/>
      <c r="L144" s="3"/>
      <c r="M144" s="74"/>
      <c r="N144" s="58"/>
      <c r="O144" s="58"/>
      <c r="P144" s="3"/>
      <c r="Q144" s="63"/>
      <c r="R144" s="63"/>
      <c r="S144" s="58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54"/>
      <c r="BY144" s="3"/>
      <c r="BZ144" s="60"/>
    </row>
    <row r="145" spans="1:78" s="5" customFormat="1" x14ac:dyDescent="0.15">
      <c r="A145" s="3"/>
      <c r="B145" s="3"/>
      <c r="C145" s="3"/>
      <c r="D145" s="3"/>
      <c r="E145" s="3"/>
      <c r="F145" s="3"/>
      <c r="G145" s="3"/>
      <c r="H145" s="3"/>
      <c r="I145" s="3"/>
      <c r="J145" s="70"/>
      <c r="K145" s="70"/>
      <c r="L145" s="3"/>
      <c r="M145" s="74"/>
      <c r="N145" s="58"/>
      <c r="O145" s="58"/>
      <c r="P145" s="3"/>
      <c r="Q145" s="63"/>
      <c r="R145" s="63"/>
      <c r="S145" s="58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60"/>
    </row>
    <row r="146" spans="1:78" s="5" customFormat="1" x14ac:dyDescent="0.15">
      <c r="F146" s="10"/>
      <c r="G146" s="10"/>
      <c r="H146" s="10"/>
      <c r="I146" s="10"/>
      <c r="J146" s="10"/>
      <c r="K146" s="10"/>
      <c r="L146" s="10"/>
      <c r="M146" s="72"/>
      <c r="N146" s="54"/>
      <c r="O146" s="54"/>
      <c r="P146" s="10"/>
      <c r="Q146" s="60"/>
      <c r="R146" s="60"/>
      <c r="S146" s="54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0"/>
      <c r="BX146" s="54"/>
      <c r="BZ146" s="60"/>
    </row>
    <row r="147" spans="1:78" s="5" customFormat="1" x14ac:dyDescent="0.15">
      <c r="J147" s="10"/>
      <c r="K147" s="10"/>
      <c r="M147" s="72"/>
      <c r="N147" s="54"/>
      <c r="O147" s="54"/>
      <c r="Q147" s="60"/>
      <c r="R147" s="60"/>
      <c r="S147" s="54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X147" s="54"/>
      <c r="BZ147" s="60"/>
    </row>
    <row r="148" spans="1:78" s="5" customFormat="1" x14ac:dyDescent="0.15">
      <c r="F148" s="65"/>
      <c r="G148" s="65"/>
      <c r="H148" s="65"/>
      <c r="I148" s="65"/>
      <c r="J148" s="68"/>
      <c r="K148" s="68"/>
      <c r="L148" s="65"/>
      <c r="M148" s="68"/>
      <c r="N148" s="67"/>
      <c r="O148" s="67"/>
      <c r="P148" s="65"/>
      <c r="Q148" s="65"/>
      <c r="R148" s="65"/>
      <c r="S148" s="67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77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75"/>
      <c r="BD148" s="75"/>
      <c r="BE148" s="75"/>
      <c r="BF148" s="75"/>
      <c r="BG148" s="75"/>
      <c r="BH148" s="75"/>
      <c r="BI148" s="75"/>
      <c r="BJ148" s="75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54"/>
      <c r="BZ148" s="60"/>
    </row>
    <row r="149" spans="1:78" s="5" customFormat="1" x14ac:dyDescent="0.15">
      <c r="J149" s="69"/>
      <c r="K149" s="69"/>
      <c r="M149" s="72"/>
      <c r="N149" s="57"/>
      <c r="O149" s="54"/>
      <c r="Q149" s="61"/>
      <c r="R149" s="61"/>
      <c r="S149" s="57"/>
      <c r="T149" s="61"/>
      <c r="U149" s="61"/>
      <c r="V149" s="60"/>
      <c r="W149" s="60"/>
      <c r="X149" s="61"/>
      <c r="Y149" s="60"/>
      <c r="Z149" s="63"/>
      <c r="AA149" s="63"/>
      <c r="AB149" s="63"/>
      <c r="AC149" s="63"/>
      <c r="AD149" s="63"/>
      <c r="AE149" s="63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54"/>
      <c r="BY149" s="3"/>
      <c r="BZ149" s="60"/>
    </row>
    <row r="150" spans="1:78" s="5" customFormat="1" x14ac:dyDescent="0.15">
      <c r="F150" s="10"/>
      <c r="G150" s="10"/>
      <c r="H150" s="10"/>
      <c r="I150" s="10"/>
      <c r="J150" s="10"/>
      <c r="K150" s="10"/>
      <c r="L150" s="10"/>
      <c r="M150" s="72"/>
      <c r="N150" s="54"/>
      <c r="O150" s="54"/>
      <c r="P150" s="10"/>
      <c r="Q150" s="60"/>
      <c r="R150" s="60"/>
      <c r="S150" s="54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0"/>
      <c r="BX150" s="54"/>
      <c r="BZ150" s="60"/>
    </row>
    <row r="151" spans="1:78" s="5" customFormat="1" x14ac:dyDescent="0.15">
      <c r="F151" s="65"/>
      <c r="G151" s="65"/>
      <c r="H151" s="65"/>
      <c r="I151" s="65"/>
      <c r="J151" s="68"/>
      <c r="K151" s="68"/>
      <c r="L151" s="65"/>
      <c r="M151" s="68"/>
      <c r="N151" s="67"/>
      <c r="O151" s="67"/>
      <c r="P151" s="65"/>
      <c r="Q151" s="65"/>
      <c r="R151" s="65"/>
      <c r="S151" s="266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77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75"/>
      <c r="BD151" s="75"/>
      <c r="BE151" s="75"/>
      <c r="BF151" s="75"/>
      <c r="BG151" s="75"/>
      <c r="BH151" s="75"/>
      <c r="BI151" s="75"/>
      <c r="BJ151" s="75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54"/>
      <c r="BZ151" s="60"/>
    </row>
    <row r="152" spans="1:78" s="5" customFormat="1" x14ac:dyDescent="0.15">
      <c r="A152" s="3"/>
      <c r="B152" s="3"/>
      <c r="C152" s="3"/>
      <c r="D152" s="3"/>
      <c r="E152" s="3"/>
      <c r="F152" s="3"/>
      <c r="G152" s="3"/>
      <c r="H152" s="3"/>
      <c r="I152" s="3"/>
      <c r="J152" s="70"/>
      <c r="K152" s="70"/>
      <c r="L152" s="3"/>
      <c r="M152" s="74"/>
      <c r="N152" s="58"/>
      <c r="O152" s="58"/>
      <c r="P152" s="3"/>
      <c r="Q152" s="63"/>
      <c r="R152" s="63"/>
      <c r="S152" s="58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54"/>
      <c r="BY152" s="3"/>
      <c r="BZ152" s="60"/>
    </row>
    <row r="153" spans="1:78" s="5" customFormat="1" x14ac:dyDescent="0.15">
      <c r="A153" s="3"/>
      <c r="B153" s="3"/>
      <c r="C153" s="3"/>
      <c r="D153" s="3"/>
      <c r="E153" s="3"/>
      <c r="F153" s="3"/>
      <c r="G153" s="3"/>
      <c r="H153" s="3"/>
      <c r="I153" s="3"/>
      <c r="J153" s="70"/>
      <c r="K153" s="70"/>
      <c r="L153" s="3"/>
      <c r="M153" s="74"/>
      <c r="N153" s="58"/>
      <c r="O153" s="58"/>
      <c r="P153" s="3"/>
      <c r="Q153" s="63"/>
      <c r="R153" s="63"/>
      <c r="S153" s="58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54"/>
      <c r="BY153" s="3"/>
      <c r="BZ153" s="60"/>
    </row>
    <row r="154" spans="1:78" s="5" customFormat="1" x14ac:dyDescent="0.15">
      <c r="F154" s="65"/>
      <c r="G154" s="65"/>
      <c r="H154" s="65"/>
      <c r="I154" s="65"/>
      <c r="J154" s="68"/>
      <c r="K154" s="68"/>
      <c r="L154" s="65"/>
      <c r="M154" s="68"/>
      <c r="N154" s="67"/>
      <c r="O154" s="67"/>
      <c r="P154" s="65"/>
      <c r="Q154" s="65"/>
      <c r="R154" s="65"/>
      <c r="S154" s="67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H154" s="65"/>
      <c r="AI154" s="65"/>
      <c r="AJ154" s="65"/>
      <c r="AK154" s="65"/>
      <c r="AL154" s="65"/>
      <c r="AM154" s="65"/>
      <c r="AN154" s="65"/>
      <c r="AO154" s="65"/>
      <c r="AP154" s="65"/>
      <c r="AQ154" s="65"/>
      <c r="AR154" s="78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75"/>
      <c r="BD154" s="75"/>
      <c r="BE154" s="75"/>
      <c r="BF154" s="75"/>
      <c r="BG154" s="75"/>
      <c r="BH154" s="75"/>
      <c r="BI154" s="75"/>
      <c r="BJ154" s="75"/>
      <c r="BK154" s="75"/>
      <c r="BL154" s="76"/>
      <c r="BM154" s="76"/>
      <c r="BN154" s="76"/>
      <c r="BO154" s="76"/>
      <c r="BP154" s="76"/>
      <c r="BQ154" s="76"/>
      <c r="BR154" s="76"/>
      <c r="BS154" s="76"/>
      <c r="BT154" s="76"/>
      <c r="BU154" s="76"/>
      <c r="BV154" s="76"/>
      <c r="BW154" s="76"/>
      <c r="BX154" s="54"/>
      <c r="BZ154" s="60"/>
    </row>
    <row r="155" spans="1:78" s="5" customFormat="1" x14ac:dyDescent="0.15">
      <c r="F155" s="65"/>
      <c r="G155" s="65"/>
      <c r="H155" s="65"/>
      <c r="I155" s="65"/>
      <c r="J155" s="68"/>
      <c r="K155" s="68"/>
      <c r="L155" s="65"/>
      <c r="M155" s="68"/>
      <c r="N155" s="67"/>
      <c r="O155" s="67"/>
      <c r="P155" s="65"/>
      <c r="Q155" s="65"/>
      <c r="R155" s="65"/>
      <c r="S155" s="67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H155" s="65"/>
      <c r="AI155" s="65"/>
      <c r="AJ155" s="65"/>
      <c r="AK155" s="65"/>
      <c r="AL155" s="65"/>
      <c r="AM155" s="65"/>
      <c r="AN155" s="65"/>
      <c r="AO155" s="65"/>
      <c r="AP155" s="65"/>
      <c r="AQ155" s="65"/>
      <c r="AR155" s="77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75"/>
      <c r="BD155" s="75"/>
      <c r="BE155" s="75"/>
      <c r="BF155" s="75"/>
      <c r="BG155" s="75"/>
      <c r="BH155" s="75"/>
      <c r="BI155" s="75"/>
      <c r="BJ155" s="75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  <c r="BU155" s="76"/>
      <c r="BV155" s="76"/>
      <c r="BW155" s="76"/>
      <c r="BX155" s="54"/>
      <c r="BZ155" s="60"/>
    </row>
    <row r="156" spans="1:78" s="5" customFormat="1" x14ac:dyDescent="0.15">
      <c r="F156" s="65"/>
      <c r="G156" s="65"/>
      <c r="H156" s="65"/>
      <c r="I156" s="65"/>
      <c r="J156" s="68"/>
      <c r="K156" s="68"/>
      <c r="L156" s="65"/>
      <c r="M156" s="68"/>
      <c r="N156" s="67"/>
      <c r="O156" s="67"/>
      <c r="P156" s="65"/>
      <c r="Q156" s="65"/>
      <c r="R156" s="65"/>
      <c r="S156" s="67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H156" s="65"/>
      <c r="AI156" s="65"/>
      <c r="AJ156" s="65"/>
      <c r="AK156" s="65"/>
      <c r="AL156" s="65"/>
      <c r="AM156" s="65"/>
      <c r="AN156" s="65"/>
      <c r="AO156" s="65"/>
      <c r="AP156" s="65"/>
      <c r="AQ156" s="65"/>
      <c r="AR156" s="78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75"/>
      <c r="BD156" s="75"/>
      <c r="BE156" s="75"/>
      <c r="BF156" s="75"/>
      <c r="BG156" s="75"/>
      <c r="BH156" s="75"/>
      <c r="BI156" s="75"/>
      <c r="BJ156" s="75"/>
      <c r="BK156" s="75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54"/>
      <c r="BY156" s="55"/>
      <c r="BZ156" s="60"/>
    </row>
    <row r="157" spans="1:78" s="5" customFormat="1" x14ac:dyDescent="0.15">
      <c r="A157" s="3"/>
      <c r="B157" s="3"/>
      <c r="C157" s="3"/>
      <c r="D157" s="3"/>
      <c r="E157" s="3"/>
      <c r="F157" s="3"/>
      <c r="G157" s="3"/>
      <c r="H157" s="3"/>
      <c r="I157" s="3"/>
      <c r="J157" s="70"/>
      <c r="K157" s="70"/>
      <c r="L157" s="3"/>
      <c r="M157" s="74"/>
      <c r="N157" s="58"/>
      <c r="O157" s="58"/>
      <c r="P157" s="3"/>
      <c r="Q157" s="63"/>
      <c r="R157" s="63"/>
      <c r="S157" s="58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54"/>
      <c r="BY157" s="3"/>
      <c r="BZ157" s="60"/>
    </row>
    <row r="158" spans="1:78" x14ac:dyDescent="0.15">
      <c r="BZ158" s="60"/>
    </row>
    <row r="159" spans="1:78" x14ac:dyDescent="0.15">
      <c r="BX159" s="54"/>
      <c r="BZ159" s="60"/>
    </row>
    <row r="160" spans="1:78" x14ac:dyDescent="0.15">
      <c r="BZ160" s="60"/>
    </row>
    <row r="161" spans="1:78" x14ac:dyDescent="0.15">
      <c r="A161" s="5"/>
      <c r="B161" s="5"/>
      <c r="C161" s="5"/>
      <c r="D161" s="5"/>
      <c r="E161" s="5"/>
      <c r="F161" s="65"/>
      <c r="G161" s="65"/>
      <c r="H161" s="65"/>
      <c r="I161" s="65"/>
      <c r="J161" s="68"/>
      <c r="K161" s="68"/>
      <c r="L161" s="65"/>
      <c r="M161" s="68"/>
      <c r="N161" s="67"/>
      <c r="O161" s="67"/>
      <c r="P161" s="65"/>
      <c r="Q161" s="65"/>
      <c r="R161" s="65"/>
      <c r="S161" s="67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H161" s="65"/>
      <c r="AI161" s="65"/>
      <c r="AJ161" s="65"/>
      <c r="AK161" s="65"/>
      <c r="AL161" s="65"/>
      <c r="AM161" s="65"/>
      <c r="AN161" s="65"/>
      <c r="AO161" s="65"/>
      <c r="AP161" s="65"/>
      <c r="AQ161" s="65"/>
      <c r="AR161" s="78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75"/>
      <c r="BD161" s="75"/>
      <c r="BE161" s="75"/>
      <c r="BF161" s="75"/>
      <c r="BG161" s="75"/>
      <c r="BH161" s="75"/>
      <c r="BI161" s="75"/>
      <c r="BJ161" s="75"/>
      <c r="BK161" s="75"/>
      <c r="BL161" s="76"/>
      <c r="BM161" s="76"/>
      <c r="BN161" s="76"/>
      <c r="BO161" s="76"/>
      <c r="BP161" s="76"/>
      <c r="BQ161" s="76"/>
      <c r="BR161" s="76"/>
      <c r="BS161" s="76"/>
      <c r="BT161" s="76"/>
      <c r="BU161" s="76"/>
      <c r="BV161" s="76"/>
      <c r="BW161" s="76"/>
      <c r="BX161" s="54"/>
      <c r="BY161" s="5"/>
      <c r="BZ161" s="60"/>
    </row>
    <row r="162" spans="1:78" x14ac:dyDescent="0.15">
      <c r="A162" s="5"/>
      <c r="B162" s="5"/>
      <c r="C162" s="5"/>
      <c r="D162" s="5"/>
      <c r="E162" s="5"/>
      <c r="F162" s="65"/>
      <c r="G162" s="65"/>
      <c r="H162" s="65"/>
      <c r="I162" s="65"/>
      <c r="J162" s="68"/>
      <c r="K162" s="68"/>
      <c r="L162" s="65"/>
      <c r="M162" s="68"/>
      <c r="N162" s="67"/>
      <c r="O162" s="67"/>
      <c r="P162" s="65"/>
      <c r="Q162" s="65"/>
      <c r="R162" s="65"/>
      <c r="S162" s="67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H162" s="65"/>
      <c r="AI162" s="65"/>
      <c r="AJ162" s="65"/>
      <c r="AK162" s="65"/>
      <c r="AL162" s="65"/>
      <c r="AM162" s="65"/>
      <c r="AN162" s="65"/>
      <c r="AO162" s="65"/>
      <c r="AP162" s="65"/>
      <c r="AQ162" s="65"/>
      <c r="AR162" s="77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75"/>
      <c r="BD162" s="75"/>
      <c r="BE162" s="75"/>
      <c r="BF162" s="75"/>
      <c r="BG162" s="75"/>
      <c r="BH162" s="75"/>
      <c r="BI162" s="75"/>
      <c r="BJ162" s="75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54"/>
      <c r="BY162" s="5"/>
      <c r="BZ162" s="60"/>
    </row>
    <row r="163" spans="1:78" x14ac:dyDescent="0.15">
      <c r="A163" s="5"/>
      <c r="B163" s="5"/>
      <c r="C163" s="5"/>
      <c r="D163" s="5"/>
      <c r="E163" s="5"/>
      <c r="F163" s="65"/>
      <c r="G163" s="65"/>
      <c r="H163" s="65"/>
      <c r="I163" s="65"/>
      <c r="J163" s="68"/>
      <c r="K163" s="68"/>
      <c r="L163" s="65"/>
      <c r="M163" s="68"/>
      <c r="N163" s="67"/>
      <c r="O163" s="67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77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75"/>
      <c r="BD163" s="75"/>
      <c r="BE163" s="75"/>
      <c r="BF163" s="75"/>
      <c r="BG163" s="75"/>
      <c r="BH163" s="75"/>
      <c r="BI163" s="75"/>
      <c r="BJ163" s="75"/>
      <c r="BK163" s="75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54"/>
      <c r="BY163" s="5"/>
      <c r="BZ163" s="60"/>
    </row>
    <row r="164" spans="1:78" x14ac:dyDescent="0.15">
      <c r="A164" s="5"/>
      <c r="B164" s="5"/>
      <c r="C164" s="5"/>
      <c r="D164" s="5"/>
      <c r="E164" s="5"/>
      <c r="F164" s="10"/>
      <c r="G164" s="10"/>
      <c r="H164" s="10"/>
      <c r="I164" s="10"/>
      <c r="J164" s="10"/>
      <c r="K164" s="10"/>
      <c r="L164" s="10"/>
      <c r="M164" s="72"/>
      <c r="N164" s="54"/>
      <c r="O164" s="54"/>
      <c r="P164" s="10"/>
      <c r="Q164" s="60"/>
      <c r="R164" s="60"/>
      <c r="S164" s="54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5"/>
      <c r="AG164" s="65"/>
      <c r="AH164" s="65"/>
      <c r="AI164" s="65"/>
      <c r="AJ164" s="65"/>
      <c r="AK164" s="65"/>
      <c r="AL164" s="65"/>
      <c r="AM164" s="65"/>
      <c r="AN164" s="65"/>
      <c r="AO164" s="65"/>
      <c r="AP164" s="65"/>
      <c r="AQ164" s="65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0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4"/>
      <c r="BY164" s="5"/>
      <c r="BZ164" s="60"/>
    </row>
    <row r="165" spans="1:78" x14ac:dyDescent="0.15">
      <c r="A165" s="5"/>
      <c r="B165" s="5"/>
      <c r="C165" s="5"/>
      <c r="D165" s="5"/>
      <c r="E165" s="5"/>
      <c r="F165" s="10"/>
      <c r="G165" s="10"/>
      <c r="H165" s="10"/>
      <c r="I165" s="10"/>
      <c r="J165" s="10"/>
      <c r="K165" s="10"/>
      <c r="L165" s="10"/>
      <c r="M165" s="72"/>
      <c r="N165" s="54"/>
      <c r="O165" s="54"/>
      <c r="P165" s="10"/>
      <c r="Q165" s="60"/>
      <c r="R165" s="60"/>
      <c r="S165" s="54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5"/>
      <c r="AG165" s="65"/>
      <c r="AH165" s="65"/>
      <c r="AI165" s="65"/>
      <c r="AJ165" s="65"/>
      <c r="AK165" s="65"/>
      <c r="AL165" s="65"/>
      <c r="AM165" s="65"/>
      <c r="AN165" s="65"/>
      <c r="AO165" s="65"/>
      <c r="AP165" s="65"/>
      <c r="AQ165" s="65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0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4"/>
      <c r="BY165" s="5"/>
      <c r="BZ165" s="60"/>
    </row>
    <row r="166" spans="1:78" x14ac:dyDescent="0.15">
      <c r="A166" s="5"/>
      <c r="B166" s="5"/>
      <c r="C166" s="5"/>
      <c r="D166" s="5"/>
      <c r="E166" s="5"/>
      <c r="F166" s="65"/>
      <c r="G166" s="65"/>
      <c r="H166" s="65"/>
      <c r="I166" s="65"/>
      <c r="J166" s="68"/>
      <c r="K166" s="68"/>
      <c r="L166" s="65"/>
      <c r="M166" s="68"/>
      <c r="N166" s="67"/>
      <c r="O166" s="67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65"/>
      <c r="AJ166" s="65"/>
      <c r="AK166" s="65"/>
      <c r="AL166" s="65"/>
      <c r="AM166" s="65"/>
      <c r="AN166" s="65"/>
      <c r="AO166" s="65"/>
      <c r="AP166" s="65"/>
      <c r="AQ166" s="65"/>
      <c r="AR166" s="77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75"/>
      <c r="BD166" s="75"/>
      <c r="BE166" s="75"/>
      <c r="BF166" s="75"/>
      <c r="BG166" s="75"/>
      <c r="BH166" s="75"/>
      <c r="BI166" s="75"/>
      <c r="BJ166" s="75"/>
      <c r="BK166" s="75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54"/>
      <c r="BY166" s="5"/>
      <c r="BZ166" s="60"/>
    </row>
    <row r="167" spans="1:78" x14ac:dyDescent="0.15">
      <c r="A167" s="5"/>
      <c r="B167" s="5"/>
      <c r="C167" s="5"/>
      <c r="D167" s="5"/>
      <c r="E167" s="5"/>
      <c r="F167" s="65"/>
      <c r="G167" s="65"/>
      <c r="H167" s="65"/>
      <c r="I167" s="65"/>
      <c r="J167" s="68"/>
      <c r="K167" s="68"/>
      <c r="L167" s="65"/>
      <c r="M167" s="68"/>
      <c r="N167" s="67"/>
      <c r="O167" s="67"/>
      <c r="P167" s="65"/>
      <c r="Q167" s="65"/>
      <c r="R167" s="65"/>
      <c r="S167" s="67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65"/>
      <c r="AO167" s="65"/>
      <c r="AP167" s="65"/>
      <c r="AQ167" s="65"/>
      <c r="AR167" s="77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75"/>
      <c r="BD167" s="75"/>
      <c r="BE167" s="75"/>
      <c r="BF167" s="75"/>
      <c r="BG167" s="75"/>
      <c r="BH167" s="75"/>
      <c r="BI167" s="75"/>
      <c r="BJ167" s="75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54"/>
      <c r="BY167" s="5"/>
      <c r="BZ167" s="60"/>
    </row>
    <row r="168" spans="1:78" x14ac:dyDescent="0.15">
      <c r="A168" s="5"/>
      <c r="B168" s="5"/>
      <c r="C168" s="5"/>
      <c r="D168" s="5"/>
      <c r="E168" s="5"/>
      <c r="F168" s="65"/>
      <c r="G168" s="65"/>
      <c r="H168" s="65"/>
      <c r="I168" s="65"/>
      <c r="J168" s="68"/>
      <c r="K168" s="68"/>
      <c r="L168" s="65"/>
      <c r="M168" s="68"/>
      <c r="N168" s="67"/>
      <c r="O168" s="67"/>
      <c r="P168" s="65"/>
      <c r="Q168" s="65"/>
      <c r="R168" s="65"/>
      <c r="S168" s="67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65"/>
      <c r="AJ168" s="65"/>
      <c r="AK168" s="65"/>
      <c r="AL168" s="65"/>
      <c r="AM168" s="65"/>
      <c r="AN168" s="65"/>
      <c r="AO168" s="65"/>
      <c r="AP168" s="65"/>
      <c r="AQ168" s="65"/>
      <c r="AR168" s="77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75"/>
      <c r="BD168" s="75"/>
      <c r="BE168" s="75"/>
      <c r="BF168" s="75"/>
      <c r="BG168" s="75"/>
      <c r="BH168" s="75"/>
      <c r="BI168" s="75"/>
      <c r="BJ168" s="75"/>
      <c r="BK168" s="75"/>
      <c r="BL168" s="76"/>
      <c r="BM168" s="76"/>
      <c r="BN168" s="76"/>
      <c r="BO168" s="76"/>
      <c r="BP168" s="76"/>
      <c r="BQ168" s="76"/>
      <c r="BR168" s="76"/>
      <c r="BS168" s="76"/>
      <c r="BT168" s="76"/>
      <c r="BU168" s="76"/>
      <c r="BV168" s="76"/>
      <c r="BW168" s="76"/>
      <c r="BX168" s="54"/>
      <c r="BY168" s="5"/>
      <c r="BZ168" s="60"/>
    </row>
    <row r="169" spans="1:78" x14ac:dyDescent="0.15">
      <c r="A169" s="5"/>
      <c r="B169" s="5"/>
      <c r="C169" s="5"/>
      <c r="D169" s="5"/>
      <c r="E169" s="5"/>
      <c r="F169" s="10"/>
      <c r="G169" s="10"/>
      <c r="H169" s="10"/>
      <c r="I169" s="10"/>
      <c r="J169" s="10"/>
      <c r="K169" s="10"/>
      <c r="L169" s="10"/>
      <c r="M169" s="72"/>
      <c r="N169" s="54"/>
      <c r="O169" s="54"/>
      <c r="P169" s="10"/>
      <c r="Q169" s="60"/>
      <c r="R169" s="60"/>
      <c r="S169" s="54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5"/>
      <c r="AG169" s="65"/>
      <c r="AH169" s="65"/>
      <c r="AI169" s="65"/>
      <c r="AJ169" s="65"/>
      <c r="AK169" s="65"/>
      <c r="AL169" s="65"/>
      <c r="AM169" s="65"/>
      <c r="AN169" s="65"/>
      <c r="AO169" s="65"/>
      <c r="AP169" s="65"/>
      <c r="AQ169" s="65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0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4"/>
      <c r="BY169" s="5"/>
      <c r="BZ169" s="60"/>
    </row>
    <row r="170" spans="1:78" x14ac:dyDescent="0.15">
      <c r="AR170" s="118"/>
      <c r="AS170" s="118"/>
      <c r="AT170" s="118"/>
      <c r="AU170" s="118"/>
      <c r="AV170" s="118"/>
      <c r="AW170" s="118"/>
      <c r="AX170" s="118"/>
      <c r="AY170" s="118"/>
      <c r="AZ170" s="118"/>
      <c r="BA170" s="118"/>
      <c r="BB170" s="118"/>
      <c r="BC170" s="118"/>
      <c r="BD170" s="118"/>
      <c r="BE170" s="118"/>
      <c r="BF170" s="118"/>
      <c r="BG170" s="118"/>
      <c r="BH170" s="118"/>
      <c r="BI170" s="118"/>
      <c r="BJ170" s="118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54"/>
      <c r="BZ170" s="60"/>
    </row>
    <row r="171" spans="1:78" x14ac:dyDescent="0.15">
      <c r="BZ171" s="60"/>
    </row>
    <row r="172" spans="1:78" x14ac:dyDescent="0.15">
      <c r="BZ172" s="60"/>
    </row>
    <row r="173" spans="1:78" x14ac:dyDescent="0.15">
      <c r="A173" s="5"/>
      <c r="B173" s="5"/>
      <c r="C173" s="5"/>
      <c r="D173" s="5"/>
      <c r="E173" s="5"/>
      <c r="F173" s="65"/>
      <c r="G173" s="65"/>
      <c r="H173" s="65"/>
      <c r="I173" s="65"/>
      <c r="J173" s="68"/>
      <c r="K173" s="68"/>
      <c r="L173" s="65"/>
      <c r="M173" s="68"/>
      <c r="N173" s="67"/>
      <c r="O173" s="67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  <c r="AH173" s="65"/>
      <c r="AI173" s="65"/>
      <c r="AJ173" s="65"/>
      <c r="AK173" s="65"/>
      <c r="AL173" s="65"/>
      <c r="AM173" s="65"/>
      <c r="AN173" s="65"/>
      <c r="AO173" s="65"/>
      <c r="AP173" s="65"/>
      <c r="AQ173" s="65"/>
      <c r="AR173" s="77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75"/>
      <c r="BD173" s="75"/>
      <c r="BE173" s="75"/>
      <c r="BF173" s="75"/>
      <c r="BG173" s="75"/>
      <c r="BH173" s="75"/>
      <c r="BI173" s="75"/>
      <c r="BJ173" s="75"/>
      <c r="BK173" s="75"/>
      <c r="BL173" s="76"/>
      <c r="BM173" s="76"/>
      <c r="BN173" s="76"/>
      <c r="BO173" s="76"/>
      <c r="BP173" s="76"/>
      <c r="BQ173" s="76"/>
      <c r="BR173" s="76"/>
      <c r="BS173" s="76"/>
      <c r="BT173" s="76"/>
      <c r="BU173" s="76"/>
      <c r="BV173" s="76"/>
      <c r="BW173" s="76"/>
      <c r="BX173" s="54"/>
      <c r="BY173" s="5"/>
      <c r="BZ173" s="60"/>
    </row>
    <row r="174" spans="1:78" x14ac:dyDescent="0.15">
      <c r="A174" s="5"/>
      <c r="B174" s="5"/>
      <c r="C174" s="5"/>
      <c r="D174" s="5"/>
      <c r="E174" s="5"/>
      <c r="F174" s="10"/>
      <c r="G174" s="10"/>
      <c r="H174" s="10"/>
      <c r="I174" s="10"/>
      <c r="J174" s="10"/>
      <c r="K174" s="10"/>
      <c r="L174" s="10"/>
      <c r="M174" s="72"/>
      <c r="N174" s="54"/>
      <c r="O174" s="54"/>
      <c r="P174" s="10"/>
      <c r="Q174" s="60"/>
      <c r="R174" s="60"/>
      <c r="S174" s="54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0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4"/>
      <c r="BY174" s="5"/>
      <c r="BZ174" s="60"/>
    </row>
    <row r="175" spans="1:78" x14ac:dyDescent="0.15">
      <c r="A175" s="5"/>
      <c r="B175" s="5"/>
      <c r="C175" s="5"/>
      <c r="D175" s="5"/>
      <c r="E175" s="5"/>
      <c r="F175" s="65"/>
      <c r="G175" s="65"/>
      <c r="H175" s="65"/>
      <c r="I175" s="65"/>
      <c r="J175" s="68"/>
      <c r="K175" s="68"/>
      <c r="L175" s="65"/>
      <c r="M175" s="68"/>
      <c r="N175" s="67"/>
      <c r="O175" s="67"/>
      <c r="P175" s="65"/>
      <c r="Q175" s="65"/>
      <c r="R175" s="65"/>
      <c r="S175" s="67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  <c r="AH175" s="65"/>
      <c r="AI175" s="65"/>
      <c r="AJ175" s="65"/>
      <c r="AK175" s="65"/>
      <c r="AL175" s="65"/>
      <c r="AM175" s="65"/>
      <c r="AN175" s="65"/>
      <c r="AO175" s="65"/>
      <c r="AP175" s="65"/>
      <c r="AQ175" s="65"/>
      <c r="AR175" s="78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75"/>
      <c r="BD175" s="75"/>
      <c r="BE175" s="75"/>
      <c r="BF175" s="75"/>
      <c r="BG175" s="75"/>
      <c r="BH175" s="75"/>
      <c r="BI175" s="75"/>
      <c r="BJ175" s="75"/>
      <c r="BK175" s="75"/>
      <c r="BL175" s="76"/>
      <c r="BM175" s="76"/>
      <c r="BN175" s="76"/>
      <c r="BO175" s="76"/>
      <c r="BP175" s="76"/>
      <c r="BQ175" s="76"/>
      <c r="BR175" s="76"/>
      <c r="BS175" s="76"/>
      <c r="BT175" s="76"/>
      <c r="BU175" s="76"/>
      <c r="BV175" s="76"/>
      <c r="BW175" s="76"/>
      <c r="BX175" s="54"/>
      <c r="BY175" s="5"/>
      <c r="BZ175" s="60"/>
    </row>
    <row r="176" spans="1:78" x14ac:dyDescent="0.15">
      <c r="A176" s="5"/>
      <c r="B176" s="5"/>
      <c r="C176" s="5"/>
      <c r="D176" s="5"/>
      <c r="E176" s="5"/>
      <c r="F176" s="65"/>
      <c r="G176" s="65"/>
      <c r="H176" s="65"/>
      <c r="I176" s="65"/>
      <c r="J176" s="68"/>
      <c r="K176" s="68"/>
      <c r="L176" s="65"/>
      <c r="M176" s="68"/>
      <c r="N176" s="67"/>
      <c r="O176" s="67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  <c r="AH176" s="65"/>
      <c r="AI176" s="65"/>
      <c r="AJ176" s="65"/>
      <c r="AK176" s="65"/>
      <c r="AL176" s="65"/>
      <c r="AM176" s="65"/>
      <c r="AN176" s="65"/>
      <c r="AO176" s="65"/>
      <c r="AP176" s="65"/>
      <c r="AQ176" s="65"/>
      <c r="AR176" s="77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75"/>
      <c r="BD176" s="75"/>
      <c r="BE176" s="75"/>
      <c r="BF176" s="75"/>
      <c r="BG176" s="75"/>
      <c r="BH176" s="75"/>
      <c r="BI176" s="75"/>
      <c r="BJ176" s="75"/>
      <c r="BK176" s="75"/>
      <c r="BL176" s="76"/>
      <c r="BM176" s="76"/>
      <c r="BN176" s="76"/>
      <c r="BO176" s="76"/>
      <c r="BP176" s="76"/>
      <c r="BQ176" s="76"/>
      <c r="BR176" s="76"/>
      <c r="BS176" s="76"/>
      <c r="BT176" s="76"/>
      <c r="BU176" s="76"/>
      <c r="BV176" s="76"/>
      <c r="BW176" s="76"/>
      <c r="BX176" s="54"/>
      <c r="BY176" s="5"/>
      <c r="BZ176" s="60"/>
    </row>
    <row r="177" spans="1:78" x14ac:dyDescent="0.15">
      <c r="BX177" s="54"/>
      <c r="BZ177" s="60"/>
    </row>
    <row r="178" spans="1:78" x14ac:dyDescent="0.15">
      <c r="BX178" s="54"/>
      <c r="BZ178" s="60"/>
    </row>
    <row r="179" spans="1:78" x14ac:dyDescent="0.15">
      <c r="A179" s="5"/>
      <c r="B179" s="5"/>
      <c r="C179" s="5"/>
      <c r="D179" s="5"/>
      <c r="E179" s="5"/>
      <c r="F179" s="10"/>
      <c r="G179" s="10"/>
      <c r="H179" s="10"/>
      <c r="I179" s="10"/>
      <c r="J179" s="10"/>
      <c r="K179" s="10"/>
      <c r="L179" s="10"/>
      <c r="M179" s="72"/>
      <c r="N179" s="54"/>
      <c r="O179" s="54"/>
      <c r="P179" s="10"/>
      <c r="Q179" s="60"/>
      <c r="R179" s="60"/>
      <c r="S179" s="54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5"/>
      <c r="AG179" s="65"/>
      <c r="AH179" s="65"/>
      <c r="AI179" s="65"/>
      <c r="AJ179" s="65"/>
      <c r="AK179" s="65"/>
      <c r="AL179" s="65"/>
      <c r="AM179" s="65"/>
      <c r="AN179" s="65"/>
      <c r="AO179" s="65"/>
      <c r="AP179" s="65"/>
      <c r="AQ179" s="65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0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4"/>
      <c r="BY179" s="5"/>
      <c r="BZ179" s="60"/>
    </row>
    <row r="180" spans="1:78" x14ac:dyDescent="0.15">
      <c r="A180" s="5"/>
      <c r="B180" s="5"/>
      <c r="C180" s="5"/>
      <c r="D180" s="5"/>
      <c r="E180" s="5"/>
      <c r="F180" s="65"/>
      <c r="G180" s="65"/>
      <c r="H180" s="65"/>
      <c r="I180" s="65"/>
      <c r="J180" s="68"/>
      <c r="K180" s="68"/>
      <c r="L180" s="65"/>
      <c r="M180" s="68"/>
      <c r="N180" s="67"/>
      <c r="O180" s="67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  <c r="AH180" s="65"/>
      <c r="AI180" s="65"/>
      <c r="AJ180" s="65"/>
      <c r="AK180" s="65"/>
      <c r="AL180" s="65"/>
      <c r="AM180" s="65"/>
      <c r="AN180" s="65"/>
      <c r="AO180" s="65"/>
      <c r="AP180" s="65"/>
      <c r="AQ180" s="65"/>
      <c r="AR180" s="77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75"/>
      <c r="BD180" s="75"/>
      <c r="BE180" s="75"/>
      <c r="BF180" s="75"/>
      <c r="BG180" s="75"/>
      <c r="BH180" s="75"/>
      <c r="BI180" s="75"/>
      <c r="BJ180" s="75"/>
      <c r="BK180" s="75"/>
      <c r="BL180" s="76"/>
      <c r="BM180" s="76"/>
      <c r="BN180" s="76"/>
      <c r="BO180" s="76"/>
      <c r="BP180" s="76"/>
      <c r="BQ180" s="76"/>
      <c r="BR180" s="76"/>
      <c r="BS180" s="76"/>
      <c r="BT180" s="76"/>
      <c r="BU180" s="76"/>
      <c r="BV180" s="76"/>
      <c r="BW180" s="76"/>
      <c r="BX180" s="54"/>
      <c r="BY180" s="5"/>
      <c r="BZ180" s="60"/>
    </row>
    <row r="181" spans="1:78" x14ac:dyDescent="0.15">
      <c r="BZ181" s="60"/>
    </row>
    <row r="182" spans="1:78" x14ac:dyDescent="0.15">
      <c r="A182" s="5"/>
      <c r="B182" s="5"/>
      <c r="C182" s="5"/>
      <c r="D182" s="5"/>
      <c r="E182" s="5"/>
      <c r="F182" s="65"/>
      <c r="G182" s="65"/>
      <c r="H182" s="65"/>
      <c r="I182" s="65"/>
      <c r="J182" s="68"/>
      <c r="K182" s="68"/>
      <c r="L182" s="65"/>
      <c r="M182" s="68"/>
      <c r="N182" s="67"/>
      <c r="O182" s="67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65"/>
      <c r="AK182" s="65"/>
      <c r="AL182" s="65"/>
      <c r="AM182" s="65"/>
      <c r="AN182" s="65"/>
      <c r="AO182" s="65"/>
      <c r="AP182" s="65"/>
      <c r="AQ182" s="65"/>
      <c r="AR182" s="77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75"/>
      <c r="BD182" s="75"/>
      <c r="BE182" s="75"/>
      <c r="BF182" s="75"/>
      <c r="BG182" s="75"/>
      <c r="BH182" s="75"/>
      <c r="BI182" s="75"/>
      <c r="BJ182" s="75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54"/>
      <c r="BY182" s="5"/>
      <c r="BZ182" s="60"/>
    </row>
    <row r="183" spans="1:78" x14ac:dyDescent="0.15">
      <c r="A183" s="5"/>
      <c r="B183" s="5"/>
      <c r="C183" s="5"/>
      <c r="D183" s="5"/>
      <c r="E183" s="5"/>
      <c r="F183" s="10"/>
      <c r="G183" s="10"/>
      <c r="H183" s="10"/>
      <c r="I183" s="10"/>
      <c r="J183" s="10"/>
      <c r="K183" s="10"/>
      <c r="L183" s="10"/>
      <c r="M183" s="72"/>
      <c r="N183" s="54"/>
      <c r="O183" s="54"/>
      <c r="P183" s="10"/>
      <c r="Q183" s="60"/>
      <c r="R183" s="60"/>
      <c r="S183" s="54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5"/>
      <c r="AG183" s="65"/>
      <c r="AH183" s="65"/>
      <c r="AI183" s="65"/>
      <c r="AJ183" s="65"/>
      <c r="AK183" s="65"/>
      <c r="AL183" s="65"/>
      <c r="AM183" s="65"/>
      <c r="AN183" s="65"/>
      <c r="AO183" s="65"/>
      <c r="AP183" s="65"/>
      <c r="AQ183" s="65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0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4"/>
      <c r="BY183" s="5"/>
      <c r="BZ183" s="60"/>
    </row>
    <row r="184" spans="1:78" x14ac:dyDescent="0.15">
      <c r="A184" s="5"/>
      <c r="B184" s="5"/>
      <c r="C184" s="5"/>
      <c r="D184" s="5"/>
      <c r="E184" s="5"/>
      <c r="F184" s="115"/>
      <c r="G184" s="115"/>
      <c r="H184" s="115"/>
      <c r="I184" s="115"/>
      <c r="J184" s="116"/>
      <c r="K184" s="116"/>
      <c r="L184" s="115"/>
      <c r="M184" s="116"/>
      <c r="N184" s="117"/>
      <c r="O184" s="117"/>
      <c r="P184" s="115"/>
      <c r="Q184" s="115"/>
      <c r="R184" s="115"/>
      <c r="S184" s="117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77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54"/>
      <c r="BY184" s="5"/>
      <c r="BZ184" s="60"/>
    </row>
    <row r="185" spans="1:78" x14ac:dyDescent="0.15">
      <c r="BX185" s="54"/>
      <c r="BZ185" s="60"/>
    </row>
    <row r="186" spans="1:78" x14ac:dyDescent="0.15">
      <c r="A186" s="5"/>
      <c r="B186" s="5"/>
      <c r="C186" s="5"/>
      <c r="D186" s="5"/>
      <c r="E186" s="5"/>
      <c r="F186" s="10"/>
      <c r="G186" s="10"/>
      <c r="H186" s="10"/>
      <c r="I186" s="10"/>
      <c r="J186" s="10"/>
      <c r="K186" s="10"/>
      <c r="L186" s="10"/>
      <c r="M186" s="72"/>
      <c r="N186" s="54"/>
      <c r="O186" s="54"/>
      <c r="P186" s="10"/>
      <c r="Q186" s="60"/>
      <c r="R186" s="60"/>
      <c r="S186" s="54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0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4"/>
      <c r="BY186" s="5"/>
      <c r="BZ186" s="60"/>
    </row>
    <row r="187" spans="1:78" x14ac:dyDescent="0.15">
      <c r="A187" s="5"/>
      <c r="B187" s="5"/>
      <c r="C187" s="5"/>
      <c r="D187" s="5"/>
      <c r="E187" s="5"/>
      <c r="F187" s="65"/>
      <c r="G187" s="65"/>
      <c r="H187" s="65"/>
      <c r="I187" s="65"/>
      <c r="J187" s="68"/>
      <c r="K187" s="68"/>
      <c r="L187" s="65"/>
      <c r="M187" s="68"/>
      <c r="N187" s="67"/>
      <c r="O187" s="67"/>
      <c r="P187" s="65"/>
      <c r="Q187" s="65"/>
      <c r="R187" s="65"/>
      <c r="S187" s="67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78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75"/>
      <c r="BD187" s="75"/>
      <c r="BE187" s="75"/>
      <c r="BF187" s="75"/>
      <c r="BG187" s="75"/>
      <c r="BH187" s="75"/>
      <c r="BI187" s="75"/>
      <c r="BJ187" s="75"/>
      <c r="BK187" s="75"/>
      <c r="BL187" s="76"/>
      <c r="BM187" s="76"/>
      <c r="BN187" s="76"/>
      <c r="BO187" s="76"/>
      <c r="BP187" s="76"/>
      <c r="BQ187" s="76"/>
      <c r="BR187" s="76"/>
      <c r="BS187" s="76"/>
      <c r="BT187" s="76"/>
      <c r="BU187" s="76"/>
      <c r="BV187" s="76"/>
      <c r="BW187" s="76"/>
      <c r="BX187" s="54"/>
      <c r="BY187" s="5"/>
      <c r="BZ187" s="60"/>
    </row>
    <row r="188" spans="1:78" x14ac:dyDescent="0.15">
      <c r="A188" s="5"/>
      <c r="B188" s="5"/>
      <c r="C188" s="5"/>
      <c r="D188" s="5"/>
      <c r="E188" s="5"/>
      <c r="F188" s="65"/>
      <c r="G188" s="65"/>
      <c r="H188" s="65"/>
      <c r="I188" s="65"/>
      <c r="J188" s="68"/>
      <c r="K188" s="68"/>
      <c r="L188" s="65"/>
      <c r="M188" s="68"/>
      <c r="N188" s="67"/>
      <c r="O188" s="67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77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75"/>
      <c r="BD188" s="75"/>
      <c r="BE188" s="75"/>
      <c r="BF188" s="75"/>
      <c r="BG188" s="75"/>
      <c r="BH188" s="75"/>
      <c r="BI188" s="75"/>
      <c r="BJ188" s="75"/>
      <c r="BK188" s="75"/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54"/>
      <c r="BY188" s="5"/>
      <c r="BZ188" s="60"/>
    </row>
    <row r="189" spans="1:78" x14ac:dyDescent="0.15">
      <c r="A189" s="5"/>
      <c r="B189" s="5"/>
      <c r="C189" s="5"/>
      <c r="D189" s="5"/>
      <c r="E189" s="5"/>
      <c r="F189" s="65"/>
      <c r="G189" s="65"/>
      <c r="H189" s="65"/>
      <c r="I189" s="65"/>
      <c r="J189" s="68"/>
      <c r="K189" s="68"/>
      <c r="L189" s="65"/>
      <c r="M189" s="68"/>
      <c r="N189" s="67"/>
      <c r="O189" s="67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  <c r="AF189" s="65"/>
      <c r="AG189" s="65"/>
      <c r="AH189" s="65"/>
      <c r="AI189" s="65"/>
      <c r="AJ189" s="65"/>
      <c r="AK189" s="65"/>
      <c r="AL189" s="65"/>
      <c r="AM189" s="65"/>
      <c r="AN189" s="65"/>
      <c r="AO189" s="65"/>
      <c r="AP189" s="65"/>
      <c r="AQ189" s="65"/>
      <c r="AR189" s="78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75"/>
      <c r="BD189" s="75"/>
      <c r="BE189" s="75"/>
      <c r="BF189" s="75"/>
      <c r="BG189" s="75"/>
      <c r="BH189" s="75"/>
      <c r="BI189" s="75"/>
      <c r="BJ189" s="75"/>
      <c r="BK189" s="75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54"/>
      <c r="BY189" s="5"/>
      <c r="BZ189" s="60"/>
    </row>
    <row r="190" spans="1:78" x14ac:dyDescent="0.15">
      <c r="BX190" s="54"/>
      <c r="BZ190" s="60"/>
    </row>
    <row r="191" spans="1:78" x14ac:dyDescent="0.15">
      <c r="A191" s="5"/>
      <c r="B191" s="5"/>
      <c r="C191" s="5"/>
      <c r="D191" s="5"/>
      <c r="E191" s="5"/>
      <c r="F191" s="65"/>
      <c r="G191" s="65"/>
      <c r="H191" s="65"/>
      <c r="I191" s="65"/>
      <c r="J191" s="68"/>
      <c r="K191" s="68"/>
      <c r="L191" s="65"/>
      <c r="M191" s="68"/>
      <c r="N191" s="67"/>
      <c r="O191" s="67"/>
      <c r="P191" s="65"/>
      <c r="Q191" s="65"/>
      <c r="R191" s="65"/>
      <c r="S191" s="67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  <c r="AF191" s="65"/>
      <c r="AG191" s="65"/>
      <c r="AH191" s="65"/>
      <c r="AI191" s="65"/>
      <c r="AJ191" s="65"/>
      <c r="AK191" s="65"/>
      <c r="AL191" s="65"/>
      <c r="AM191" s="65"/>
      <c r="AN191" s="65"/>
      <c r="AO191" s="65"/>
      <c r="AP191" s="65"/>
      <c r="AQ191" s="65"/>
      <c r="AR191" s="77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54"/>
      <c r="BY191" s="5"/>
      <c r="BZ191" s="60"/>
    </row>
    <row r="192" spans="1:78" x14ac:dyDescent="0.15">
      <c r="A192" s="5"/>
      <c r="B192" s="5"/>
      <c r="C192" s="5"/>
      <c r="D192" s="5"/>
      <c r="E192" s="5"/>
      <c r="F192" s="65"/>
      <c r="G192" s="65"/>
      <c r="H192" s="65"/>
      <c r="I192" s="65"/>
      <c r="J192" s="68"/>
      <c r="K192" s="68"/>
      <c r="L192" s="65"/>
      <c r="M192" s="68"/>
      <c r="N192" s="67"/>
      <c r="O192" s="67"/>
      <c r="P192" s="65"/>
      <c r="Q192" s="65"/>
      <c r="R192" s="65"/>
      <c r="S192" s="67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  <c r="AG192" s="65"/>
      <c r="AH192" s="65"/>
      <c r="AI192" s="65"/>
      <c r="AJ192" s="65"/>
      <c r="AK192" s="65"/>
      <c r="AL192" s="65"/>
      <c r="AM192" s="65"/>
      <c r="AN192" s="65"/>
      <c r="AO192" s="65"/>
      <c r="AP192" s="65"/>
      <c r="AQ192" s="65"/>
      <c r="AR192" s="78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75"/>
      <c r="BD192" s="75"/>
      <c r="BE192" s="75"/>
      <c r="BF192" s="75"/>
      <c r="BG192" s="75"/>
      <c r="BH192" s="75"/>
      <c r="BI192" s="75"/>
      <c r="BJ192" s="75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  <c r="BU192" s="76"/>
      <c r="BV192" s="76"/>
      <c r="BW192" s="76"/>
      <c r="BX192" s="54"/>
      <c r="BY192" s="5"/>
      <c r="BZ192" s="60"/>
    </row>
    <row r="193" spans="1:78" x14ac:dyDescent="0.15">
      <c r="BX193" s="54"/>
      <c r="BZ193" s="60"/>
    </row>
    <row r="194" spans="1:78" x14ac:dyDescent="0.15">
      <c r="A194" s="5"/>
      <c r="B194" s="5"/>
      <c r="C194" s="5"/>
      <c r="D194" s="5"/>
      <c r="E194" s="5"/>
      <c r="F194" s="65"/>
      <c r="G194" s="65"/>
      <c r="H194" s="65"/>
      <c r="I194" s="65"/>
      <c r="J194" s="68"/>
      <c r="K194" s="68"/>
      <c r="L194" s="65"/>
      <c r="M194" s="68"/>
      <c r="N194" s="67"/>
      <c r="O194" s="67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65"/>
      <c r="AO194" s="65"/>
      <c r="AP194" s="65"/>
      <c r="AQ194" s="65"/>
      <c r="AR194" s="78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75"/>
      <c r="BD194" s="75"/>
      <c r="BE194" s="75"/>
      <c r="BF194" s="75"/>
      <c r="BG194" s="75"/>
      <c r="BH194" s="75"/>
      <c r="BI194" s="75"/>
      <c r="BJ194" s="75"/>
      <c r="BK194" s="75"/>
      <c r="BL194" s="76"/>
      <c r="BM194" s="76"/>
      <c r="BN194" s="76"/>
      <c r="BO194" s="76"/>
      <c r="BP194" s="76"/>
      <c r="BQ194" s="76"/>
      <c r="BR194" s="76"/>
      <c r="BS194" s="76"/>
      <c r="BT194" s="76"/>
      <c r="BU194" s="76"/>
      <c r="BV194" s="76"/>
      <c r="BW194" s="76"/>
      <c r="BX194" s="54"/>
      <c r="BY194" s="5"/>
      <c r="BZ194" s="60"/>
    </row>
    <row r="195" spans="1:78" x14ac:dyDescent="0.15">
      <c r="A195" s="5"/>
      <c r="B195" s="5"/>
      <c r="C195" s="5"/>
      <c r="D195" s="5"/>
      <c r="E195" s="5"/>
      <c r="F195" s="10"/>
      <c r="G195" s="10"/>
      <c r="H195" s="10"/>
      <c r="I195" s="10"/>
      <c r="J195" s="69"/>
      <c r="K195" s="69"/>
      <c r="L195" s="10"/>
      <c r="M195" s="72"/>
      <c r="N195" s="57"/>
      <c r="O195" s="54"/>
      <c r="P195" s="10"/>
      <c r="Q195" s="61"/>
      <c r="R195" s="61"/>
      <c r="S195" s="57"/>
      <c r="T195" s="61"/>
      <c r="U195" s="61"/>
      <c r="V195" s="60"/>
      <c r="W195" s="60"/>
      <c r="X195" s="61"/>
      <c r="Y195" s="60"/>
      <c r="Z195" s="60"/>
      <c r="AA195" s="60"/>
      <c r="AB195" s="60"/>
      <c r="AC195" s="60"/>
      <c r="AD195" s="60"/>
      <c r="AE195" s="60"/>
      <c r="AF195" s="65"/>
      <c r="AG195" s="65"/>
      <c r="AH195" s="65"/>
      <c r="AI195" s="65"/>
      <c r="AJ195" s="65"/>
      <c r="AK195" s="65"/>
      <c r="AL195" s="65"/>
      <c r="AM195" s="65"/>
      <c r="AN195" s="65"/>
      <c r="AO195" s="65"/>
      <c r="AP195" s="65"/>
      <c r="AQ195" s="65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0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4"/>
      <c r="BY195" s="5"/>
      <c r="BZ195" s="60"/>
    </row>
    <row r="196" spans="1:78" x14ac:dyDescent="0.15">
      <c r="A196" s="5"/>
      <c r="B196" s="5"/>
      <c r="C196" s="5"/>
      <c r="D196" s="5"/>
      <c r="E196" s="5"/>
      <c r="F196" s="65"/>
      <c r="G196" s="65"/>
      <c r="H196" s="65"/>
      <c r="I196" s="65"/>
      <c r="J196" s="68"/>
      <c r="K196" s="68"/>
      <c r="L196" s="65"/>
      <c r="M196" s="68"/>
      <c r="N196" s="67"/>
      <c r="O196" s="67"/>
      <c r="P196" s="65"/>
      <c r="Q196" s="65"/>
      <c r="R196" s="65"/>
      <c r="S196" s="67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  <c r="AG196" s="65"/>
      <c r="AH196" s="65"/>
      <c r="AI196" s="65"/>
      <c r="AJ196" s="65"/>
      <c r="AK196" s="65"/>
      <c r="AL196" s="65"/>
      <c r="AM196" s="65"/>
      <c r="AN196" s="65"/>
      <c r="AO196" s="65"/>
      <c r="AP196" s="65"/>
      <c r="AQ196" s="65"/>
      <c r="AR196" s="78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75"/>
      <c r="BD196" s="75"/>
      <c r="BE196" s="75"/>
      <c r="BF196" s="75"/>
      <c r="BG196" s="75"/>
      <c r="BH196" s="75"/>
      <c r="BI196" s="75"/>
      <c r="BJ196" s="75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  <c r="BU196" s="76"/>
      <c r="BV196" s="76"/>
      <c r="BW196" s="76"/>
      <c r="BX196" s="54"/>
      <c r="BY196" s="5"/>
      <c r="BZ196" s="60"/>
    </row>
    <row r="197" spans="1:78" x14ac:dyDescent="0.15">
      <c r="A197" s="5"/>
      <c r="B197" s="5"/>
      <c r="C197" s="5"/>
      <c r="D197" s="5"/>
      <c r="E197" s="5"/>
      <c r="F197" s="65"/>
      <c r="G197" s="65"/>
      <c r="H197" s="65"/>
      <c r="I197" s="65"/>
      <c r="J197" s="68"/>
      <c r="K197" s="68"/>
      <c r="L197" s="65"/>
      <c r="M197" s="68"/>
      <c r="N197" s="67"/>
      <c r="O197" s="67"/>
      <c r="P197" s="65"/>
      <c r="Q197" s="65"/>
      <c r="R197" s="65"/>
      <c r="S197" s="67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  <c r="AG197" s="65"/>
      <c r="AH197" s="65"/>
      <c r="AI197" s="65"/>
      <c r="AJ197" s="65"/>
      <c r="AK197" s="65"/>
      <c r="AL197" s="65"/>
      <c r="AM197" s="65"/>
      <c r="AN197" s="65"/>
      <c r="AO197" s="65"/>
      <c r="AP197" s="65"/>
      <c r="AQ197" s="65"/>
      <c r="AR197" s="78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75"/>
      <c r="BD197" s="75"/>
      <c r="BE197" s="75"/>
      <c r="BF197" s="75"/>
      <c r="BG197" s="75"/>
      <c r="BH197" s="75"/>
      <c r="BI197" s="75"/>
      <c r="BJ197" s="75"/>
      <c r="BK197" s="75"/>
      <c r="BL197" s="76"/>
      <c r="BM197" s="76"/>
      <c r="BN197" s="76"/>
      <c r="BO197" s="76"/>
      <c r="BP197" s="76"/>
      <c r="BQ197" s="76"/>
      <c r="BR197" s="76"/>
      <c r="BS197" s="76"/>
      <c r="BT197" s="76"/>
      <c r="BU197" s="76"/>
      <c r="BV197" s="76"/>
      <c r="BW197" s="76"/>
      <c r="BX197" s="54"/>
      <c r="BY197" s="5"/>
      <c r="BZ197" s="60"/>
    </row>
    <row r="198" spans="1:78" x14ac:dyDescent="0.15">
      <c r="A198" s="5"/>
      <c r="B198" s="5"/>
      <c r="C198" s="5"/>
      <c r="D198" s="5"/>
      <c r="E198" s="5"/>
      <c r="F198" s="5"/>
      <c r="G198" s="5"/>
      <c r="H198" s="5"/>
      <c r="I198" s="5"/>
      <c r="J198" s="10"/>
      <c r="K198" s="10"/>
      <c r="L198" s="5"/>
      <c r="M198" s="72"/>
      <c r="N198" s="54"/>
      <c r="O198" s="54"/>
      <c r="P198" s="5"/>
      <c r="Q198" s="60"/>
      <c r="R198" s="60"/>
      <c r="S198" s="54"/>
      <c r="T198" s="60"/>
      <c r="U198" s="60"/>
      <c r="V198" s="60"/>
      <c r="W198" s="60"/>
      <c r="X198" s="60"/>
      <c r="Y198" s="60"/>
      <c r="BX198" s="54"/>
      <c r="BZ198" s="60"/>
    </row>
    <row r="199" spans="1:78" x14ac:dyDescent="0.15">
      <c r="A199" s="5"/>
      <c r="B199" s="5"/>
      <c r="C199" s="5"/>
      <c r="D199" s="5"/>
      <c r="E199" s="5"/>
      <c r="F199" s="65"/>
      <c r="G199" s="65"/>
      <c r="H199" s="65"/>
      <c r="I199" s="65"/>
      <c r="J199" s="68"/>
      <c r="K199" s="68"/>
      <c r="L199" s="65"/>
      <c r="M199" s="68"/>
      <c r="N199" s="67"/>
      <c r="O199" s="67"/>
      <c r="P199" s="65"/>
      <c r="Q199" s="65"/>
      <c r="R199" s="65"/>
      <c r="S199" s="67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  <c r="AG199" s="65"/>
      <c r="AH199" s="65"/>
      <c r="AI199" s="65"/>
      <c r="AJ199" s="65"/>
      <c r="AK199" s="65"/>
      <c r="AL199" s="65"/>
      <c r="AM199" s="65"/>
      <c r="AN199" s="65"/>
      <c r="AO199" s="65"/>
      <c r="AP199" s="65"/>
      <c r="AQ199" s="65"/>
      <c r="AR199" s="78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75"/>
      <c r="BD199" s="75"/>
      <c r="BE199" s="75"/>
      <c r="BF199" s="75"/>
      <c r="BG199" s="75"/>
      <c r="BH199" s="75"/>
      <c r="BI199" s="75"/>
      <c r="BJ199" s="75"/>
      <c r="BK199" s="76"/>
      <c r="BL199" s="76"/>
      <c r="BM199" s="76"/>
      <c r="BN199" s="76"/>
      <c r="BO199" s="76"/>
      <c r="BP199" s="76"/>
      <c r="BQ199" s="76"/>
      <c r="BR199" s="76"/>
      <c r="BS199" s="76"/>
      <c r="BT199" s="76"/>
      <c r="BU199" s="76"/>
      <c r="BV199" s="76"/>
      <c r="BW199" s="76"/>
      <c r="BX199" s="54"/>
      <c r="BY199" s="5"/>
      <c r="BZ199" s="60"/>
    </row>
    <row r="200" spans="1:78" x14ac:dyDescent="0.15">
      <c r="A200" s="5"/>
      <c r="B200" s="5"/>
      <c r="C200" s="5"/>
      <c r="D200" s="5"/>
      <c r="E200" s="5"/>
      <c r="F200" s="10"/>
      <c r="G200" s="10"/>
      <c r="H200" s="10"/>
      <c r="I200" s="10"/>
      <c r="J200" s="10"/>
      <c r="K200" s="10"/>
      <c r="L200" s="10"/>
      <c r="M200" s="72"/>
      <c r="N200" s="54"/>
      <c r="O200" s="54"/>
      <c r="P200" s="10"/>
      <c r="Q200" s="60"/>
      <c r="R200" s="60"/>
      <c r="S200" s="54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5"/>
      <c r="AG200" s="65"/>
      <c r="AH200" s="65"/>
      <c r="AI200" s="65"/>
      <c r="AJ200" s="65"/>
      <c r="AK200" s="65"/>
      <c r="AL200" s="65"/>
      <c r="AM200" s="65"/>
      <c r="AN200" s="65"/>
      <c r="AO200" s="65"/>
      <c r="AP200" s="65"/>
      <c r="AQ200" s="65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0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4"/>
      <c r="BY200" s="5"/>
      <c r="BZ200" s="60"/>
    </row>
    <row r="201" spans="1:78" x14ac:dyDescent="0.15">
      <c r="A201" s="5"/>
      <c r="B201" s="5"/>
      <c r="C201" s="5"/>
      <c r="D201" s="5"/>
      <c r="E201" s="5"/>
      <c r="F201" s="65"/>
      <c r="G201" s="65"/>
      <c r="H201" s="65"/>
      <c r="I201" s="65"/>
      <c r="J201" s="68"/>
      <c r="K201" s="68"/>
      <c r="L201" s="65"/>
      <c r="M201" s="68"/>
      <c r="N201" s="67"/>
      <c r="O201" s="67"/>
      <c r="P201" s="65"/>
      <c r="Q201" s="65"/>
      <c r="R201" s="65"/>
      <c r="S201" s="67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65"/>
      <c r="AO201" s="65"/>
      <c r="AP201" s="65"/>
      <c r="AQ201" s="65"/>
      <c r="AR201" s="78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75"/>
      <c r="BD201" s="75"/>
      <c r="BE201" s="75"/>
      <c r="BF201" s="75"/>
      <c r="BG201" s="75"/>
      <c r="BH201" s="75"/>
      <c r="BI201" s="75"/>
      <c r="BJ201" s="75"/>
      <c r="BK201" s="75"/>
      <c r="BL201" s="76"/>
      <c r="BM201" s="76"/>
      <c r="BN201" s="76"/>
      <c r="BO201" s="76"/>
      <c r="BP201" s="76"/>
      <c r="BQ201" s="76"/>
      <c r="BR201" s="76"/>
      <c r="BS201" s="76"/>
      <c r="BT201" s="76"/>
      <c r="BU201" s="76"/>
      <c r="BV201" s="76"/>
      <c r="BW201" s="76"/>
      <c r="BX201" s="54"/>
      <c r="BY201" s="55"/>
      <c r="BZ201" s="60"/>
    </row>
    <row r="202" spans="1:78" x14ac:dyDescent="0.15">
      <c r="A202" s="5"/>
      <c r="B202" s="5"/>
      <c r="C202" s="5"/>
      <c r="D202" s="5"/>
      <c r="E202" s="5"/>
      <c r="F202" s="65"/>
      <c r="G202" s="65"/>
      <c r="H202" s="65"/>
      <c r="I202" s="65"/>
      <c r="J202" s="68"/>
      <c r="K202" s="68"/>
      <c r="L202" s="65"/>
      <c r="M202" s="68"/>
      <c r="N202" s="67"/>
      <c r="O202" s="67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65"/>
      <c r="AO202" s="65"/>
      <c r="AP202" s="65"/>
      <c r="AQ202" s="65"/>
      <c r="AR202" s="77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75"/>
      <c r="BD202" s="75"/>
      <c r="BE202" s="75"/>
      <c r="BF202" s="75"/>
      <c r="BG202" s="75"/>
      <c r="BH202" s="75"/>
      <c r="BI202" s="75"/>
      <c r="BJ202" s="75"/>
      <c r="BK202" s="75"/>
      <c r="BL202" s="76"/>
      <c r="BM202" s="76"/>
      <c r="BN202" s="76"/>
      <c r="BO202" s="76"/>
      <c r="BP202" s="76"/>
      <c r="BQ202" s="76"/>
      <c r="BR202" s="76"/>
      <c r="BS202" s="76"/>
      <c r="BT202" s="76"/>
      <c r="BU202" s="76"/>
      <c r="BV202" s="76"/>
      <c r="BW202" s="76"/>
      <c r="BX202" s="54"/>
      <c r="BY202" s="55"/>
      <c r="BZ202" s="60"/>
    </row>
    <row r="203" spans="1:78" x14ac:dyDescent="0.15">
      <c r="A203" s="5"/>
      <c r="B203" s="5"/>
      <c r="C203" s="5"/>
      <c r="D203" s="5"/>
      <c r="E203" s="5"/>
      <c r="F203" s="65"/>
      <c r="G203" s="65"/>
      <c r="H203" s="65"/>
      <c r="I203" s="65"/>
      <c r="J203" s="68"/>
      <c r="K203" s="68"/>
      <c r="L203" s="65"/>
      <c r="M203" s="68"/>
      <c r="N203" s="67"/>
      <c r="O203" s="67"/>
      <c r="P203" s="65"/>
      <c r="Q203" s="65"/>
      <c r="R203" s="65"/>
      <c r="S203" s="67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  <c r="AG203" s="65"/>
      <c r="AH203" s="65"/>
      <c r="AI203" s="65"/>
      <c r="AJ203" s="65"/>
      <c r="AK203" s="65"/>
      <c r="AL203" s="65"/>
      <c r="AM203" s="65"/>
      <c r="AN203" s="65"/>
      <c r="AO203" s="65"/>
      <c r="AP203" s="65"/>
      <c r="AQ203" s="65"/>
      <c r="AR203" s="78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75"/>
      <c r="BD203" s="75"/>
      <c r="BE203" s="75"/>
      <c r="BF203" s="75"/>
      <c r="BG203" s="75"/>
      <c r="BH203" s="75"/>
      <c r="BI203" s="75"/>
      <c r="BJ203" s="75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  <c r="BU203" s="76"/>
      <c r="BV203" s="76"/>
      <c r="BW203" s="76"/>
      <c r="BX203" s="54"/>
      <c r="BY203" s="5"/>
      <c r="BZ203" s="60"/>
    </row>
    <row r="204" spans="1:78" x14ac:dyDescent="0.15">
      <c r="A204" s="5"/>
      <c r="B204" s="5"/>
      <c r="C204" s="5"/>
      <c r="D204" s="5"/>
      <c r="E204" s="5"/>
      <c r="F204" s="10"/>
      <c r="G204" s="10"/>
      <c r="H204" s="10"/>
      <c r="I204" s="10"/>
      <c r="J204" s="69"/>
      <c r="K204" s="69"/>
      <c r="L204" s="10"/>
      <c r="M204" s="72"/>
      <c r="N204" s="57"/>
      <c r="O204" s="54"/>
      <c r="P204" s="10"/>
      <c r="Q204" s="61"/>
      <c r="R204" s="61"/>
      <c r="S204" s="57"/>
      <c r="T204" s="61"/>
      <c r="U204" s="61"/>
      <c r="V204" s="60"/>
      <c r="W204" s="60"/>
      <c r="X204" s="62"/>
      <c r="Y204" s="60"/>
      <c r="Z204" s="60"/>
      <c r="AA204" s="60"/>
      <c r="AB204" s="60"/>
      <c r="AC204" s="60"/>
      <c r="AD204" s="60"/>
      <c r="AE204" s="60"/>
      <c r="AF204" s="65"/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5"/>
      <c r="BV204" s="5"/>
      <c r="BW204" s="5"/>
      <c r="BX204" s="54"/>
      <c r="BY204" s="5"/>
      <c r="BZ204" s="60"/>
    </row>
    <row r="205" spans="1:78" x14ac:dyDescent="0.15">
      <c r="A205" s="5"/>
      <c r="B205" s="5"/>
      <c r="C205" s="5"/>
      <c r="D205" s="5"/>
      <c r="E205" s="5"/>
      <c r="F205" s="65"/>
      <c r="G205" s="65"/>
      <c r="H205" s="65"/>
      <c r="I205" s="65"/>
      <c r="J205" s="68"/>
      <c r="K205" s="68"/>
      <c r="L205" s="65"/>
      <c r="M205" s="68"/>
      <c r="N205" s="67"/>
      <c r="O205" s="67"/>
      <c r="P205" s="65"/>
      <c r="Q205" s="65"/>
      <c r="R205" s="65"/>
      <c r="S205" s="67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  <c r="AG205" s="65"/>
      <c r="AH205" s="65"/>
      <c r="AI205" s="65"/>
      <c r="AJ205" s="65"/>
      <c r="AK205" s="65"/>
      <c r="AL205" s="65"/>
      <c r="AM205" s="65"/>
      <c r="AN205" s="65"/>
      <c r="AO205" s="65"/>
      <c r="AP205" s="65"/>
      <c r="AQ205" s="65"/>
      <c r="AR205" s="78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75"/>
      <c r="BD205" s="75"/>
      <c r="BE205" s="75"/>
      <c r="BF205" s="75"/>
      <c r="BG205" s="75"/>
      <c r="BH205" s="75"/>
      <c r="BI205" s="75"/>
      <c r="BJ205" s="75"/>
      <c r="BK205" s="75"/>
      <c r="BL205" s="76"/>
      <c r="BM205" s="76"/>
      <c r="BN205" s="76"/>
      <c r="BO205" s="76"/>
      <c r="BP205" s="76"/>
      <c r="BQ205" s="76"/>
      <c r="BR205" s="76"/>
      <c r="BS205" s="76"/>
      <c r="BT205" s="76"/>
      <c r="BU205" s="76"/>
      <c r="BV205" s="76"/>
      <c r="BW205" s="76"/>
      <c r="BX205" s="54"/>
      <c r="BY205" s="5"/>
      <c r="BZ205" s="60"/>
    </row>
    <row r="206" spans="1:78" x14ac:dyDescent="0.15">
      <c r="BX206" s="54"/>
      <c r="BZ206" s="60"/>
    </row>
    <row r="207" spans="1:78" x14ac:dyDescent="0.15">
      <c r="BX207" s="54"/>
      <c r="BZ207" s="60"/>
    </row>
    <row r="208" spans="1:78" x14ac:dyDescent="0.15">
      <c r="A208" s="5"/>
      <c r="B208" s="5"/>
      <c r="C208" s="5"/>
      <c r="D208" s="5"/>
      <c r="E208" s="5"/>
      <c r="F208" s="65"/>
      <c r="G208" s="65"/>
      <c r="H208" s="65"/>
      <c r="I208" s="65"/>
      <c r="J208" s="68"/>
      <c r="K208" s="68"/>
      <c r="L208" s="65"/>
      <c r="M208" s="68"/>
      <c r="N208" s="67"/>
      <c r="O208" s="67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  <c r="AG208" s="65"/>
      <c r="AH208" s="65"/>
      <c r="AI208" s="65"/>
      <c r="AJ208" s="65"/>
      <c r="AK208" s="65"/>
      <c r="AL208" s="65"/>
      <c r="AM208" s="65"/>
      <c r="AN208" s="65"/>
      <c r="AO208" s="65"/>
      <c r="AP208" s="65"/>
      <c r="AQ208" s="65"/>
      <c r="AR208" s="77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75"/>
      <c r="BD208" s="75"/>
      <c r="BE208" s="75"/>
      <c r="BF208" s="75"/>
      <c r="BG208" s="75"/>
      <c r="BH208" s="75"/>
      <c r="BI208" s="75"/>
      <c r="BJ208" s="75"/>
      <c r="BK208" s="75"/>
      <c r="BL208" s="76"/>
      <c r="BM208" s="76"/>
      <c r="BN208" s="76"/>
      <c r="BO208" s="76"/>
      <c r="BP208" s="76"/>
      <c r="BQ208" s="76"/>
      <c r="BR208" s="76"/>
      <c r="BS208" s="76"/>
      <c r="BT208" s="76"/>
      <c r="BU208" s="76"/>
      <c r="BV208" s="76"/>
      <c r="BW208" s="76"/>
      <c r="BX208" s="54"/>
      <c r="BY208" s="5"/>
      <c r="BZ208" s="60"/>
    </row>
    <row r="209" spans="1:78" x14ac:dyDescent="0.15">
      <c r="A209" s="5"/>
      <c r="B209" s="5"/>
      <c r="C209" s="5"/>
      <c r="D209" s="5"/>
      <c r="E209" s="5"/>
      <c r="F209" s="10"/>
      <c r="G209" s="10"/>
      <c r="H209" s="10"/>
      <c r="I209" s="10"/>
      <c r="J209" s="10"/>
      <c r="K209" s="10"/>
      <c r="L209" s="10"/>
      <c r="M209" s="72"/>
      <c r="N209" s="54"/>
      <c r="O209" s="54"/>
      <c r="P209" s="10"/>
      <c r="Q209" s="60"/>
      <c r="R209" s="60"/>
      <c r="S209" s="54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5"/>
      <c r="AG209" s="65"/>
      <c r="AH209" s="65"/>
      <c r="AI209" s="65"/>
      <c r="AJ209" s="65"/>
      <c r="AK209" s="65"/>
      <c r="AL209" s="65"/>
      <c r="AM209" s="65"/>
      <c r="AN209" s="65"/>
      <c r="AO209" s="65"/>
      <c r="AP209" s="65"/>
      <c r="AQ209" s="65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0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4"/>
      <c r="BY209" s="5"/>
      <c r="BZ209" s="60"/>
    </row>
    <row r="210" spans="1:78" x14ac:dyDescent="0.15">
      <c r="BZ210" s="60"/>
    </row>
    <row r="211" spans="1:78" x14ac:dyDescent="0.15"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Z211" s="60"/>
    </row>
    <row r="212" spans="1:78" x14ac:dyDescent="0.15">
      <c r="A212" s="5"/>
      <c r="B212" s="5"/>
      <c r="C212" s="5"/>
      <c r="D212" s="5"/>
      <c r="E212" s="5"/>
      <c r="F212" s="5"/>
      <c r="G212" s="5"/>
      <c r="H212" s="5"/>
      <c r="I212" s="5"/>
      <c r="J212" s="69"/>
      <c r="K212" s="69"/>
      <c r="L212" s="5"/>
      <c r="M212" s="72"/>
      <c r="N212" s="57"/>
      <c r="O212" s="54"/>
      <c r="P212" s="5"/>
      <c r="Q212" s="61"/>
      <c r="R212" s="61"/>
      <c r="S212" s="57"/>
      <c r="T212" s="61"/>
      <c r="U212" s="61"/>
      <c r="V212" s="60"/>
      <c r="W212" s="60"/>
      <c r="X212" s="61"/>
      <c r="Y212" s="60"/>
      <c r="BX212" s="54"/>
      <c r="BZ212" s="60"/>
    </row>
    <row r="213" spans="1:78" x14ac:dyDescent="0.15">
      <c r="A213" s="5"/>
      <c r="B213" s="5"/>
      <c r="C213" s="5"/>
      <c r="D213" s="5"/>
      <c r="E213" s="5"/>
      <c r="F213" s="65"/>
      <c r="G213" s="65"/>
      <c r="H213" s="65"/>
      <c r="I213" s="65"/>
      <c r="J213" s="68"/>
      <c r="K213" s="68"/>
      <c r="L213" s="65"/>
      <c r="M213" s="68"/>
      <c r="N213" s="67"/>
      <c r="O213" s="67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  <c r="AG213" s="65"/>
      <c r="AH213" s="65"/>
      <c r="AI213" s="65"/>
      <c r="AJ213" s="65"/>
      <c r="AK213" s="65"/>
      <c r="AL213" s="65"/>
      <c r="AM213" s="65"/>
      <c r="AN213" s="65"/>
      <c r="AO213" s="65"/>
      <c r="AP213" s="65"/>
      <c r="AQ213" s="65"/>
      <c r="AR213" s="78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75"/>
      <c r="BD213" s="75"/>
      <c r="BE213" s="75"/>
      <c r="BF213" s="75"/>
      <c r="BG213" s="75"/>
      <c r="BH213" s="75"/>
      <c r="BI213" s="75"/>
      <c r="BJ213" s="75"/>
      <c r="BK213" s="75"/>
      <c r="BL213" s="76"/>
      <c r="BM213" s="76"/>
      <c r="BN213" s="76"/>
      <c r="BO213" s="76"/>
      <c r="BP213" s="76"/>
      <c r="BQ213" s="76"/>
      <c r="BR213" s="76"/>
      <c r="BS213" s="76"/>
      <c r="BT213" s="76"/>
      <c r="BU213" s="76"/>
      <c r="BV213" s="76"/>
      <c r="BW213" s="76"/>
      <c r="BX213" s="54"/>
      <c r="BY213" s="5"/>
      <c r="BZ213" s="60"/>
    </row>
    <row r="214" spans="1:78" x14ac:dyDescent="0.15">
      <c r="A214" s="5"/>
      <c r="B214" s="5"/>
      <c r="C214" s="5"/>
      <c r="D214" s="5"/>
      <c r="E214" s="5"/>
      <c r="F214" s="5"/>
      <c r="G214" s="5"/>
      <c r="H214" s="5"/>
      <c r="I214" s="5"/>
      <c r="J214" s="10"/>
      <c r="K214" s="10"/>
      <c r="L214" s="5"/>
      <c r="M214" s="72"/>
      <c r="N214" s="54"/>
      <c r="O214" s="54"/>
      <c r="P214" s="5"/>
      <c r="Q214" s="60"/>
      <c r="R214" s="60"/>
      <c r="S214" s="54"/>
      <c r="T214" s="60"/>
      <c r="U214" s="60"/>
      <c r="V214" s="60"/>
      <c r="W214" s="60"/>
      <c r="X214" s="60"/>
      <c r="Y214" s="60"/>
      <c r="BX214" s="54"/>
      <c r="BY214" s="86"/>
      <c r="BZ214" s="60"/>
    </row>
    <row r="215" spans="1:78" x14ac:dyDescent="0.15">
      <c r="A215" s="5"/>
      <c r="B215" s="5"/>
      <c r="C215" s="5"/>
      <c r="D215" s="5"/>
      <c r="E215" s="5"/>
      <c r="F215" s="65"/>
      <c r="G215" s="65"/>
      <c r="H215" s="65"/>
      <c r="I215" s="65"/>
      <c r="J215" s="68"/>
      <c r="K215" s="68"/>
      <c r="L215" s="65"/>
      <c r="M215" s="68"/>
      <c r="N215" s="67"/>
      <c r="O215" s="67"/>
      <c r="P215" s="65"/>
      <c r="Q215" s="65"/>
      <c r="R215" s="65"/>
      <c r="S215" s="67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78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75"/>
      <c r="BD215" s="75"/>
      <c r="BE215" s="75"/>
      <c r="BF215" s="75"/>
      <c r="BG215" s="75"/>
      <c r="BH215" s="75"/>
      <c r="BI215" s="75"/>
      <c r="BJ215" s="75"/>
      <c r="BK215" s="75"/>
      <c r="BL215" s="76"/>
      <c r="BM215" s="76"/>
      <c r="BN215" s="76"/>
      <c r="BO215" s="76"/>
      <c r="BP215" s="76"/>
      <c r="BQ215" s="76"/>
      <c r="BR215" s="76"/>
      <c r="BS215" s="76"/>
      <c r="BT215" s="76"/>
      <c r="BU215" s="76"/>
      <c r="BV215" s="76"/>
      <c r="BW215" s="76"/>
      <c r="BX215" s="54"/>
      <c r="BY215" s="5"/>
      <c r="BZ215" s="60"/>
    </row>
    <row r="216" spans="1:78" x14ac:dyDescent="0.15">
      <c r="A216" s="5"/>
      <c r="B216" s="5"/>
      <c r="C216" s="5"/>
      <c r="D216" s="5"/>
      <c r="E216" s="5"/>
      <c r="F216" s="10"/>
      <c r="G216" s="10"/>
      <c r="H216" s="10"/>
      <c r="I216" s="10"/>
      <c r="J216" s="69"/>
      <c r="K216" s="69"/>
      <c r="L216" s="10"/>
      <c r="M216" s="72"/>
      <c r="N216" s="57"/>
      <c r="O216" s="54"/>
      <c r="P216" s="10"/>
      <c r="Q216" s="61"/>
      <c r="R216" s="61"/>
      <c r="S216" s="57"/>
      <c r="T216" s="61"/>
      <c r="U216" s="61"/>
      <c r="V216" s="60"/>
      <c r="W216" s="60"/>
      <c r="X216" s="61"/>
      <c r="Y216" s="60"/>
      <c r="Z216" s="60"/>
      <c r="AA216" s="60"/>
      <c r="AB216" s="60"/>
      <c r="AC216" s="60"/>
      <c r="AD216" s="60"/>
      <c r="AE216" s="60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0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4"/>
      <c r="BY216" s="5"/>
      <c r="BZ216" s="60"/>
    </row>
    <row r="217" spans="1:78" x14ac:dyDescent="0.15">
      <c r="A217" s="5"/>
      <c r="B217" s="5"/>
      <c r="C217" s="5"/>
      <c r="D217" s="5"/>
      <c r="E217" s="5"/>
      <c r="F217" s="5"/>
      <c r="G217" s="5"/>
      <c r="H217" s="5"/>
      <c r="I217" s="5"/>
      <c r="J217" s="10"/>
      <c r="K217" s="10"/>
      <c r="L217" s="5"/>
      <c r="M217" s="72"/>
      <c r="N217" s="54"/>
      <c r="O217" s="54"/>
      <c r="P217" s="5"/>
      <c r="Q217" s="60"/>
      <c r="R217" s="60"/>
      <c r="S217" s="54"/>
      <c r="T217" s="60"/>
      <c r="U217" s="60"/>
      <c r="V217" s="60"/>
      <c r="W217" s="60"/>
      <c r="X217" s="60"/>
      <c r="Y217" s="60"/>
      <c r="BX217" s="54"/>
      <c r="BZ217" s="60"/>
    </row>
    <row r="218" spans="1:78" x14ac:dyDescent="0.15"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Z218" s="60"/>
    </row>
    <row r="219" spans="1:78" x14ac:dyDescent="0.15">
      <c r="A219" s="5"/>
      <c r="B219" s="5"/>
      <c r="C219" s="5"/>
      <c r="D219" s="5"/>
      <c r="E219" s="5"/>
      <c r="F219" s="10"/>
      <c r="G219" s="10"/>
      <c r="H219" s="10"/>
      <c r="I219" s="10"/>
      <c r="J219" s="69"/>
      <c r="K219" s="69"/>
      <c r="L219" s="10"/>
      <c r="M219" s="72"/>
      <c r="N219" s="57"/>
      <c r="O219" s="54"/>
      <c r="P219" s="10"/>
      <c r="Q219" s="61"/>
      <c r="R219" s="61"/>
      <c r="S219" s="57"/>
      <c r="T219" s="61"/>
      <c r="U219" s="61"/>
      <c r="V219" s="60"/>
      <c r="W219" s="60"/>
      <c r="X219" s="61"/>
      <c r="Y219" s="60"/>
      <c r="Z219" s="60"/>
      <c r="AA219" s="60"/>
      <c r="AB219" s="60"/>
      <c r="AC219" s="60"/>
      <c r="AD219" s="60"/>
      <c r="AE219" s="60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0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4"/>
      <c r="BY219" s="5"/>
      <c r="BZ219" s="60"/>
    </row>
    <row r="220" spans="1:78" x14ac:dyDescent="0.15">
      <c r="BX220" s="54"/>
      <c r="BZ220" s="60"/>
    </row>
    <row r="221" spans="1:78" x14ac:dyDescent="0.15">
      <c r="A221" s="5"/>
      <c r="B221" s="5"/>
      <c r="C221" s="5"/>
      <c r="D221" s="5"/>
      <c r="E221" s="5"/>
      <c r="F221" s="65"/>
      <c r="G221" s="65"/>
      <c r="H221" s="65"/>
      <c r="I221" s="65"/>
      <c r="J221" s="68"/>
      <c r="K221" s="68"/>
      <c r="L221" s="65"/>
      <c r="M221" s="68"/>
      <c r="N221" s="67"/>
      <c r="O221" s="67"/>
      <c r="P221" s="65"/>
      <c r="Q221" s="65"/>
      <c r="R221" s="65"/>
      <c r="S221" s="67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77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75"/>
      <c r="BD221" s="75"/>
      <c r="BE221" s="75"/>
      <c r="BF221" s="75"/>
      <c r="BG221" s="75"/>
      <c r="BH221" s="75"/>
      <c r="BI221" s="75"/>
      <c r="BJ221" s="75"/>
      <c r="BK221" s="75"/>
      <c r="BL221" s="76"/>
      <c r="BM221" s="76"/>
      <c r="BN221" s="76"/>
      <c r="BO221" s="76"/>
      <c r="BP221" s="76"/>
      <c r="BQ221" s="76"/>
      <c r="BR221" s="76"/>
      <c r="BS221" s="76"/>
      <c r="BT221" s="76"/>
      <c r="BU221" s="76"/>
      <c r="BV221" s="76"/>
      <c r="BW221" s="76"/>
      <c r="BX221" s="54"/>
      <c r="BY221" s="5"/>
      <c r="BZ221" s="60"/>
    </row>
    <row r="222" spans="1:78" x14ac:dyDescent="0.15">
      <c r="A222" s="5"/>
      <c r="B222" s="5"/>
      <c r="C222" s="5"/>
      <c r="D222" s="5"/>
      <c r="E222" s="5"/>
      <c r="F222" s="10"/>
      <c r="G222" s="10"/>
      <c r="H222" s="10"/>
      <c r="I222" s="10"/>
      <c r="J222" s="10"/>
      <c r="K222" s="10"/>
      <c r="L222" s="10"/>
      <c r="M222" s="72"/>
      <c r="N222" s="54"/>
      <c r="O222" s="54"/>
      <c r="P222" s="10"/>
      <c r="Q222" s="60"/>
      <c r="R222" s="60"/>
      <c r="S222" s="54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0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4"/>
      <c r="BY222" s="5"/>
      <c r="BZ222" s="60"/>
    </row>
    <row r="223" spans="1:78" x14ac:dyDescent="0.15">
      <c r="A223" s="5"/>
      <c r="B223" s="5"/>
      <c r="C223" s="5"/>
      <c r="D223" s="5"/>
      <c r="E223" s="5"/>
      <c r="F223" s="10"/>
      <c r="G223" s="10"/>
      <c r="H223" s="10"/>
      <c r="I223" s="10"/>
      <c r="J223" s="10"/>
      <c r="K223" s="10"/>
      <c r="L223" s="10"/>
      <c r="M223" s="72"/>
      <c r="N223" s="54"/>
      <c r="O223" s="54"/>
      <c r="P223" s="10"/>
      <c r="Q223" s="60"/>
      <c r="R223" s="60"/>
      <c r="S223" s="54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0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4"/>
      <c r="BY223" s="5"/>
      <c r="BZ223" s="60"/>
    </row>
    <row r="224" spans="1:78" x14ac:dyDescent="0.15">
      <c r="BZ224" s="60"/>
    </row>
    <row r="225" spans="1:78" x14ac:dyDescent="0.15">
      <c r="A225" s="5"/>
      <c r="B225" s="5"/>
      <c r="C225" s="5"/>
      <c r="D225" s="5"/>
      <c r="E225" s="5"/>
      <c r="F225" s="65"/>
      <c r="G225" s="65"/>
      <c r="H225" s="65"/>
      <c r="I225" s="65"/>
      <c r="J225" s="68"/>
      <c r="K225" s="68"/>
      <c r="L225" s="65"/>
      <c r="M225" s="68"/>
      <c r="N225" s="67"/>
      <c r="O225" s="67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77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75"/>
      <c r="BD225" s="75"/>
      <c r="BE225" s="75"/>
      <c r="BF225" s="75"/>
      <c r="BG225" s="75"/>
      <c r="BH225" s="75"/>
      <c r="BI225" s="75"/>
      <c r="BJ225" s="75"/>
      <c r="BK225" s="76"/>
      <c r="BL225" s="76"/>
      <c r="BM225" s="76"/>
      <c r="BN225" s="76"/>
      <c r="BO225" s="76"/>
      <c r="BP225" s="76"/>
      <c r="BQ225" s="76"/>
      <c r="BR225" s="76"/>
      <c r="BS225" s="76"/>
      <c r="BT225" s="76"/>
      <c r="BU225" s="76"/>
      <c r="BV225" s="76"/>
      <c r="BW225" s="76"/>
      <c r="BX225" s="54"/>
      <c r="BY225" s="55"/>
      <c r="BZ225" s="60"/>
    </row>
    <row r="226" spans="1:78" x14ac:dyDescent="0.15">
      <c r="A226" s="5"/>
      <c r="B226" s="5"/>
      <c r="C226" s="5"/>
      <c r="D226" s="5"/>
      <c r="E226" s="5"/>
      <c r="F226" s="65"/>
      <c r="G226" s="65"/>
      <c r="H226" s="65"/>
      <c r="I226" s="65"/>
      <c r="J226" s="68"/>
      <c r="K226" s="68"/>
      <c r="L226" s="65"/>
      <c r="M226" s="68"/>
      <c r="N226" s="67"/>
      <c r="O226" s="67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77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75"/>
      <c r="BD226" s="75"/>
      <c r="BE226" s="75"/>
      <c r="BF226" s="75"/>
      <c r="BG226" s="75"/>
      <c r="BH226" s="75"/>
      <c r="BI226" s="75"/>
      <c r="BJ226" s="75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  <c r="BU226" s="76"/>
      <c r="BV226" s="76"/>
      <c r="BW226" s="76"/>
      <c r="BX226" s="54"/>
      <c r="BY226" s="5"/>
      <c r="BZ226" s="60"/>
    </row>
    <row r="227" spans="1:78" x14ac:dyDescent="0.15">
      <c r="A227" s="5"/>
      <c r="B227" s="5"/>
      <c r="C227" s="5"/>
      <c r="D227" s="5"/>
      <c r="E227" s="5"/>
      <c r="F227" s="65"/>
      <c r="G227" s="65"/>
      <c r="H227" s="65"/>
      <c r="I227" s="65"/>
      <c r="J227" s="68"/>
      <c r="K227" s="68"/>
      <c r="L227" s="65"/>
      <c r="M227" s="68"/>
      <c r="N227" s="67"/>
      <c r="O227" s="67"/>
      <c r="P227" s="65"/>
      <c r="Q227" s="65"/>
      <c r="R227" s="65"/>
      <c r="S227" s="67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78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75"/>
      <c r="BD227" s="75"/>
      <c r="BE227" s="75"/>
      <c r="BF227" s="75"/>
      <c r="BG227" s="75"/>
      <c r="BH227" s="75"/>
      <c r="BI227" s="75"/>
      <c r="BJ227" s="75"/>
      <c r="BK227" s="75"/>
      <c r="BL227" s="76"/>
      <c r="BM227" s="76"/>
      <c r="BN227" s="76"/>
      <c r="BO227" s="76"/>
      <c r="BP227" s="76"/>
      <c r="BQ227" s="76"/>
      <c r="BR227" s="76"/>
      <c r="BS227" s="76"/>
      <c r="BT227" s="76"/>
      <c r="BU227" s="76"/>
      <c r="BV227" s="76"/>
      <c r="BW227" s="76"/>
      <c r="BX227" s="54"/>
      <c r="BY227" s="5"/>
      <c r="BZ227" s="60"/>
    </row>
    <row r="228" spans="1:78" x14ac:dyDescent="0.15">
      <c r="A228" s="5"/>
      <c r="B228" s="5"/>
      <c r="C228" s="5"/>
      <c r="D228" s="5"/>
      <c r="E228" s="5"/>
      <c r="F228" s="65"/>
      <c r="G228" s="65"/>
      <c r="H228" s="65"/>
      <c r="I228" s="65"/>
      <c r="J228" s="68"/>
      <c r="K228" s="68"/>
      <c r="L228" s="65"/>
      <c r="M228" s="68"/>
      <c r="N228" s="67"/>
      <c r="O228" s="67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77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75"/>
      <c r="BD228" s="75"/>
      <c r="BE228" s="75"/>
      <c r="BF228" s="75"/>
      <c r="BG228" s="75"/>
      <c r="BH228" s="75"/>
      <c r="BI228" s="75"/>
      <c r="BJ228" s="75"/>
      <c r="BK228" s="75"/>
      <c r="BL228" s="76"/>
      <c r="BM228" s="76"/>
      <c r="BN228" s="76"/>
      <c r="BO228" s="76"/>
      <c r="BP228" s="76"/>
      <c r="BQ228" s="76"/>
      <c r="BR228" s="76"/>
      <c r="BS228" s="76"/>
      <c r="BT228" s="76"/>
      <c r="BU228" s="76"/>
      <c r="BV228" s="76"/>
      <c r="BW228" s="76"/>
      <c r="BX228" s="54"/>
      <c r="BY228" s="5"/>
      <c r="BZ228" s="60"/>
    </row>
    <row r="229" spans="1:78" x14ac:dyDescent="0.15">
      <c r="A229" s="5"/>
      <c r="B229" s="5"/>
      <c r="C229" s="5"/>
      <c r="D229" s="5"/>
      <c r="E229" s="5"/>
      <c r="F229" s="65"/>
      <c r="G229" s="65"/>
      <c r="H229" s="65"/>
      <c r="I229" s="65"/>
      <c r="J229" s="68"/>
      <c r="K229" s="68"/>
      <c r="L229" s="65"/>
      <c r="M229" s="68"/>
      <c r="N229" s="67"/>
      <c r="O229" s="67"/>
      <c r="P229" s="65"/>
      <c r="Q229" s="65"/>
      <c r="R229" s="65"/>
      <c r="S229" s="67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77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75"/>
      <c r="BD229" s="75"/>
      <c r="BE229" s="75"/>
      <c r="BF229" s="75"/>
      <c r="BG229" s="75"/>
      <c r="BH229" s="75"/>
      <c r="BI229" s="75"/>
      <c r="BJ229" s="75"/>
      <c r="BK229" s="75"/>
      <c r="BL229" s="76"/>
      <c r="BM229" s="76"/>
      <c r="BN229" s="76"/>
      <c r="BO229" s="76"/>
      <c r="BP229" s="76"/>
      <c r="BQ229" s="76"/>
      <c r="BR229" s="76"/>
      <c r="BS229" s="76"/>
      <c r="BT229" s="76"/>
      <c r="BU229" s="76"/>
      <c r="BV229" s="76"/>
      <c r="BW229" s="76"/>
      <c r="BX229" s="54"/>
      <c r="BY229" s="5"/>
      <c r="BZ229" s="60"/>
    </row>
  </sheetData>
  <autoFilter ref="A1:CG1">
    <sortState ref="A2:CG135">
      <sortCondition descending="1" ref="CG1"/>
    </sortState>
  </autoFilter>
  <phoneticPr fontId="2" type="noConversion"/>
  <conditionalFormatting sqref="F1:K3">
    <cfRule type="cellIs" dxfId="7" priority="9" stopIfTrue="1" operator="equal">
      <formula>222222</formula>
    </cfRule>
  </conditionalFormatting>
  <conditionalFormatting sqref="F108:AG157 F4:AQ105">
    <cfRule type="cellIs" dxfId="6" priority="10" stopIfTrue="1" operator="equal">
      <formula>"!Error!"</formula>
    </cfRule>
  </conditionalFormatting>
  <conditionalFormatting sqref="F169:AQ169">
    <cfRule type="cellIs" dxfId="5" priority="8" stopIfTrue="1" operator="equal">
      <formula>"!Error!"</formula>
    </cfRule>
  </conditionalFormatting>
  <conditionalFormatting sqref="F106:AQ107">
    <cfRule type="cellIs" dxfId="4" priority="2" stopIfTrue="1" operator="equal">
      <formula>"!Error!"</formula>
    </cfRule>
  </conditionalFormatting>
  <conditionalFormatting sqref="AR106">
    <cfRule type="cellIs" dxfId="3" priority="1" stopIfTrue="1" operator="equal">
      <formula>"!Error!"</formula>
    </cfRule>
  </conditionalFormatting>
  <pageMargins left="0.75" right="0.75" top="1" bottom="1" header="0.5" footer="0.5"/>
  <headerFooter alignWithMargins="0"/>
  <customProperties>
    <customPr name="DVSECTION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144"/>
  <sheetViews>
    <sheetView tabSelected="1" topLeftCell="K32" zoomScale="115" zoomScaleNormal="115" workbookViewId="0">
      <selection activeCell="N55" sqref="N55"/>
    </sheetView>
  </sheetViews>
  <sheetFormatPr baseColWidth="10" defaultColWidth="8.6640625" defaultRowHeight="14" x14ac:dyDescent="0.2"/>
  <cols>
    <col min="1" max="1" width="9.1640625" style="79" customWidth="1"/>
    <col min="2" max="2" width="32.5" style="79" bestFit="1" customWidth="1"/>
    <col min="3" max="3" width="17" style="79" bestFit="1" customWidth="1"/>
    <col min="4" max="4" width="29.5" style="79" customWidth="1"/>
    <col min="5" max="5" width="15.1640625" style="79" bestFit="1" customWidth="1"/>
    <col min="6" max="6" width="3.1640625" hidden="1" customWidth="1"/>
    <col min="7" max="8" width="8.6640625" hidden="1" customWidth="1"/>
    <col min="9" max="9" width="23.5" hidden="1" customWidth="1"/>
    <col min="10" max="10" width="13.33203125" hidden="1" customWidth="1"/>
    <col min="11" max="11" width="8.6640625" style="89"/>
    <col min="12" max="12" width="7.1640625" style="12" customWidth="1"/>
    <col min="13" max="13" width="6.33203125" style="246" customWidth="1"/>
    <col min="14" max="14" width="81.33203125" style="12" customWidth="1"/>
    <col min="15" max="16" width="18.6640625" style="12" customWidth="1"/>
    <col min="17" max="17" width="13.5" style="12" customWidth="1"/>
    <col min="18" max="18" width="21.33203125" style="12" customWidth="1"/>
    <col min="19" max="19" width="14.1640625" style="12" bestFit="1" customWidth="1"/>
    <col min="20" max="20" width="14.6640625" style="12" customWidth="1"/>
    <col min="21" max="21" width="18" style="12" customWidth="1"/>
    <col min="22" max="22" width="16.6640625" style="12" bestFit="1" customWidth="1"/>
    <col min="23" max="23" width="14.1640625" style="12" bestFit="1" customWidth="1"/>
    <col min="24" max="24" width="13.1640625" style="12" bestFit="1" customWidth="1"/>
    <col min="25" max="16384" width="8.6640625" style="12"/>
  </cols>
  <sheetData>
    <row r="1" spans="1:25" x14ac:dyDescent="0.2">
      <c r="A1" s="149"/>
      <c r="B1" s="284" t="s">
        <v>138</v>
      </c>
      <c r="C1" s="285"/>
      <c r="D1" s="149"/>
      <c r="E1" s="149"/>
      <c r="F1" s="150"/>
      <c r="G1" s="150"/>
      <c r="H1" s="150"/>
      <c r="I1" s="150"/>
      <c r="J1" s="150"/>
      <c r="K1" s="151"/>
      <c r="L1" s="152"/>
      <c r="M1" s="232"/>
      <c r="N1" s="152"/>
      <c r="O1" s="152"/>
      <c r="P1" s="152"/>
      <c r="Q1" s="152"/>
    </row>
    <row r="2" spans="1:25" ht="15" thickBot="1" x14ac:dyDescent="0.25">
      <c r="A2" s="149"/>
      <c r="B2" s="286" t="s">
        <v>139</v>
      </c>
      <c r="C2" s="287"/>
      <c r="D2" s="149"/>
      <c r="E2" s="149"/>
      <c r="F2" s="150"/>
      <c r="G2" s="150"/>
      <c r="H2" s="150"/>
      <c r="I2" s="150"/>
      <c r="J2" s="150"/>
      <c r="K2" s="151"/>
      <c r="L2" s="152"/>
      <c r="M2" s="233"/>
      <c r="N2" s="152"/>
      <c r="O2" s="152"/>
      <c r="P2" s="152"/>
      <c r="Q2" s="152"/>
    </row>
    <row r="3" spans="1:25" ht="20.25" customHeight="1" x14ac:dyDescent="0.2">
      <c r="A3" s="149"/>
      <c r="B3" s="130"/>
      <c r="C3" s="131"/>
      <c r="D3" s="149"/>
      <c r="E3" s="149"/>
      <c r="F3" s="150"/>
      <c r="G3" s="150"/>
      <c r="H3" s="150"/>
      <c r="I3" s="150"/>
      <c r="J3" s="150"/>
      <c r="K3" s="151"/>
      <c r="L3" s="41"/>
      <c r="M3" s="234"/>
      <c r="N3" s="41"/>
      <c r="O3" s="41"/>
      <c r="P3" s="41"/>
      <c r="Q3" s="52"/>
    </row>
    <row r="4" spans="1:25" s="49" customFormat="1" ht="16.5" customHeight="1" x14ac:dyDescent="0.15">
      <c r="A4" s="149"/>
      <c r="B4" s="157" t="s">
        <v>140</v>
      </c>
      <c r="C4" s="158">
        <v>194446806</v>
      </c>
      <c r="D4" s="149"/>
      <c r="E4" s="149"/>
      <c r="F4" s="150"/>
      <c r="G4" s="150"/>
      <c r="H4" s="150"/>
      <c r="I4" s="150"/>
      <c r="J4" s="150"/>
      <c r="K4" s="153"/>
      <c r="L4" s="90" t="s">
        <v>5</v>
      </c>
      <c r="M4" s="235" t="s">
        <v>148</v>
      </c>
      <c r="O4" s="51"/>
      <c r="P4" s="51"/>
      <c r="Q4" s="50"/>
    </row>
    <row r="5" spans="1:25" ht="13.5" customHeight="1" thickBot="1" x14ac:dyDescent="0.25">
      <c r="A5" s="149"/>
      <c r="B5" s="157" t="s">
        <v>141</v>
      </c>
      <c r="C5" s="162">
        <f>-185866522</f>
        <v>-185866522</v>
      </c>
      <c r="D5" s="149"/>
      <c r="E5" s="149"/>
      <c r="F5" s="150"/>
      <c r="G5" s="150"/>
      <c r="H5" s="150"/>
      <c r="I5" s="150"/>
      <c r="J5" s="150"/>
      <c r="K5" s="154"/>
      <c r="L5" s="48"/>
      <c r="M5" s="236"/>
      <c r="N5" s="48"/>
      <c r="O5" s="48"/>
      <c r="P5" s="48"/>
      <c r="Q5" s="47"/>
    </row>
    <row r="6" spans="1:25" ht="13.5" customHeight="1" thickBot="1" x14ac:dyDescent="0.25">
      <c r="A6" s="149"/>
      <c r="B6" s="157" t="s">
        <v>45</v>
      </c>
      <c r="C6" s="159">
        <f>C5+C4</f>
        <v>8580284</v>
      </c>
      <c r="D6" s="280" t="s">
        <v>145</v>
      </c>
      <c r="E6" s="149"/>
      <c r="F6" s="150"/>
      <c r="G6" s="150"/>
      <c r="H6" s="150"/>
      <c r="I6" s="150"/>
      <c r="J6" s="150"/>
      <c r="K6" s="154"/>
      <c r="L6" s="46"/>
      <c r="M6" s="237"/>
      <c r="N6" s="273" t="s">
        <v>147</v>
      </c>
      <c r="O6" s="273"/>
      <c r="P6" s="273"/>
      <c r="Q6" s="45"/>
    </row>
    <row r="7" spans="1:25" ht="13.5" customHeight="1" thickBot="1" x14ac:dyDescent="0.25">
      <c r="A7" s="149"/>
      <c r="B7" s="157" t="s">
        <v>101</v>
      </c>
      <c r="C7" s="159">
        <v>-181047</v>
      </c>
      <c r="D7" s="281"/>
      <c r="E7" s="149"/>
      <c r="F7" s="150"/>
      <c r="G7" s="150"/>
      <c r="H7" s="150"/>
      <c r="I7" s="150"/>
      <c r="J7" s="150"/>
      <c r="K7" s="154"/>
      <c r="L7" s="164"/>
      <c r="M7" s="238"/>
      <c r="N7" s="274" t="s">
        <v>6</v>
      </c>
      <c r="O7" s="278" t="s">
        <v>149</v>
      </c>
      <c r="P7" s="276" t="s">
        <v>150</v>
      </c>
      <c r="Q7" s="165"/>
    </row>
    <row r="8" spans="1:25" ht="15" thickBot="1" x14ac:dyDescent="0.25">
      <c r="A8" s="149"/>
      <c r="B8" s="157" t="s">
        <v>142</v>
      </c>
      <c r="C8" s="159">
        <v>-2321387</v>
      </c>
      <c r="D8" s="282">
        <v>0.2</v>
      </c>
      <c r="E8" s="149"/>
      <c r="F8" s="150"/>
      <c r="G8" s="150"/>
      <c r="H8" s="150"/>
      <c r="I8" s="150"/>
      <c r="J8" s="150"/>
      <c r="K8" s="154"/>
      <c r="L8" s="166"/>
      <c r="M8" s="239"/>
      <c r="N8" s="275"/>
      <c r="O8" s="279"/>
      <c r="P8" s="277"/>
      <c r="Q8" s="167"/>
    </row>
    <row r="9" spans="1:25" ht="15" customHeight="1" thickBot="1" x14ac:dyDescent="0.25">
      <c r="A9" s="149"/>
      <c r="B9" s="157" t="s">
        <v>103</v>
      </c>
      <c r="C9" s="158">
        <v>-4157730</v>
      </c>
      <c r="D9" s="283"/>
      <c r="E9" s="149"/>
      <c r="F9" s="150"/>
      <c r="G9" s="150"/>
      <c r="H9" s="150"/>
      <c r="I9" s="150"/>
      <c r="J9" s="150"/>
      <c r="K9" s="154"/>
      <c r="L9" s="41"/>
      <c r="M9" s="234"/>
      <c r="N9" s="31" t="s">
        <v>7</v>
      </c>
      <c r="O9" s="40">
        <f>C4/C17</f>
        <v>627.24776129032261</v>
      </c>
      <c r="P9" s="40">
        <f>C37</f>
        <v>670</v>
      </c>
      <c r="Q9" s="43"/>
    </row>
    <row r="10" spans="1:25" ht="13.5" customHeight="1" x14ac:dyDescent="0.2">
      <c r="A10" s="149"/>
      <c r="B10" s="157" t="s">
        <v>143</v>
      </c>
      <c r="C10" s="159">
        <f>SUM(C6:C9)</f>
        <v>1920120</v>
      </c>
      <c r="D10" s="149"/>
      <c r="E10" s="149"/>
      <c r="F10" s="150"/>
      <c r="G10" s="150"/>
      <c r="H10" s="150"/>
      <c r="I10" s="150"/>
      <c r="J10" s="150"/>
      <c r="K10" s="154"/>
      <c r="L10" s="41"/>
      <c r="M10" s="234"/>
      <c r="N10" s="163" t="s">
        <v>146</v>
      </c>
      <c r="O10" s="40">
        <f>SUM(C21:C28)</f>
        <v>390</v>
      </c>
      <c r="P10" s="44">
        <f>SUM(E46:E53)</f>
        <v>463</v>
      </c>
      <c r="Q10" s="43"/>
    </row>
    <row r="11" spans="1:25" ht="13.5" customHeight="1" thickBot="1" x14ac:dyDescent="0.25">
      <c r="A11" s="149"/>
      <c r="B11" s="160" t="s">
        <v>144</v>
      </c>
      <c r="C11" s="161">
        <f>C10-C10*D8</f>
        <v>1536096</v>
      </c>
      <c r="D11" s="149"/>
      <c r="E11" s="149"/>
      <c r="F11" s="150"/>
      <c r="G11" s="150"/>
      <c r="H11" s="150"/>
      <c r="I11" s="150"/>
      <c r="J11" s="150"/>
      <c r="K11" s="154"/>
      <c r="L11" s="41"/>
      <c r="M11" s="234"/>
      <c r="N11" s="163" t="s">
        <v>179</v>
      </c>
      <c r="O11" s="40">
        <f>C29</f>
        <v>117</v>
      </c>
      <c r="P11" s="40">
        <f>E42</f>
        <v>140.4</v>
      </c>
      <c r="Q11" s="43"/>
    </row>
    <row r="12" spans="1:25" x14ac:dyDescent="0.2">
      <c r="B12" s="149"/>
      <c r="C12" s="149"/>
      <c r="D12" s="149"/>
      <c r="E12" s="149"/>
      <c r="F12" s="150"/>
      <c r="G12" s="150"/>
      <c r="H12" s="150"/>
      <c r="I12" s="150"/>
      <c r="J12" s="150"/>
      <c r="K12" s="154"/>
      <c r="L12" s="41"/>
      <c r="M12" s="234"/>
      <c r="N12" s="31" t="s">
        <v>8</v>
      </c>
      <c r="O12" s="40">
        <f>SUM(O10:O11)</f>
        <v>507</v>
      </c>
      <c r="P12" s="40">
        <f>SUM(P10:P11)</f>
        <v>603.4</v>
      </c>
      <c r="Q12" s="43"/>
      <c r="U12" s="32"/>
    </row>
    <row r="13" spans="1:25" ht="15" thickBot="1" x14ac:dyDescent="0.25">
      <c r="A13" s="88"/>
      <c r="B13" s="149"/>
      <c r="C13" s="149"/>
      <c r="D13" s="149"/>
      <c r="E13" s="149"/>
      <c r="F13" s="150"/>
      <c r="G13" s="150"/>
      <c r="H13" s="150"/>
      <c r="I13" s="150"/>
      <c r="J13" s="150"/>
      <c r="K13" s="154"/>
      <c r="L13" s="42"/>
      <c r="M13" s="234"/>
      <c r="N13" s="31" t="s">
        <v>9</v>
      </c>
      <c r="O13" s="40">
        <f>O9-O12</f>
        <v>120.24776129032261</v>
      </c>
      <c r="P13" s="40">
        <f>P9-P12</f>
        <v>66.600000000000023</v>
      </c>
      <c r="Q13" s="39"/>
      <c r="R13" s="38"/>
      <c r="S13" s="38"/>
      <c r="U13" s="32"/>
    </row>
    <row r="14" spans="1:25" ht="15" thickBot="1" x14ac:dyDescent="0.25">
      <c r="A14" s="88"/>
      <c r="B14" s="288" t="s">
        <v>180</v>
      </c>
      <c r="C14" s="289"/>
      <c r="D14" s="290"/>
      <c r="E14" s="149"/>
      <c r="F14" s="150"/>
      <c r="G14" s="150"/>
      <c r="H14" s="150"/>
      <c r="I14" s="150"/>
      <c r="J14" s="150"/>
      <c r="K14" s="154"/>
      <c r="L14" s="37"/>
      <c r="M14" s="240"/>
      <c r="N14" s="36"/>
      <c r="O14" s="35"/>
      <c r="P14" s="14"/>
      <c r="Q14" s="34"/>
      <c r="S14" s="33"/>
      <c r="U14" s="32"/>
    </row>
    <row r="15" spans="1:25" ht="27" customHeight="1" thickBot="1" x14ac:dyDescent="0.25">
      <c r="A15" s="88"/>
      <c r="B15" s="291" t="s">
        <v>108</v>
      </c>
      <c r="C15" s="292"/>
      <c r="D15" s="293"/>
      <c r="E15" s="149"/>
      <c r="F15" s="150"/>
      <c r="G15" s="150"/>
      <c r="H15" s="150"/>
      <c r="I15" s="150"/>
      <c r="J15" s="150"/>
      <c r="K15" s="154"/>
      <c r="L15" s="229" t="s">
        <v>1</v>
      </c>
      <c r="M15" s="241" t="s">
        <v>10</v>
      </c>
      <c r="N15" s="230" t="s">
        <v>170</v>
      </c>
      <c r="O15" s="30"/>
      <c r="P15" s="30" t="s">
        <v>11</v>
      </c>
      <c r="Q15" s="29" t="s">
        <v>1</v>
      </c>
      <c r="X15" s="28"/>
      <c r="Y15" s="28"/>
    </row>
    <row r="16" spans="1:25" ht="12.75" customHeight="1" thickBot="1" x14ac:dyDescent="0.25">
      <c r="A16" s="88"/>
      <c r="B16" s="194"/>
      <c r="C16" s="195"/>
      <c r="D16" s="196"/>
      <c r="E16" s="168" t="s">
        <v>169</v>
      </c>
      <c r="F16" s="150"/>
      <c r="G16" s="150"/>
      <c r="H16" s="150"/>
      <c r="I16" s="150"/>
      <c r="J16" s="150"/>
      <c r="K16" s="154"/>
      <c r="L16" s="260">
        <v>0.5</v>
      </c>
      <c r="M16" s="242" t="s">
        <v>47</v>
      </c>
      <c r="N16" s="221" t="s">
        <v>86</v>
      </c>
      <c r="O16" s="27"/>
      <c r="P16" s="93" t="s">
        <v>92</v>
      </c>
      <c r="Q16" s="19">
        <f t="shared" ref="Q16:Q21" si="0">IF(EXACT(O16,P16),L16,0)</f>
        <v>0</v>
      </c>
    </row>
    <row r="17" spans="1:22" ht="13.5" customHeight="1" thickBot="1" x14ac:dyDescent="0.25">
      <c r="A17" s="88"/>
      <c r="B17" s="194" t="s">
        <v>181</v>
      </c>
      <c r="C17" s="132">
        <v>310000</v>
      </c>
      <c r="D17" s="197"/>
      <c r="E17" s="169">
        <v>0.8</v>
      </c>
      <c r="F17" s="150"/>
      <c r="G17" s="150"/>
      <c r="H17" s="150"/>
      <c r="I17" s="150"/>
      <c r="J17" s="150"/>
      <c r="K17" s="154"/>
      <c r="L17" s="260">
        <v>0.5</v>
      </c>
      <c r="M17" s="242" t="s">
        <v>12</v>
      </c>
      <c r="N17" s="221" t="s">
        <v>87</v>
      </c>
      <c r="O17" s="27"/>
      <c r="P17" s="93" t="s">
        <v>70</v>
      </c>
      <c r="Q17" s="19">
        <f t="shared" si="0"/>
        <v>0</v>
      </c>
    </row>
    <row r="18" spans="1:22" x14ac:dyDescent="0.2">
      <c r="A18" s="88"/>
      <c r="B18" s="194" t="s">
        <v>182</v>
      </c>
      <c r="C18" s="133">
        <v>29812521.999999996</v>
      </c>
      <c r="D18" s="198"/>
      <c r="E18" s="149"/>
      <c r="F18" s="150"/>
      <c r="G18" s="150"/>
      <c r="H18" s="150"/>
      <c r="I18" s="150"/>
      <c r="J18" s="150"/>
      <c r="K18" s="154"/>
      <c r="L18" s="260">
        <v>0.5</v>
      </c>
      <c r="M18" s="242" t="s">
        <v>13</v>
      </c>
      <c r="N18" s="221" t="s">
        <v>88</v>
      </c>
      <c r="O18" s="27"/>
      <c r="P18" s="93" t="s">
        <v>45</v>
      </c>
      <c r="Q18" s="19">
        <f t="shared" si="0"/>
        <v>0</v>
      </c>
    </row>
    <row r="19" spans="1:22" ht="13.5" customHeight="1" x14ac:dyDescent="0.2">
      <c r="A19" s="88"/>
      <c r="B19" s="199"/>
      <c r="C19" s="134"/>
      <c r="D19" s="197"/>
      <c r="E19" s="149"/>
      <c r="F19" s="150"/>
      <c r="G19" s="150"/>
      <c r="H19" s="150"/>
      <c r="I19" s="150"/>
      <c r="J19" s="150"/>
      <c r="K19" s="154"/>
      <c r="L19" s="260">
        <v>0.5</v>
      </c>
      <c r="M19" s="242" t="s">
        <v>14</v>
      </c>
      <c r="N19" s="221" t="s">
        <v>89</v>
      </c>
      <c r="O19" s="27"/>
      <c r="P19" s="93" t="s">
        <v>92</v>
      </c>
      <c r="Q19" s="19">
        <f t="shared" si="0"/>
        <v>0</v>
      </c>
    </row>
    <row r="20" spans="1:22" x14ac:dyDescent="0.2">
      <c r="A20" s="88"/>
      <c r="B20" s="194" t="s">
        <v>109</v>
      </c>
      <c r="C20" s="134"/>
      <c r="D20" s="200" t="s">
        <v>110</v>
      </c>
      <c r="E20" s="149"/>
      <c r="F20" s="150"/>
      <c r="G20" s="150"/>
      <c r="H20" s="150"/>
      <c r="I20" s="150"/>
      <c r="J20" s="150"/>
      <c r="K20" s="154"/>
      <c r="L20" s="260">
        <v>0.5</v>
      </c>
      <c r="M20" s="242" t="s">
        <v>20</v>
      </c>
      <c r="N20" s="221" t="s">
        <v>90</v>
      </c>
      <c r="O20" s="124"/>
      <c r="P20" s="125" t="s">
        <v>93</v>
      </c>
      <c r="Q20" s="19">
        <f t="shared" si="0"/>
        <v>0</v>
      </c>
    </row>
    <row r="21" spans="1:22" x14ac:dyDescent="0.2">
      <c r="A21" s="88"/>
      <c r="B21" s="201" t="s">
        <v>111</v>
      </c>
      <c r="C21" s="133">
        <v>60</v>
      </c>
      <c r="D21" s="202" t="s">
        <v>112</v>
      </c>
      <c r="E21" s="149"/>
      <c r="F21" s="150"/>
      <c r="G21" s="150"/>
      <c r="H21" s="150"/>
      <c r="I21" s="150"/>
      <c r="J21" s="150"/>
      <c r="K21" s="154"/>
      <c r="L21" s="260">
        <v>0.5</v>
      </c>
      <c r="M21" s="243" t="s">
        <v>21</v>
      </c>
      <c r="N21" s="222" t="s">
        <v>91</v>
      </c>
      <c r="O21" s="27"/>
      <c r="P21" s="93" t="s">
        <v>9</v>
      </c>
      <c r="Q21" s="19">
        <f t="shared" si="0"/>
        <v>0</v>
      </c>
    </row>
    <row r="22" spans="1:22" ht="26" x14ac:dyDescent="0.2">
      <c r="A22" s="88"/>
      <c r="B22" s="201" t="s">
        <v>113</v>
      </c>
      <c r="C22" s="133">
        <v>115</v>
      </c>
      <c r="D22" s="202" t="s">
        <v>114</v>
      </c>
      <c r="E22" s="149"/>
      <c r="F22" s="150"/>
      <c r="G22" s="150"/>
      <c r="H22" s="150"/>
      <c r="I22" s="150"/>
      <c r="J22" s="150"/>
      <c r="K22" s="154"/>
      <c r="L22" s="260">
        <v>1</v>
      </c>
      <c r="M22" s="242" t="s">
        <v>15</v>
      </c>
      <c r="N22" s="221" t="s">
        <v>94</v>
      </c>
      <c r="O22" s="23"/>
      <c r="P22" s="22">
        <f>C17/E17</f>
        <v>387500</v>
      </c>
      <c r="Q22" s="19">
        <f>IF(ISNUMBER(O22),IF(AND(O22&gt;=P22-0.5,O22&lt;=P22+0.5),L22,0),0)</f>
        <v>0</v>
      </c>
    </row>
    <row r="23" spans="1:22" x14ac:dyDescent="0.2">
      <c r="A23" s="88"/>
      <c r="B23" s="201" t="s">
        <v>115</v>
      </c>
      <c r="C23" s="133">
        <v>45</v>
      </c>
      <c r="D23" s="202" t="s">
        <v>116</v>
      </c>
      <c r="E23" s="149"/>
      <c r="F23" s="150"/>
      <c r="G23" s="150"/>
      <c r="H23" s="150"/>
      <c r="I23" s="150"/>
      <c r="J23" s="150"/>
      <c r="K23" s="154"/>
      <c r="L23" s="260">
        <v>1</v>
      </c>
      <c r="M23" s="242" t="s">
        <v>12</v>
      </c>
      <c r="N23" s="294" t="s">
        <v>441</v>
      </c>
      <c r="O23" s="21"/>
      <c r="P23" s="20">
        <f>P22-C17</f>
        <v>77500</v>
      </c>
      <c r="Q23" s="19">
        <f>IF(ISNUMBER(O23),IF(AND(O23&gt;=P23-0.5,O23&lt;=P23+0.5),L23,0),0)</f>
        <v>0</v>
      </c>
    </row>
    <row r="24" spans="1:22" x14ac:dyDescent="0.2">
      <c r="A24" s="88"/>
      <c r="B24" s="201" t="s">
        <v>117</v>
      </c>
      <c r="C24" s="133">
        <v>35</v>
      </c>
      <c r="D24" s="202" t="s">
        <v>118</v>
      </c>
      <c r="E24" s="149"/>
      <c r="F24" s="150"/>
      <c r="G24" s="150"/>
      <c r="H24" s="150"/>
      <c r="I24" s="150"/>
      <c r="J24" s="150"/>
      <c r="K24" s="154"/>
      <c r="L24" s="260">
        <v>0.5</v>
      </c>
      <c r="M24" s="243" t="s">
        <v>13</v>
      </c>
      <c r="N24" s="221" t="s">
        <v>95</v>
      </c>
      <c r="O24" s="188"/>
      <c r="P24" s="108" t="s">
        <v>41</v>
      </c>
      <c r="Q24" s="19">
        <f>IF(EXACT(O24,P24),L24,0)</f>
        <v>0</v>
      </c>
      <c r="R24" s="15"/>
      <c r="S24" s="15"/>
    </row>
    <row r="25" spans="1:22" x14ac:dyDescent="0.2">
      <c r="A25" s="88"/>
      <c r="B25" s="201" t="s">
        <v>119</v>
      </c>
      <c r="C25" s="133">
        <v>40</v>
      </c>
      <c r="D25" s="202" t="s">
        <v>120</v>
      </c>
      <c r="E25" s="149"/>
      <c r="F25" s="150"/>
      <c r="G25" s="150"/>
      <c r="H25" s="150"/>
      <c r="I25" s="150"/>
      <c r="J25" s="150"/>
      <c r="K25" s="154"/>
      <c r="L25" s="260">
        <v>1</v>
      </c>
      <c r="M25" s="242" t="s">
        <v>16</v>
      </c>
      <c r="N25" s="223" t="s">
        <v>190</v>
      </c>
      <c r="O25" s="25"/>
      <c r="P25" s="264">
        <f>O9</f>
        <v>627.24776129032261</v>
      </c>
      <c r="Q25" s="19">
        <f>IF(ISNUMBER(O25),IF(AND(O25&gt;=P25-0.5,O25&lt;=P25+0.5),L25,0),0)</f>
        <v>0</v>
      </c>
    </row>
    <row r="26" spans="1:22" x14ac:dyDescent="0.2">
      <c r="A26" s="88"/>
      <c r="B26" s="201" t="s">
        <v>121</v>
      </c>
      <c r="C26" s="133">
        <v>60</v>
      </c>
      <c r="D26" s="202" t="s">
        <v>122</v>
      </c>
      <c r="E26" s="149"/>
      <c r="F26" s="150"/>
      <c r="G26" s="150"/>
      <c r="H26" s="150"/>
      <c r="I26" s="150"/>
      <c r="J26" s="150"/>
      <c r="K26" s="154"/>
      <c r="L26" s="260">
        <v>0.75</v>
      </c>
      <c r="M26" s="242" t="s">
        <v>13</v>
      </c>
      <c r="N26" s="223" t="s">
        <v>191</v>
      </c>
      <c r="O26" s="25"/>
      <c r="P26" s="24">
        <f>O12</f>
        <v>507</v>
      </c>
      <c r="Q26" s="19">
        <f>IF(ISNUMBER(O26),IF(AND(ABS(O26)&gt;=P26-0.5,O26&lt;=P26+0.5),L26,0),0)</f>
        <v>0</v>
      </c>
    </row>
    <row r="27" spans="1:22" x14ac:dyDescent="0.2">
      <c r="A27" s="88"/>
      <c r="B27" s="201" t="s">
        <v>123</v>
      </c>
      <c r="C27" s="133">
        <v>20</v>
      </c>
      <c r="D27" s="202" t="s">
        <v>124</v>
      </c>
      <c r="E27" s="149"/>
      <c r="F27" s="150"/>
      <c r="G27" s="150"/>
      <c r="H27" s="150"/>
      <c r="I27" s="150"/>
      <c r="J27" s="150"/>
      <c r="K27" s="154"/>
      <c r="L27" s="260">
        <v>0.75</v>
      </c>
      <c r="M27" s="242" t="s">
        <v>14</v>
      </c>
      <c r="N27" s="223" t="s">
        <v>192</v>
      </c>
      <c r="O27" s="26"/>
      <c r="P27" s="170">
        <f>O13</f>
        <v>120.24776129032261</v>
      </c>
      <c r="Q27" s="19">
        <f>IF(ISNUMBER(O27),IF(AND(O27&gt;=P27-0.5,O27&lt;=P27+0.5),L27,0),0)</f>
        <v>0</v>
      </c>
    </row>
    <row r="28" spans="1:22" ht="26" x14ac:dyDescent="0.2">
      <c r="A28" s="88"/>
      <c r="B28" s="201" t="s">
        <v>183</v>
      </c>
      <c r="C28" s="133">
        <v>15</v>
      </c>
      <c r="D28" s="202" t="s">
        <v>184</v>
      </c>
      <c r="E28" s="149"/>
      <c r="F28" s="150"/>
      <c r="G28" s="150"/>
      <c r="H28" s="150"/>
      <c r="I28" s="150"/>
      <c r="J28" s="150"/>
      <c r="K28" s="154"/>
      <c r="L28" s="260">
        <v>1</v>
      </c>
      <c r="M28" s="295" t="s">
        <v>20</v>
      </c>
      <c r="N28" s="221" t="s">
        <v>193</v>
      </c>
      <c r="O28" s="26"/>
      <c r="P28" s="126" t="s">
        <v>96</v>
      </c>
      <c r="Q28" s="19">
        <f>IF(EXACT(O28,P28),L28,0)</f>
        <v>0</v>
      </c>
    </row>
    <row r="29" spans="1:22" ht="24" customHeight="1" x14ac:dyDescent="0.2">
      <c r="A29" s="88"/>
      <c r="B29" s="203"/>
      <c r="C29" s="207">
        <f>SUM(C21:C28)*0.3</f>
        <v>117</v>
      </c>
      <c r="D29" s="197"/>
      <c r="E29" s="149"/>
      <c r="F29" s="150"/>
      <c r="G29" s="150"/>
      <c r="H29" s="150"/>
      <c r="I29" s="150"/>
      <c r="J29" s="150"/>
      <c r="K29" s="154"/>
      <c r="L29" s="260">
        <v>0.5</v>
      </c>
      <c r="M29" s="242" t="s">
        <v>17</v>
      </c>
      <c r="N29" s="224" t="s">
        <v>194</v>
      </c>
      <c r="O29" s="23"/>
      <c r="P29" s="22">
        <f>-SUM(C7:C9)</f>
        <v>6660164</v>
      </c>
      <c r="Q29" s="19">
        <f>IF(ISNUMBER(O29),IF(AND(ABS(O29)&gt;=P29-0.5,ABS(O29)&lt;=P29+0.5),L29,0),0)</f>
        <v>0</v>
      </c>
    </row>
    <row r="30" spans="1:22" ht="25.5" customHeight="1" thickBot="1" x14ac:dyDescent="0.25">
      <c r="A30" s="88"/>
      <c r="B30" s="204" t="s">
        <v>179</v>
      </c>
      <c r="C30" s="205" t="s">
        <v>185</v>
      </c>
      <c r="D30" s="206"/>
      <c r="E30" s="149"/>
      <c r="F30" s="150"/>
      <c r="G30" s="150"/>
      <c r="H30" s="150"/>
      <c r="I30" s="150"/>
      <c r="J30" s="150"/>
      <c r="K30" s="154"/>
      <c r="L30" s="260">
        <v>0.5</v>
      </c>
      <c r="M30" s="242" t="s">
        <v>12</v>
      </c>
      <c r="N30" s="294" t="s">
        <v>194</v>
      </c>
      <c r="O30" s="21"/>
      <c r="P30" s="20">
        <f>P29+C18</f>
        <v>36472686</v>
      </c>
      <c r="Q30" s="19">
        <f>IF(ISNUMBER(O30),IF(OR(AND((ABS(O30)&gt;=P30-0.5),(ABS(O30)&lt;=P30+0.5)),AND((ABS(O30)&gt;=R30-0.5),(ABS(O30)&lt;=R30+0.5))),L30,0),0)</f>
        <v>0</v>
      </c>
      <c r="R30" s="184">
        <v>35356686</v>
      </c>
    </row>
    <row r="31" spans="1:22" ht="26" x14ac:dyDescent="0.2">
      <c r="A31" s="88"/>
      <c r="B31" s="288" t="s">
        <v>125</v>
      </c>
      <c r="C31" s="289"/>
      <c r="D31" s="290"/>
      <c r="E31" s="149"/>
      <c r="F31" s="150"/>
      <c r="G31" s="150"/>
      <c r="H31" s="150"/>
      <c r="I31" s="150"/>
      <c r="J31" s="150"/>
      <c r="K31" s="154"/>
      <c r="L31" s="260">
        <v>0.5</v>
      </c>
      <c r="M31" s="242" t="s">
        <v>13</v>
      </c>
      <c r="N31" s="231" t="s">
        <v>195</v>
      </c>
      <c r="O31" s="25"/>
      <c r="P31" s="24">
        <f>P30/O13</f>
        <v>303312.80689659936</v>
      </c>
      <c r="Q31" s="19">
        <f>IF(ISNUMBER(O31),IF(OR(AND((ABS(O31)&gt;=P31-0.5),(ABS(O31)&lt;=P31+0.5)),AND((ABS(O31)&gt;=R31-0.5),(ABS(O31)&lt;=R31+0.5)),AND((ABS(O31)&gt;=S31-0.5),(ABS(O31)&lt;=S31+0.5)),AND((ABS(O31)&gt;=T31-0.5),(ABS(O31)&lt;=T31+0.5)),AND((ABS(O31)&gt;=U31-0.5),(ABS(O31)&lt;=U31+0.5)),AND((ABS(O31)&gt;=V31-0.5),(ABS(O31)&lt;=V31+0.5))),L31,0),0)</f>
        <v>0</v>
      </c>
      <c r="R31" s="184">
        <v>294031.96999999997</v>
      </c>
      <c r="S31" s="184">
        <v>303312</v>
      </c>
      <c r="T31" s="184">
        <v>303313</v>
      </c>
      <c r="U31" s="184">
        <v>294031</v>
      </c>
      <c r="V31" s="184">
        <v>294032</v>
      </c>
    </row>
    <row r="32" spans="1:22" ht="25.5" customHeight="1" thickBot="1" x14ac:dyDescent="0.25">
      <c r="A32" s="88"/>
      <c r="B32" s="291" t="s">
        <v>108</v>
      </c>
      <c r="C32" s="292"/>
      <c r="D32" s="293"/>
      <c r="E32" s="149"/>
      <c r="F32" s="150"/>
      <c r="G32" s="150"/>
      <c r="H32" s="150"/>
      <c r="I32" s="150"/>
      <c r="J32" s="150"/>
      <c r="K32" s="154"/>
      <c r="L32" s="260">
        <v>1</v>
      </c>
      <c r="M32" s="242" t="s">
        <v>14</v>
      </c>
      <c r="N32" s="223" t="s">
        <v>97</v>
      </c>
      <c r="O32" s="21"/>
      <c r="P32" s="20">
        <f>P13</f>
        <v>66.600000000000023</v>
      </c>
      <c r="Q32" s="19">
        <f>IF(ISNUMBER(O32),IF(ABS(O32)&gt;0,IF(AND(O32&gt;=P32-1,O32&lt;=P32+1),L32,0),0),0)</f>
        <v>0</v>
      </c>
    </row>
    <row r="33" spans="1:24" ht="25.5" customHeight="1" x14ac:dyDescent="0.2">
      <c r="A33" s="88"/>
      <c r="B33" s="225"/>
      <c r="C33" s="226"/>
      <c r="D33" s="227"/>
      <c r="E33" s="149"/>
      <c r="F33" s="150"/>
      <c r="G33" s="150"/>
      <c r="H33" s="150"/>
      <c r="I33" s="150"/>
      <c r="J33" s="150"/>
      <c r="K33" s="154"/>
      <c r="L33" s="260">
        <v>2</v>
      </c>
      <c r="M33" s="242" t="s">
        <v>20</v>
      </c>
      <c r="N33" s="223" t="s">
        <v>196</v>
      </c>
      <c r="O33" s="127"/>
      <c r="P33" s="129">
        <f>(P30-P13*C36)/O13</f>
        <v>267312.13666750304</v>
      </c>
      <c r="Q33" s="228">
        <f>IF(ISNUMBER(O33),IF(OR(AND((ABS(O33)&gt;=P33-0.5),(ABS(O33)&lt;=P33+0.5)),AND((ABS(O33)&gt;=R33-0.5),(ABS(O33)&lt;=R33+0.5)),AND((ABS(O33)&gt;=S33-0.5),(ABS(O33)&lt;=S33+0.5)),AND((ABS(O33)&gt;=T33-0.5),(ABS(O33)&lt;=T33+0.5)),AND((ABS(O33)&gt;=U33-0.5),(ABS(O33)&lt;=U33+0.5)),AND((ABS(O33)&gt;=V33-0.5),(ABS(O33)&lt;=V33+0.5))),L33,0),0)</f>
        <v>0</v>
      </c>
      <c r="R33" s="259">
        <v>258031.3</v>
      </c>
      <c r="S33" s="259">
        <v>267312</v>
      </c>
      <c r="T33" s="259">
        <v>267313</v>
      </c>
      <c r="U33" s="184">
        <v>258031</v>
      </c>
      <c r="V33" s="184">
        <v>258032</v>
      </c>
    </row>
    <row r="34" spans="1:24" ht="54.75" customHeight="1" x14ac:dyDescent="0.2">
      <c r="A34" s="88"/>
      <c r="B34" s="208" t="s">
        <v>126</v>
      </c>
      <c r="C34" s="209"/>
      <c r="D34" s="210"/>
      <c r="E34" s="149"/>
      <c r="F34" s="150"/>
      <c r="G34" s="150"/>
      <c r="H34" s="150"/>
      <c r="I34" s="150"/>
      <c r="J34" s="150"/>
      <c r="K34" s="154"/>
      <c r="L34" s="260">
        <v>1.5</v>
      </c>
      <c r="M34" s="128" t="s">
        <v>73</v>
      </c>
      <c r="N34" s="247" t="s">
        <v>197</v>
      </c>
      <c r="O34" s="21"/>
      <c r="P34" s="20">
        <f>P13*C36/O13</f>
        <v>36000.670229096351</v>
      </c>
      <c r="Q34" s="19">
        <f>IF(ISNUMBER(O34),IF(OR(AND((ABS(O34)&gt;=P34-0.5),(ABS(O34)&lt;=P34+0.5)),AND((ABS(O34)&gt;=R34-0.5),(ABS(O34)&lt;=R34+0.5)),AND((ABS(O34)&gt;=S34-0.5),(ABS(O34)&lt;=S34+0.5))),L34,0),0)</f>
        <v>0</v>
      </c>
      <c r="R34" s="184">
        <v>36000</v>
      </c>
      <c r="S34" s="184">
        <v>36001</v>
      </c>
    </row>
    <row r="35" spans="1:24" ht="26" x14ac:dyDescent="0.2">
      <c r="A35" s="88"/>
      <c r="B35" s="211"/>
      <c r="C35" s="209"/>
      <c r="D35" s="210"/>
      <c r="E35" s="149"/>
      <c r="F35" s="150"/>
      <c r="G35" s="150"/>
      <c r="H35" s="150"/>
      <c r="I35" s="150"/>
      <c r="J35" s="150"/>
      <c r="K35" s="154"/>
      <c r="L35" s="260">
        <v>0.5</v>
      </c>
      <c r="M35" s="242" t="s">
        <v>12</v>
      </c>
      <c r="N35" s="248" t="s">
        <v>98</v>
      </c>
      <c r="O35" s="109"/>
      <c r="P35" s="108" t="s">
        <v>41</v>
      </c>
      <c r="Q35" s="19">
        <f>IF(EXACT(O35,P35),L35,0)</f>
        <v>0</v>
      </c>
    </row>
    <row r="36" spans="1:24" x14ac:dyDescent="0.2">
      <c r="A36" s="88"/>
      <c r="B36" s="212" t="s">
        <v>127</v>
      </c>
      <c r="C36" s="136">
        <v>65000</v>
      </c>
      <c r="D36" s="210"/>
      <c r="E36" s="149"/>
      <c r="F36" s="150"/>
      <c r="G36" s="150"/>
      <c r="H36" s="150"/>
      <c r="I36" s="150"/>
      <c r="J36" s="150"/>
      <c r="K36" s="154"/>
      <c r="L36" s="260">
        <v>0.5</v>
      </c>
      <c r="M36" s="128" t="s">
        <v>99</v>
      </c>
      <c r="N36" s="249" t="s">
        <v>198</v>
      </c>
      <c r="O36" s="21"/>
      <c r="P36" s="171">
        <f>C11/C4</f>
        <v>7.8998263411948245E-3</v>
      </c>
      <c r="Q36" s="19">
        <f>IF(ISNUMBER(O36),IF(AND(O36&gt;=P36-0.005,O36&lt;=P36+0.005),L36,0),0)</f>
        <v>0</v>
      </c>
    </row>
    <row r="37" spans="1:24" x14ac:dyDescent="0.2">
      <c r="A37" s="88"/>
      <c r="B37" s="212" t="s">
        <v>186</v>
      </c>
      <c r="C37" s="137">
        <v>670</v>
      </c>
      <c r="D37" s="210" t="s">
        <v>128</v>
      </c>
      <c r="E37" s="149"/>
      <c r="F37" s="150"/>
      <c r="G37" s="150"/>
      <c r="H37" s="150"/>
      <c r="I37" s="150"/>
      <c r="J37" s="150"/>
      <c r="K37" s="154"/>
      <c r="L37" s="260">
        <v>0.5</v>
      </c>
      <c r="M37" s="83" t="s">
        <v>12</v>
      </c>
      <c r="N37" s="250" t="s">
        <v>199</v>
      </c>
      <c r="O37" s="21"/>
      <c r="P37" s="171">
        <f>C11/C72</f>
        <v>1.8723294005578168E-2</v>
      </c>
      <c r="Q37" s="19">
        <f>IF(ISNUMBER(O37),IF(AND(O37&gt;=P37-0.005,O37&lt;=P37+0.005),L37,0),0)</f>
        <v>0</v>
      </c>
    </row>
    <row r="38" spans="1:24" x14ac:dyDescent="0.2">
      <c r="A38" s="88"/>
      <c r="B38" s="211"/>
      <c r="C38" s="209"/>
      <c r="D38" s="210"/>
      <c r="E38" s="149"/>
      <c r="F38" s="150"/>
      <c r="G38" s="150"/>
      <c r="H38" s="150"/>
      <c r="I38" s="150"/>
      <c r="J38" s="150"/>
      <c r="K38" s="154"/>
      <c r="L38" s="260">
        <v>1</v>
      </c>
      <c r="M38" s="242" t="s">
        <v>18</v>
      </c>
      <c r="N38" s="251" t="s">
        <v>19</v>
      </c>
      <c r="O38" s="23"/>
      <c r="P38" s="22">
        <f>C36*C37+(C17-S38)*O9</f>
        <v>229215337.34193549</v>
      </c>
      <c r="Q38" s="19">
        <f>IF(ISNUMBER(O38),IF(AND(O38&gt;=P38-0.5,O38&lt;=P38+0.5),L38,0),0)</f>
        <v>0</v>
      </c>
      <c r="R38" s="12" t="s">
        <v>168</v>
      </c>
      <c r="S38" s="184">
        <v>14000</v>
      </c>
    </row>
    <row r="39" spans="1:24" x14ac:dyDescent="0.2">
      <c r="A39" s="88"/>
      <c r="B39" s="208" t="s">
        <v>129</v>
      </c>
      <c r="C39" s="209"/>
      <c r="D39" s="210"/>
      <c r="E39" s="149"/>
      <c r="F39" s="150"/>
      <c r="G39" s="150"/>
      <c r="H39" s="150"/>
      <c r="I39" s="150"/>
      <c r="J39" s="150"/>
      <c r="K39" s="154"/>
      <c r="L39" s="260">
        <v>1</v>
      </c>
      <c r="M39" s="242" t="s">
        <v>12</v>
      </c>
      <c r="N39" s="252" t="s">
        <v>100</v>
      </c>
      <c r="O39" s="189"/>
      <c r="P39" s="20">
        <f>(C17-S38)*O12+C36*P12+C18</f>
        <v>219105522</v>
      </c>
      <c r="Q39" s="190">
        <f>IF(ISNUMBER(O39),IF(OR(AND((ABS(O39)&gt;=P39-0.5),(ABS(O39)&lt;=P39+0.5)),AND((ABS(O39)&gt;=R39-0.5),(ABS(O39)&lt;=R39+0.5))),L39,0),0)</f>
        <v>0</v>
      </c>
      <c r="R39" s="259">
        <v>217989522</v>
      </c>
    </row>
    <row r="40" spans="1:24" x14ac:dyDescent="0.2">
      <c r="A40" s="88"/>
      <c r="B40" s="211"/>
      <c r="C40" s="209"/>
      <c r="D40" s="210"/>
      <c r="E40" s="149"/>
      <c r="F40" s="150"/>
      <c r="G40" s="150"/>
      <c r="H40" s="150"/>
      <c r="I40" s="150"/>
      <c r="J40" s="150"/>
      <c r="K40" s="154"/>
      <c r="L40" s="260">
        <v>0.25</v>
      </c>
      <c r="M40" s="242" t="s">
        <v>13</v>
      </c>
      <c r="N40" s="251" t="s">
        <v>45</v>
      </c>
      <c r="O40" s="23"/>
      <c r="P40" s="22">
        <f>P38-P39</f>
        <v>10109815.341935486</v>
      </c>
      <c r="Q40" s="19">
        <f>IF(ISNUMBER(O40),IF(OR(AND((ABS(O40)&gt;=P40-0.5),(ABS(O40)&lt;=P40+0.5)),AND((ABS(O40)&gt;=R40-0.5),(ABS(O40)&lt;=R40+0.5)),AND(O40=O38-O39)),L40,0),0)</f>
        <v>0</v>
      </c>
      <c r="R40" s="184">
        <v>11225815.34</v>
      </c>
    </row>
    <row r="41" spans="1:24" x14ac:dyDescent="0.2">
      <c r="A41" s="88"/>
      <c r="B41" s="213" t="s">
        <v>130</v>
      </c>
      <c r="C41" s="209"/>
      <c r="D41" s="210"/>
      <c r="E41" s="149"/>
      <c r="F41" s="150"/>
      <c r="G41" s="150"/>
      <c r="H41" s="150"/>
      <c r="I41" s="150"/>
      <c r="J41" s="150"/>
      <c r="K41" s="154"/>
      <c r="L41" s="260">
        <v>0.25</v>
      </c>
      <c r="M41" s="242" t="s">
        <v>14</v>
      </c>
      <c r="N41" s="251" t="s">
        <v>101</v>
      </c>
      <c r="O41" s="21"/>
      <c r="P41" s="185">
        <f>C7</f>
        <v>-181047</v>
      </c>
      <c r="Q41" s="190">
        <f>IF(ISNUMBER(O41),IF(AND(ABS(O41)&gt;=ABS(P41)-0.5,ABS(O41)&lt;=ABS(P41)+0.5),L41,0),0)</f>
        <v>0</v>
      </c>
      <c r="R41" s="97"/>
    </row>
    <row r="42" spans="1:24" x14ac:dyDescent="0.2">
      <c r="A42" s="88"/>
      <c r="B42" s="212" t="s">
        <v>187</v>
      </c>
      <c r="C42" s="214">
        <v>0.2</v>
      </c>
      <c r="D42" s="215" t="s">
        <v>188</v>
      </c>
      <c r="E42" s="219">
        <f>C29*1.2</f>
        <v>140.4</v>
      </c>
      <c r="F42" s="150"/>
      <c r="G42" s="150"/>
      <c r="H42" s="150"/>
      <c r="I42" s="150"/>
      <c r="J42" s="150"/>
      <c r="K42" s="154"/>
      <c r="L42" s="260">
        <v>0.25</v>
      </c>
      <c r="M42" s="242" t="s">
        <v>20</v>
      </c>
      <c r="N42" s="251" t="s">
        <v>102</v>
      </c>
      <c r="O42" s="21"/>
      <c r="P42" s="185">
        <f>C8</f>
        <v>-2321387</v>
      </c>
      <c r="Q42" s="190">
        <f>IF(ISNUMBER(O42),IF(AND(ABS(O42)&gt;=ABS(P42)-0.5,ABS(O42)&lt;=ABS(P42)+0.5),L42,0),0)</f>
        <v>0</v>
      </c>
    </row>
    <row r="43" spans="1:24" ht="26.25" customHeight="1" x14ac:dyDescent="0.2">
      <c r="A43" s="88"/>
      <c r="B43" s="212"/>
      <c r="C43" s="216"/>
      <c r="D43" s="215"/>
      <c r="E43" s="149"/>
      <c r="F43" s="150"/>
      <c r="G43" s="150"/>
      <c r="H43" s="150"/>
      <c r="I43" s="150"/>
      <c r="J43" s="150"/>
      <c r="K43" s="154"/>
      <c r="L43" s="260">
        <v>0.25</v>
      </c>
      <c r="M43" s="242" t="s">
        <v>21</v>
      </c>
      <c r="N43" s="251" t="s">
        <v>103</v>
      </c>
      <c r="O43" s="21"/>
      <c r="P43" s="185">
        <f>C9</f>
        <v>-4157730</v>
      </c>
      <c r="Q43" s="190">
        <f>IF(ISNUMBER(O43),IF(AND(ABS(O43)&gt;=ABS(P43)-0.5,ABS(O43)&lt;=ABS(P43)+0.5),L43,0),0)</f>
        <v>0</v>
      </c>
      <c r="R43" s="97"/>
    </row>
    <row r="44" spans="1:24" x14ac:dyDescent="0.2">
      <c r="A44" s="88"/>
      <c r="B44" s="213" t="s">
        <v>131</v>
      </c>
      <c r="C44" s="209"/>
      <c r="D44" s="210"/>
      <c r="E44" s="149"/>
      <c r="F44" s="150"/>
      <c r="G44" s="150"/>
      <c r="H44" s="150"/>
      <c r="I44" s="150"/>
      <c r="J44" s="150"/>
      <c r="K44" s="154"/>
      <c r="L44" s="261">
        <v>0.25</v>
      </c>
      <c r="M44" s="242" t="s">
        <v>42</v>
      </c>
      <c r="N44" s="251" t="s">
        <v>44</v>
      </c>
      <c r="O44" s="127"/>
      <c r="P44" s="186">
        <f>SUM(P40:P43)</f>
        <v>3449651.3419354856</v>
      </c>
      <c r="Q44" s="19">
        <f>IF(ISNUMBER(O44),IF(OR(AND((ABS(O44)&gt;=P44-0.5),(ABS(O44)&lt;=P44+0.5)),AND((ABS(O44)&gt;=R44-0.5),(ABS(O44)&lt;=R44+0.5)),AND(O40-O41-O42-O43=O44)),L44,0),0)</f>
        <v>0</v>
      </c>
      <c r="R44" s="184">
        <v>4565651.34</v>
      </c>
      <c r="V44" s="259"/>
    </row>
    <row r="45" spans="1:24" x14ac:dyDescent="0.2">
      <c r="A45" s="88"/>
      <c r="B45" s="217" t="s">
        <v>132</v>
      </c>
      <c r="C45" s="209"/>
      <c r="D45" s="138" t="s">
        <v>110</v>
      </c>
      <c r="E45" s="149"/>
      <c r="F45" s="150"/>
      <c r="G45" s="150"/>
      <c r="H45" s="150"/>
      <c r="I45" s="150"/>
      <c r="J45" s="150"/>
      <c r="K45" s="154"/>
      <c r="L45" s="261">
        <v>0.25</v>
      </c>
      <c r="M45" s="242" t="s">
        <v>104</v>
      </c>
      <c r="N45" s="251" t="s">
        <v>43</v>
      </c>
      <c r="O45" s="127"/>
      <c r="P45" s="186">
        <f>P44*D8</f>
        <v>689930.26838709717</v>
      </c>
      <c r="Q45" s="190">
        <f>IF(ISNUMBER(O45),IF(OR(AND((ABS(O45)&gt;=P45-0.5),(ABS(O45)&lt;=P45+0.5)),AND((ABS(O45)&gt;=R45-0.5),(ABS(O45)&lt;=R45+0.5))),L45,0),0)</f>
        <v>0</v>
      </c>
      <c r="R45" s="184">
        <v>913130.27</v>
      </c>
      <c r="V45" s="259"/>
      <c r="W45" s="259"/>
      <c r="X45" s="259"/>
    </row>
    <row r="46" spans="1:24" ht="15" thickBot="1" x14ac:dyDescent="0.25">
      <c r="A46" s="88"/>
      <c r="B46" s="212" t="s">
        <v>111</v>
      </c>
      <c r="C46" s="218">
        <v>8.3333333333333329E-2</v>
      </c>
      <c r="D46" s="139" t="s">
        <v>133</v>
      </c>
      <c r="E46" s="219">
        <f>C21+C21*C46</f>
        <v>65</v>
      </c>
      <c r="F46" s="150"/>
      <c r="G46" s="150"/>
      <c r="H46" s="150"/>
      <c r="I46" s="150"/>
      <c r="J46" s="150"/>
      <c r="K46" s="154"/>
      <c r="L46" s="261">
        <v>0.25</v>
      </c>
      <c r="M46" s="242" t="s">
        <v>105</v>
      </c>
      <c r="N46" s="253" t="s">
        <v>22</v>
      </c>
      <c r="O46" s="127"/>
      <c r="P46" s="129">
        <f>P44-P45</f>
        <v>2759721.0735483887</v>
      </c>
      <c r="Q46" s="19">
        <f>IF(ISNUMBER(O46),IF(OR(AND((ABS(O46)&gt;=P46-0.5),(ABS(O46)&lt;=P46+0.5)),AND((ABS(O46)&gt;=R46-0.5),(ABS(O46)&lt;=R46+0.5)),AND(O46=O44-O45)),L46,0),0)</f>
        <v>0</v>
      </c>
      <c r="R46" s="184">
        <v>3652521.07</v>
      </c>
      <c r="X46" s="259"/>
    </row>
    <row r="47" spans="1:24" x14ac:dyDescent="0.2">
      <c r="A47" s="88"/>
      <c r="B47" s="212" t="s">
        <v>113</v>
      </c>
      <c r="C47" s="218">
        <v>0.21739130434782608</v>
      </c>
      <c r="D47" s="139" t="s">
        <v>134</v>
      </c>
      <c r="E47" s="219">
        <f>C22+C22*C47</f>
        <v>140</v>
      </c>
      <c r="F47" s="150"/>
      <c r="G47" s="150"/>
      <c r="H47" s="150"/>
      <c r="I47" s="150"/>
      <c r="J47" s="150"/>
      <c r="K47" s="154"/>
      <c r="L47" s="261">
        <v>0.25</v>
      </c>
      <c r="M47" s="243" t="s">
        <v>106</v>
      </c>
      <c r="N47" s="254" t="s">
        <v>200</v>
      </c>
      <c r="O47" s="21"/>
      <c r="P47" s="187">
        <f>C37*C36/P38</f>
        <v>0.18999601206892025</v>
      </c>
      <c r="Q47" s="19">
        <f>IF(ISNUMBER(O47),IF(AND(O47&gt;=P47-0.005,O47&lt;=P47+0.005),L47,0),0)</f>
        <v>0</v>
      </c>
      <c r="V47" s="259"/>
    </row>
    <row r="48" spans="1:24" x14ac:dyDescent="0.2">
      <c r="A48" s="88"/>
      <c r="B48" s="212" t="s">
        <v>115</v>
      </c>
      <c r="C48" s="140">
        <v>0</v>
      </c>
      <c r="D48" s="139" t="s">
        <v>116</v>
      </c>
      <c r="E48" s="220">
        <f>C23</f>
        <v>45</v>
      </c>
      <c r="F48" s="150"/>
      <c r="G48" s="150"/>
      <c r="H48" s="150"/>
      <c r="I48" s="150"/>
      <c r="J48" s="150"/>
      <c r="K48" s="154"/>
      <c r="L48" s="261">
        <v>1.5</v>
      </c>
      <c r="M48" s="106" t="s">
        <v>69</v>
      </c>
      <c r="N48" s="255" t="s">
        <v>19</v>
      </c>
      <c r="O48" s="21"/>
      <c r="P48" s="20">
        <f>C36*C37+(C17-S48)*O9</f>
        <v>226706346.29677421</v>
      </c>
      <c r="Q48" s="19">
        <f t="shared" ref="Q48" si="1">IF(ISNUMBER(O48),IF(AND(O48&gt;=P48-0.5,O48&lt;=P48+0.5),L48,0),0)</f>
        <v>0</v>
      </c>
      <c r="R48" s="12" t="s">
        <v>168</v>
      </c>
      <c r="S48" s="184">
        <v>18000</v>
      </c>
    </row>
    <row r="49" spans="1:23" x14ac:dyDescent="0.2">
      <c r="A49" s="88"/>
      <c r="B49" s="212" t="s">
        <v>117</v>
      </c>
      <c r="C49" s="140">
        <v>0</v>
      </c>
      <c r="D49" s="139" t="s">
        <v>118</v>
      </c>
      <c r="E49" s="220">
        <f>C24</f>
        <v>35</v>
      </c>
      <c r="F49" s="150"/>
      <c r="G49" s="150"/>
      <c r="H49" s="150"/>
      <c r="I49" s="150"/>
      <c r="J49" s="150"/>
      <c r="K49" s="154"/>
      <c r="L49" s="261">
        <v>1.5</v>
      </c>
      <c r="M49" s="242" t="s">
        <v>12</v>
      </c>
      <c r="N49" s="251" t="s">
        <v>22</v>
      </c>
      <c r="O49" s="21"/>
      <c r="P49" s="20">
        <f>W49-W49*D8</f>
        <v>2374928.2374193668</v>
      </c>
      <c r="Q49" s="19">
        <f>IF(ISNUMBER(O49),IF(OR(AND((ABS(O49)&gt;=P49-0.5),(ABS(O49)&lt;=P49+0.5)),AND((ABS(O49)&gt;=R49-0.5),(ABS(O49)&lt;=R49+0.5))),L49,0),0)</f>
        <v>0</v>
      </c>
      <c r="R49" s="184">
        <v>3267728.24</v>
      </c>
      <c r="V49" s="12" t="s">
        <v>203</v>
      </c>
      <c r="W49" s="184">
        <f>(P48-(C18+C36*P12+O12*(C17-S48)))+SUM(P41:P43)</f>
        <v>2968660.2967742085</v>
      </c>
    </row>
    <row r="50" spans="1:23" ht="39" customHeight="1" x14ac:dyDescent="0.2">
      <c r="A50" s="88"/>
      <c r="B50" s="212" t="s">
        <v>119</v>
      </c>
      <c r="C50" s="218">
        <v>0.25</v>
      </c>
      <c r="D50" s="139" t="s">
        <v>135</v>
      </c>
      <c r="E50" s="219">
        <f>C25+C25*C50</f>
        <v>50</v>
      </c>
      <c r="F50" s="150"/>
      <c r="G50" s="150"/>
      <c r="H50" s="150"/>
      <c r="I50" s="150"/>
      <c r="J50" s="150"/>
      <c r="K50" s="154"/>
      <c r="L50" s="261">
        <v>2</v>
      </c>
      <c r="M50" s="242" t="s">
        <v>13</v>
      </c>
      <c r="N50" s="256" t="s">
        <v>201</v>
      </c>
      <c r="O50" s="21"/>
      <c r="P50" s="20">
        <f>((P48-(C18+C36*P12+O12*(C17-S48)))*1.2-(P48-(C18+C36*P12+O12*(C17-S48))))/P13</f>
        <v>28915.3882786012</v>
      </c>
      <c r="Q50" s="19">
        <f>IF(ISNUMBER(O50),IF(OR(AND((ABS(O50)&gt;=P50-0.5),(ABS(O50)&lt;=P50+0.5)),AND((ABS(O50)&gt;=R50-0.5),(ABS(O50)&lt;=R50+0.5)),AND((ABS(O50)&gt;=S50-0.5),(ABS(O50)&lt;=S50+0.5)),AND((ABS(O50)&gt;=T50-0.5),(ABS(O50)&lt;=T50+0.5)),AND((ABS(O50)&gt;=U50-0.5),(ABS(O50)&lt;=U50+0.5)),AND((ABS(O50)&gt;=V50-0.5),(ABS(O50)&lt;=V50+0.5))),L50,0),0)</f>
        <v>0</v>
      </c>
      <c r="R50" s="262">
        <v>32266.74</v>
      </c>
      <c r="S50" s="265">
        <v>28915</v>
      </c>
      <c r="T50" s="184">
        <v>28916</v>
      </c>
      <c r="U50" s="184">
        <v>32266</v>
      </c>
      <c r="V50" s="259">
        <v>32267</v>
      </c>
    </row>
    <row r="51" spans="1:23" x14ac:dyDescent="0.2">
      <c r="A51" s="88"/>
      <c r="B51" s="212" t="s">
        <v>121</v>
      </c>
      <c r="C51" s="218">
        <v>8.3333333333333329E-2</v>
      </c>
      <c r="D51" s="139" t="s">
        <v>136</v>
      </c>
      <c r="E51" s="219">
        <f>C26+C26*C51</f>
        <v>65</v>
      </c>
      <c r="F51" s="150"/>
      <c r="G51" s="150"/>
      <c r="H51" s="150"/>
      <c r="I51" s="150"/>
      <c r="J51" s="150"/>
      <c r="K51" s="154"/>
      <c r="L51" s="261">
        <v>1</v>
      </c>
      <c r="M51" s="83" t="s">
        <v>14</v>
      </c>
      <c r="N51" s="257" t="s">
        <v>84</v>
      </c>
      <c r="O51" s="21"/>
      <c r="P51" s="192" t="str">
        <f>IF(P50&lt;&gt;0,IF((P50+C36+C17-S48)&lt;=P22,"YES","NO"),"-")</f>
        <v>YES</v>
      </c>
      <c r="Q51" s="19">
        <f>IF(EXACT(O51,P51),L51,0)</f>
        <v>0</v>
      </c>
      <c r="R51" s="15"/>
      <c r="S51" s="15"/>
    </row>
    <row r="52" spans="1:23" x14ac:dyDescent="0.2">
      <c r="A52" s="88"/>
      <c r="B52" s="212" t="s">
        <v>123</v>
      </c>
      <c r="C52" s="218">
        <v>0.75</v>
      </c>
      <c r="D52" s="139" t="s">
        <v>137</v>
      </c>
      <c r="E52" s="219">
        <f>C27+C27*C52</f>
        <v>35</v>
      </c>
      <c r="F52" s="150"/>
      <c r="G52" s="150"/>
      <c r="H52" s="150"/>
      <c r="I52" s="150"/>
      <c r="J52" s="150"/>
      <c r="K52" s="154"/>
      <c r="L52" s="261">
        <v>1</v>
      </c>
      <c r="M52" s="128" t="s">
        <v>72</v>
      </c>
      <c r="N52" s="258" t="s">
        <v>202</v>
      </c>
      <c r="O52" s="109"/>
      <c r="P52" s="108" t="s">
        <v>71</v>
      </c>
      <c r="Q52" s="19">
        <f t="shared" ref="Q52:Q54" si="2">IF(EXACT(O52,P52),L52,0)</f>
        <v>0</v>
      </c>
      <c r="R52" s="15"/>
    </row>
    <row r="53" spans="1:23" ht="26" x14ac:dyDescent="0.2">
      <c r="A53" s="88"/>
      <c r="B53" s="212" t="s">
        <v>183</v>
      </c>
      <c r="C53" s="218">
        <v>0.8666666666666667</v>
      </c>
      <c r="D53" s="139" t="s">
        <v>189</v>
      </c>
      <c r="E53" s="219">
        <f>C28+C28*C53</f>
        <v>28</v>
      </c>
      <c r="F53" s="150"/>
      <c r="G53" s="150"/>
      <c r="H53" s="150"/>
      <c r="I53" s="150"/>
      <c r="J53" s="150"/>
      <c r="K53" s="154"/>
      <c r="L53" s="261">
        <v>1</v>
      </c>
      <c r="M53" s="242" t="s">
        <v>12</v>
      </c>
      <c r="N53" s="258" t="s">
        <v>107</v>
      </c>
      <c r="O53" s="21"/>
      <c r="P53" s="108" t="s">
        <v>70</v>
      </c>
      <c r="Q53" s="19">
        <f t="shared" si="2"/>
        <v>0</v>
      </c>
    </row>
    <row r="54" spans="1:23" ht="15" thickBot="1" x14ac:dyDescent="0.25">
      <c r="A54" s="88"/>
      <c r="B54" s="141"/>
      <c r="C54" s="156"/>
      <c r="D54" s="142"/>
      <c r="E54" s="149"/>
      <c r="F54" s="150"/>
      <c r="G54" s="150"/>
      <c r="H54" s="150"/>
      <c r="I54" s="150"/>
      <c r="J54" s="150"/>
      <c r="K54" s="154"/>
      <c r="L54" s="261">
        <v>1</v>
      </c>
      <c r="M54" s="242" t="s">
        <v>13</v>
      </c>
      <c r="N54" s="296" t="s">
        <v>442</v>
      </c>
      <c r="O54" s="110"/>
      <c r="P54" s="111" t="s">
        <v>204</v>
      </c>
      <c r="Q54" s="19">
        <f t="shared" si="2"/>
        <v>0</v>
      </c>
    </row>
    <row r="55" spans="1:23" x14ac:dyDescent="0.2">
      <c r="A55" s="153"/>
      <c r="B55" s="149"/>
      <c r="C55" s="149"/>
      <c r="D55" s="149"/>
      <c r="E55" s="149"/>
      <c r="F55" s="150"/>
      <c r="G55" s="150"/>
      <c r="H55" s="150"/>
      <c r="I55" s="150"/>
      <c r="J55" s="150"/>
      <c r="K55" s="154"/>
      <c r="L55" s="155">
        <f>SUM(L16:L54)</f>
        <v>29.5</v>
      </c>
      <c r="M55" s="244"/>
      <c r="N55" s="112"/>
      <c r="O55" s="112"/>
      <c r="P55" s="113"/>
      <c r="Q55" s="107">
        <f>SUM(Q16:Q54)</f>
        <v>0</v>
      </c>
    </row>
    <row r="56" spans="1:23" x14ac:dyDescent="0.2">
      <c r="A56" s="153"/>
      <c r="B56" s="149"/>
      <c r="C56" s="149"/>
      <c r="D56" s="149"/>
      <c r="E56" s="149"/>
      <c r="M56" s="245"/>
      <c r="N56" s="13"/>
      <c r="O56" s="13"/>
      <c r="P56" s="114"/>
      <c r="Q56" s="94">
        <f>Q55/L55</f>
        <v>0</v>
      </c>
    </row>
    <row r="57" spans="1:23" ht="15" thickBot="1" x14ac:dyDescent="0.25">
      <c r="A57" s="153"/>
      <c r="B57" s="149"/>
      <c r="C57" s="149"/>
      <c r="D57" s="149"/>
      <c r="E57" s="149"/>
      <c r="M57" s="245"/>
      <c r="N57" s="18"/>
      <c r="O57" s="17"/>
      <c r="P57" s="96"/>
      <c r="Q57" s="95" t="s">
        <v>23</v>
      </c>
    </row>
    <row r="58" spans="1:23" x14ac:dyDescent="0.2">
      <c r="A58" s="153"/>
      <c r="B58" s="149"/>
      <c r="C58" s="149"/>
      <c r="D58" s="149"/>
      <c r="E58" s="149"/>
      <c r="N58" s="13"/>
      <c r="O58" s="16"/>
      <c r="P58" s="96"/>
    </row>
    <row r="59" spans="1:23" ht="15" thickBot="1" x14ac:dyDescent="0.25">
      <c r="A59" s="153"/>
      <c r="B59" s="149"/>
      <c r="C59" s="149"/>
      <c r="D59" s="149"/>
      <c r="E59" s="149"/>
    </row>
    <row r="60" spans="1:23" x14ac:dyDescent="0.2">
      <c r="A60" s="149"/>
      <c r="B60" s="143" t="s">
        <v>138</v>
      </c>
      <c r="C60" s="144"/>
      <c r="D60" s="144"/>
      <c r="E60" s="145"/>
      <c r="M60" s="245"/>
    </row>
    <row r="61" spans="1:23" ht="15" thickBot="1" x14ac:dyDescent="0.25">
      <c r="A61" s="149"/>
      <c r="B61" s="146" t="s">
        <v>151</v>
      </c>
      <c r="C61" s="147"/>
      <c r="D61" s="147"/>
      <c r="E61" s="148"/>
      <c r="M61" s="245"/>
    </row>
    <row r="62" spans="1:23" ht="15" thickBot="1" x14ac:dyDescent="0.25">
      <c r="A62" s="149"/>
      <c r="B62" s="172" t="s">
        <v>152</v>
      </c>
      <c r="C62" s="173"/>
      <c r="D62" s="172" t="s">
        <v>153</v>
      </c>
      <c r="E62" s="173"/>
      <c r="M62" s="245"/>
    </row>
    <row r="63" spans="1:23" x14ac:dyDescent="0.2">
      <c r="A63" s="149"/>
      <c r="B63" s="174"/>
      <c r="C63" s="175"/>
      <c r="D63" s="174"/>
      <c r="E63" s="175"/>
      <c r="M63" s="245"/>
    </row>
    <row r="64" spans="1:23" ht="16" x14ac:dyDescent="0.2">
      <c r="A64" s="149"/>
      <c r="B64" s="176" t="s">
        <v>154</v>
      </c>
      <c r="C64" s="177"/>
      <c r="D64" s="176" t="s">
        <v>155</v>
      </c>
      <c r="E64" s="177">
        <v>53561039</v>
      </c>
      <c r="M64" s="245"/>
    </row>
    <row r="65" spans="1:5" x14ac:dyDescent="0.2">
      <c r="A65" s="149"/>
      <c r="B65" s="178" t="s">
        <v>156</v>
      </c>
      <c r="C65" s="159">
        <v>18577541</v>
      </c>
      <c r="D65" s="178" t="s">
        <v>157</v>
      </c>
      <c r="E65" s="179">
        <v>48410589</v>
      </c>
    </row>
    <row r="66" spans="1:5" x14ac:dyDescent="0.2">
      <c r="A66" s="149"/>
      <c r="B66" s="178" t="s">
        <v>158</v>
      </c>
      <c r="C66" s="159">
        <v>40705207</v>
      </c>
      <c r="D66" s="178" t="s">
        <v>159</v>
      </c>
      <c r="E66" s="179">
        <v>1534155</v>
      </c>
    </row>
    <row r="67" spans="1:5" x14ac:dyDescent="0.2">
      <c r="B67" s="178" t="s">
        <v>160</v>
      </c>
      <c r="C67" s="159">
        <v>14452545</v>
      </c>
      <c r="D67" s="178" t="s">
        <v>161</v>
      </c>
      <c r="E67" s="179">
        <v>3616295</v>
      </c>
    </row>
    <row r="68" spans="1:5" x14ac:dyDescent="0.2">
      <c r="B68" s="178" t="s">
        <v>162</v>
      </c>
      <c r="C68" s="159">
        <v>1373549</v>
      </c>
      <c r="D68" s="180"/>
      <c r="E68" s="181"/>
    </row>
    <row r="69" spans="1:5" x14ac:dyDescent="0.2">
      <c r="B69" s="178" t="s">
        <v>163</v>
      </c>
      <c r="C69" s="159">
        <v>332407</v>
      </c>
      <c r="D69" s="182" t="s">
        <v>164</v>
      </c>
      <c r="E69" s="162">
        <v>28480935</v>
      </c>
    </row>
    <row r="70" spans="1:5" x14ac:dyDescent="0.2">
      <c r="B70" s="178" t="s">
        <v>165</v>
      </c>
      <c r="C70" s="159">
        <v>6600725</v>
      </c>
      <c r="D70" s="180"/>
      <c r="E70" s="181"/>
    </row>
    <row r="71" spans="1:5" ht="16" x14ac:dyDescent="0.2">
      <c r="B71" s="180"/>
      <c r="C71" s="181"/>
      <c r="D71" s="182"/>
      <c r="E71" s="177"/>
    </row>
    <row r="72" spans="1:5" ht="15" thickBot="1" x14ac:dyDescent="0.25">
      <c r="B72" s="135" t="s">
        <v>166</v>
      </c>
      <c r="C72" s="183">
        <v>82041974</v>
      </c>
      <c r="D72" s="135" t="s">
        <v>167</v>
      </c>
      <c r="E72" s="183">
        <v>82041974</v>
      </c>
    </row>
    <row r="104" spans="13:13" x14ac:dyDescent="0.2">
      <c r="M104" s="245"/>
    </row>
    <row r="105" spans="13:13" x14ac:dyDescent="0.2">
      <c r="M105" s="245"/>
    </row>
    <row r="106" spans="13:13" x14ac:dyDescent="0.2">
      <c r="M106" s="245"/>
    </row>
    <row r="107" spans="13:13" x14ac:dyDescent="0.2">
      <c r="M107" s="245"/>
    </row>
    <row r="108" spans="13:13" x14ac:dyDescent="0.2">
      <c r="M108" s="245"/>
    </row>
    <row r="109" spans="13:13" x14ac:dyDescent="0.2">
      <c r="M109" s="245"/>
    </row>
    <row r="110" spans="13:13" x14ac:dyDescent="0.2">
      <c r="M110" s="245"/>
    </row>
    <row r="111" spans="13:13" x14ac:dyDescent="0.2">
      <c r="M111" s="245"/>
    </row>
    <row r="112" spans="13:13" x14ac:dyDescent="0.2">
      <c r="M112" s="245"/>
    </row>
    <row r="113" spans="13:13" x14ac:dyDescent="0.2">
      <c r="M113" s="245"/>
    </row>
    <row r="114" spans="13:13" x14ac:dyDescent="0.2">
      <c r="M114" s="245"/>
    </row>
    <row r="115" spans="13:13" x14ac:dyDescent="0.2">
      <c r="M115" s="245"/>
    </row>
    <row r="116" spans="13:13" x14ac:dyDescent="0.2">
      <c r="M116" s="245"/>
    </row>
    <row r="117" spans="13:13" x14ac:dyDescent="0.2">
      <c r="M117" s="245"/>
    </row>
    <row r="118" spans="13:13" x14ac:dyDescent="0.2">
      <c r="M118" s="245"/>
    </row>
    <row r="119" spans="13:13" x14ac:dyDescent="0.2">
      <c r="M119" s="245"/>
    </row>
    <row r="120" spans="13:13" x14ac:dyDescent="0.2">
      <c r="M120" s="245"/>
    </row>
    <row r="121" spans="13:13" x14ac:dyDescent="0.2">
      <c r="M121" s="245"/>
    </row>
    <row r="122" spans="13:13" x14ac:dyDescent="0.2">
      <c r="M122" s="245"/>
    </row>
    <row r="123" spans="13:13" x14ac:dyDescent="0.2">
      <c r="M123" s="245"/>
    </row>
    <row r="124" spans="13:13" x14ac:dyDescent="0.2">
      <c r="M124" s="245"/>
    </row>
    <row r="125" spans="13:13" x14ac:dyDescent="0.2">
      <c r="M125" s="245"/>
    </row>
    <row r="126" spans="13:13" x14ac:dyDescent="0.2">
      <c r="M126" s="245"/>
    </row>
    <row r="127" spans="13:13" x14ac:dyDescent="0.2">
      <c r="M127" s="245"/>
    </row>
    <row r="128" spans="13:13" x14ac:dyDescent="0.2">
      <c r="M128" s="245"/>
    </row>
    <row r="129" spans="13:13" x14ac:dyDescent="0.2">
      <c r="M129" s="245"/>
    </row>
    <row r="130" spans="13:13" x14ac:dyDescent="0.2">
      <c r="M130" s="245"/>
    </row>
    <row r="131" spans="13:13" x14ac:dyDescent="0.2">
      <c r="M131" s="245"/>
    </row>
    <row r="132" spans="13:13" x14ac:dyDescent="0.2">
      <c r="M132" s="245"/>
    </row>
    <row r="133" spans="13:13" x14ac:dyDescent="0.2">
      <c r="M133" s="245"/>
    </row>
    <row r="134" spans="13:13" x14ac:dyDescent="0.2">
      <c r="M134" s="245"/>
    </row>
    <row r="135" spans="13:13" x14ac:dyDescent="0.2">
      <c r="M135" s="245"/>
    </row>
    <row r="136" spans="13:13" x14ac:dyDescent="0.2">
      <c r="M136" s="245"/>
    </row>
    <row r="137" spans="13:13" x14ac:dyDescent="0.2">
      <c r="M137" s="245"/>
    </row>
    <row r="138" spans="13:13" x14ac:dyDescent="0.2">
      <c r="M138" s="245"/>
    </row>
    <row r="139" spans="13:13" x14ac:dyDescent="0.2">
      <c r="M139" s="245"/>
    </row>
    <row r="140" spans="13:13" x14ac:dyDescent="0.2">
      <c r="M140" s="245"/>
    </row>
    <row r="141" spans="13:13" x14ac:dyDescent="0.2">
      <c r="M141" s="245"/>
    </row>
    <row r="142" spans="13:13" x14ac:dyDescent="0.2">
      <c r="M142" s="245"/>
    </row>
    <row r="143" spans="13:13" x14ac:dyDescent="0.2">
      <c r="M143" s="245"/>
    </row>
    <row r="144" spans="13:13" x14ac:dyDescent="0.2">
      <c r="M144" s="245"/>
    </row>
  </sheetData>
  <mergeCells count="12">
    <mergeCell ref="B1:C1"/>
    <mergeCell ref="B2:C2"/>
    <mergeCell ref="B31:D31"/>
    <mergeCell ref="B32:D32"/>
    <mergeCell ref="B15:D15"/>
    <mergeCell ref="B14:D14"/>
    <mergeCell ref="N6:P6"/>
    <mergeCell ref="N7:N8"/>
    <mergeCell ref="P7:P8"/>
    <mergeCell ref="O7:O8"/>
    <mergeCell ref="D6:D7"/>
    <mergeCell ref="D8:D9"/>
  </mergeCells>
  <phoneticPr fontId="18" type="noConversion"/>
  <conditionalFormatting sqref="C4:C11">
    <cfRule type="cellIs" dxfId="2" priority="3" operator="lessThan">
      <formula>0</formula>
    </cfRule>
  </conditionalFormatting>
  <conditionalFormatting sqref="E69">
    <cfRule type="cellIs" dxfId="1" priority="2" operator="lessThan">
      <formula>0</formula>
    </cfRule>
  </conditionalFormatting>
  <conditionalFormatting sqref="C65:C70">
    <cfRule type="cellIs" dxfId="0" priority="1" operator="lessThan">
      <formula>0</formula>
    </cfRule>
  </conditionalFormatting>
  <pageMargins left="0.75" right="0.75" top="1" bottom="1" header="0.5" footer="0.5"/>
  <headerFooter alignWithMargins="0"/>
  <customProperties>
    <customPr name="DVSECTION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"/>
  <sheetViews>
    <sheetView workbookViewId="0">
      <selection activeCell="F13" sqref="F13"/>
    </sheetView>
  </sheetViews>
  <sheetFormatPr baseColWidth="10" defaultColWidth="8.6640625" defaultRowHeight="13" x14ac:dyDescent="0.15"/>
  <cols>
    <col min="2" max="3" width="10.5" bestFit="1" customWidth="1"/>
    <col min="4" max="4" width="12.5" bestFit="1" customWidth="1"/>
    <col min="5" max="6" width="8.6640625" customWidth="1"/>
  </cols>
  <sheetData>
    <row r="1" spans="1:5" x14ac:dyDescent="0.15">
      <c r="A1" s="82" t="s">
        <v>49</v>
      </c>
      <c r="B1" s="82" t="s">
        <v>52</v>
      </c>
      <c r="C1" s="82" t="s">
        <v>53</v>
      </c>
      <c r="D1" s="82" t="s">
        <v>54</v>
      </c>
      <c r="E1" s="82" t="s">
        <v>48</v>
      </c>
    </row>
    <row r="2" spans="1:5" x14ac:dyDescent="0.15">
      <c r="B2" s="91"/>
      <c r="C2" s="91"/>
      <c r="D2" s="92"/>
    </row>
  </sheetData>
  <pageMargins left="0.7" right="0.7" top="0.75" bottom="0.75" header="0.3" footer="0.3"/>
  <customProperties>
    <customPr name="DVSECTION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B1:C42"/>
  <sheetViews>
    <sheetView workbookViewId="0">
      <selection activeCell="E41" sqref="E41"/>
    </sheetView>
  </sheetViews>
  <sheetFormatPr baseColWidth="10" defaultColWidth="8.6640625" defaultRowHeight="13" x14ac:dyDescent="0.15"/>
  <cols>
    <col min="2" max="4" width="13.6640625" customWidth="1"/>
  </cols>
  <sheetData>
    <row r="1" spans="2:3" x14ac:dyDescent="0.15">
      <c r="B1" s="91"/>
      <c r="C1" s="91"/>
    </row>
    <row r="2" spans="2:3" x14ac:dyDescent="0.15">
      <c r="B2" s="91"/>
      <c r="C2" s="91"/>
    </row>
    <row r="3" spans="2:3" x14ac:dyDescent="0.15">
      <c r="B3" s="91"/>
      <c r="C3" s="91"/>
    </row>
    <row r="4" spans="2:3" x14ac:dyDescent="0.15">
      <c r="B4" s="91"/>
      <c r="C4" s="91"/>
    </row>
    <row r="5" spans="2:3" x14ac:dyDescent="0.15">
      <c r="B5" s="91"/>
      <c r="C5" s="91"/>
    </row>
    <row r="6" spans="2:3" x14ac:dyDescent="0.15">
      <c r="B6" s="84"/>
      <c r="C6" s="84"/>
    </row>
    <row r="7" spans="2:3" x14ac:dyDescent="0.15">
      <c r="B7" s="84"/>
      <c r="C7" s="84"/>
    </row>
    <row r="8" spans="2:3" x14ac:dyDescent="0.15">
      <c r="B8" s="84"/>
      <c r="C8" s="84"/>
    </row>
    <row r="9" spans="2:3" x14ac:dyDescent="0.15">
      <c r="B9" s="84"/>
      <c r="C9" s="84"/>
    </row>
    <row r="10" spans="2:3" x14ac:dyDescent="0.15">
      <c r="B10" s="84"/>
      <c r="C10" s="84"/>
    </row>
    <row r="11" spans="2:3" x14ac:dyDescent="0.15">
      <c r="B11" s="84"/>
      <c r="C11" s="84"/>
    </row>
    <row r="12" spans="2:3" x14ac:dyDescent="0.15">
      <c r="B12" s="84"/>
      <c r="C12" s="84"/>
    </row>
    <row r="13" spans="2:3" x14ac:dyDescent="0.15">
      <c r="B13" s="84"/>
      <c r="C13" s="84"/>
    </row>
    <row r="14" spans="2:3" x14ac:dyDescent="0.15">
      <c r="B14" s="84"/>
      <c r="C14" s="84"/>
    </row>
    <row r="15" spans="2:3" x14ac:dyDescent="0.15">
      <c r="B15" s="84"/>
      <c r="C15" s="84"/>
    </row>
    <row r="16" spans="2:3" x14ac:dyDescent="0.15">
      <c r="B16" s="84"/>
      <c r="C16" s="84"/>
    </row>
    <row r="17" spans="2:3" x14ac:dyDescent="0.15">
      <c r="B17" s="84"/>
      <c r="C17" s="84"/>
    </row>
    <row r="18" spans="2:3" x14ac:dyDescent="0.15">
      <c r="B18" s="84"/>
      <c r="C18" s="84"/>
    </row>
    <row r="19" spans="2:3" x14ac:dyDescent="0.15">
      <c r="B19" s="84"/>
      <c r="C19" s="84"/>
    </row>
    <row r="20" spans="2:3" x14ac:dyDescent="0.15">
      <c r="B20" s="84"/>
      <c r="C20" s="84"/>
    </row>
    <row r="21" spans="2:3" x14ac:dyDescent="0.15">
      <c r="B21" s="84"/>
      <c r="C21" s="84"/>
    </row>
    <row r="22" spans="2:3" x14ac:dyDescent="0.15">
      <c r="B22" s="84"/>
      <c r="C22" s="84"/>
    </row>
    <row r="23" spans="2:3" x14ac:dyDescent="0.15">
      <c r="B23" s="84"/>
      <c r="C23" s="84"/>
    </row>
    <row r="24" spans="2:3" x14ac:dyDescent="0.15">
      <c r="B24" s="84"/>
      <c r="C24" s="84"/>
    </row>
    <row r="25" spans="2:3" x14ac:dyDescent="0.15">
      <c r="B25" s="84"/>
      <c r="C25" s="84"/>
    </row>
    <row r="26" spans="2:3" x14ac:dyDescent="0.15">
      <c r="B26" s="84"/>
      <c r="C26" s="84"/>
    </row>
    <row r="27" spans="2:3" x14ac:dyDescent="0.15">
      <c r="B27" s="84"/>
      <c r="C27" s="84"/>
    </row>
    <row r="28" spans="2:3" x14ac:dyDescent="0.15">
      <c r="B28" s="84"/>
      <c r="C28" s="84"/>
    </row>
    <row r="29" spans="2:3" x14ac:dyDescent="0.15">
      <c r="B29" s="84"/>
      <c r="C29" s="84"/>
    </row>
    <row r="30" spans="2:3" x14ac:dyDescent="0.15">
      <c r="B30" s="84"/>
      <c r="C30" s="84"/>
    </row>
    <row r="31" spans="2:3" x14ac:dyDescent="0.15">
      <c r="B31" s="84"/>
      <c r="C31" s="84"/>
    </row>
    <row r="32" spans="2:3" x14ac:dyDescent="0.15">
      <c r="B32" s="84"/>
      <c r="C32" s="84"/>
    </row>
    <row r="33" spans="2:3" x14ac:dyDescent="0.15">
      <c r="B33" s="84"/>
      <c r="C33" s="84"/>
    </row>
    <row r="34" spans="2:3" x14ac:dyDescent="0.15">
      <c r="B34" s="84"/>
      <c r="C34" s="84"/>
    </row>
    <row r="35" spans="2:3" x14ac:dyDescent="0.15">
      <c r="B35" s="84"/>
      <c r="C35" s="84"/>
    </row>
    <row r="36" spans="2:3" x14ac:dyDescent="0.15">
      <c r="B36" s="87"/>
      <c r="C36" s="87"/>
    </row>
    <row r="37" spans="2:3" x14ac:dyDescent="0.15">
      <c r="B37" s="87"/>
      <c r="C37" s="87"/>
    </row>
    <row r="38" spans="2:3" x14ac:dyDescent="0.15">
      <c r="B38" s="87"/>
      <c r="C38" s="87"/>
    </row>
    <row r="39" spans="2:3" x14ac:dyDescent="0.15">
      <c r="B39" s="87"/>
      <c r="C39" s="87"/>
    </row>
    <row r="40" spans="2:3" x14ac:dyDescent="0.15">
      <c r="B40" s="87"/>
      <c r="C40" s="87"/>
    </row>
    <row r="41" spans="2:3" x14ac:dyDescent="0.15">
      <c r="B41" s="87"/>
      <c r="C41" s="87"/>
    </row>
    <row r="42" spans="2:3" x14ac:dyDescent="0.15">
      <c r="B42" s="87"/>
      <c r="C42" s="87"/>
    </row>
  </sheetData>
  <pageMargins left="0.7" right="0.7" top="0.75" bottom="0.75" header="0.3" footer="0.3"/>
  <customProperties>
    <customPr name="DVSECTION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78"/>
  <sheetViews>
    <sheetView workbookViewId="0">
      <selection activeCell="A2" sqref="A2:A103"/>
    </sheetView>
  </sheetViews>
  <sheetFormatPr baseColWidth="10" defaultColWidth="8.6640625" defaultRowHeight="13" x14ac:dyDescent="0.15"/>
  <cols>
    <col min="1" max="1" width="85.1640625" style="79" bestFit="1" customWidth="1"/>
    <col min="2" max="4" width="8.6640625" style="79"/>
    <col min="5" max="5" width="9.6640625" style="79" bestFit="1" customWidth="1"/>
    <col min="6" max="16384" width="8.6640625" style="79"/>
  </cols>
  <sheetData>
    <row r="1" spans="1:4" x14ac:dyDescent="0.15">
      <c r="A1" s="80"/>
      <c r="B1" s="81" t="s">
        <v>0</v>
      </c>
      <c r="C1" s="80" t="s">
        <v>46</v>
      </c>
      <c r="D1" s="80" t="s">
        <v>49</v>
      </c>
    </row>
    <row r="2" spans="1:4" x14ac:dyDescent="0.15">
      <c r="A2" s="79" t="s">
        <v>205</v>
      </c>
      <c r="B2" s="120"/>
    </row>
    <row r="3" spans="1:4" x14ac:dyDescent="0.15">
      <c r="A3" s="79" t="s">
        <v>206</v>
      </c>
      <c r="B3" s="120"/>
    </row>
    <row r="4" spans="1:4" x14ac:dyDescent="0.15">
      <c r="A4" s="79" t="s">
        <v>207</v>
      </c>
      <c r="B4" s="120"/>
    </row>
    <row r="5" spans="1:4" x14ac:dyDescent="0.15">
      <c r="A5" s="79" t="s">
        <v>208</v>
      </c>
      <c r="B5" s="120"/>
    </row>
    <row r="6" spans="1:4" x14ac:dyDescent="0.15">
      <c r="A6" s="79" t="s">
        <v>209</v>
      </c>
      <c r="B6" s="120"/>
    </row>
    <row r="7" spans="1:4" x14ac:dyDescent="0.15">
      <c r="A7" s="79" t="s">
        <v>210</v>
      </c>
      <c r="B7" s="120"/>
    </row>
    <row r="8" spans="1:4" x14ac:dyDescent="0.15">
      <c r="A8" s="79" t="s">
        <v>211</v>
      </c>
      <c r="B8" s="120"/>
    </row>
    <row r="9" spans="1:4" x14ac:dyDescent="0.15">
      <c r="A9" s="79" t="s">
        <v>212</v>
      </c>
      <c r="B9" s="120"/>
    </row>
    <row r="10" spans="1:4" x14ac:dyDescent="0.15">
      <c r="A10" s="79" t="s">
        <v>213</v>
      </c>
      <c r="B10" s="120"/>
    </row>
    <row r="11" spans="1:4" x14ac:dyDescent="0.15">
      <c r="A11" s="79" t="s">
        <v>214</v>
      </c>
      <c r="B11" s="120"/>
    </row>
    <row r="12" spans="1:4" x14ac:dyDescent="0.15">
      <c r="A12" s="79" t="s">
        <v>215</v>
      </c>
      <c r="B12" s="120"/>
    </row>
    <row r="13" spans="1:4" x14ac:dyDescent="0.15">
      <c r="A13" s="79" t="s">
        <v>216</v>
      </c>
      <c r="B13" s="120"/>
    </row>
    <row r="14" spans="1:4" x14ac:dyDescent="0.15">
      <c r="A14" s="79" t="s">
        <v>217</v>
      </c>
      <c r="B14" s="120"/>
    </row>
    <row r="15" spans="1:4" x14ac:dyDescent="0.15">
      <c r="A15" s="79" t="s">
        <v>218</v>
      </c>
      <c r="B15" s="120"/>
    </row>
    <row r="16" spans="1:4" x14ac:dyDescent="0.15">
      <c r="A16" s="79" t="s">
        <v>219</v>
      </c>
      <c r="B16" s="120"/>
    </row>
    <row r="17" spans="1:2" x14ac:dyDescent="0.15">
      <c r="A17" s="79" t="s">
        <v>220</v>
      </c>
      <c r="B17" s="120"/>
    </row>
    <row r="18" spans="1:2" x14ac:dyDescent="0.15">
      <c r="A18" s="79" t="s">
        <v>221</v>
      </c>
      <c r="B18" s="120"/>
    </row>
    <row r="19" spans="1:2" x14ac:dyDescent="0.15">
      <c r="A19" s="79" t="s">
        <v>222</v>
      </c>
      <c r="B19" s="120"/>
    </row>
    <row r="20" spans="1:2" x14ac:dyDescent="0.15">
      <c r="A20" s="79" t="s">
        <v>223</v>
      </c>
      <c r="B20" s="120"/>
    </row>
    <row r="21" spans="1:2" x14ac:dyDescent="0.15">
      <c r="A21" s="79" t="s">
        <v>224</v>
      </c>
      <c r="B21" s="120"/>
    </row>
    <row r="22" spans="1:2" x14ac:dyDescent="0.15">
      <c r="A22" s="79" t="s">
        <v>225</v>
      </c>
      <c r="B22" s="120"/>
    </row>
    <row r="23" spans="1:2" x14ac:dyDescent="0.15">
      <c r="A23" s="79" t="s">
        <v>226</v>
      </c>
      <c r="B23" s="120"/>
    </row>
    <row r="24" spans="1:2" x14ac:dyDescent="0.15">
      <c r="A24" s="79" t="s">
        <v>227</v>
      </c>
      <c r="B24" s="120"/>
    </row>
    <row r="25" spans="1:2" x14ac:dyDescent="0.15">
      <c r="A25" s="79" t="s">
        <v>228</v>
      </c>
      <c r="B25" s="120"/>
    </row>
    <row r="26" spans="1:2" x14ac:dyDescent="0.15">
      <c r="A26" s="79" t="s">
        <v>229</v>
      </c>
      <c r="B26" s="120"/>
    </row>
    <row r="27" spans="1:2" x14ac:dyDescent="0.15">
      <c r="A27" s="79" t="s">
        <v>230</v>
      </c>
      <c r="B27" s="120"/>
    </row>
    <row r="28" spans="1:2" x14ac:dyDescent="0.15">
      <c r="A28" s="79" t="s">
        <v>231</v>
      </c>
      <c r="B28" s="120"/>
    </row>
    <row r="29" spans="1:2" x14ac:dyDescent="0.15">
      <c r="A29" s="79" t="s">
        <v>232</v>
      </c>
      <c r="B29" s="120"/>
    </row>
    <row r="30" spans="1:2" x14ac:dyDescent="0.15">
      <c r="A30" s="79" t="s">
        <v>233</v>
      </c>
      <c r="B30" s="120"/>
    </row>
    <row r="31" spans="1:2" x14ac:dyDescent="0.15">
      <c r="A31" s="79" t="s">
        <v>234</v>
      </c>
      <c r="B31" s="120"/>
    </row>
    <row r="32" spans="1:2" x14ac:dyDescent="0.15">
      <c r="A32" s="79" t="s">
        <v>235</v>
      </c>
      <c r="B32" s="120"/>
    </row>
    <row r="33" spans="1:2" x14ac:dyDescent="0.15">
      <c r="A33" s="79" t="s">
        <v>236</v>
      </c>
      <c r="B33" s="120"/>
    </row>
    <row r="34" spans="1:2" x14ac:dyDescent="0.15">
      <c r="A34" s="79" t="s">
        <v>237</v>
      </c>
      <c r="B34" s="120"/>
    </row>
    <row r="35" spans="1:2" x14ac:dyDescent="0.15">
      <c r="A35" s="79" t="s">
        <v>238</v>
      </c>
      <c r="B35" s="120"/>
    </row>
    <row r="36" spans="1:2" x14ac:dyDescent="0.15">
      <c r="A36" s="79" t="s">
        <v>239</v>
      </c>
      <c r="B36" s="120"/>
    </row>
    <row r="37" spans="1:2" x14ac:dyDescent="0.15">
      <c r="A37" s="79" t="s">
        <v>240</v>
      </c>
      <c r="B37" s="120"/>
    </row>
    <row r="38" spans="1:2" x14ac:dyDescent="0.15">
      <c r="A38" s="79" t="s">
        <v>241</v>
      </c>
      <c r="B38" s="120"/>
    </row>
    <row r="39" spans="1:2" x14ac:dyDescent="0.15">
      <c r="A39" s="79" t="s">
        <v>242</v>
      </c>
      <c r="B39" s="120"/>
    </row>
    <row r="40" spans="1:2" x14ac:dyDescent="0.15">
      <c r="A40" s="79" t="s">
        <v>243</v>
      </c>
      <c r="B40" s="120"/>
    </row>
    <row r="41" spans="1:2" x14ac:dyDescent="0.15">
      <c r="A41" s="79" t="s">
        <v>244</v>
      </c>
      <c r="B41" s="120"/>
    </row>
    <row r="42" spans="1:2" x14ac:dyDescent="0.15">
      <c r="A42" s="79" t="s">
        <v>245</v>
      </c>
      <c r="B42" s="120"/>
    </row>
    <row r="43" spans="1:2" x14ac:dyDescent="0.15">
      <c r="A43" s="79" t="s">
        <v>246</v>
      </c>
      <c r="B43" s="120"/>
    </row>
    <row r="44" spans="1:2" x14ac:dyDescent="0.15">
      <c r="A44" s="79" t="s">
        <v>247</v>
      </c>
      <c r="B44" s="120"/>
    </row>
    <row r="45" spans="1:2" x14ac:dyDescent="0.15">
      <c r="A45" s="79" t="s">
        <v>248</v>
      </c>
      <c r="B45" s="120"/>
    </row>
    <row r="46" spans="1:2" x14ac:dyDescent="0.15">
      <c r="A46" s="79" t="s">
        <v>249</v>
      </c>
      <c r="B46" s="120"/>
    </row>
    <row r="47" spans="1:2" x14ac:dyDescent="0.15">
      <c r="A47" s="79" t="s">
        <v>250</v>
      </c>
      <c r="B47" s="120"/>
    </row>
    <row r="48" spans="1:2" x14ac:dyDescent="0.15">
      <c r="A48" s="79" t="s">
        <v>251</v>
      </c>
      <c r="B48" s="120"/>
    </row>
    <row r="49" spans="1:2" x14ac:dyDescent="0.15">
      <c r="A49" s="79" t="s">
        <v>252</v>
      </c>
      <c r="B49" s="120"/>
    </row>
    <row r="50" spans="1:2" x14ac:dyDescent="0.15">
      <c r="A50" s="79" t="s">
        <v>253</v>
      </c>
      <c r="B50" s="120"/>
    </row>
    <row r="51" spans="1:2" x14ac:dyDescent="0.15">
      <c r="A51" s="79" t="s">
        <v>254</v>
      </c>
      <c r="B51" s="120"/>
    </row>
    <row r="52" spans="1:2" x14ac:dyDescent="0.15">
      <c r="A52" s="79" t="s">
        <v>255</v>
      </c>
      <c r="B52" s="120"/>
    </row>
    <row r="53" spans="1:2" x14ac:dyDescent="0.15">
      <c r="A53" s="79" t="s">
        <v>256</v>
      </c>
      <c r="B53" s="120"/>
    </row>
    <row r="54" spans="1:2" x14ac:dyDescent="0.15">
      <c r="A54" s="79" t="s">
        <v>257</v>
      </c>
      <c r="B54" s="120"/>
    </row>
    <row r="55" spans="1:2" x14ac:dyDescent="0.15">
      <c r="A55" s="79" t="s">
        <v>258</v>
      </c>
      <c r="B55" s="120"/>
    </row>
    <row r="56" spans="1:2" x14ac:dyDescent="0.15">
      <c r="A56" s="79" t="s">
        <v>259</v>
      </c>
      <c r="B56" s="120"/>
    </row>
    <row r="57" spans="1:2" x14ac:dyDescent="0.15">
      <c r="A57" s="79" t="s">
        <v>260</v>
      </c>
      <c r="B57" s="120"/>
    </row>
    <row r="58" spans="1:2" x14ac:dyDescent="0.15">
      <c r="A58" s="79" t="s">
        <v>261</v>
      </c>
      <c r="B58" s="120"/>
    </row>
    <row r="59" spans="1:2" x14ac:dyDescent="0.15">
      <c r="A59" s="79" t="s">
        <v>262</v>
      </c>
      <c r="B59" s="120"/>
    </row>
    <row r="60" spans="1:2" x14ac:dyDescent="0.15">
      <c r="A60" s="79" t="s">
        <v>263</v>
      </c>
      <c r="B60" s="120"/>
    </row>
    <row r="61" spans="1:2" x14ac:dyDescent="0.15">
      <c r="A61" s="79" t="s">
        <v>264</v>
      </c>
      <c r="B61" s="120"/>
    </row>
    <row r="62" spans="1:2" x14ac:dyDescent="0.15">
      <c r="A62" s="79" t="s">
        <v>265</v>
      </c>
      <c r="B62" s="120"/>
    </row>
    <row r="63" spans="1:2" x14ac:dyDescent="0.15">
      <c r="A63" s="79" t="s">
        <v>266</v>
      </c>
      <c r="B63" s="120"/>
    </row>
    <row r="64" spans="1:2" x14ac:dyDescent="0.15">
      <c r="A64" s="79" t="s">
        <v>267</v>
      </c>
      <c r="B64" s="120"/>
    </row>
    <row r="65" spans="1:2" x14ac:dyDescent="0.15">
      <c r="A65" s="79" t="s">
        <v>268</v>
      </c>
      <c r="B65" s="120"/>
    </row>
    <row r="66" spans="1:2" x14ac:dyDescent="0.15">
      <c r="A66" s="79" t="s">
        <v>269</v>
      </c>
      <c r="B66" s="120"/>
    </row>
    <row r="67" spans="1:2" x14ac:dyDescent="0.15">
      <c r="A67" s="79" t="s">
        <v>270</v>
      </c>
      <c r="B67" s="120"/>
    </row>
    <row r="68" spans="1:2" x14ac:dyDescent="0.15">
      <c r="A68" s="79" t="s">
        <v>271</v>
      </c>
      <c r="B68" s="120"/>
    </row>
    <row r="69" spans="1:2" x14ac:dyDescent="0.15">
      <c r="A69" s="79" t="s">
        <v>272</v>
      </c>
      <c r="B69" s="120"/>
    </row>
    <row r="70" spans="1:2" x14ac:dyDescent="0.15">
      <c r="A70" s="79" t="s">
        <v>273</v>
      </c>
      <c r="B70" s="120"/>
    </row>
    <row r="71" spans="1:2" x14ac:dyDescent="0.15">
      <c r="A71" s="79" t="s">
        <v>274</v>
      </c>
      <c r="B71" s="120"/>
    </row>
    <row r="72" spans="1:2" x14ac:dyDescent="0.15">
      <c r="A72" s="79" t="s">
        <v>275</v>
      </c>
      <c r="B72" s="120"/>
    </row>
    <row r="73" spans="1:2" x14ac:dyDescent="0.15">
      <c r="A73" s="79" t="s">
        <v>276</v>
      </c>
      <c r="B73" s="120"/>
    </row>
    <row r="74" spans="1:2" x14ac:dyDescent="0.15">
      <c r="A74" s="79" t="s">
        <v>277</v>
      </c>
      <c r="B74" s="120"/>
    </row>
    <row r="75" spans="1:2" x14ac:dyDescent="0.15">
      <c r="A75" s="79" t="s">
        <v>278</v>
      </c>
      <c r="B75" s="120"/>
    </row>
    <row r="76" spans="1:2" x14ac:dyDescent="0.15">
      <c r="A76" s="79" t="s">
        <v>279</v>
      </c>
      <c r="B76" s="120"/>
    </row>
    <row r="77" spans="1:2" x14ac:dyDescent="0.15">
      <c r="A77" s="79" t="s">
        <v>280</v>
      </c>
      <c r="B77" s="120"/>
    </row>
    <row r="78" spans="1:2" x14ac:dyDescent="0.15">
      <c r="A78" s="79" t="s">
        <v>281</v>
      </c>
      <c r="B78" s="120"/>
    </row>
    <row r="79" spans="1:2" x14ac:dyDescent="0.15">
      <c r="A79" s="79" t="s">
        <v>282</v>
      </c>
      <c r="B79" s="120"/>
    </row>
    <row r="80" spans="1:2" x14ac:dyDescent="0.15">
      <c r="A80" s="79" t="s">
        <v>283</v>
      </c>
      <c r="B80" s="120"/>
    </row>
    <row r="81" spans="1:2" x14ac:dyDescent="0.15">
      <c r="A81" s="79" t="s">
        <v>284</v>
      </c>
      <c r="B81" s="120"/>
    </row>
    <row r="82" spans="1:2" x14ac:dyDescent="0.15">
      <c r="A82" s="79" t="s">
        <v>285</v>
      </c>
      <c r="B82" s="120"/>
    </row>
    <row r="83" spans="1:2" x14ac:dyDescent="0.15">
      <c r="A83" s="79" t="s">
        <v>286</v>
      </c>
      <c r="B83" s="120"/>
    </row>
    <row r="84" spans="1:2" x14ac:dyDescent="0.15">
      <c r="A84" s="79" t="s">
        <v>287</v>
      </c>
      <c r="B84" s="119"/>
    </row>
    <row r="85" spans="1:2" x14ac:dyDescent="0.15">
      <c r="A85" s="79" t="s">
        <v>288</v>
      </c>
      <c r="B85" s="119"/>
    </row>
    <row r="86" spans="1:2" x14ac:dyDescent="0.15">
      <c r="A86" s="79" t="s">
        <v>289</v>
      </c>
      <c r="B86" s="119"/>
    </row>
    <row r="87" spans="1:2" x14ac:dyDescent="0.15">
      <c r="A87" s="79" t="s">
        <v>290</v>
      </c>
      <c r="B87" s="119"/>
    </row>
    <row r="88" spans="1:2" x14ac:dyDescent="0.15">
      <c r="A88" s="79" t="s">
        <v>291</v>
      </c>
      <c r="B88" s="119"/>
    </row>
    <row r="89" spans="1:2" x14ac:dyDescent="0.15">
      <c r="A89" s="79" t="s">
        <v>292</v>
      </c>
      <c r="B89" s="119"/>
    </row>
    <row r="90" spans="1:2" x14ac:dyDescent="0.15">
      <c r="A90" s="79" t="s">
        <v>293</v>
      </c>
      <c r="B90" s="119"/>
    </row>
    <row r="91" spans="1:2" x14ac:dyDescent="0.15">
      <c r="A91" s="79" t="s">
        <v>294</v>
      </c>
      <c r="B91" s="119"/>
    </row>
    <row r="92" spans="1:2" x14ac:dyDescent="0.15">
      <c r="A92" s="79" t="s">
        <v>295</v>
      </c>
      <c r="B92" s="119"/>
    </row>
    <row r="93" spans="1:2" x14ac:dyDescent="0.15">
      <c r="A93" s="79" t="s">
        <v>296</v>
      </c>
      <c r="B93" s="119"/>
    </row>
    <row r="94" spans="1:2" x14ac:dyDescent="0.15">
      <c r="A94" s="79" t="s">
        <v>297</v>
      </c>
      <c r="B94" s="119"/>
    </row>
    <row r="95" spans="1:2" x14ac:dyDescent="0.15">
      <c r="A95" s="79" t="s">
        <v>298</v>
      </c>
      <c r="B95" s="119"/>
    </row>
    <row r="96" spans="1:2" x14ac:dyDescent="0.15">
      <c r="A96" s="79" t="s">
        <v>299</v>
      </c>
      <c r="B96" s="119"/>
    </row>
    <row r="97" spans="1:2" x14ac:dyDescent="0.15">
      <c r="A97" s="79" t="s">
        <v>300</v>
      </c>
      <c r="B97" s="119"/>
    </row>
    <row r="98" spans="1:2" x14ac:dyDescent="0.15">
      <c r="A98" s="79" t="s">
        <v>301</v>
      </c>
      <c r="B98" s="119"/>
    </row>
    <row r="99" spans="1:2" x14ac:dyDescent="0.15">
      <c r="A99" s="79" t="s">
        <v>302</v>
      </c>
      <c r="B99" s="119"/>
    </row>
    <row r="100" spans="1:2" x14ac:dyDescent="0.15">
      <c r="A100" s="79" t="s">
        <v>303</v>
      </c>
      <c r="B100" s="119"/>
    </row>
    <row r="101" spans="1:2" x14ac:dyDescent="0.15">
      <c r="A101" s="79" t="s">
        <v>304</v>
      </c>
      <c r="B101" s="119"/>
    </row>
    <row r="102" spans="1:2" x14ac:dyDescent="0.15">
      <c r="A102" s="79" t="s">
        <v>305</v>
      </c>
      <c r="B102" s="119"/>
    </row>
    <row r="103" spans="1:2" x14ac:dyDescent="0.15">
      <c r="A103" s="79" t="s">
        <v>306</v>
      </c>
      <c r="B103" s="119"/>
    </row>
    <row r="104" spans="1:2" x14ac:dyDescent="0.15">
      <c r="B104" s="119"/>
    </row>
    <row r="105" spans="1:2" x14ac:dyDescent="0.15">
      <c r="B105" s="119"/>
    </row>
    <row r="106" spans="1:2" x14ac:dyDescent="0.15">
      <c r="B106" s="119"/>
    </row>
    <row r="107" spans="1:2" x14ac:dyDescent="0.15">
      <c r="B107" s="119"/>
    </row>
    <row r="108" spans="1:2" x14ac:dyDescent="0.15">
      <c r="B108" s="119"/>
    </row>
    <row r="109" spans="1:2" x14ac:dyDescent="0.15">
      <c r="B109" s="119"/>
    </row>
    <row r="110" spans="1:2" x14ac:dyDescent="0.15">
      <c r="B110" s="119"/>
    </row>
    <row r="111" spans="1:2" x14ac:dyDescent="0.15">
      <c r="B111" s="119"/>
    </row>
    <row r="112" spans="1:2" x14ac:dyDescent="0.15">
      <c r="B112" s="119"/>
    </row>
    <row r="113" spans="2:2" x14ac:dyDescent="0.15">
      <c r="B113" s="119"/>
    </row>
    <row r="114" spans="2:2" x14ac:dyDescent="0.15">
      <c r="B114" s="119"/>
    </row>
    <row r="115" spans="2:2" x14ac:dyDescent="0.15">
      <c r="B115" s="119"/>
    </row>
    <row r="116" spans="2:2" x14ac:dyDescent="0.15">
      <c r="B116" s="119"/>
    </row>
    <row r="117" spans="2:2" x14ac:dyDescent="0.15">
      <c r="B117" s="119"/>
    </row>
    <row r="118" spans="2:2" x14ac:dyDescent="0.15">
      <c r="B118" s="119"/>
    </row>
    <row r="119" spans="2:2" x14ac:dyDescent="0.15">
      <c r="B119" s="119"/>
    </row>
    <row r="120" spans="2:2" x14ac:dyDescent="0.15">
      <c r="B120" s="119"/>
    </row>
    <row r="121" spans="2:2" x14ac:dyDescent="0.15">
      <c r="B121" s="119"/>
    </row>
    <row r="122" spans="2:2" x14ac:dyDescent="0.15">
      <c r="B122" s="119"/>
    </row>
    <row r="123" spans="2:2" x14ac:dyDescent="0.15">
      <c r="B123" s="119"/>
    </row>
    <row r="124" spans="2:2" x14ac:dyDescent="0.15">
      <c r="B124" s="119"/>
    </row>
    <row r="125" spans="2:2" x14ac:dyDescent="0.15">
      <c r="B125" s="119"/>
    </row>
    <row r="126" spans="2:2" x14ac:dyDescent="0.15">
      <c r="B126" s="119"/>
    </row>
    <row r="127" spans="2:2" x14ac:dyDescent="0.15">
      <c r="B127" s="119"/>
    </row>
    <row r="128" spans="2:2" x14ac:dyDescent="0.15">
      <c r="B128" s="119"/>
    </row>
    <row r="129" spans="2:2" x14ac:dyDescent="0.15">
      <c r="B129" s="119"/>
    </row>
    <row r="130" spans="2:2" x14ac:dyDescent="0.15">
      <c r="B130" s="119"/>
    </row>
    <row r="131" spans="2:2" x14ac:dyDescent="0.15">
      <c r="B131" s="119"/>
    </row>
    <row r="132" spans="2:2" x14ac:dyDescent="0.15">
      <c r="B132" s="119"/>
    </row>
    <row r="133" spans="2:2" x14ac:dyDescent="0.15">
      <c r="B133" s="119"/>
    </row>
    <row r="134" spans="2:2" x14ac:dyDescent="0.15">
      <c r="B134" s="119"/>
    </row>
    <row r="135" spans="2:2" x14ac:dyDescent="0.15">
      <c r="B135" s="119"/>
    </row>
    <row r="136" spans="2:2" x14ac:dyDescent="0.15">
      <c r="B136" s="119"/>
    </row>
    <row r="137" spans="2:2" x14ac:dyDescent="0.15">
      <c r="B137" s="119"/>
    </row>
    <row r="138" spans="2:2" x14ac:dyDescent="0.15">
      <c r="B138" s="119"/>
    </row>
    <row r="139" spans="2:2" x14ac:dyDescent="0.15">
      <c r="B139" s="119"/>
    </row>
    <row r="140" spans="2:2" x14ac:dyDescent="0.15">
      <c r="B140" s="119"/>
    </row>
    <row r="141" spans="2:2" x14ac:dyDescent="0.15">
      <c r="B141" s="119"/>
    </row>
    <row r="142" spans="2:2" x14ac:dyDescent="0.15">
      <c r="B142" s="119"/>
    </row>
    <row r="143" spans="2:2" x14ac:dyDescent="0.15">
      <c r="B143" s="119"/>
    </row>
    <row r="144" spans="2:2" x14ac:dyDescent="0.15">
      <c r="B144" s="119"/>
    </row>
    <row r="145" spans="2:2" x14ac:dyDescent="0.15">
      <c r="B145" s="119"/>
    </row>
    <row r="146" spans="2:2" x14ac:dyDescent="0.15">
      <c r="B146" s="119"/>
    </row>
    <row r="147" spans="2:2" x14ac:dyDescent="0.15">
      <c r="B147" s="119"/>
    </row>
    <row r="148" spans="2:2" x14ac:dyDescent="0.15">
      <c r="B148" s="119"/>
    </row>
    <row r="149" spans="2:2" x14ac:dyDescent="0.15">
      <c r="B149" s="119"/>
    </row>
    <row r="150" spans="2:2" x14ac:dyDescent="0.15">
      <c r="B150" s="119"/>
    </row>
    <row r="151" spans="2:2" x14ac:dyDescent="0.15">
      <c r="B151" s="119"/>
    </row>
    <row r="152" spans="2:2" x14ac:dyDescent="0.15">
      <c r="B152" s="119"/>
    </row>
    <row r="153" spans="2:2" x14ac:dyDescent="0.15">
      <c r="B153" s="119"/>
    </row>
    <row r="154" spans="2:2" x14ac:dyDescent="0.15">
      <c r="B154" s="119"/>
    </row>
    <row r="155" spans="2:2" x14ac:dyDescent="0.15">
      <c r="B155" s="119"/>
    </row>
    <row r="156" spans="2:2" x14ac:dyDescent="0.15">
      <c r="B156" s="119"/>
    </row>
    <row r="157" spans="2:2" x14ac:dyDescent="0.15">
      <c r="B157" s="119"/>
    </row>
    <row r="158" spans="2:2" x14ac:dyDescent="0.15">
      <c r="B158" s="119"/>
    </row>
    <row r="159" spans="2:2" x14ac:dyDescent="0.15">
      <c r="B159" s="119"/>
    </row>
    <row r="160" spans="2:2" x14ac:dyDescent="0.15">
      <c r="B160" s="119"/>
    </row>
    <row r="161" spans="2:2" x14ac:dyDescent="0.15">
      <c r="B161" s="119"/>
    </row>
    <row r="162" spans="2:2" x14ac:dyDescent="0.15">
      <c r="B162" s="119"/>
    </row>
    <row r="163" spans="2:2" x14ac:dyDescent="0.15">
      <c r="B163" s="119"/>
    </row>
    <row r="164" spans="2:2" x14ac:dyDescent="0.15">
      <c r="B164" s="119"/>
    </row>
    <row r="165" spans="2:2" x14ac:dyDescent="0.15">
      <c r="B165" s="119"/>
    </row>
    <row r="166" spans="2:2" x14ac:dyDescent="0.15">
      <c r="B166" s="119"/>
    </row>
    <row r="167" spans="2:2" x14ac:dyDescent="0.15">
      <c r="B167" s="119"/>
    </row>
    <row r="168" spans="2:2" x14ac:dyDescent="0.15">
      <c r="B168" s="119"/>
    </row>
    <row r="169" spans="2:2" x14ac:dyDescent="0.15">
      <c r="B169" s="119"/>
    </row>
    <row r="170" spans="2:2" x14ac:dyDescent="0.15">
      <c r="B170" s="119"/>
    </row>
    <row r="171" spans="2:2" x14ac:dyDescent="0.15">
      <c r="B171" s="119"/>
    </row>
    <row r="172" spans="2:2" x14ac:dyDescent="0.15">
      <c r="B172" s="119"/>
    </row>
    <row r="173" spans="2:2" x14ac:dyDescent="0.15">
      <c r="B173" s="119"/>
    </row>
    <row r="174" spans="2:2" x14ac:dyDescent="0.15">
      <c r="B174" s="119"/>
    </row>
    <row r="175" spans="2:2" x14ac:dyDescent="0.15">
      <c r="B175" s="119"/>
    </row>
    <row r="176" spans="2:2" x14ac:dyDescent="0.15">
      <c r="B176" s="119"/>
    </row>
    <row r="177" spans="2:2" x14ac:dyDescent="0.15">
      <c r="B177" s="119"/>
    </row>
    <row r="178" spans="2:2" x14ac:dyDescent="0.15">
      <c r="B178" s="119"/>
    </row>
  </sheetData>
  <pageMargins left="0.7" right="0.7" top="0.75" bottom="0.75" header="0.3" footer="0.3"/>
  <customProperties>
    <customPr name="DVSECTION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V115"/>
  <sheetViews>
    <sheetView workbookViewId="0">
      <selection activeCell="GJ115" sqref="GJ115"/>
    </sheetView>
  </sheetViews>
  <sheetFormatPr baseColWidth="10" defaultColWidth="8.6640625" defaultRowHeight="13" x14ac:dyDescent="0.15"/>
  <sheetData>
    <row r="1" spans="1:256" x14ac:dyDescent="0.15">
      <c r="A1">
        <f>IF(Marks!1:1,"AAAAAHn6OwA=",0)</f>
        <v>0</v>
      </c>
      <c r="B1" t="e">
        <f>AND(Marks!#REF!,"AAAAAHn6OwE=")</f>
        <v>#REF!</v>
      </c>
      <c r="C1" t="e">
        <f>AND(Marks!#REF!,"AAAAAHn6OwI=")</f>
        <v>#REF!</v>
      </c>
      <c r="D1" t="e">
        <f>AND(Marks!#REF!,"AAAAAHn6OwM=")</f>
        <v>#REF!</v>
      </c>
      <c r="E1" t="e">
        <f>AND(Marks!#REF!,"AAAAAHn6OwQ=")</f>
        <v>#REF!</v>
      </c>
      <c r="F1" t="e">
        <f>AND(Marks!#REF!,"AAAAAHn6OwU=")</f>
        <v>#REF!</v>
      </c>
      <c r="G1" t="e">
        <f>AND(Marks!#REF!,"AAAAAHn6OwY=")</f>
        <v>#REF!</v>
      </c>
      <c r="H1" t="e">
        <f>AND(Marks!#REF!,"AAAAAHn6Owc=")</f>
        <v>#REF!</v>
      </c>
      <c r="I1" t="e">
        <f>AND(Marks!#REF!,"AAAAAHn6Owg=")</f>
        <v>#REF!</v>
      </c>
      <c r="J1" t="e">
        <f>AND(Marks!A1,"AAAAAHn6Owk=")</f>
        <v>#VALUE!</v>
      </c>
      <c r="K1" t="e">
        <f>AND(Marks!B1,"AAAAAHn6Owo=")</f>
        <v>#VALUE!</v>
      </c>
      <c r="L1" t="e">
        <f>AND(Marks!C1,"AAAAAHn6Ows=")</f>
        <v>#VALUE!</v>
      </c>
      <c r="M1" t="e">
        <f>AND(Marks!D1,"AAAAAHn6Oww=")</f>
        <v>#VALUE!</v>
      </c>
      <c r="N1" t="e">
        <f>AND(Marks!E1,"AAAAAHn6Ow0=")</f>
        <v>#VALUE!</v>
      </c>
      <c r="O1" t="e">
        <f>AND(Marks!F1,"AAAAAHn6Ow4=")</f>
        <v>#VALUE!</v>
      </c>
      <c r="P1">
        <f>IF(Marks!2:2,"AAAAAHn6Ow8=",0)</f>
        <v>0</v>
      </c>
      <c r="Q1" t="e">
        <f>AND(Marks!#REF!,"AAAAAHn6OxA=")</f>
        <v>#REF!</v>
      </c>
      <c r="R1" t="e">
        <f>AND(Marks!#REF!,"AAAAAHn6OxE=")</f>
        <v>#REF!</v>
      </c>
      <c r="S1" t="e">
        <f>AND(Marks!#REF!,"AAAAAHn6OxI=")</f>
        <v>#REF!</v>
      </c>
      <c r="T1" t="e">
        <f>AND(Marks!#REF!,"AAAAAHn6OxM=")</f>
        <v>#REF!</v>
      </c>
      <c r="U1" t="e">
        <f>AND(Marks!#REF!,"AAAAAHn6OxQ=")</f>
        <v>#REF!</v>
      </c>
      <c r="V1" t="e">
        <f>AND(Marks!#REF!,"AAAAAHn6OxU=")</f>
        <v>#REF!</v>
      </c>
      <c r="W1" t="e">
        <f>AND(Marks!#REF!,"AAAAAHn6OxY=")</f>
        <v>#REF!</v>
      </c>
      <c r="X1" t="e">
        <f>AND(Marks!#REF!,"AAAAAHn6Oxc=")</f>
        <v>#REF!</v>
      </c>
      <c r="Y1" t="e">
        <f>AND(Marks!A2,"AAAAAHn6Oxg=")</f>
        <v>#VALUE!</v>
      </c>
      <c r="Z1" t="e">
        <f>AND(Marks!B2,"AAAAAHn6Oxk=")</f>
        <v>#VALUE!</v>
      </c>
      <c r="AA1" t="e">
        <f>AND(Marks!C2,"AAAAAHn6Oxo=")</f>
        <v>#VALUE!</v>
      </c>
      <c r="AB1" t="e">
        <f>AND(Marks!D2,"AAAAAHn6Oxs=")</f>
        <v>#VALUE!</v>
      </c>
      <c r="AC1" t="e">
        <f>AND(Marks!E2,"AAAAAHn6Oxw=")</f>
        <v>#VALUE!</v>
      </c>
      <c r="AD1" t="e">
        <f>AND(Marks!F2,"AAAAAHn6Ox0=")</f>
        <v>#VALUE!</v>
      </c>
      <c r="AE1">
        <f>IF(Marks!3:3,"AAAAAHn6Ox4=",0)</f>
        <v>0</v>
      </c>
      <c r="AF1" t="e">
        <f>AND(Marks!#REF!,"AAAAAHn6Ox8=")</f>
        <v>#REF!</v>
      </c>
      <c r="AG1" t="e">
        <f>AND(Marks!#REF!,"AAAAAHn6OyA=")</f>
        <v>#REF!</v>
      </c>
      <c r="AH1" t="e">
        <f>AND(Marks!#REF!,"AAAAAHn6OyE=")</f>
        <v>#REF!</v>
      </c>
      <c r="AI1" t="e">
        <f>AND(Marks!#REF!,"AAAAAHn6OyI=")</f>
        <v>#REF!</v>
      </c>
      <c r="AJ1" t="e">
        <f>AND(Marks!#REF!,"AAAAAHn6OyM=")</f>
        <v>#REF!</v>
      </c>
      <c r="AK1" t="e">
        <f>AND(Marks!#REF!,"AAAAAHn6OyQ=")</f>
        <v>#REF!</v>
      </c>
      <c r="AL1" t="e">
        <f>AND(Marks!#REF!,"AAAAAHn6OyU=")</f>
        <v>#REF!</v>
      </c>
      <c r="AM1" t="e">
        <f>AND(Marks!#REF!,"AAAAAHn6OyY=")</f>
        <v>#REF!</v>
      </c>
      <c r="AN1" t="e">
        <f>AND(Marks!A3,"AAAAAHn6Oyc=")</f>
        <v>#VALUE!</v>
      </c>
      <c r="AO1" t="e">
        <f>AND(Marks!B3,"AAAAAHn6Oyg=")</f>
        <v>#VALUE!</v>
      </c>
      <c r="AP1" t="e">
        <f>AND(Marks!C3,"AAAAAHn6Oyk=")</f>
        <v>#VALUE!</v>
      </c>
      <c r="AQ1" t="e">
        <f>AND(Marks!D3,"AAAAAHn6Oyo=")</f>
        <v>#VALUE!</v>
      </c>
      <c r="AR1" t="e">
        <f>AND(Marks!E3,"AAAAAHn6Oys=")</f>
        <v>#VALUE!</v>
      </c>
      <c r="AS1" t="e">
        <f>AND(Marks!F3,"AAAAAHn6Oyw=")</f>
        <v>#VALUE!</v>
      </c>
      <c r="AT1">
        <f>IF(Marks!4:4,"AAAAAHn6Oy0=",0)</f>
        <v>0</v>
      </c>
      <c r="AU1" t="e">
        <f>AND(Marks!#REF!,"AAAAAHn6Oy4=")</f>
        <v>#REF!</v>
      </c>
      <c r="AV1" t="e">
        <f>AND(Marks!#REF!,"AAAAAHn6Oy8=")</f>
        <v>#REF!</v>
      </c>
      <c r="AW1" t="e">
        <f>AND(Marks!#REF!,"AAAAAHn6OzA=")</f>
        <v>#REF!</v>
      </c>
      <c r="AX1" t="e">
        <f>AND(Marks!#REF!,"AAAAAHn6OzE=")</f>
        <v>#REF!</v>
      </c>
      <c r="AY1" t="e">
        <f>AND(Marks!#REF!,"AAAAAHn6OzI=")</f>
        <v>#REF!</v>
      </c>
      <c r="AZ1" t="e">
        <f>AND(Marks!#REF!,"AAAAAHn6OzM=")</f>
        <v>#REF!</v>
      </c>
      <c r="BA1" t="e">
        <f>AND(Marks!#REF!,"AAAAAHn6OzQ=")</f>
        <v>#REF!</v>
      </c>
      <c r="BB1" t="e">
        <f>AND(Marks!#REF!,"AAAAAHn6OzU=")</f>
        <v>#REF!</v>
      </c>
      <c r="BC1" t="e">
        <f>AND(Marks!A4,"AAAAAHn6OzY=")</f>
        <v>#VALUE!</v>
      </c>
      <c r="BD1" t="e">
        <f>AND(Marks!B4,"AAAAAHn6Ozc=")</f>
        <v>#VALUE!</v>
      </c>
      <c r="BE1" t="e">
        <f>AND(Marks!C4,"AAAAAHn6Ozg=")</f>
        <v>#VALUE!</v>
      </c>
      <c r="BF1" t="e">
        <f>AND(Marks!D4,"AAAAAHn6Ozk=")</f>
        <v>#VALUE!</v>
      </c>
      <c r="BG1" t="e">
        <f>AND(Marks!E4,"AAAAAHn6Ozo=")</f>
        <v>#VALUE!</v>
      </c>
      <c r="BH1" t="e">
        <f>AND(Marks!F4,"AAAAAHn6Ozs=")</f>
        <v>#VALUE!</v>
      </c>
      <c r="BI1">
        <f>IF(Marks!5:5,"AAAAAHn6Ozw=",0)</f>
        <v>0</v>
      </c>
      <c r="BJ1" t="e">
        <f>AND(Marks!#REF!,"AAAAAHn6Oz0=")</f>
        <v>#REF!</v>
      </c>
      <c r="BK1" t="e">
        <f>AND(Marks!#REF!,"AAAAAHn6Oz4=")</f>
        <v>#REF!</v>
      </c>
      <c r="BL1" t="e">
        <f>AND(Marks!#REF!,"AAAAAHn6Oz8=")</f>
        <v>#REF!</v>
      </c>
      <c r="BM1" t="e">
        <f>AND(Marks!#REF!,"AAAAAHn6O0A=")</f>
        <v>#REF!</v>
      </c>
      <c r="BN1" t="e">
        <f>AND(Marks!#REF!,"AAAAAHn6O0E=")</f>
        <v>#REF!</v>
      </c>
      <c r="BO1" t="e">
        <f>AND(Marks!#REF!,"AAAAAHn6O0I=")</f>
        <v>#REF!</v>
      </c>
      <c r="BP1" t="e">
        <f>AND(Marks!#REF!,"AAAAAHn6O0M=")</f>
        <v>#REF!</v>
      </c>
      <c r="BQ1" t="e">
        <f>AND(Marks!#REF!,"AAAAAHn6O0Q=")</f>
        <v>#REF!</v>
      </c>
      <c r="BR1" t="e">
        <f>AND(Marks!A5,"AAAAAHn6O0U=")</f>
        <v>#VALUE!</v>
      </c>
      <c r="BS1" t="e">
        <f>AND(Marks!B5,"AAAAAHn6O0Y=")</f>
        <v>#VALUE!</v>
      </c>
      <c r="BT1" t="e">
        <f>AND(Marks!C5,"AAAAAHn6O0c=")</f>
        <v>#VALUE!</v>
      </c>
      <c r="BU1" t="e">
        <f>AND(Marks!D5,"AAAAAHn6O0g=")</f>
        <v>#VALUE!</v>
      </c>
      <c r="BV1" t="e">
        <f>AND(Marks!E5,"AAAAAHn6O0k=")</f>
        <v>#VALUE!</v>
      </c>
      <c r="BW1" t="e">
        <f>AND(Marks!F5,"AAAAAHn6O0o=")</f>
        <v>#VALUE!</v>
      </c>
      <c r="BX1">
        <f>IF(Marks!6:6,"AAAAAHn6O0s=",0)</f>
        <v>0</v>
      </c>
      <c r="BY1" t="e">
        <f>AND(Marks!#REF!,"AAAAAHn6O0w=")</f>
        <v>#REF!</v>
      </c>
      <c r="BZ1" t="e">
        <f>AND(Marks!#REF!,"AAAAAHn6O00=")</f>
        <v>#REF!</v>
      </c>
      <c r="CA1" t="e">
        <f>AND(Marks!#REF!,"AAAAAHn6O04=")</f>
        <v>#REF!</v>
      </c>
      <c r="CB1" t="e">
        <f>AND(Marks!#REF!,"AAAAAHn6O08=")</f>
        <v>#REF!</v>
      </c>
      <c r="CC1" t="e">
        <f>AND(Marks!#REF!,"AAAAAHn6O1A=")</f>
        <v>#REF!</v>
      </c>
      <c r="CD1" t="e">
        <f>AND(Marks!#REF!,"AAAAAHn6O1E=")</f>
        <v>#REF!</v>
      </c>
      <c r="CE1" t="e">
        <f>AND(Marks!#REF!,"AAAAAHn6O1I=")</f>
        <v>#REF!</v>
      </c>
      <c r="CF1" t="e">
        <f>AND(Marks!#REF!,"AAAAAHn6O1M=")</f>
        <v>#REF!</v>
      </c>
      <c r="CG1" t="e">
        <f>AND(Marks!A6,"AAAAAHn6O1Q=")</f>
        <v>#VALUE!</v>
      </c>
      <c r="CH1" t="e">
        <f>AND(Marks!B6,"AAAAAHn6O1U=")</f>
        <v>#VALUE!</v>
      </c>
      <c r="CI1" t="e">
        <f>AND(Marks!C6,"AAAAAHn6O1Y=")</f>
        <v>#VALUE!</v>
      </c>
      <c r="CJ1" t="e">
        <f>AND(Marks!D6,"AAAAAHn6O1c=")</f>
        <v>#VALUE!</v>
      </c>
      <c r="CK1" t="e">
        <f>AND(Marks!E6,"AAAAAHn6O1g=")</f>
        <v>#VALUE!</v>
      </c>
      <c r="CL1" t="e">
        <f>AND(Marks!F6,"AAAAAHn6O1k=")</f>
        <v>#VALUE!</v>
      </c>
      <c r="CM1" t="e">
        <f>IF(Marks!#REF!,"AAAAAHn6O1o=",0)</f>
        <v>#REF!</v>
      </c>
      <c r="CN1" t="e">
        <f>AND(Marks!#REF!,"AAAAAHn6O1s=")</f>
        <v>#REF!</v>
      </c>
      <c r="CO1" t="e">
        <f>AND(Marks!#REF!,"AAAAAHn6O1w=")</f>
        <v>#REF!</v>
      </c>
      <c r="CP1" t="e">
        <f>AND(Marks!#REF!,"AAAAAHn6O10=")</f>
        <v>#REF!</v>
      </c>
      <c r="CQ1" t="e">
        <f>AND(Marks!#REF!,"AAAAAHn6O14=")</f>
        <v>#REF!</v>
      </c>
      <c r="CR1" t="e">
        <f>AND(Marks!#REF!,"AAAAAHn6O18=")</f>
        <v>#REF!</v>
      </c>
      <c r="CS1" t="e">
        <f>AND(Marks!#REF!,"AAAAAHn6O2A=")</f>
        <v>#REF!</v>
      </c>
      <c r="CT1" t="e">
        <f>AND(Marks!#REF!,"AAAAAHn6O2E=")</f>
        <v>#REF!</v>
      </c>
      <c r="CU1" t="e">
        <f>AND(Marks!#REF!,"AAAAAHn6O2I=")</f>
        <v>#REF!</v>
      </c>
      <c r="CV1" t="e">
        <f>AND(Marks!#REF!,"AAAAAHn6O2M=")</f>
        <v>#REF!</v>
      </c>
      <c r="CW1" t="e">
        <f>AND(Marks!#REF!,"AAAAAHn6O2Q=")</f>
        <v>#REF!</v>
      </c>
      <c r="CX1" t="e">
        <f>AND(Marks!#REF!,"AAAAAHn6O2U=")</f>
        <v>#REF!</v>
      </c>
      <c r="CY1" t="e">
        <f>AND(Marks!#REF!,"AAAAAHn6O2Y=")</f>
        <v>#REF!</v>
      </c>
      <c r="CZ1" t="e">
        <f>AND(Marks!#REF!,"AAAAAHn6O2c=")</f>
        <v>#REF!</v>
      </c>
      <c r="DA1" t="e">
        <f>AND(Marks!#REF!,"AAAAAHn6O2g=")</f>
        <v>#REF!</v>
      </c>
      <c r="DB1" t="e">
        <f>IF(Marks!#REF!,"AAAAAHn6O2k=",0)</f>
        <v>#REF!</v>
      </c>
      <c r="DC1" t="e">
        <f>AND(Marks!#REF!,"AAAAAHn6O2o=")</f>
        <v>#REF!</v>
      </c>
      <c r="DD1" t="e">
        <f>AND(Marks!#REF!,"AAAAAHn6O2s=")</f>
        <v>#REF!</v>
      </c>
      <c r="DE1" t="e">
        <f>AND(Marks!#REF!,"AAAAAHn6O2w=")</f>
        <v>#REF!</v>
      </c>
      <c r="DF1" t="e">
        <f>AND(Marks!#REF!,"AAAAAHn6O20=")</f>
        <v>#REF!</v>
      </c>
      <c r="DG1" t="e">
        <f>AND(Marks!#REF!,"AAAAAHn6O24=")</f>
        <v>#REF!</v>
      </c>
      <c r="DH1" t="e">
        <f>AND(Marks!#REF!,"AAAAAHn6O28=")</f>
        <v>#REF!</v>
      </c>
      <c r="DI1" t="e">
        <f>AND(Marks!#REF!,"AAAAAHn6O3A=")</f>
        <v>#REF!</v>
      </c>
      <c r="DJ1" t="e">
        <f>AND(Marks!#REF!,"AAAAAHn6O3E=")</f>
        <v>#REF!</v>
      </c>
      <c r="DK1" t="e">
        <f>AND(Marks!#REF!,"AAAAAHn6O3I=")</f>
        <v>#REF!</v>
      </c>
      <c r="DL1" t="e">
        <f>AND(Marks!#REF!,"AAAAAHn6O3M=")</f>
        <v>#REF!</v>
      </c>
      <c r="DM1" t="e">
        <f>AND(Marks!#REF!,"AAAAAHn6O3Q=")</f>
        <v>#REF!</v>
      </c>
      <c r="DN1" t="e">
        <f>AND(Marks!#REF!,"AAAAAHn6O3U=")</f>
        <v>#REF!</v>
      </c>
      <c r="DO1" t="e">
        <f>AND(Marks!#REF!,"AAAAAHn6O3Y=")</f>
        <v>#REF!</v>
      </c>
      <c r="DP1" t="e">
        <f>AND(Marks!#REF!,"AAAAAHn6O3c=")</f>
        <v>#REF!</v>
      </c>
      <c r="DQ1" t="e">
        <f>IF(Marks!#REF!,"AAAAAHn6O3g=",0)</f>
        <v>#REF!</v>
      </c>
      <c r="DR1" t="e">
        <f>AND(Marks!#REF!,"AAAAAHn6O3k=")</f>
        <v>#REF!</v>
      </c>
      <c r="DS1" t="e">
        <f>AND(Marks!#REF!,"AAAAAHn6O3o=")</f>
        <v>#REF!</v>
      </c>
      <c r="DT1" t="e">
        <f>AND(Marks!#REF!,"AAAAAHn6O3s=")</f>
        <v>#REF!</v>
      </c>
      <c r="DU1" t="e">
        <f>AND(Marks!#REF!,"AAAAAHn6O3w=")</f>
        <v>#REF!</v>
      </c>
      <c r="DV1" t="e">
        <f>AND(Marks!#REF!,"AAAAAHn6O30=")</f>
        <v>#REF!</v>
      </c>
      <c r="DW1" t="e">
        <f>AND(Marks!#REF!,"AAAAAHn6O34=")</f>
        <v>#REF!</v>
      </c>
      <c r="DX1" t="e">
        <f>AND(Marks!#REF!,"AAAAAHn6O38=")</f>
        <v>#REF!</v>
      </c>
      <c r="DY1" t="e">
        <f>AND(Marks!#REF!,"AAAAAHn6O4A=")</f>
        <v>#REF!</v>
      </c>
      <c r="DZ1" t="e">
        <f>AND(Marks!#REF!,"AAAAAHn6O4E=")</f>
        <v>#REF!</v>
      </c>
      <c r="EA1" t="e">
        <f>AND(Marks!#REF!,"AAAAAHn6O4I=")</f>
        <v>#REF!</v>
      </c>
      <c r="EB1" t="e">
        <f>AND(Marks!#REF!,"AAAAAHn6O4M=")</f>
        <v>#REF!</v>
      </c>
      <c r="EC1" t="e">
        <f>AND(Marks!#REF!,"AAAAAHn6O4Q=")</f>
        <v>#REF!</v>
      </c>
      <c r="ED1" t="e">
        <f>AND(Marks!#REF!,"AAAAAHn6O4U=")</f>
        <v>#REF!</v>
      </c>
      <c r="EE1" t="e">
        <f>AND(Marks!#REF!,"AAAAAHn6O4Y=")</f>
        <v>#REF!</v>
      </c>
      <c r="EF1" t="e">
        <f>IF(Marks!#REF!,"AAAAAHn6O4c=",0)</f>
        <v>#REF!</v>
      </c>
      <c r="EG1" t="e">
        <f>AND(Marks!#REF!,"AAAAAHn6O4g=")</f>
        <v>#REF!</v>
      </c>
      <c r="EH1" t="e">
        <f>AND(Marks!#REF!,"AAAAAHn6O4k=")</f>
        <v>#REF!</v>
      </c>
      <c r="EI1" t="e">
        <f>AND(Marks!#REF!,"AAAAAHn6O4o=")</f>
        <v>#REF!</v>
      </c>
      <c r="EJ1" t="e">
        <f>IF(Marks!#REF!,"AAAAAHn6O4s=",0)</f>
        <v>#REF!</v>
      </c>
      <c r="EK1" t="e">
        <f>AND(Marks!#REF!,"AAAAAHn6O4w=")</f>
        <v>#REF!</v>
      </c>
      <c r="EL1" t="e">
        <f>AND(Marks!#REF!,"AAAAAHn6O40=")</f>
        <v>#REF!</v>
      </c>
      <c r="EM1" t="e">
        <f>AND(Marks!#REF!,"AAAAAHn6O44=")</f>
        <v>#REF!</v>
      </c>
      <c r="EN1" t="e">
        <f>IF(Marks!#REF!,"AAAAAHn6O48=",0)</f>
        <v>#REF!</v>
      </c>
      <c r="EO1" t="e">
        <f>AND(Marks!#REF!,"AAAAAHn6O5A=")</f>
        <v>#REF!</v>
      </c>
      <c r="EP1" t="e">
        <f>AND(Marks!#REF!,"AAAAAHn6O5E=")</f>
        <v>#REF!</v>
      </c>
      <c r="EQ1" t="e">
        <f>AND(Marks!#REF!,"AAAAAHn6O5I=")</f>
        <v>#REF!</v>
      </c>
      <c r="ER1" t="e">
        <f>IF(Marks!#REF!,"AAAAAHn6O5M=",0)</f>
        <v>#REF!</v>
      </c>
      <c r="ES1" t="e">
        <f>AND(Marks!#REF!,"AAAAAHn6O5Q=")</f>
        <v>#REF!</v>
      </c>
      <c r="ET1" t="e">
        <f>AND(Marks!#REF!,"AAAAAHn6O5U=")</f>
        <v>#REF!</v>
      </c>
      <c r="EU1" t="e">
        <f>AND(Marks!#REF!,"AAAAAHn6O5Y=")</f>
        <v>#REF!</v>
      </c>
      <c r="EV1" t="e">
        <f>IF(Marks!#REF!,"AAAAAHn6O5c=",0)</f>
        <v>#REF!</v>
      </c>
      <c r="EW1" t="e">
        <f>AND(Marks!#REF!,"AAAAAHn6O5g=")</f>
        <v>#REF!</v>
      </c>
      <c r="EX1" t="e">
        <f>AND(Marks!#REF!,"AAAAAHn6O5k=")</f>
        <v>#REF!</v>
      </c>
      <c r="EY1" t="e">
        <f>AND(Marks!#REF!,"AAAAAHn6O5o=")</f>
        <v>#REF!</v>
      </c>
      <c r="EZ1" t="e">
        <f>IF(Marks!#REF!,"AAAAAHn6O5s=",0)</f>
        <v>#REF!</v>
      </c>
      <c r="FA1" t="e">
        <f>AND(Marks!#REF!,"AAAAAHn6O5w=")</f>
        <v>#REF!</v>
      </c>
      <c r="FB1" t="e">
        <f>AND(Marks!#REF!,"AAAAAHn6O50=")</f>
        <v>#REF!</v>
      </c>
      <c r="FC1" t="e">
        <f>AND(Marks!#REF!,"AAAAAHn6O54=")</f>
        <v>#REF!</v>
      </c>
      <c r="FD1" t="e">
        <f>IF(Marks!#REF!,"AAAAAHn6O58=",0)</f>
        <v>#REF!</v>
      </c>
      <c r="FE1" t="e">
        <f>AND(Marks!#REF!,"AAAAAHn6O6A=")</f>
        <v>#REF!</v>
      </c>
      <c r="FF1" t="e">
        <f>AND(Marks!#REF!,"AAAAAHn6O6E=")</f>
        <v>#REF!</v>
      </c>
      <c r="FG1" t="e">
        <f>AND(Marks!#REF!,"AAAAAHn6O6I=")</f>
        <v>#REF!</v>
      </c>
      <c r="FH1" t="e">
        <f>IF(Marks!#REF!,"AAAAAHn6O6M=",0)</f>
        <v>#REF!</v>
      </c>
      <c r="FI1" t="e">
        <f>AND(Marks!#REF!,"AAAAAHn6O6Q=")</f>
        <v>#REF!</v>
      </c>
      <c r="FJ1" t="e">
        <f>AND(Marks!#REF!,"AAAAAHn6O6U=")</f>
        <v>#REF!</v>
      </c>
      <c r="FK1" t="e">
        <f>AND(Marks!#REF!,"AAAAAHn6O6Y=")</f>
        <v>#REF!</v>
      </c>
      <c r="FL1" t="e">
        <f>IF(Marks!#REF!,"AAAAAHn6O6c=",0)</f>
        <v>#REF!</v>
      </c>
      <c r="FM1" t="e">
        <f>AND(Marks!#REF!,"AAAAAHn6O6g=")</f>
        <v>#REF!</v>
      </c>
      <c r="FN1" t="e">
        <f>AND(Marks!#REF!,"AAAAAHn6O6k=")</f>
        <v>#REF!</v>
      </c>
      <c r="FO1" t="e">
        <f>AND(Marks!#REF!,"AAAAAHn6O6o=")</f>
        <v>#REF!</v>
      </c>
      <c r="FP1" t="e">
        <f>IF(Marks!#REF!,"AAAAAHn6O6s=",0)</f>
        <v>#REF!</v>
      </c>
      <c r="FQ1" t="e">
        <f>AND(Marks!#REF!,"AAAAAHn6O6w=")</f>
        <v>#REF!</v>
      </c>
      <c r="FR1" t="e">
        <f>AND(Marks!#REF!,"AAAAAHn6O60=")</f>
        <v>#REF!</v>
      </c>
      <c r="FS1" t="e">
        <f>AND(Marks!#REF!,"AAAAAHn6O64=")</f>
        <v>#REF!</v>
      </c>
      <c r="FT1" t="e">
        <f>IF(Marks!#REF!,"AAAAAHn6O68=",0)</f>
        <v>#REF!</v>
      </c>
      <c r="FU1" t="e">
        <f>AND(Marks!#REF!,"AAAAAHn6O7A=")</f>
        <v>#REF!</v>
      </c>
      <c r="FV1" t="e">
        <f>AND(Marks!#REF!,"AAAAAHn6O7E=")</f>
        <v>#REF!</v>
      </c>
      <c r="FW1" t="e">
        <f>AND(Marks!#REF!,"AAAAAHn6O7I=")</f>
        <v>#REF!</v>
      </c>
      <c r="FX1" t="e">
        <f>IF(Marks!#REF!,"AAAAAHn6O7M=",0)</f>
        <v>#REF!</v>
      </c>
      <c r="FY1" t="e">
        <f>AND(Marks!#REF!,"AAAAAHn6O7Q=")</f>
        <v>#REF!</v>
      </c>
      <c r="FZ1" t="e">
        <f>AND(Marks!#REF!,"AAAAAHn6O7U=")</f>
        <v>#REF!</v>
      </c>
      <c r="GA1" t="e">
        <f>AND(Marks!#REF!,"AAAAAHn6O7Y=")</f>
        <v>#REF!</v>
      </c>
      <c r="GB1" t="e">
        <f>IF(Marks!#REF!,"AAAAAHn6O7c=",0)</f>
        <v>#REF!</v>
      </c>
      <c r="GC1" t="e">
        <f>AND(Marks!#REF!,"AAAAAHn6O7g=")</f>
        <v>#REF!</v>
      </c>
      <c r="GD1" t="e">
        <f>AND(Marks!#REF!,"AAAAAHn6O7k=")</f>
        <v>#REF!</v>
      </c>
      <c r="GE1" t="e">
        <f>AND(Marks!#REF!,"AAAAAHn6O7o=")</f>
        <v>#REF!</v>
      </c>
      <c r="GF1" t="e">
        <f>IF(Marks!#REF!,"AAAAAHn6O7s=",0)</f>
        <v>#REF!</v>
      </c>
      <c r="GG1" t="e">
        <f>AND(Marks!#REF!,"AAAAAHn6O7w=")</f>
        <v>#REF!</v>
      </c>
      <c r="GH1" t="e">
        <f>AND(Marks!#REF!,"AAAAAHn6O70=")</f>
        <v>#REF!</v>
      </c>
      <c r="GI1" t="e">
        <f>AND(Marks!#REF!,"AAAAAHn6O74=")</f>
        <v>#REF!</v>
      </c>
      <c r="GJ1" t="e">
        <f>IF(Marks!#REF!,"AAAAAHn6O78=",0)</f>
        <v>#REF!</v>
      </c>
      <c r="GK1" t="e">
        <f>AND(Marks!#REF!,"AAAAAHn6O8A=")</f>
        <v>#REF!</v>
      </c>
      <c r="GL1" t="e">
        <f>AND(Marks!#REF!,"AAAAAHn6O8E=")</f>
        <v>#REF!</v>
      </c>
      <c r="GM1" t="e">
        <f>AND(Marks!#REF!,"AAAAAHn6O8I=")</f>
        <v>#REF!</v>
      </c>
      <c r="GN1" t="e">
        <f>IF(Marks!#REF!,"AAAAAHn6O8M=",0)</f>
        <v>#REF!</v>
      </c>
      <c r="GO1" t="e">
        <f>AND(Marks!#REF!,"AAAAAHn6O8Q=")</f>
        <v>#REF!</v>
      </c>
      <c r="GP1" t="e">
        <f>AND(Marks!#REF!,"AAAAAHn6O8U=")</f>
        <v>#REF!</v>
      </c>
      <c r="GQ1" t="e">
        <f>AND(Marks!#REF!,"AAAAAHn6O8Y=")</f>
        <v>#REF!</v>
      </c>
      <c r="GR1" t="e">
        <f>IF(Marks!#REF!,"AAAAAHn6O8c=",0)</f>
        <v>#REF!</v>
      </c>
      <c r="GS1" t="e">
        <f>AND(Marks!#REF!,"AAAAAHn6O8g=")</f>
        <v>#REF!</v>
      </c>
      <c r="GT1" t="e">
        <f>AND(Marks!#REF!,"AAAAAHn6O8k=")</f>
        <v>#REF!</v>
      </c>
      <c r="GU1" t="e">
        <f>AND(Marks!#REF!,"AAAAAHn6O8o=")</f>
        <v>#REF!</v>
      </c>
      <c r="GV1" t="e">
        <f>IF(Marks!#REF!,"AAAAAHn6O8s=",0)</f>
        <v>#REF!</v>
      </c>
      <c r="GW1" t="e">
        <f>AND(Marks!#REF!,"AAAAAHn6O8w=")</f>
        <v>#REF!</v>
      </c>
      <c r="GX1" t="e">
        <f>AND(Marks!#REF!,"AAAAAHn6O80=")</f>
        <v>#REF!</v>
      </c>
      <c r="GY1" t="e">
        <f>AND(Marks!#REF!,"AAAAAHn6O84=")</f>
        <v>#REF!</v>
      </c>
      <c r="GZ1" t="e">
        <f>IF(Marks!#REF!,"AAAAAHn6O88=",0)</f>
        <v>#REF!</v>
      </c>
      <c r="HA1" t="e">
        <f>AND(Marks!#REF!,"AAAAAHn6O9A=")</f>
        <v>#REF!</v>
      </c>
      <c r="HB1" t="e">
        <f>AND(Marks!#REF!,"AAAAAHn6O9E=")</f>
        <v>#REF!</v>
      </c>
      <c r="HC1" t="e">
        <f>AND(Marks!#REF!,"AAAAAHn6O9I=")</f>
        <v>#REF!</v>
      </c>
      <c r="HD1">
        <f>IF(Marks!7:7,"AAAAAHn6O9M=",0)</f>
        <v>0</v>
      </c>
      <c r="HE1" t="e">
        <f>AND(Marks!#REF!,"AAAAAHn6O9Q=")</f>
        <v>#REF!</v>
      </c>
      <c r="HF1" t="e">
        <f>AND(Marks!#REF!,"AAAAAHn6O9U=")</f>
        <v>#REF!</v>
      </c>
      <c r="HG1" t="e">
        <f>AND(Marks!#REF!,"AAAAAHn6O9Y=")</f>
        <v>#REF!</v>
      </c>
      <c r="HH1">
        <f>IF(Marks!8:8,"AAAAAHn6O9c=",0)</f>
        <v>0</v>
      </c>
      <c r="HI1" t="e">
        <f>AND(Marks!#REF!,"AAAAAHn6O9g=")</f>
        <v>#REF!</v>
      </c>
      <c r="HJ1" t="e">
        <f>AND(Marks!#REF!,"AAAAAHn6O9k=")</f>
        <v>#REF!</v>
      </c>
      <c r="HK1" t="e">
        <f>AND(Marks!#REF!,"AAAAAHn6O9o=")</f>
        <v>#REF!</v>
      </c>
      <c r="HL1">
        <f>IF(Marks!9:9,"AAAAAHn6O9s=",0)</f>
        <v>0</v>
      </c>
      <c r="HM1" t="e">
        <f>AND(Marks!#REF!,"AAAAAHn6O9w=")</f>
        <v>#REF!</v>
      </c>
      <c r="HN1" t="e">
        <f>AND(Marks!#REF!,"AAAAAHn6O90=")</f>
        <v>#REF!</v>
      </c>
      <c r="HO1" t="e">
        <f>AND(Marks!#REF!,"AAAAAHn6O94=")</f>
        <v>#REF!</v>
      </c>
      <c r="HP1">
        <f>IF(Marks!10:10,"AAAAAHn6O98=",0)</f>
        <v>0</v>
      </c>
      <c r="HQ1" t="e">
        <f>AND(Marks!#REF!,"AAAAAHn6O+A=")</f>
        <v>#REF!</v>
      </c>
      <c r="HR1" t="e">
        <f>AND(Marks!#REF!,"AAAAAHn6O+E=")</f>
        <v>#REF!</v>
      </c>
      <c r="HS1" t="e">
        <f>AND(Marks!#REF!,"AAAAAHn6O+I=")</f>
        <v>#REF!</v>
      </c>
      <c r="HT1">
        <f>IF(Marks!11:11,"AAAAAHn6O+M=",0)</f>
        <v>0</v>
      </c>
      <c r="HU1" t="e">
        <f>AND(Marks!#REF!,"AAAAAHn6O+Q=")</f>
        <v>#REF!</v>
      </c>
      <c r="HV1" t="e">
        <f>AND(Marks!#REF!,"AAAAAHn6O+U=")</f>
        <v>#REF!</v>
      </c>
      <c r="HW1" t="e">
        <f>AND(Marks!#REF!,"AAAAAHn6O+Y=")</f>
        <v>#REF!</v>
      </c>
      <c r="HX1">
        <f>IF(Marks!12:12,"AAAAAHn6O+c=",0)</f>
        <v>0</v>
      </c>
      <c r="HY1" t="e">
        <f>AND(Marks!#REF!,"AAAAAHn6O+g=")</f>
        <v>#REF!</v>
      </c>
      <c r="HZ1" t="e">
        <f>AND(Marks!#REF!,"AAAAAHn6O+k=")</f>
        <v>#REF!</v>
      </c>
      <c r="IA1" t="e">
        <f>AND(Marks!#REF!,"AAAAAHn6O+o=")</f>
        <v>#REF!</v>
      </c>
      <c r="IB1">
        <f>IF(Marks!13:13,"AAAAAHn6O+s=",0)</f>
        <v>0</v>
      </c>
      <c r="IC1" t="e">
        <f>AND(Marks!#REF!,"AAAAAHn6O+w=")</f>
        <v>#REF!</v>
      </c>
      <c r="ID1" t="e">
        <f>AND(Marks!#REF!,"AAAAAHn6O+0=")</f>
        <v>#REF!</v>
      </c>
      <c r="IE1" t="e">
        <f>AND(Marks!#REF!,"AAAAAHn6O+4=")</f>
        <v>#REF!</v>
      </c>
      <c r="IF1">
        <f>IF(Marks!14:14,"AAAAAHn6O+8=",0)</f>
        <v>0</v>
      </c>
      <c r="IG1" t="e">
        <f>AND(Marks!#REF!,"AAAAAHn6O/A=")</f>
        <v>#REF!</v>
      </c>
      <c r="IH1" t="e">
        <f>AND(Marks!#REF!,"AAAAAHn6O/E=")</f>
        <v>#REF!</v>
      </c>
      <c r="II1" t="e">
        <f>AND(Marks!#REF!,"AAAAAHn6O/I=")</f>
        <v>#REF!</v>
      </c>
      <c r="IJ1">
        <f>IF(Marks!15:15,"AAAAAHn6O/M=",0)</f>
        <v>0</v>
      </c>
      <c r="IK1" t="e">
        <f>AND(Marks!#REF!,"AAAAAHn6O/Q=")</f>
        <v>#REF!</v>
      </c>
      <c r="IL1" t="e">
        <f>AND(Marks!#REF!,"AAAAAHn6O/U=")</f>
        <v>#REF!</v>
      </c>
      <c r="IM1" t="e">
        <f>AND(Marks!#REF!,"AAAAAHn6O/Y=")</f>
        <v>#REF!</v>
      </c>
      <c r="IN1" t="e">
        <f>IF(Marks!#REF!,"AAAAAHn6O/c=",0)</f>
        <v>#REF!</v>
      </c>
      <c r="IO1" t="e">
        <f>AND(Marks!#REF!,"AAAAAHn6O/g=")</f>
        <v>#REF!</v>
      </c>
      <c r="IP1" t="e">
        <f>AND(Marks!#REF!,"AAAAAHn6O/k=")</f>
        <v>#REF!</v>
      </c>
      <c r="IQ1" t="e">
        <f>AND(Marks!#REF!,"AAAAAHn6O/o=")</f>
        <v>#REF!</v>
      </c>
      <c r="IR1" t="e">
        <f>IF(Marks!#REF!,"AAAAAHn6O/s=",0)</f>
        <v>#REF!</v>
      </c>
      <c r="IS1" t="e">
        <f>AND(Marks!#REF!,"AAAAAHn6O/w=")</f>
        <v>#REF!</v>
      </c>
      <c r="IT1" t="e">
        <f>AND(Marks!#REF!,"AAAAAHn6O/0=")</f>
        <v>#REF!</v>
      </c>
      <c r="IU1" t="e">
        <f>AND(Marks!#REF!,"AAAAAHn6O/4=")</f>
        <v>#REF!</v>
      </c>
      <c r="IV1" t="e">
        <f>IF(Marks!#REF!,"AAAAAHn6O/8=",0)</f>
        <v>#REF!</v>
      </c>
    </row>
    <row r="2" spans="1:256" x14ac:dyDescent="0.15">
      <c r="A2" t="e">
        <f>AND(Marks!#REF!,"AAAAAE4euwA=")</f>
        <v>#REF!</v>
      </c>
      <c r="B2" t="e">
        <f>AND(Marks!#REF!,"AAAAAE4euwE=")</f>
        <v>#REF!</v>
      </c>
      <c r="C2" t="e">
        <f>AND(Marks!#REF!,"AAAAAE4euwI=")</f>
        <v>#REF!</v>
      </c>
      <c r="D2" t="e">
        <f>IF(Marks!#REF!,"AAAAAE4euwM=",0)</f>
        <v>#REF!</v>
      </c>
      <c r="E2" t="e">
        <f>AND(Marks!#REF!,"AAAAAE4euwQ=")</f>
        <v>#REF!</v>
      </c>
      <c r="F2" t="e">
        <f>AND(Marks!#REF!,"AAAAAE4euwU=")</f>
        <v>#REF!</v>
      </c>
      <c r="G2" t="e">
        <f>AND(Marks!#REF!,"AAAAAE4euwY=")</f>
        <v>#REF!</v>
      </c>
      <c r="H2">
        <f>IF(Marks!16:16,"AAAAAE4euwc=",0)</f>
        <v>0</v>
      </c>
      <c r="I2" t="e">
        <f>AND(Marks!#REF!,"AAAAAE4euwg=")</f>
        <v>#REF!</v>
      </c>
      <c r="J2" t="e">
        <f>AND(Marks!#REF!,"AAAAAE4euwk=")</f>
        <v>#REF!</v>
      </c>
      <c r="K2" t="e">
        <f>AND(Marks!#REF!,"AAAAAE4euwo=")</f>
        <v>#REF!</v>
      </c>
      <c r="L2">
        <f>IF(Marks!17:17,"AAAAAE4euws=",0)</f>
        <v>0</v>
      </c>
      <c r="M2" t="e">
        <f>AND(Marks!#REF!,"AAAAAE4euww=")</f>
        <v>#REF!</v>
      </c>
      <c r="N2" t="e">
        <f>AND(Marks!#REF!,"AAAAAE4euw0=")</f>
        <v>#REF!</v>
      </c>
      <c r="O2" t="e">
        <f>AND(Marks!#REF!,"AAAAAE4euw4=")</f>
        <v>#REF!</v>
      </c>
      <c r="P2">
        <f>IF(Marks!18:18,"AAAAAE4euw8=",0)</f>
        <v>0</v>
      </c>
      <c r="Q2" t="e">
        <f>AND(Marks!#REF!,"AAAAAE4euxA=")</f>
        <v>#REF!</v>
      </c>
      <c r="R2" t="e">
        <f>AND(Marks!#REF!,"AAAAAE4euxE=")</f>
        <v>#REF!</v>
      </c>
      <c r="S2" t="e">
        <f>AND(Marks!#REF!,"AAAAAE4euxI=")</f>
        <v>#REF!</v>
      </c>
      <c r="T2">
        <f>IF(Marks!19:19,"AAAAAE4euxM=",0)</f>
        <v>0</v>
      </c>
      <c r="U2" t="e">
        <f>AND(Marks!#REF!,"AAAAAE4euxQ=")</f>
        <v>#REF!</v>
      </c>
      <c r="V2" t="e">
        <f>AND(Marks!#REF!,"AAAAAE4euxU=")</f>
        <v>#REF!</v>
      </c>
      <c r="W2" t="e">
        <f>AND(Marks!#REF!,"AAAAAE4euxY=")</f>
        <v>#REF!</v>
      </c>
      <c r="X2">
        <f>IF(Marks!20:20,"AAAAAE4euxc=",0)</f>
        <v>0</v>
      </c>
      <c r="Y2" t="e">
        <f>AND(Marks!#REF!,"AAAAAE4euxg=")</f>
        <v>#REF!</v>
      </c>
      <c r="Z2" t="e">
        <f>AND(Marks!#REF!,"AAAAAE4euxk=")</f>
        <v>#REF!</v>
      </c>
      <c r="AA2" t="e">
        <f>AND(Marks!#REF!,"AAAAAE4euxo=")</f>
        <v>#REF!</v>
      </c>
      <c r="AB2">
        <f>IF(Marks!21:21,"AAAAAE4euxs=",0)</f>
        <v>0</v>
      </c>
      <c r="AC2" t="e">
        <f>AND(Marks!#REF!,"AAAAAE4euxw=")</f>
        <v>#REF!</v>
      </c>
      <c r="AD2" t="e">
        <f>AND(Marks!#REF!,"AAAAAE4eux0=")</f>
        <v>#REF!</v>
      </c>
      <c r="AE2" t="e">
        <f>AND(Marks!#REF!,"AAAAAE4eux4=")</f>
        <v>#REF!</v>
      </c>
      <c r="AF2">
        <f>IF(Marks!22:22,"AAAAAE4eux8=",0)</f>
        <v>0</v>
      </c>
      <c r="AG2" t="e">
        <f>AND(Marks!#REF!,"AAAAAE4euyA=")</f>
        <v>#REF!</v>
      </c>
      <c r="AH2" t="e">
        <f>AND(Marks!#REF!,"AAAAAE4euyE=")</f>
        <v>#REF!</v>
      </c>
      <c r="AI2" t="e">
        <f>AND(Marks!#REF!,"AAAAAE4euyI=")</f>
        <v>#REF!</v>
      </c>
      <c r="AJ2">
        <f>IF(Marks!23:23,"AAAAAE4euyM=",0)</f>
        <v>0</v>
      </c>
      <c r="AK2" t="e">
        <f>AND(Marks!#REF!,"AAAAAE4euyQ=")</f>
        <v>#REF!</v>
      </c>
      <c r="AL2" t="e">
        <f>AND(Marks!#REF!,"AAAAAE4euyU=")</f>
        <v>#REF!</v>
      </c>
      <c r="AM2" t="e">
        <f>AND(Marks!#REF!,"AAAAAE4euyY=")</f>
        <v>#REF!</v>
      </c>
      <c r="AN2">
        <f>IF(Marks!24:24,"AAAAAE4euyc=",0)</f>
        <v>0</v>
      </c>
      <c r="AO2" t="e">
        <f>AND(Marks!#REF!,"AAAAAE4euyg=")</f>
        <v>#REF!</v>
      </c>
      <c r="AP2" t="e">
        <f>AND(Marks!#REF!,"AAAAAE4euyk=")</f>
        <v>#REF!</v>
      </c>
      <c r="AQ2" t="e">
        <f>AND(Marks!#REF!,"AAAAAE4euyo=")</f>
        <v>#REF!</v>
      </c>
      <c r="AR2">
        <f>IF(Marks!25:25,"AAAAAE4euys=",0)</f>
        <v>0</v>
      </c>
      <c r="AS2" t="e">
        <f>AND(Marks!#REF!,"AAAAAE4euyw=")</f>
        <v>#REF!</v>
      </c>
      <c r="AT2" t="e">
        <f>AND(Marks!#REF!,"AAAAAE4euy0=")</f>
        <v>#REF!</v>
      </c>
      <c r="AU2" t="e">
        <f>AND(Marks!#REF!,"AAAAAE4euy4=")</f>
        <v>#REF!</v>
      </c>
      <c r="AV2">
        <f>IF(Marks!26:26,"AAAAAE4euy8=",0)</f>
        <v>0</v>
      </c>
      <c r="AW2" t="e">
        <f>AND(Marks!#REF!,"AAAAAE4euzA=")</f>
        <v>#REF!</v>
      </c>
      <c r="AX2" t="e">
        <f>AND(Marks!#REF!,"AAAAAE4euzE=")</f>
        <v>#REF!</v>
      </c>
      <c r="AY2" t="e">
        <f>AND(Marks!#REF!,"AAAAAE4euzI=")</f>
        <v>#REF!</v>
      </c>
      <c r="AZ2">
        <f>IF(Marks!27:27,"AAAAAE4euzM=",0)</f>
        <v>0</v>
      </c>
      <c r="BA2" t="e">
        <f>AND(Marks!#REF!,"AAAAAE4euzQ=")</f>
        <v>#REF!</v>
      </c>
      <c r="BB2" t="e">
        <f>AND(Marks!#REF!,"AAAAAE4euzU=")</f>
        <v>#REF!</v>
      </c>
      <c r="BC2" t="e">
        <f>AND(Marks!#REF!,"AAAAAE4euzY=")</f>
        <v>#REF!</v>
      </c>
      <c r="BD2">
        <f>IF(Marks!28:28,"AAAAAE4euzc=",0)</f>
        <v>0</v>
      </c>
      <c r="BE2" t="e">
        <f>AND(Marks!#REF!,"AAAAAE4euzg=")</f>
        <v>#REF!</v>
      </c>
      <c r="BF2" t="e">
        <f>AND(Marks!#REF!,"AAAAAE4euzk=")</f>
        <v>#REF!</v>
      </c>
      <c r="BG2" t="e">
        <f>AND(Marks!#REF!,"AAAAAE4euzo=")</f>
        <v>#REF!</v>
      </c>
      <c r="BH2">
        <f>IF(Marks!29:29,"AAAAAE4euzs=",0)</f>
        <v>0</v>
      </c>
      <c r="BI2" t="e">
        <f>AND(Marks!#REF!,"AAAAAE4euzw=")</f>
        <v>#REF!</v>
      </c>
      <c r="BJ2" t="e">
        <f>AND(Marks!#REF!,"AAAAAE4euz0=")</f>
        <v>#REF!</v>
      </c>
      <c r="BK2" t="e">
        <f>AND(Marks!#REF!,"AAAAAE4euz4=")</f>
        <v>#REF!</v>
      </c>
      <c r="BL2">
        <f>IF(Marks!30:30,"AAAAAE4euz8=",0)</f>
        <v>0</v>
      </c>
      <c r="BM2" t="e">
        <f>AND(Marks!#REF!,"AAAAAE4eu0A=")</f>
        <v>#REF!</v>
      </c>
      <c r="BN2" t="e">
        <f>AND(Marks!#REF!,"AAAAAE4eu0E=")</f>
        <v>#REF!</v>
      </c>
      <c r="BO2" t="e">
        <f>AND(Marks!#REF!,"AAAAAE4eu0I=")</f>
        <v>#REF!</v>
      </c>
      <c r="BP2">
        <f>IF(Marks!31:31,"AAAAAE4eu0M=",0)</f>
        <v>0</v>
      </c>
      <c r="BQ2" t="e">
        <f>AND(Marks!#REF!,"AAAAAE4eu0Q=")</f>
        <v>#REF!</v>
      </c>
      <c r="BR2" t="e">
        <f>AND(Marks!#REF!,"AAAAAE4eu0U=")</f>
        <v>#REF!</v>
      </c>
      <c r="BS2" t="e">
        <f>AND(Marks!#REF!,"AAAAAE4eu0Y=")</f>
        <v>#REF!</v>
      </c>
      <c r="BT2">
        <f>IF(Marks!32:32,"AAAAAE4eu0c=",0)</f>
        <v>0</v>
      </c>
      <c r="BU2" t="e">
        <f>AND(Marks!#REF!,"AAAAAE4eu0g=")</f>
        <v>#REF!</v>
      </c>
      <c r="BV2" t="e">
        <f>AND(Marks!#REF!,"AAAAAE4eu0k=")</f>
        <v>#REF!</v>
      </c>
      <c r="BW2" t="e">
        <f>AND(Marks!#REF!,"AAAAAE4eu0o=")</f>
        <v>#REF!</v>
      </c>
      <c r="BX2">
        <f>IF(Marks!33:33,"AAAAAE4eu0s=",0)</f>
        <v>0</v>
      </c>
      <c r="BY2" t="e">
        <f>AND(Marks!#REF!,"AAAAAE4eu0w=")</f>
        <v>#REF!</v>
      </c>
      <c r="BZ2" t="e">
        <f>AND(Marks!#REF!,"AAAAAE4eu00=")</f>
        <v>#REF!</v>
      </c>
      <c r="CA2" t="e">
        <f>AND(Marks!#REF!,"AAAAAE4eu04=")</f>
        <v>#REF!</v>
      </c>
      <c r="CB2">
        <f>IF(Marks!34:34,"AAAAAE4eu08=",0)</f>
        <v>0</v>
      </c>
      <c r="CC2" t="e">
        <f>AND(Marks!#REF!,"AAAAAE4eu1A=")</f>
        <v>#REF!</v>
      </c>
      <c r="CD2" t="e">
        <f>AND(Marks!#REF!,"AAAAAE4eu1E=")</f>
        <v>#REF!</v>
      </c>
      <c r="CE2" t="e">
        <f>AND(Marks!#REF!,"AAAAAE4eu1I=")</f>
        <v>#REF!</v>
      </c>
      <c r="CF2">
        <f>IF(Marks!35:35,"AAAAAE4eu1M=",0)</f>
        <v>0</v>
      </c>
      <c r="CG2" t="e">
        <f>AND(Marks!#REF!,"AAAAAE4eu1Q=")</f>
        <v>#REF!</v>
      </c>
      <c r="CH2" t="e">
        <f>AND(Marks!#REF!,"AAAAAE4eu1U=")</f>
        <v>#REF!</v>
      </c>
      <c r="CI2" t="e">
        <f>AND(Marks!#REF!,"AAAAAE4eu1Y=")</f>
        <v>#REF!</v>
      </c>
      <c r="CJ2">
        <f>IF(Marks!36:36,"AAAAAE4eu1c=",0)</f>
        <v>0</v>
      </c>
      <c r="CK2" t="e">
        <f>AND(Marks!#REF!,"AAAAAE4eu1g=")</f>
        <v>#REF!</v>
      </c>
      <c r="CL2" t="e">
        <f>AND(Marks!#REF!,"AAAAAE4eu1k=")</f>
        <v>#REF!</v>
      </c>
      <c r="CM2" t="e">
        <f>AND(Marks!#REF!,"AAAAAE4eu1o=")</f>
        <v>#REF!</v>
      </c>
      <c r="CN2">
        <f>IF(Marks!37:37,"AAAAAE4eu1s=",0)</f>
        <v>0</v>
      </c>
      <c r="CO2" t="e">
        <f>AND(Marks!#REF!,"AAAAAE4eu1w=")</f>
        <v>#REF!</v>
      </c>
      <c r="CP2" t="e">
        <f>AND(Marks!#REF!,"AAAAAE4eu10=")</f>
        <v>#REF!</v>
      </c>
      <c r="CQ2" t="e">
        <f>AND(Marks!#REF!,"AAAAAE4eu14=")</f>
        <v>#REF!</v>
      </c>
      <c r="CR2">
        <f>IF(Marks!38:38,"AAAAAE4eu18=",0)</f>
        <v>0</v>
      </c>
      <c r="CS2" t="e">
        <f>AND(Marks!#REF!,"AAAAAE4eu2A=")</f>
        <v>#REF!</v>
      </c>
      <c r="CT2" t="e">
        <f>AND(Marks!#REF!,"AAAAAE4eu2E=")</f>
        <v>#REF!</v>
      </c>
      <c r="CU2" t="e">
        <f>AND(Marks!#REF!,"AAAAAE4eu2I=")</f>
        <v>#REF!</v>
      </c>
      <c r="CV2">
        <f>IF(Marks!39:39,"AAAAAE4eu2M=",0)</f>
        <v>0</v>
      </c>
      <c r="CW2" t="e">
        <f>AND(Marks!#REF!,"AAAAAE4eu2Q=")</f>
        <v>#REF!</v>
      </c>
      <c r="CX2" t="e">
        <f>AND(Marks!#REF!,"AAAAAE4eu2U=")</f>
        <v>#REF!</v>
      </c>
      <c r="CY2" t="e">
        <f>AND(Marks!#REF!,"AAAAAE4eu2Y=")</f>
        <v>#REF!</v>
      </c>
      <c r="CZ2">
        <f>IF(Marks!40:40,"AAAAAE4eu2c=",0)</f>
        <v>0</v>
      </c>
      <c r="DA2" t="e">
        <f>AND(Marks!#REF!,"AAAAAE4eu2g=")</f>
        <v>#REF!</v>
      </c>
      <c r="DB2" t="e">
        <f>AND(Marks!#REF!,"AAAAAE4eu2k=")</f>
        <v>#REF!</v>
      </c>
      <c r="DC2" t="e">
        <f>AND(Marks!#REF!,"AAAAAE4eu2o=")</f>
        <v>#REF!</v>
      </c>
      <c r="DD2">
        <f>IF(Marks!41:41,"AAAAAE4eu2s=",0)</f>
        <v>0</v>
      </c>
      <c r="DE2" t="e">
        <f>AND(Marks!#REF!,"AAAAAE4eu2w=")</f>
        <v>#REF!</v>
      </c>
      <c r="DF2" t="e">
        <f>AND(Marks!#REF!,"AAAAAE4eu20=")</f>
        <v>#REF!</v>
      </c>
      <c r="DG2" t="e">
        <f>AND(Marks!#REF!,"AAAAAE4eu24=")</f>
        <v>#REF!</v>
      </c>
      <c r="DH2">
        <f>IF(Marks!42:42,"AAAAAE4eu28=",0)</f>
        <v>0</v>
      </c>
      <c r="DI2" t="e">
        <f>AND(Marks!#REF!,"AAAAAE4eu3A=")</f>
        <v>#REF!</v>
      </c>
      <c r="DJ2" t="e">
        <f>AND(Marks!#REF!,"AAAAAE4eu3E=")</f>
        <v>#REF!</v>
      </c>
      <c r="DK2" t="e">
        <f>AND(Marks!#REF!,"AAAAAE4eu3I=")</f>
        <v>#REF!</v>
      </c>
      <c r="DL2">
        <f>IF(Marks!43:43,"AAAAAE4eu3M=",0)</f>
        <v>0</v>
      </c>
      <c r="DM2" t="e">
        <f>AND(Marks!#REF!,"AAAAAE4eu3Q=")</f>
        <v>#REF!</v>
      </c>
      <c r="DN2" t="e">
        <f>AND(Marks!#REF!,"AAAAAE4eu3U=")</f>
        <v>#REF!</v>
      </c>
      <c r="DO2" t="e">
        <f>AND(Marks!#REF!,"AAAAAE4eu3Y=")</f>
        <v>#REF!</v>
      </c>
      <c r="DP2">
        <f>IF(Marks!44:44,"AAAAAE4eu3c=",0)</f>
        <v>0</v>
      </c>
      <c r="DQ2" t="e">
        <f>AND(Marks!#REF!,"AAAAAE4eu3g=")</f>
        <v>#REF!</v>
      </c>
      <c r="DR2" t="e">
        <f>AND(Marks!#REF!,"AAAAAE4eu3k=")</f>
        <v>#REF!</v>
      </c>
      <c r="DS2" t="e">
        <f>AND(Marks!#REF!,"AAAAAE4eu3o=")</f>
        <v>#REF!</v>
      </c>
      <c r="DT2">
        <f>IF(Marks!45:45,"AAAAAE4eu3s=",0)</f>
        <v>0</v>
      </c>
      <c r="DU2" t="e">
        <f>AND(Marks!#REF!,"AAAAAE4eu3w=")</f>
        <v>#REF!</v>
      </c>
      <c r="DV2" t="e">
        <f>AND(Marks!#REF!,"AAAAAE4eu30=")</f>
        <v>#REF!</v>
      </c>
      <c r="DW2" t="e">
        <f>AND(Marks!#REF!,"AAAAAE4eu34=")</f>
        <v>#REF!</v>
      </c>
      <c r="DX2">
        <f>IF(Marks!46:46,"AAAAAE4eu38=",0)</f>
        <v>0</v>
      </c>
      <c r="DY2" t="e">
        <f>AND(Marks!#REF!,"AAAAAE4eu4A=")</f>
        <v>#REF!</v>
      </c>
      <c r="DZ2" t="e">
        <f>AND(Marks!#REF!,"AAAAAE4eu4E=")</f>
        <v>#REF!</v>
      </c>
      <c r="EA2" t="e">
        <f>AND(Marks!#REF!,"AAAAAE4eu4I=")</f>
        <v>#REF!</v>
      </c>
      <c r="EB2">
        <f>IF(Marks!47:47,"AAAAAE4eu4M=",0)</f>
        <v>0</v>
      </c>
      <c r="EC2" t="e">
        <f>AND(Marks!#REF!,"AAAAAE4eu4Q=")</f>
        <v>#REF!</v>
      </c>
      <c r="ED2" t="e">
        <f>AND(Marks!#REF!,"AAAAAE4eu4U=")</f>
        <v>#REF!</v>
      </c>
      <c r="EE2" t="e">
        <f>AND(Marks!#REF!,"AAAAAE4eu4Y=")</f>
        <v>#REF!</v>
      </c>
      <c r="EF2">
        <f>IF(Marks!48:48,"AAAAAE4eu4c=",0)</f>
        <v>0</v>
      </c>
      <c r="EG2" t="e">
        <f>AND(Marks!#REF!,"AAAAAE4eu4g=")</f>
        <v>#REF!</v>
      </c>
      <c r="EH2" t="e">
        <f>AND(Marks!#REF!,"AAAAAE4eu4k=")</f>
        <v>#REF!</v>
      </c>
      <c r="EI2" t="e">
        <f>AND(Marks!#REF!,"AAAAAE4eu4o=")</f>
        <v>#REF!</v>
      </c>
      <c r="EJ2">
        <f>IF(Marks!49:49,"AAAAAE4eu4s=",0)</f>
        <v>0</v>
      </c>
      <c r="EK2" t="e">
        <f>AND(Marks!#REF!,"AAAAAE4eu4w=")</f>
        <v>#REF!</v>
      </c>
      <c r="EL2" t="e">
        <f>AND(Marks!#REF!,"AAAAAE4eu40=")</f>
        <v>#REF!</v>
      </c>
      <c r="EM2" t="e">
        <f>AND(Marks!#REF!,"AAAAAE4eu44=")</f>
        <v>#REF!</v>
      </c>
      <c r="EN2">
        <f>IF(Marks!50:50,"AAAAAE4eu48=",0)</f>
        <v>0</v>
      </c>
      <c r="EO2" t="e">
        <f>AND(Marks!#REF!,"AAAAAE4eu5A=")</f>
        <v>#REF!</v>
      </c>
      <c r="EP2" t="e">
        <f>AND(Marks!#REF!,"AAAAAE4eu5E=")</f>
        <v>#REF!</v>
      </c>
      <c r="EQ2" t="e">
        <f>AND(Marks!#REF!,"AAAAAE4eu5I=")</f>
        <v>#REF!</v>
      </c>
      <c r="ER2">
        <f>IF(Marks!51:51,"AAAAAE4eu5M=",0)</f>
        <v>0</v>
      </c>
      <c r="ES2" t="e">
        <f>AND(Marks!#REF!,"AAAAAE4eu5Q=")</f>
        <v>#REF!</v>
      </c>
      <c r="ET2" t="e">
        <f>AND(Marks!#REF!,"AAAAAE4eu5U=")</f>
        <v>#REF!</v>
      </c>
      <c r="EU2" t="e">
        <f>AND(Marks!#REF!,"AAAAAE4eu5Y=")</f>
        <v>#REF!</v>
      </c>
      <c r="EV2">
        <f>IF(Marks!52:52,"AAAAAE4eu5c=",0)</f>
        <v>0</v>
      </c>
      <c r="EW2" t="e">
        <f>AND(Marks!#REF!,"AAAAAE4eu5g=")</f>
        <v>#REF!</v>
      </c>
      <c r="EX2" t="e">
        <f>AND(Marks!#REF!,"AAAAAE4eu5k=")</f>
        <v>#REF!</v>
      </c>
      <c r="EY2" t="e">
        <f>AND(Marks!#REF!,"AAAAAE4eu5o=")</f>
        <v>#REF!</v>
      </c>
      <c r="EZ2">
        <f>IF(Marks!53:53,"AAAAAE4eu5s=",0)</f>
        <v>0</v>
      </c>
      <c r="FA2" t="e">
        <f>AND(Marks!#REF!,"AAAAAE4eu5w=")</f>
        <v>#REF!</v>
      </c>
      <c r="FB2" t="e">
        <f>AND(Marks!#REF!,"AAAAAE4eu50=")</f>
        <v>#REF!</v>
      </c>
      <c r="FC2" t="e">
        <f>AND(Marks!#REF!,"AAAAAE4eu54=")</f>
        <v>#REF!</v>
      </c>
      <c r="FD2">
        <f>IF(Marks!54:54,"AAAAAE4eu58=",0)</f>
        <v>0</v>
      </c>
      <c r="FE2" t="e">
        <f>AND(Marks!#REF!,"AAAAAE4eu6A=")</f>
        <v>#REF!</v>
      </c>
      <c r="FF2" t="e">
        <f>AND(Marks!#REF!,"AAAAAE4eu6E=")</f>
        <v>#REF!</v>
      </c>
      <c r="FG2" t="e">
        <f>AND(Marks!#REF!,"AAAAAE4eu6I=")</f>
        <v>#REF!</v>
      </c>
      <c r="FH2">
        <f>IF(Marks!55:55,"AAAAAE4eu6M=",0)</f>
        <v>0</v>
      </c>
      <c r="FI2" t="e">
        <f>AND(Marks!#REF!,"AAAAAE4eu6Q=")</f>
        <v>#REF!</v>
      </c>
      <c r="FJ2" t="e">
        <f>AND(Marks!#REF!,"AAAAAE4eu6U=")</f>
        <v>#REF!</v>
      </c>
      <c r="FK2" t="e">
        <f>AND(Marks!#REF!,"AAAAAE4eu6Y=")</f>
        <v>#REF!</v>
      </c>
      <c r="FL2">
        <f>IF(Marks!56:56,"AAAAAE4eu6c=",0)</f>
        <v>0</v>
      </c>
      <c r="FM2" t="e">
        <f>AND(Marks!#REF!,"AAAAAE4eu6g=")</f>
        <v>#REF!</v>
      </c>
      <c r="FN2" t="e">
        <f>AND(Marks!#REF!,"AAAAAE4eu6k=")</f>
        <v>#REF!</v>
      </c>
      <c r="FO2" t="e">
        <f>AND(Marks!#REF!,"AAAAAE4eu6o=")</f>
        <v>#REF!</v>
      </c>
      <c r="FP2">
        <f>IF(Marks!57:57,"AAAAAE4eu6s=",0)</f>
        <v>0</v>
      </c>
      <c r="FQ2" t="e">
        <f>AND(Marks!#REF!,"AAAAAE4eu6w=")</f>
        <v>#REF!</v>
      </c>
      <c r="FR2" t="e">
        <f>AND(Marks!#REF!,"AAAAAE4eu60=")</f>
        <v>#REF!</v>
      </c>
      <c r="FS2" t="e">
        <f>AND(Marks!#REF!,"AAAAAE4eu64=")</f>
        <v>#REF!</v>
      </c>
      <c r="FT2">
        <f>IF(Marks!58:58,"AAAAAE4eu68=",0)</f>
        <v>0</v>
      </c>
      <c r="FU2" t="e">
        <f>AND(Marks!#REF!,"AAAAAE4eu7A=")</f>
        <v>#REF!</v>
      </c>
      <c r="FV2" t="e">
        <f>AND(Marks!#REF!,"AAAAAE4eu7E=")</f>
        <v>#REF!</v>
      </c>
      <c r="FW2" t="e">
        <f>AND(Marks!#REF!,"AAAAAE4eu7I=")</f>
        <v>#REF!</v>
      </c>
      <c r="FX2">
        <f>IF(Marks!59:59,"AAAAAE4eu7M=",0)</f>
        <v>0</v>
      </c>
      <c r="FY2" t="e">
        <f>AND(Marks!#REF!,"AAAAAE4eu7Q=")</f>
        <v>#REF!</v>
      </c>
      <c r="FZ2" t="e">
        <f>AND(Marks!#REF!,"AAAAAE4eu7U=")</f>
        <v>#REF!</v>
      </c>
      <c r="GA2" t="e">
        <f>AND(Marks!#REF!,"AAAAAE4eu7Y=")</f>
        <v>#REF!</v>
      </c>
      <c r="GB2">
        <f>IF(Marks!60:60,"AAAAAE4eu7c=",0)</f>
        <v>0</v>
      </c>
      <c r="GC2" t="e">
        <f>AND(Marks!#REF!,"AAAAAE4eu7g=")</f>
        <v>#REF!</v>
      </c>
      <c r="GD2" t="e">
        <f>AND(Marks!#REF!,"AAAAAE4eu7k=")</f>
        <v>#REF!</v>
      </c>
      <c r="GE2" t="e">
        <f>AND(Marks!#REF!,"AAAAAE4eu7o=")</f>
        <v>#REF!</v>
      </c>
      <c r="GF2">
        <f>IF(Marks!61:61,"AAAAAE4eu7s=",0)</f>
        <v>0</v>
      </c>
      <c r="GG2" t="e">
        <f>AND(Marks!#REF!,"AAAAAE4eu7w=")</f>
        <v>#REF!</v>
      </c>
      <c r="GH2" t="e">
        <f>AND(Marks!#REF!,"AAAAAE4eu70=")</f>
        <v>#REF!</v>
      </c>
      <c r="GI2" t="e">
        <f>AND(Marks!#REF!,"AAAAAE4eu74=")</f>
        <v>#REF!</v>
      </c>
      <c r="GJ2">
        <f>IF(Marks!62:62,"AAAAAE4eu78=",0)</f>
        <v>0</v>
      </c>
      <c r="GK2" t="e">
        <f>AND(Marks!#REF!,"AAAAAE4eu8A=")</f>
        <v>#REF!</v>
      </c>
      <c r="GL2" t="e">
        <f>AND(Marks!#REF!,"AAAAAE4eu8E=")</f>
        <v>#REF!</v>
      </c>
      <c r="GM2" t="e">
        <f>AND(Marks!#REF!,"AAAAAE4eu8I=")</f>
        <v>#REF!</v>
      </c>
      <c r="GN2">
        <f>IF(Marks!63:63,"AAAAAE4eu8M=",0)</f>
        <v>0</v>
      </c>
      <c r="GO2" t="e">
        <f>AND(Marks!#REF!,"AAAAAE4eu8Q=")</f>
        <v>#REF!</v>
      </c>
      <c r="GP2" t="e">
        <f>AND(Marks!#REF!,"AAAAAE4eu8U=")</f>
        <v>#REF!</v>
      </c>
      <c r="GQ2" t="e">
        <f>AND(Marks!#REF!,"AAAAAE4eu8Y=")</f>
        <v>#REF!</v>
      </c>
      <c r="GR2">
        <f>IF(Marks!64:64,"AAAAAE4eu8c=",0)</f>
        <v>0</v>
      </c>
      <c r="GS2" t="e">
        <f>AND(Marks!#REF!,"AAAAAE4eu8g=")</f>
        <v>#REF!</v>
      </c>
      <c r="GT2" t="e">
        <f>AND(Marks!#REF!,"AAAAAE4eu8k=")</f>
        <v>#REF!</v>
      </c>
      <c r="GU2" t="e">
        <f>AND(Marks!#REF!,"AAAAAE4eu8o=")</f>
        <v>#REF!</v>
      </c>
      <c r="GV2">
        <f>IF(Marks!65:65,"AAAAAE4eu8s=",0)</f>
        <v>0</v>
      </c>
      <c r="GW2" t="e">
        <f>AND(Marks!#REF!,"AAAAAE4eu8w=")</f>
        <v>#REF!</v>
      </c>
      <c r="GX2" t="e">
        <f>AND(Marks!#REF!,"AAAAAE4eu80=")</f>
        <v>#REF!</v>
      </c>
      <c r="GY2" t="e">
        <f>AND(Marks!#REF!,"AAAAAE4eu84=")</f>
        <v>#REF!</v>
      </c>
      <c r="GZ2">
        <f>IF(Marks!66:66,"AAAAAE4eu88=",0)</f>
        <v>0</v>
      </c>
      <c r="HA2" t="e">
        <f>AND(Marks!#REF!,"AAAAAE4eu9A=")</f>
        <v>#REF!</v>
      </c>
      <c r="HB2" t="e">
        <f>AND(Marks!#REF!,"AAAAAE4eu9E=")</f>
        <v>#REF!</v>
      </c>
      <c r="HC2" t="e">
        <f>AND(Marks!#REF!,"AAAAAE4eu9I=")</f>
        <v>#REF!</v>
      </c>
      <c r="HD2">
        <f>IF(Marks!67:67,"AAAAAE4eu9M=",0)</f>
        <v>0</v>
      </c>
      <c r="HE2" t="e">
        <f>AND(Marks!#REF!,"AAAAAE4eu9Q=")</f>
        <v>#REF!</v>
      </c>
      <c r="HF2" t="e">
        <f>AND(Marks!#REF!,"AAAAAE4eu9U=")</f>
        <v>#REF!</v>
      </c>
      <c r="HG2" t="e">
        <f>AND(Marks!#REF!,"AAAAAE4eu9Y=")</f>
        <v>#REF!</v>
      </c>
      <c r="HH2">
        <f>IF(Marks!68:68,"AAAAAE4eu9c=",0)</f>
        <v>0</v>
      </c>
      <c r="HI2" t="e">
        <f>AND(Marks!#REF!,"AAAAAE4eu9g=")</f>
        <v>#REF!</v>
      </c>
      <c r="HJ2" t="e">
        <f>AND(Marks!#REF!,"AAAAAE4eu9k=")</f>
        <v>#REF!</v>
      </c>
      <c r="HK2" t="e">
        <f>AND(Marks!#REF!,"AAAAAE4eu9o=")</f>
        <v>#REF!</v>
      </c>
      <c r="HL2">
        <f>IF(Marks!69:69,"AAAAAE4eu9s=",0)</f>
        <v>0</v>
      </c>
      <c r="HM2" t="e">
        <f>AND(Marks!#REF!,"AAAAAE4eu9w=")</f>
        <v>#REF!</v>
      </c>
      <c r="HN2" t="e">
        <f>AND(Marks!#REF!,"AAAAAE4eu90=")</f>
        <v>#REF!</v>
      </c>
      <c r="HO2" t="e">
        <f>AND(Marks!#REF!,"AAAAAE4eu94=")</f>
        <v>#REF!</v>
      </c>
      <c r="HP2">
        <f>IF(Marks!70:70,"AAAAAE4eu98=",0)</f>
        <v>0</v>
      </c>
      <c r="HQ2" t="e">
        <f>AND(Marks!#REF!,"AAAAAE4eu+A=")</f>
        <v>#REF!</v>
      </c>
      <c r="HR2" t="e">
        <f>AND(Marks!#REF!,"AAAAAE4eu+E=")</f>
        <v>#REF!</v>
      </c>
      <c r="HS2" t="e">
        <f>AND(Marks!#REF!,"AAAAAE4eu+I=")</f>
        <v>#REF!</v>
      </c>
      <c r="HT2">
        <f>IF(Marks!71:71,"AAAAAE4eu+M=",0)</f>
        <v>0</v>
      </c>
      <c r="HU2" t="e">
        <f>AND(Marks!#REF!,"AAAAAE4eu+Q=")</f>
        <v>#REF!</v>
      </c>
      <c r="HV2" t="e">
        <f>AND(Marks!#REF!,"AAAAAE4eu+U=")</f>
        <v>#REF!</v>
      </c>
      <c r="HW2" t="e">
        <f>AND(Marks!#REF!,"AAAAAE4eu+Y=")</f>
        <v>#REF!</v>
      </c>
      <c r="HX2">
        <f>IF(Marks!72:72,"AAAAAE4eu+c=",0)</f>
        <v>0</v>
      </c>
      <c r="HY2" t="e">
        <f>AND(Marks!#REF!,"AAAAAE4eu+g=")</f>
        <v>#REF!</v>
      </c>
      <c r="HZ2" t="e">
        <f>AND(Marks!#REF!,"AAAAAE4eu+k=")</f>
        <v>#REF!</v>
      </c>
      <c r="IA2" t="e">
        <f>AND(Marks!#REF!,"AAAAAE4eu+o=")</f>
        <v>#REF!</v>
      </c>
      <c r="IB2">
        <f>IF(Marks!73:73,"AAAAAE4eu+s=",0)</f>
        <v>0</v>
      </c>
      <c r="IC2" t="e">
        <f>AND(Marks!#REF!,"AAAAAE4eu+w=")</f>
        <v>#REF!</v>
      </c>
      <c r="ID2" t="e">
        <f>AND(Marks!#REF!,"AAAAAE4eu+0=")</f>
        <v>#REF!</v>
      </c>
      <c r="IE2" t="e">
        <f>AND(Marks!#REF!,"AAAAAE4eu+4=")</f>
        <v>#REF!</v>
      </c>
      <c r="IF2">
        <f>IF(Marks!74:74,"AAAAAE4eu+8=",0)</f>
        <v>0</v>
      </c>
      <c r="IG2" t="e">
        <f>AND(Marks!#REF!,"AAAAAE4eu/A=")</f>
        <v>#REF!</v>
      </c>
      <c r="IH2" t="e">
        <f>AND(Marks!#REF!,"AAAAAE4eu/E=")</f>
        <v>#REF!</v>
      </c>
      <c r="II2" t="e">
        <f>AND(Marks!#REF!,"AAAAAE4eu/I=")</f>
        <v>#REF!</v>
      </c>
      <c r="IJ2">
        <f>IF(Marks!75:75,"AAAAAE4eu/M=",0)</f>
        <v>0</v>
      </c>
      <c r="IK2" t="e">
        <f>AND(Marks!#REF!,"AAAAAE4eu/Q=")</f>
        <v>#REF!</v>
      </c>
      <c r="IL2" t="e">
        <f>AND(Marks!#REF!,"AAAAAE4eu/U=")</f>
        <v>#REF!</v>
      </c>
      <c r="IM2" t="e">
        <f>AND(Marks!#REF!,"AAAAAE4eu/Y=")</f>
        <v>#REF!</v>
      </c>
      <c r="IN2">
        <f>IF(Marks!76:76,"AAAAAE4eu/c=",0)</f>
        <v>0</v>
      </c>
      <c r="IO2" t="e">
        <f>AND(Marks!#REF!,"AAAAAE4eu/g=")</f>
        <v>#REF!</v>
      </c>
      <c r="IP2" t="e">
        <f>AND(Marks!#REF!,"AAAAAE4eu/k=")</f>
        <v>#REF!</v>
      </c>
      <c r="IQ2" t="e">
        <f>AND(Marks!#REF!,"AAAAAE4eu/o=")</f>
        <v>#REF!</v>
      </c>
      <c r="IR2">
        <f>IF(Marks!77:77,"AAAAAE4eu/s=",0)</f>
        <v>0</v>
      </c>
      <c r="IS2" t="e">
        <f>AND(Marks!#REF!,"AAAAAE4eu/w=")</f>
        <v>#REF!</v>
      </c>
      <c r="IT2" t="e">
        <f>AND(Marks!#REF!,"AAAAAE4eu/0=")</f>
        <v>#REF!</v>
      </c>
      <c r="IU2" t="e">
        <f>AND(Marks!#REF!,"AAAAAE4eu/4=")</f>
        <v>#REF!</v>
      </c>
      <c r="IV2">
        <f>IF(Marks!78:78,"AAAAAE4eu/8=",0)</f>
        <v>0</v>
      </c>
    </row>
    <row r="3" spans="1:256" x14ac:dyDescent="0.15">
      <c r="A3" t="e">
        <f>AND(Marks!#REF!,"AAAAAF/vPwA=")</f>
        <v>#REF!</v>
      </c>
      <c r="B3" t="e">
        <f>AND(Marks!#REF!,"AAAAAF/vPwE=")</f>
        <v>#REF!</v>
      </c>
      <c r="C3" t="e">
        <f>AND(Marks!#REF!,"AAAAAF/vPwI=")</f>
        <v>#REF!</v>
      </c>
      <c r="D3">
        <f>IF(Marks!79:79,"AAAAAF/vPwM=",0)</f>
        <v>0</v>
      </c>
      <c r="E3" t="e">
        <f>AND(Marks!#REF!,"AAAAAF/vPwQ=")</f>
        <v>#REF!</v>
      </c>
      <c r="F3" t="e">
        <f>AND(Marks!#REF!,"AAAAAF/vPwU=")</f>
        <v>#REF!</v>
      </c>
      <c r="G3" t="e">
        <f>AND(Marks!#REF!,"AAAAAF/vPwY=")</f>
        <v>#REF!</v>
      </c>
      <c r="H3">
        <f>IF(Marks!80:80,"AAAAAF/vPwc=",0)</f>
        <v>0</v>
      </c>
      <c r="I3" t="e">
        <f>AND(Marks!#REF!,"AAAAAF/vPwg=")</f>
        <v>#REF!</v>
      </c>
      <c r="J3" t="e">
        <f>AND(Marks!#REF!,"AAAAAF/vPwk=")</f>
        <v>#REF!</v>
      </c>
      <c r="K3" t="e">
        <f>AND(Marks!#REF!,"AAAAAF/vPwo=")</f>
        <v>#REF!</v>
      </c>
      <c r="L3">
        <f>IF(Marks!81:81,"AAAAAF/vPws=",0)</f>
        <v>0</v>
      </c>
      <c r="M3" t="e">
        <f>AND(Marks!#REF!,"AAAAAF/vPww=")</f>
        <v>#REF!</v>
      </c>
      <c r="N3" t="e">
        <f>AND(Marks!#REF!,"AAAAAF/vPw0=")</f>
        <v>#REF!</v>
      </c>
      <c r="O3" t="e">
        <f>AND(Marks!#REF!,"AAAAAF/vPw4=")</f>
        <v>#REF!</v>
      </c>
      <c r="P3">
        <f>IF(Marks!82:82,"AAAAAF/vPw8=",0)</f>
        <v>0</v>
      </c>
      <c r="Q3" t="e">
        <f>AND(Marks!#REF!,"AAAAAF/vPxA=")</f>
        <v>#REF!</v>
      </c>
      <c r="R3" t="e">
        <f>AND(Marks!#REF!,"AAAAAF/vPxE=")</f>
        <v>#REF!</v>
      </c>
      <c r="S3" t="e">
        <f>AND(Marks!#REF!,"AAAAAF/vPxI=")</f>
        <v>#REF!</v>
      </c>
      <c r="T3">
        <f>IF(Marks!83:83,"AAAAAF/vPxM=",0)</f>
        <v>0</v>
      </c>
      <c r="U3" t="e">
        <f>AND(Marks!#REF!,"AAAAAF/vPxQ=")</f>
        <v>#REF!</v>
      </c>
      <c r="V3" t="e">
        <f>AND(Marks!#REF!,"AAAAAF/vPxU=")</f>
        <v>#REF!</v>
      </c>
      <c r="W3" t="e">
        <f>AND(Marks!#REF!,"AAAAAF/vPxY=")</f>
        <v>#REF!</v>
      </c>
      <c r="X3">
        <f>IF(Marks!84:84,"AAAAAF/vPxc=",0)</f>
        <v>0</v>
      </c>
      <c r="Y3" t="e">
        <f>AND(Marks!#REF!,"AAAAAF/vPxg=")</f>
        <v>#REF!</v>
      </c>
      <c r="Z3" t="e">
        <f>AND(Marks!#REF!,"AAAAAF/vPxk=")</f>
        <v>#REF!</v>
      </c>
      <c r="AA3" t="e">
        <f>AND(Marks!#REF!,"AAAAAF/vPxo=")</f>
        <v>#REF!</v>
      </c>
      <c r="AB3">
        <f>IF(Marks!85:85,"AAAAAF/vPxs=",0)</f>
        <v>0</v>
      </c>
      <c r="AC3" t="e">
        <f>AND(Marks!#REF!,"AAAAAF/vPxw=")</f>
        <v>#REF!</v>
      </c>
      <c r="AD3" t="e">
        <f>AND(Marks!#REF!,"AAAAAF/vPx0=")</f>
        <v>#REF!</v>
      </c>
      <c r="AE3" t="e">
        <f>AND(Marks!#REF!,"AAAAAF/vPx4=")</f>
        <v>#REF!</v>
      </c>
      <c r="AF3">
        <f>IF(Marks!86:86,"AAAAAF/vPx8=",0)</f>
        <v>0</v>
      </c>
      <c r="AG3" t="e">
        <f>AND(Marks!#REF!,"AAAAAF/vPyA=")</f>
        <v>#REF!</v>
      </c>
      <c r="AH3" t="e">
        <f>AND(Marks!#REF!,"AAAAAF/vPyE=")</f>
        <v>#REF!</v>
      </c>
      <c r="AI3" t="e">
        <f>AND(Marks!#REF!,"AAAAAF/vPyI=")</f>
        <v>#REF!</v>
      </c>
      <c r="AJ3">
        <f>IF(Marks!87:87,"AAAAAF/vPyM=",0)</f>
        <v>0</v>
      </c>
      <c r="AK3" t="e">
        <f>AND(Marks!#REF!,"AAAAAF/vPyQ=")</f>
        <v>#REF!</v>
      </c>
      <c r="AL3" t="e">
        <f>AND(Marks!#REF!,"AAAAAF/vPyU=")</f>
        <v>#REF!</v>
      </c>
      <c r="AM3" t="e">
        <f>AND(Marks!#REF!,"AAAAAF/vPyY=")</f>
        <v>#REF!</v>
      </c>
      <c r="AN3">
        <f>IF(Marks!88:88,"AAAAAF/vPyc=",0)</f>
        <v>0</v>
      </c>
      <c r="AO3" t="e">
        <f>AND(Marks!#REF!,"AAAAAF/vPyg=")</f>
        <v>#REF!</v>
      </c>
      <c r="AP3" t="e">
        <f>AND(Marks!#REF!,"AAAAAF/vPyk=")</f>
        <v>#REF!</v>
      </c>
      <c r="AQ3" t="e">
        <f>AND(Marks!#REF!,"AAAAAF/vPyo=")</f>
        <v>#REF!</v>
      </c>
      <c r="AR3">
        <f>IF(Marks!89:89,"AAAAAF/vPys=",0)</f>
        <v>0</v>
      </c>
      <c r="AS3" t="e">
        <f>AND(Marks!#REF!,"AAAAAF/vPyw=")</f>
        <v>#REF!</v>
      </c>
      <c r="AT3" t="e">
        <f>AND(Marks!#REF!,"AAAAAF/vPy0=")</f>
        <v>#REF!</v>
      </c>
      <c r="AU3" t="e">
        <f>AND(Marks!#REF!,"AAAAAF/vPy4=")</f>
        <v>#REF!</v>
      </c>
      <c r="AV3">
        <f>IF(Marks!90:90,"AAAAAF/vPy8=",0)</f>
        <v>0</v>
      </c>
      <c r="AW3" t="e">
        <f>AND(Marks!#REF!,"AAAAAF/vPzA=")</f>
        <v>#REF!</v>
      </c>
      <c r="AX3" t="e">
        <f>AND(Marks!#REF!,"AAAAAF/vPzE=")</f>
        <v>#REF!</v>
      </c>
      <c r="AY3" t="e">
        <f>AND(Marks!#REF!,"AAAAAF/vPzI=")</f>
        <v>#REF!</v>
      </c>
      <c r="AZ3">
        <f>IF(Marks!91:91,"AAAAAF/vPzM=",0)</f>
        <v>0</v>
      </c>
      <c r="BA3" t="e">
        <f>AND(Marks!#REF!,"AAAAAF/vPzQ=")</f>
        <v>#REF!</v>
      </c>
      <c r="BB3" t="e">
        <f>AND(Marks!#REF!,"AAAAAF/vPzU=")</f>
        <v>#REF!</v>
      </c>
      <c r="BC3" t="e">
        <f>AND(Marks!#REF!,"AAAAAF/vPzY=")</f>
        <v>#REF!</v>
      </c>
      <c r="BD3">
        <f>IF(Marks!92:92,"AAAAAF/vPzc=",0)</f>
        <v>0</v>
      </c>
      <c r="BE3" t="e">
        <f>AND(Marks!#REF!,"AAAAAF/vPzg=")</f>
        <v>#REF!</v>
      </c>
      <c r="BF3" t="e">
        <f>AND(Marks!#REF!,"AAAAAF/vPzk=")</f>
        <v>#REF!</v>
      </c>
      <c r="BG3" t="e">
        <f>AND(Marks!#REF!,"AAAAAF/vPzo=")</f>
        <v>#REF!</v>
      </c>
      <c r="BH3">
        <f>IF(Marks!93:93,"AAAAAF/vPzs=",0)</f>
        <v>0</v>
      </c>
      <c r="BI3" t="e">
        <f>AND(Marks!#REF!,"AAAAAF/vPzw=")</f>
        <v>#REF!</v>
      </c>
      <c r="BJ3" t="e">
        <f>AND(Marks!#REF!,"AAAAAF/vPz0=")</f>
        <v>#REF!</v>
      </c>
      <c r="BK3" t="e">
        <f>AND(Marks!#REF!,"AAAAAF/vPz4=")</f>
        <v>#REF!</v>
      </c>
      <c r="BL3">
        <f>IF(Marks!94:94,"AAAAAF/vPz8=",0)</f>
        <v>0</v>
      </c>
      <c r="BM3" t="e">
        <f>AND(Marks!#REF!,"AAAAAF/vP0A=")</f>
        <v>#REF!</v>
      </c>
      <c r="BN3" t="e">
        <f>AND(Marks!#REF!,"AAAAAF/vP0E=")</f>
        <v>#REF!</v>
      </c>
      <c r="BO3" t="e">
        <f>AND(Marks!#REF!,"AAAAAF/vP0I=")</f>
        <v>#REF!</v>
      </c>
      <c r="BP3">
        <f>IF(Marks!95:95,"AAAAAF/vP0M=",0)</f>
        <v>0</v>
      </c>
      <c r="BQ3" t="e">
        <f>AND(Marks!#REF!,"AAAAAF/vP0Q=")</f>
        <v>#REF!</v>
      </c>
      <c r="BR3" t="e">
        <f>AND(Marks!#REF!,"AAAAAF/vP0U=")</f>
        <v>#REF!</v>
      </c>
      <c r="BS3" t="e">
        <f>AND(Marks!#REF!,"AAAAAF/vP0Y=")</f>
        <v>#REF!</v>
      </c>
      <c r="BT3">
        <f>IF(Marks!96:96,"AAAAAF/vP0c=",0)</f>
        <v>0</v>
      </c>
      <c r="BU3" t="e">
        <f>AND(Marks!#REF!,"AAAAAF/vP0g=")</f>
        <v>#REF!</v>
      </c>
      <c r="BV3" t="e">
        <f>AND(Marks!#REF!,"AAAAAF/vP0k=")</f>
        <v>#REF!</v>
      </c>
      <c r="BW3" t="e">
        <f>AND(Marks!#REF!,"AAAAAF/vP0o=")</f>
        <v>#REF!</v>
      </c>
      <c r="BX3">
        <f>IF(Marks!97:97,"AAAAAF/vP0s=",0)</f>
        <v>0</v>
      </c>
      <c r="BY3" t="e">
        <f>AND(Marks!#REF!,"AAAAAF/vP0w=")</f>
        <v>#REF!</v>
      </c>
      <c r="BZ3" t="e">
        <f>AND(Marks!#REF!,"AAAAAF/vP00=")</f>
        <v>#REF!</v>
      </c>
      <c r="CA3" t="e">
        <f>AND(Marks!#REF!,"AAAAAF/vP04=")</f>
        <v>#REF!</v>
      </c>
      <c r="CB3">
        <f>IF(Marks!98:98,"AAAAAF/vP08=",0)</f>
        <v>0</v>
      </c>
      <c r="CC3" t="e">
        <f>AND(Marks!#REF!,"AAAAAF/vP1A=")</f>
        <v>#REF!</v>
      </c>
      <c r="CD3" t="e">
        <f>AND(Marks!#REF!,"AAAAAF/vP1E=")</f>
        <v>#REF!</v>
      </c>
      <c r="CE3" t="e">
        <f>AND(Marks!#REF!,"AAAAAF/vP1I=")</f>
        <v>#REF!</v>
      </c>
      <c r="CF3">
        <f>IF(Marks!99:99,"AAAAAF/vP1M=",0)</f>
        <v>0</v>
      </c>
      <c r="CG3" t="e">
        <f>AND(Marks!#REF!,"AAAAAF/vP1Q=")</f>
        <v>#REF!</v>
      </c>
      <c r="CH3" t="e">
        <f>AND(Marks!#REF!,"AAAAAF/vP1U=")</f>
        <v>#REF!</v>
      </c>
      <c r="CI3" t="e">
        <f>AND(Marks!#REF!,"AAAAAF/vP1Y=")</f>
        <v>#REF!</v>
      </c>
      <c r="CJ3">
        <f>IF(Marks!100:100,"AAAAAF/vP1c=",0)</f>
        <v>0</v>
      </c>
      <c r="CK3" t="e">
        <f>AND(Marks!#REF!,"AAAAAF/vP1g=")</f>
        <v>#REF!</v>
      </c>
      <c r="CL3" t="e">
        <f>AND(Marks!#REF!,"AAAAAF/vP1k=")</f>
        <v>#REF!</v>
      </c>
      <c r="CM3" t="e">
        <f>AND(Marks!#REF!,"AAAAAF/vP1o=")</f>
        <v>#REF!</v>
      </c>
      <c r="CN3">
        <f>IF(Marks!101:101,"AAAAAF/vP1s=",0)</f>
        <v>0</v>
      </c>
      <c r="CO3" t="e">
        <f>AND(Marks!#REF!,"AAAAAF/vP1w=")</f>
        <v>#REF!</v>
      </c>
      <c r="CP3" t="e">
        <f>AND(Marks!#REF!,"AAAAAF/vP10=")</f>
        <v>#REF!</v>
      </c>
      <c r="CQ3" t="e">
        <f>AND(Marks!#REF!,"AAAAAF/vP14=")</f>
        <v>#REF!</v>
      </c>
      <c r="CR3">
        <f>IF(Marks!102:102,"AAAAAF/vP18=",0)</f>
        <v>0</v>
      </c>
      <c r="CS3" t="e">
        <f>AND(Marks!#REF!,"AAAAAF/vP2A=")</f>
        <v>#REF!</v>
      </c>
      <c r="CT3" t="e">
        <f>AND(Marks!#REF!,"AAAAAF/vP2E=")</f>
        <v>#REF!</v>
      </c>
      <c r="CU3" t="e">
        <f>AND(Marks!#REF!,"AAAAAF/vP2I=")</f>
        <v>#REF!</v>
      </c>
      <c r="CV3">
        <f>IF(Marks!103:103,"AAAAAF/vP2M=",0)</f>
        <v>0</v>
      </c>
      <c r="CW3" t="e">
        <f>AND(Marks!#REF!,"AAAAAF/vP2Q=")</f>
        <v>#REF!</v>
      </c>
      <c r="CX3" t="e">
        <f>AND(Marks!#REF!,"AAAAAF/vP2U=")</f>
        <v>#REF!</v>
      </c>
      <c r="CY3" t="e">
        <f>AND(Marks!#REF!,"AAAAAF/vP2Y=")</f>
        <v>#REF!</v>
      </c>
      <c r="CZ3">
        <f>IF(Marks!104:104,"AAAAAF/vP2c=",0)</f>
        <v>0</v>
      </c>
      <c r="DA3" t="e">
        <f>AND(Marks!#REF!,"AAAAAF/vP2g=")</f>
        <v>#REF!</v>
      </c>
      <c r="DB3" t="e">
        <f>AND(Marks!#REF!,"AAAAAF/vP2k=")</f>
        <v>#REF!</v>
      </c>
      <c r="DC3" t="e">
        <f>AND(Marks!#REF!,"AAAAAF/vP2o=")</f>
        <v>#REF!</v>
      </c>
      <c r="DD3">
        <f>IF(Marks!105:105,"AAAAAF/vP2s=",0)</f>
        <v>0</v>
      </c>
      <c r="DE3" t="e">
        <f>AND(Marks!#REF!,"AAAAAF/vP2w=")</f>
        <v>#REF!</v>
      </c>
      <c r="DF3" t="e">
        <f>AND(Marks!#REF!,"AAAAAF/vP20=")</f>
        <v>#REF!</v>
      </c>
      <c r="DG3" t="e">
        <f>AND(Marks!#REF!,"AAAAAF/vP24=")</f>
        <v>#REF!</v>
      </c>
      <c r="DH3">
        <f>IF(Marks!106:106,"AAAAAF/vP28=",0)</f>
        <v>0</v>
      </c>
      <c r="DI3" t="e">
        <f>AND(Marks!#REF!,"AAAAAF/vP3A=")</f>
        <v>#REF!</v>
      </c>
      <c r="DJ3" t="e">
        <f>AND(Marks!#REF!,"AAAAAF/vP3E=")</f>
        <v>#REF!</v>
      </c>
      <c r="DK3" t="e">
        <f>AND(Marks!#REF!,"AAAAAF/vP3I=")</f>
        <v>#REF!</v>
      </c>
      <c r="DL3">
        <f>IF(Marks!107:107,"AAAAAF/vP3M=",0)</f>
        <v>0</v>
      </c>
      <c r="DM3" t="e">
        <f>AND(Marks!#REF!,"AAAAAF/vP3Q=")</f>
        <v>#REF!</v>
      </c>
      <c r="DN3" t="e">
        <f>AND(Marks!#REF!,"AAAAAF/vP3U=")</f>
        <v>#REF!</v>
      </c>
      <c r="DO3" t="e">
        <f>AND(Marks!#REF!,"AAAAAF/vP3Y=")</f>
        <v>#REF!</v>
      </c>
      <c r="DP3">
        <f>IF(Marks!108:108,"AAAAAF/vP3c=",0)</f>
        <v>0</v>
      </c>
      <c r="DQ3" t="e">
        <f>AND(Marks!#REF!,"AAAAAF/vP3g=")</f>
        <v>#REF!</v>
      </c>
      <c r="DR3" t="e">
        <f>AND(Marks!#REF!,"AAAAAF/vP3k=")</f>
        <v>#REF!</v>
      </c>
      <c r="DS3" t="e">
        <f>AND(Marks!#REF!,"AAAAAF/vP3o=")</f>
        <v>#REF!</v>
      </c>
      <c r="DT3">
        <f>IF(Marks!109:109,"AAAAAF/vP3s=",0)</f>
        <v>0</v>
      </c>
      <c r="DU3" t="e">
        <f>AND(Marks!#REF!,"AAAAAF/vP3w=")</f>
        <v>#REF!</v>
      </c>
      <c r="DV3" t="e">
        <f>AND(Marks!#REF!,"AAAAAF/vP30=")</f>
        <v>#REF!</v>
      </c>
      <c r="DW3" t="e">
        <f>AND(Marks!#REF!,"AAAAAF/vP34=")</f>
        <v>#REF!</v>
      </c>
      <c r="DX3">
        <f>IF(Marks!110:110,"AAAAAF/vP38=",0)</f>
        <v>0</v>
      </c>
      <c r="DY3" t="e">
        <f>AND(Marks!#REF!,"AAAAAF/vP4A=")</f>
        <v>#REF!</v>
      </c>
      <c r="DZ3" t="e">
        <f>AND(Marks!#REF!,"AAAAAF/vP4E=")</f>
        <v>#REF!</v>
      </c>
      <c r="EA3" t="e">
        <f>AND(Marks!#REF!,"AAAAAF/vP4I=")</f>
        <v>#REF!</v>
      </c>
      <c r="EB3">
        <f>IF(Marks!111:111,"AAAAAF/vP4M=",0)</f>
        <v>0</v>
      </c>
      <c r="EC3" t="e">
        <f>AND(Marks!#REF!,"AAAAAF/vP4Q=")</f>
        <v>#REF!</v>
      </c>
      <c r="ED3" t="e">
        <f>AND(Marks!#REF!,"AAAAAF/vP4U=")</f>
        <v>#REF!</v>
      </c>
      <c r="EE3" t="e">
        <f>AND(Marks!#REF!,"AAAAAF/vP4Y=")</f>
        <v>#REF!</v>
      </c>
      <c r="EF3">
        <f>IF(Marks!112:112,"AAAAAF/vP4c=",0)</f>
        <v>0</v>
      </c>
      <c r="EG3" t="e">
        <f>AND(Marks!#REF!,"AAAAAF/vP4g=")</f>
        <v>#REF!</v>
      </c>
      <c r="EH3" t="e">
        <f>AND(Marks!#REF!,"AAAAAF/vP4k=")</f>
        <v>#REF!</v>
      </c>
      <c r="EI3" t="e">
        <f>AND(Marks!#REF!,"AAAAAF/vP4o=")</f>
        <v>#REF!</v>
      </c>
      <c r="EJ3">
        <f>IF(Marks!113:113,"AAAAAF/vP4s=",0)</f>
        <v>0</v>
      </c>
      <c r="EK3" t="e">
        <f>AND(Marks!#REF!,"AAAAAF/vP4w=")</f>
        <v>#REF!</v>
      </c>
      <c r="EL3" t="e">
        <f>AND(Marks!#REF!,"AAAAAF/vP40=")</f>
        <v>#REF!</v>
      </c>
      <c r="EM3" t="e">
        <f>AND(Marks!#REF!,"AAAAAF/vP44=")</f>
        <v>#REF!</v>
      </c>
      <c r="EN3">
        <f>IF(Marks!114:114,"AAAAAF/vP48=",0)</f>
        <v>0</v>
      </c>
      <c r="EO3" t="e">
        <f>AND(Marks!#REF!,"AAAAAF/vP5A=")</f>
        <v>#REF!</v>
      </c>
      <c r="EP3" t="e">
        <f>AND(Marks!#REF!,"AAAAAF/vP5E=")</f>
        <v>#REF!</v>
      </c>
      <c r="EQ3" t="e">
        <f>AND(Marks!#REF!,"AAAAAF/vP5I=")</f>
        <v>#REF!</v>
      </c>
      <c r="ER3">
        <f>IF(Marks!115:115,"AAAAAF/vP5M=",0)</f>
        <v>0</v>
      </c>
      <c r="ES3" t="e">
        <f>AND(Marks!#REF!,"AAAAAF/vP5Q=")</f>
        <v>#REF!</v>
      </c>
      <c r="ET3" t="e">
        <f>AND(Marks!#REF!,"AAAAAF/vP5U=")</f>
        <v>#REF!</v>
      </c>
      <c r="EU3" t="e">
        <f>AND(Marks!#REF!,"AAAAAF/vP5Y=")</f>
        <v>#REF!</v>
      </c>
      <c r="EV3">
        <f>IF(Marks!116:116,"AAAAAF/vP5c=",0)</f>
        <v>0</v>
      </c>
      <c r="EW3" t="e">
        <f>AND(Marks!#REF!,"AAAAAF/vP5g=")</f>
        <v>#REF!</v>
      </c>
      <c r="EX3" t="e">
        <f>AND(Marks!#REF!,"AAAAAF/vP5k=")</f>
        <v>#REF!</v>
      </c>
      <c r="EY3" t="e">
        <f>AND(Marks!#REF!,"AAAAAF/vP5o=")</f>
        <v>#REF!</v>
      </c>
      <c r="EZ3">
        <f>IF(Marks!117:117,"AAAAAF/vP5s=",0)</f>
        <v>0</v>
      </c>
      <c r="FA3" t="e">
        <f>AND(Marks!#REF!,"AAAAAF/vP5w=")</f>
        <v>#REF!</v>
      </c>
      <c r="FB3" t="e">
        <f>AND(Marks!#REF!,"AAAAAF/vP50=")</f>
        <v>#REF!</v>
      </c>
      <c r="FC3" t="e">
        <f>AND(Marks!#REF!,"AAAAAF/vP54=")</f>
        <v>#REF!</v>
      </c>
      <c r="FD3">
        <f>IF(Marks!118:118,"AAAAAF/vP58=",0)</f>
        <v>0</v>
      </c>
      <c r="FE3" t="e">
        <f>AND(Marks!#REF!,"AAAAAF/vP6A=")</f>
        <v>#REF!</v>
      </c>
      <c r="FF3" t="e">
        <f>AND(Marks!#REF!,"AAAAAF/vP6E=")</f>
        <v>#REF!</v>
      </c>
      <c r="FG3" t="e">
        <f>AND(Marks!#REF!,"AAAAAF/vP6I=")</f>
        <v>#REF!</v>
      </c>
      <c r="FH3">
        <f>IF(Marks!119:119,"AAAAAF/vP6M=",0)</f>
        <v>0</v>
      </c>
      <c r="FI3" t="e">
        <f>AND(Marks!#REF!,"AAAAAF/vP6Q=")</f>
        <v>#REF!</v>
      </c>
      <c r="FJ3" t="e">
        <f>AND(Marks!#REF!,"AAAAAF/vP6U=")</f>
        <v>#REF!</v>
      </c>
      <c r="FK3" t="e">
        <f>AND(Marks!#REF!,"AAAAAF/vP6Y=")</f>
        <v>#REF!</v>
      </c>
      <c r="FL3">
        <f>IF(Marks!120:120,"AAAAAF/vP6c=",0)</f>
        <v>0</v>
      </c>
      <c r="FM3" t="e">
        <f>AND(Marks!#REF!,"AAAAAF/vP6g=")</f>
        <v>#REF!</v>
      </c>
      <c r="FN3" t="e">
        <f>AND(Marks!#REF!,"AAAAAF/vP6k=")</f>
        <v>#REF!</v>
      </c>
      <c r="FO3" t="e">
        <f>AND(Marks!#REF!,"AAAAAF/vP6o=")</f>
        <v>#REF!</v>
      </c>
      <c r="FP3">
        <f>IF(Marks!121:121,"AAAAAF/vP6s=",0)</f>
        <v>0</v>
      </c>
      <c r="FQ3" t="e">
        <f>AND(Marks!#REF!,"AAAAAF/vP6w=")</f>
        <v>#REF!</v>
      </c>
      <c r="FR3" t="e">
        <f>AND(Marks!#REF!,"AAAAAF/vP60=")</f>
        <v>#REF!</v>
      </c>
      <c r="FS3" t="e">
        <f>AND(Marks!#REF!,"AAAAAF/vP64=")</f>
        <v>#REF!</v>
      </c>
      <c r="FT3">
        <f>IF(Marks!122:122,"AAAAAF/vP68=",0)</f>
        <v>0</v>
      </c>
      <c r="FU3" t="e">
        <f>AND(Marks!#REF!,"AAAAAF/vP7A=")</f>
        <v>#REF!</v>
      </c>
      <c r="FV3" t="e">
        <f>AND(Marks!#REF!,"AAAAAF/vP7E=")</f>
        <v>#REF!</v>
      </c>
      <c r="FW3" t="e">
        <f>AND(Marks!#REF!,"AAAAAF/vP7I=")</f>
        <v>#REF!</v>
      </c>
      <c r="FX3">
        <f>IF(Marks!123:123,"AAAAAF/vP7M=",0)</f>
        <v>0</v>
      </c>
      <c r="FY3" t="e">
        <f>AND(Marks!#REF!,"AAAAAF/vP7Q=")</f>
        <v>#REF!</v>
      </c>
      <c r="FZ3" t="e">
        <f>AND(Marks!#REF!,"AAAAAF/vP7U=")</f>
        <v>#REF!</v>
      </c>
      <c r="GA3" t="e">
        <f>AND(Marks!#REF!,"AAAAAF/vP7Y=")</f>
        <v>#REF!</v>
      </c>
      <c r="GB3">
        <f>IF(Marks!124:124,"AAAAAF/vP7c=",0)</f>
        <v>0</v>
      </c>
      <c r="GC3" t="e">
        <f>AND(Marks!#REF!,"AAAAAF/vP7g=")</f>
        <v>#REF!</v>
      </c>
      <c r="GD3" t="e">
        <f>AND(Marks!#REF!,"AAAAAF/vP7k=")</f>
        <v>#REF!</v>
      </c>
      <c r="GE3" t="e">
        <f>AND(Marks!#REF!,"AAAAAF/vP7o=")</f>
        <v>#REF!</v>
      </c>
      <c r="GF3">
        <f>IF(Marks!125:125,"AAAAAF/vP7s=",0)</f>
        <v>0</v>
      </c>
      <c r="GG3" t="e">
        <f>AND(Marks!#REF!,"AAAAAF/vP7w=")</f>
        <v>#REF!</v>
      </c>
      <c r="GH3" t="e">
        <f>AND(Marks!#REF!,"AAAAAF/vP70=")</f>
        <v>#REF!</v>
      </c>
      <c r="GI3" t="e">
        <f>AND(Marks!#REF!,"AAAAAF/vP74=")</f>
        <v>#REF!</v>
      </c>
      <c r="GJ3">
        <f>IF(Marks!126:126,"AAAAAF/vP78=",0)</f>
        <v>0</v>
      </c>
      <c r="GK3" t="e">
        <f>AND(Marks!#REF!,"AAAAAF/vP8A=")</f>
        <v>#REF!</v>
      </c>
      <c r="GL3" t="e">
        <f>AND(Marks!#REF!,"AAAAAF/vP8E=")</f>
        <v>#REF!</v>
      </c>
      <c r="GM3" t="e">
        <f>AND(Marks!#REF!,"AAAAAF/vP8I=")</f>
        <v>#REF!</v>
      </c>
      <c r="GN3">
        <f>IF(Marks!127:127,"AAAAAF/vP8M=",0)</f>
        <v>0</v>
      </c>
      <c r="GO3" t="e">
        <f>AND(Marks!#REF!,"AAAAAF/vP8Q=")</f>
        <v>#REF!</v>
      </c>
      <c r="GP3" t="e">
        <f>AND(Marks!#REF!,"AAAAAF/vP8U=")</f>
        <v>#REF!</v>
      </c>
      <c r="GQ3" t="e">
        <f>AND(Marks!#REF!,"AAAAAF/vP8Y=")</f>
        <v>#REF!</v>
      </c>
      <c r="GR3">
        <f>IF(Marks!128:128,"AAAAAF/vP8c=",0)</f>
        <v>0</v>
      </c>
      <c r="GS3" t="e">
        <f>AND(Marks!#REF!,"AAAAAF/vP8g=")</f>
        <v>#REF!</v>
      </c>
      <c r="GT3" t="e">
        <f>AND(Marks!#REF!,"AAAAAF/vP8k=")</f>
        <v>#REF!</v>
      </c>
      <c r="GU3" t="e">
        <f>AND(Marks!#REF!,"AAAAAF/vP8o=")</f>
        <v>#REF!</v>
      </c>
      <c r="GV3">
        <f>IF(Marks!129:129,"AAAAAF/vP8s=",0)</f>
        <v>0</v>
      </c>
      <c r="GW3" t="e">
        <f>AND(Marks!#REF!,"AAAAAF/vP8w=")</f>
        <v>#REF!</v>
      </c>
      <c r="GX3" t="e">
        <f>AND(Marks!#REF!,"AAAAAF/vP80=")</f>
        <v>#REF!</v>
      </c>
      <c r="GY3" t="e">
        <f>AND(Marks!#REF!,"AAAAAF/vP84=")</f>
        <v>#REF!</v>
      </c>
      <c r="GZ3">
        <f>IF(Marks!130:130,"AAAAAF/vP88=",0)</f>
        <v>0</v>
      </c>
      <c r="HA3" t="e">
        <f>AND(Marks!#REF!,"AAAAAF/vP9A=")</f>
        <v>#REF!</v>
      </c>
      <c r="HB3" t="e">
        <f>AND(Marks!#REF!,"AAAAAF/vP9E=")</f>
        <v>#REF!</v>
      </c>
      <c r="HC3" t="e">
        <f>AND(Marks!#REF!,"AAAAAF/vP9I=")</f>
        <v>#REF!</v>
      </c>
      <c r="HD3">
        <f>IF(Marks!131:131,"AAAAAF/vP9M=",0)</f>
        <v>0</v>
      </c>
      <c r="HE3" t="e">
        <f>AND(Marks!#REF!,"AAAAAF/vP9Q=")</f>
        <v>#REF!</v>
      </c>
      <c r="HF3" t="e">
        <f>AND(Marks!#REF!,"AAAAAF/vP9U=")</f>
        <v>#REF!</v>
      </c>
      <c r="HG3" t="e">
        <f>AND(Marks!#REF!,"AAAAAF/vP9Y=")</f>
        <v>#REF!</v>
      </c>
      <c r="HH3">
        <f>IF(Marks!132:132,"AAAAAF/vP9c=",0)</f>
        <v>0</v>
      </c>
      <c r="HI3" t="e">
        <f>AND(Marks!#REF!,"AAAAAF/vP9g=")</f>
        <v>#REF!</v>
      </c>
      <c r="HJ3" t="e">
        <f>AND(Marks!#REF!,"AAAAAF/vP9k=")</f>
        <v>#REF!</v>
      </c>
      <c r="HK3" t="e">
        <f>AND(Marks!#REF!,"AAAAAF/vP9o=")</f>
        <v>#REF!</v>
      </c>
      <c r="HL3">
        <f>IF(Marks!133:133,"AAAAAF/vP9s=",0)</f>
        <v>0</v>
      </c>
      <c r="HM3" t="e">
        <f>AND(Marks!#REF!,"AAAAAF/vP9w=")</f>
        <v>#REF!</v>
      </c>
      <c r="HN3" t="e">
        <f>AND(Marks!#REF!,"AAAAAF/vP90=")</f>
        <v>#REF!</v>
      </c>
      <c r="HO3" t="e">
        <f>AND(Marks!#REF!,"AAAAAF/vP94=")</f>
        <v>#REF!</v>
      </c>
      <c r="HP3">
        <f>IF(Marks!134:134,"AAAAAF/vP98=",0)</f>
        <v>0</v>
      </c>
      <c r="HQ3" t="e">
        <f>AND(Marks!#REF!,"AAAAAF/vP+A=")</f>
        <v>#REF!</v>
      </c>
      <c r="HR3" t="e">
        <f>AND(Marks!#REF!,"AAAAAF/vP+E=")</f>
        <v>#REF!</v>
      </c>
      <c r="HS3" t="e">
        <f>AND(Marks!#REF!,"AAAAAF/vP+I=")</f>
        <v>#REF!</v>
      </c>
      <c r="HT3">
        <f>IF(Marks!135:135,"AAAAAF/vP+M=",0)</f>
        <v>0</v>
      </c>
      <c r="HU3" t="e">
        <f>AND(Marks!#REF!,"AAAAAF/vP+Q=")</f>
        <v>#REF!</v>
      </c>
      <c r="HV3" t="e">
        <f>AND(Marks!#REF!,"AAAAAF/vP+U=")</f>
        <v>#REF!</v>
      </c>
      <c r="HW3" t="e">
        <f>AND(Marks!#REF!,"AAAAAF/vP+Y=")</f>
        <v>#REF!</v>
      </c>
      <c r="HX3">
        <f>IF(Marks!136:136,"AAAAAF/vP+c=",0)</f>
        <v>0</v>
      </c>
      <c r="HY3" t="e">
        <f>AND(Marks!#REF!,"AAAAAF/vP+g=")</f>
        <v>#REF!</v>
      </c>
      <c r="HZ3" t="e">
        <f>AND(Marks!#REF!,"AAAAAF/vP+k=")</f>
        <v>#REF!</v>
      </c>
      <c r="IA3" t="e">
        <f>AND(Marks!#REF!,"AAAAAF/vP+o=")</f>
        <v>#REF!</v>
      </c>
      <c r="IB3">
        <f>IF(Marks!137:137,"AAAAAF/vP+s=",0)</f>
        <v>0</v>
      </c>
      <c r="IC3" t="e">
        <f>AND(Marks!#REF!,"AAAAAF/vP+w=")</f>
        <v>#REF!</v>
      </c>
      <c r="ID3" t="e">
        <f>AND(Marks!#REF!,"AAAAAF/vP+0=")</f>
        <v>#REF!</v>
      </c>
      <c r="IE3" t="e">
        <f>AND(Marks!#REF!,"AAAAAF/vP+4=")</f>
        <v>#REF!</v>
      </c>
      <c r="IF3">
        <f>IF(Marks!138:138,"AAAAAF/vP+8=",0)</f>
        <v>0</v>
      </c>
      <c r="IG3" t="e">
        <f>AND(Marks!#REF!,"AAAAAF/vP/A=")</f>
        <v>#REF!</v>
      </c>
      <c r="IH3" t="e">
        <f>AND(Marks!#REF!,"AAAAAF/vP/E=")</f>
        <v>#REF!</v>
      </c>
      <c r="II3" t="e">
        <f>AND(Marks!#REF!,"AAAAAF/vP/I=")</f>
        <v>#REF!</v>
      </c>
      <c r="IJ3">
        <f>IF(Marks!139:139,"AAAAAF/vP/M=",0)</f>
        <v>0</v>
      </c>
      <c r="IK3" t="e">
        <f>AND(Marks!#REF!,"AAAAAF/vP/Q=")</f>
        <v>#REF!</v>
      </c>
      <c r="IL3" t="e">
        <f>AND(Marks!#REF!,"AAAAAF/vP/U=")</f>
        <v>#REF!</v>
      </c>
      <c r="IM3" t="e">
        <f>AND(Marks!#REF!,"AAAAAF/vP/Y=")</f>
        <v>#REF!</v>
      </c>
      <c r="IN3">
        <f>IF(Marks!140:140,"AAAAAF/vP/c=",0)</f>
        <v>0</v>
      </c>
      <c r="IO3" t="e">
        <f>AND(Marks!#REF!,"AAAAAF/vP/g=")</f>
        <v>#REF!</v>
      </c>
      <c r="IP3" t="e">
        <f>AND(Marks!#REF!,"AAAAAF/vP/k=")</f>
        <v>#REF!</v>
      </c>
      <c r="IQ3" t="e">
        <f>AND(Marks!#REF!,"AAAAAF/vP/o=")</f>
        <v>#REF!</v>
      </c>
      <c r="IR3">
        <f>IF(Marks!141:141,"AAAAAF/vP/s=",0)</f>
        <v>0</v>
      </c>
      <c r="IS3" t="e">
        <f>AND(Marks!#REF!,"AAAAAF/vP/w=")</f>
        <v>#REF!</v>
      </c>
      <c r="IT3" t="e">
        <f>AND(Marks!#REF!,"AAAAAF/vP/0=")</f>
        <v>#REF!</v>
      </c>
      <c r="IU3" t="e">
        <f>AND(Marks!#REF!,"AAAAAF/vP/4=")</f>
        <v>#REF!</v>
      </c>
      <c r="IV3">
        <f>IF(Marks!142:142,"AAAAAF/vP/8=",0)</f>
        <v>0</v>
      </c>
    </row>
    <row r="4" spans="1:256" x14ac:dyDescent="0.15">
      <c r="A4" t="e">
        <f>AND(Marks!#REF!,"AAAAAH3tlwA=")</f>
        <v>#REF!</v>
      </c>
      <c r="B4" t="e">
        <f>AND(Marks!#REF!,"AAAAAH3tlwE=")</f>
        <v>#REF!</v>
      </c>
      <c r="C4" t="e">
        <f>AND(Marks!#REF!,"AAAAAH3tlwI=")</f>
        <v>#REF!</v>
      </c>
      <c r="D4">
        <f>IF(Marks!143:143,"AAAAAH3tlwM=",0)</f>
        <v>0</v>
      </c>
      <c r="E4" t="e">
        <f>AND(Marks!#REF!,"AAAAAH3tlwQ=")</f>
        <v>#REF!</v>
      </c>
      <c r="F4" t="e">
        <f>AND(Marks!#REF!,"AAAAAH3tlwU=")</f>
        <v>#REF!</v>
      </c>
      <c r="G4" t="e">
        <f>AND(Marks!#REF!,"AAAAAH3tlwY=")</f>
        <v>#REF!</v>
      </c>
      <c r="H4">
        <f>IF(Marks!144:144,"AAAAAH3tlwc=",0)</f>
        <v>0</v>
      </c>
      <c r="I4" t="e">
        <f>AND(Marks!#REF!,"AAAAAH3tlwg=")</f>
        <v>#REF!</v>
      </c>
      <c r="J4" t="e">
        <f>AND(Marks!#REF!,"AAAAAH3tlwk=")</f>
        <v>#REF!</v>
      </c>
      <c r="K4" t="e">
        <f>AND(Marks!#REF!,"AAAAAH3tlwo=")</f>
        <v>#REF!</v>
      </c>
      <c r="L4">
        <f>IF(Marks!145:145,"AAAAAH3tlws=",0)</f>
        <v>0</v>
      </c>
      <c r="M4" t="e">
        <f>AND(Marks!#REF!,"AAAAAH3tlww=")</f>
        <v>#REF!</v>
      </c>
      <c r="N4" t="e">
        <f>AND(Marks!#REF!,"AAAAAH3tlw0=")</f>
        <v>#REF!</v>
      </c>
      <c r="O4" t="e">
        <f>AND(Marks!#REF!,"AAAAAH3tlw4=")</f>
        <v>#REF!</v>
      </c>
      <c r="P4">
        <f>IF(Marks!146:146,"AAAAAH3tlw8=",0)</f>
        <v>0</v>
      </c>
      <c r="Q4" t="e">
        <f>AND(Marks!#REF!,"AAAAAH3tlxA=")</f>
        <v>#REF!</v>
      </c>
      <c r="R4" t="e">
        <f>AND(Marks!#REF!,"AAAAAH3tlxE=")</f>
        <v>#REF!</v>
      </c>
      <c r="S4" t="e">
        <f>AND(Marks!#REF!,"AAAAAH3tlxI=")</f>
        <v>#REF!</v>
      </c>
      <c r="T4">
        <f>IF(Marks!147:147,"AAAAAH3tlxM=",0)</f>
        <v>0</v>
      </c>
      <c r="U4" t="e">
        <f>AND(Marks!#REF!,"AAAAAH3tlxQ=")</f>
        <v>#REF!</v>
      </c>
      <c r="V4" t="e">
        <f>AND(Marks!#REF!,"AAAAAH3tlxU=")</f>
        <v>#REF!</v>
      </c>
      <c r="W4" t="e">
        <f>AND(Marks!#REF!,"AAAAAH3tlxY=")</f>
        <v>#REF!</v>
      </c>
      <c r="X4">
        <f>IF(Marks!148:148,"AAAAAH3tlxc=",0)</f>
        <v>0</v>
      </c>
      <c r="Y4" t="e">
        <f>AND(Marks!#REF!,"AAAAAH3tlxg=")</f>
        <v>#REF!</v>
      </c>
      <c r="Z4" t="e">
        <f>AND(Marks!#REF!,"AAAAAH3tlxk=")</f>
        <v>#REF!</v>
      </c>
      <c r="AA4" t="e">
        <f>AND(Marks!#REF!,"AAAAAH3tlxo=")</f>
        <v>#REF!</v>
      </c>
      <c r="AB4">
        <f>IF(Marks!149:149,"AAAAAH3tlxs=",0)</f>
        <v>0</v>
      </c>
      <c r="AC4" t="e">
        <f>AND(Marks!#REF!,"AAAAAH3tlxw=")</f>
        <v>#REF!</v>
      </c>
      <c r="AD4" t="e">
        <f>AND(Marks!#REF!,"AAAAAH3tlx0=")</f>
        <v>#REF!</v>
      </c>
      <c r="AE4" t="e">
        <f>AND(Marks!#REF!,"AAAAAH3tlx4=")</f>
        <v>#REF!</v>
      </c>
      <c r="AF4">
        <f>IF(Marks!150:150,"AAAAAH3tlx8=",0)</f>
        <v>0</v>
      </c>
      <c r="AG4" t="e">
        <f>AND(Marks!#REF!,"AAAAAH3tlyA=")</f>
        <v>#REF!</v>
      </c>
      <c r="AH4" t="e">
        <f>AND(Marks!#REF!,"AAAAAH3tlyE=")</f>
        <v>#REF!</v>
      </c>
      <c r="AI4" t="e">
        <f>AND(Marks!#REF!,"AAAAAH3tlyI=")</f>
        <v>#REF!</v>
      </c>
      <c r="AJ4">
        <f>IF(Marks!151:151,"AAAAAH3tlyM=",0)</f>
        <v>0</v>
      </c>
      <c r="AK4" t="e">
        <f>AND(Marks!#REF!,"AAAAAH3tlyQ=")</f>
        <v>#REF!</v>
      </c>
      <c r="AL4" t="e">
        <f>AND(Marks!#REF!,"AAAAAH3tlyU=")</f>
        <v>#REF!</v>
      </c>
      <c r="AM4" t="e">
        <f>AND(Marks!#REF!,"AAAAAH3tlyY=")</f>
        <v>#REF!</v>
      </c>
      <c r="AN4">
        <f>IF(Marks!152:152,"AAAAAH3tlyc=",0)</f>
        <v>0</v>
      </c>
      <c r="AO4" t="e">
        <f>AND(Marks!#REF!,"AAAAAH3tlyg=")</f>
        <v>#REF!</v>
      </c>
      <c r="AP4" t="e">
        <f>AND(Marks!#REF!,"AAAAAH3tlyk=")</f>
        <v>#REF!</v>
      </c>
      <c r="AQ4" t="e">
        <f>AND(Marks!#REF!,"AAAAAH3tlyo=")</f>
        <v>#REF!</v>
      </c>
      <c r="AR4">
        <f>IF(Marks!153:153,"AAAAAH3tlys=",0)</f>
        <v>0</v>
      </c>
      <c r="AS4" t="e">
        <f>AND(Marks!#REF!,"AAAAAH3tlyw=")</f>
        <v>#REF!</v>
      </c>
      <c r="AT4" t="e">
        <f>AND(Marks!#REF!,"AAAAAH3tly0=")</f>
        <v>#REF!</v>
      </c>
      <c r="AU4" t="e">
        <f>AND(Marks!#REF!,"AAAAAH3tly4=")</f>
        <v>#REF!</v>
      </c>
      <c r="AV4">
        <f>IF(Marks!154:154,"AAAAAH3tly8=",0)</f>
        <v>0</v>
      </c>
      <c r="AW4" t="e">
        <f>AND(Marks!#REF!,"AAAAAH3tlzA=")</f>
        <v>#REF!</v>
      </c>
      <c r="AX4" t="e">
        <f>AND(Marks!#REF!,"AAAAAH3tlzE=")</f>
        <v>#REF!</v>
      </c>
      <c r="AY4" t="e">
        <f>AND(Marks!#REF!,"AAAAAH3tlzI=")</f>
        <v>#REF!</v>
      </c>
      <c r="AZ4">
        <f>IF(Marks!155:155,"AAAAAH3tlzM=",0)</f>
        <v>0</v>
      </c>
      <c r="BA4" t="e">
        <f>AND(Marks!#REF!,"AAAAAH3tlzQ=")</f>
        <v>#REF!</v>
      </c>
      <c r="BB4" t="e">
        <f>AND(Marks!#REF!,"AAAAAH3tlzU=")</f>
        <v>#REF!</v>
      </c>
      <c r="BC4" t="e">
        <f>AND(Marks!#REF!,"AAAAAH3tlzY=")</f>
        <v>#REF!</v>
      </c>
      <c r="BD4">
        <f>IF(Marks!156:156,"AAAAAH3tlzc=",0)</f>
        <v>0</v>
      </c>
      <c r="BE4" t="e">
        <f>AND(Marks!#REF!,"AAAAAH3tlzg=")</f>
        <v>#REF!</v>
      </c>
      <c r="BF4" t="e">
        <f>AND(Marks!#REF!,"AAAAAH3tlzk=")</f>
        <v>#REF!</v>
      </c>
      <c r="BG4" t="e">
        <f>AND(Marks!#REF!,"AAAAAH3tlzo=")</f>
        <v>#REF!</v>
      </c>
      <c r="BH4">
        <f>IF(Marks!157:157,"AAAAAH3tlzs=",0)</f>
        <v>0</v>
      </c>
      <c r="BI4" t="e">
        <f>AND(Marks!#REF!,"AAAAAH3tlzw=")</f>
        <v>#REF!</v>
      </c>
      <c r="BJ4" t="e">
        <f>AND(Marks!#REF!,"AAAAAH3tlz0=")</f>
        <v>#REF!</v>
      </c>
      <c r="BK4" t="e">
        <f>AND(Marks!#REF!,"AAAAAH3tlz4=")</f>
        <v>#REF!</v>
      </c>
      <c r="BL4">
        <f>IF(Marks!158:158,"AAAAAH3tlz8=",0)</f>
        <v>0</v>
      </c>
      <c r="BM4" t="e">
        <f>AND(Marks!#REF!,"AAAAAH3tl0A=")</f>
        <v>#REF!</v>
      </c>
      <c r="BN4" t="e">
        <f>AND(Marks!#REF!,"AAAAAH3tl0E=")</f>
        <v>#REF!</v>
      </c>
      <c r="BO4" t="e">
        <f>AND(Marks!#REF!,"AAAAAH3tl0I=")</f>
        <v>#REF!</v>
      </c>
      <c r="BP4">
        <f>IF(Marks!159:159,"AAAAAH3tl0M=",0)</f>
        <v>0</v>
      </c>
      <c r="BQ4" t="e">
        <f>AND(Marks!#REF!,"AAAAAH3tl0Q=")</f>
        <v>#REF!</v>
      </c>
      <c r="BR4" t="e">
        <f>AND(Marks!#REF!,"AAAAAH3tl0U=")</f>
        <v>#REF!</v>
      </c>
      <c r="BS4" t="e">
        <f>AND(Marks!#REF!,"AAAAAH3tl0Y=")</f>
        <v>#REF!</v>
      </c>
      <c r="BT4">
        <f>IF(Marks!160:160,"AAAAAH3tl0c=",0)</f>
        <v>0</v>
      </c>
      <c r="BU4" t="e">
        <f>AND(Marks!#REF!,"AAAAAH3tl0g=")</f>
        <v>#REF!</v>
      </c>
      <c r="BV4" t="e">
        <f>AND(Marks!#REF!,"AAAAAH3tl0k=")</f>
        <v>#REF!</v>
      </c>
      <c r="BW4" t="e">
        <f>AND(Marks!#REF!,"AAAAAH3tl0o=")</f>
        <v>#REF!</v>
      </c>
      <c r="BX4">
        <f>IF(Marks!161:161,"AAAAAH3tl0s=",0)</f>
        <v>0</v>
      </c>
      <c r="BY4" t="e">
        <f>AND(Marks!#REF!,"AAAAAH3tl0w=")</f>
        <v>#REF!</v>
      </c>
      <c r="BZ4" t="e">
        <f>AND(Marks!#REF!,"AAAAAH3tl00=")</f>
        <v>#REF!</v>
      </c>
      <c r="CA4" t="e">
        <f>AND(Marks!#REF!,"AAAAAH3tl04=")</f>
        <v>#REF!</v>
      </c>
      <c r="CB4">
        <f>IF(Marks!162:162,"AAAAAH3tl08=",0)</f>
        <v>0</v>
      </c>
      <c r="CC4" t="e">
        <f>AND(Marks!#REF!,"AAAAAH3tl1A=")</f>
        <v>#REF!</v>
      </c>
      <c r="CD4" t="e">
        <f>AND(Marks!#REF!,"AAAAAH3tl1E=")</f>
        <v>#REF!</v>
      </c>
      <c r="CE4" t="e">
        <f>AND(Marks!#REF!,"AAAAAH3tl1I=")</f>
        <v>#REF!</v>
      </c>
      <c r="CF4">
        <f>IF(Marks!163:163,"AAAAAH3tl1M=",0)</f>
        <v>0</v>
      </c>
      <c r="CG4" t="e">
        <f>AND(Marks!#REF!,"AAAAAH3tl1Q=")</f>
        <v>#REF!</v>
      </c>
      <c r="CH4" t="e">
        <f>AND(Marks!#REF!,"AAAAAH3tl1U=")</f>
        <v>#REF!</v>
      </c>
      <c r="CI4" t="e">
        <f>AND(Marks!#REF!,"AAAAAH3tl1Y=")</f>
        <v>#REF!</v>
      </c>
      <c r="CJ4">
        <f>IF(Marks!164:164,"AAAAAH3tl1c=",0)</f>
        <v>0</v>
      </c>
      <c r="CK4" t="e">
        <f>AND(Marks!#REF!,"AAAAAH3tl1g=")</f>
        <v>#REF!</v>
      </c>
      <c r="CL4" t="e">
        <f>AND(Marks!#REF!,"AAAAAH3tl1k=")</f>
        <v>#REF!</v>
      </c>
      <c r="CM4" t="e">
        <f>AND(Marks!#REF!,"AAAAAH3tl1o=")</f>
        <v>#REF!</v>
      </c>
      <c r="CN4">
        <f>IF(Marks!165:165,"AAAAAH3tl1s=",0)</f>
        <v>0</v>
      </c>
      <c r="CO4" t="e">
        <f>AND(Marks!#REF!,"AAAAAH3tl1w=")</f>
        <v>#REF!</v>
      </c>
      <c r="CP4" t="e">
        <f>AND(Marks!#REF!,"AAAAAH3tl10=")</f>
        <v>#REF!</v>
      </c>
      <c r="CQ4" t="e">
        <f>AND(Marks!#REF!,"AAAAAH3tl14=")</f>
        <v>#REF!</v>
      </c>
      <c r="CR4">
        <f>IF(Marks!166:166,"AAAAAH3tl18=",0)</f>
        <v>0</v>
      </c>
      <c r="CS4" t="e">
        <f>AND(Marks!#REF!,"AAAAAH3tl2A=")</f>
        <v>#REF!</v>
      </c>
      <c r="CT4" t="e">
        <f>AND(Marks!#REF!,"AAAAAH3tl2E=")</f>
        <v>#REF!</v>
      </c>
      <c r="CU4" t="e">
        <f>AND(Marks!#REF!,"AAAAAH3tl2I=")</f>
        <v>#REF!</v>
      </c>
      <c r="CV4">
        <f>IF(Marks!167:167,"AAAAAH3tl2M=",0)</f>
        <v>0</v>
      </c>
      <c r="CW4" t="e">
        <f>AND(Marks!#REF!,"AAAAAH3tl2Q=")</f>
        <v>#REF!</v>
      </c>
      <c r="CX4" t="e">
        <f>AND(Marks!#REF!,"AAAAAH3tl2U=")</f>
        <v>#REF!</v>
      </c>
      <c r="CY4" t="e">
        <f>AND(Marks!#REF!,"AAAAAH3tl2Y=")</f>
        <v>#REF!</v>
      </c>
      <c r="CZ4">
        <f>IF(Marks!168:168,"AAAAAH3tl2c=",0)</f>
        <v>0</v>
      </c>
      <c r="DA4" t="e">
        <f>AND(Marks!#REF!,"AAAAAH3tl2g=")</f>
        <v>#REF!</v>
      </c>
      <c r="DB4" t="e">
        <f>AND(Marks!#REF!,"AAAAAH3tl2k=")</f>
        <v>#REF!</v>
      </c>
      <c r="DC4" t="e">
        <f>AND(Marks!#REF!,"AAAAAH3tl2o=")</f>
        <v>#REF!</v>
      </c>
      <c r="DD4">
        <f>IF(Marks!169:169,"AAAAAH3tl2s=",0)</f>
        <v>0</v>
      </c>
      <c r="DE4" t="e">
        <f>AND(Marks!#REF!,"AAAAAH3tl2w=")</f>
        <v>#REF!</v>
      </c>
      <c r="DF4" t="e">
        <f>AND(Marks!#REF!,"AAAAAH3tl20=")</f>
        <v>#REF!</v>
      </c>
      <c r="DG4" t="e">
        <f>AND(Marks!#REF!,"AAAAAH3tl24=")</f>
        <v>#REF!</v>
      </c>
      <c r="DH4">
        <f>IF(Marks!170:170,"AAAAAH3tl28=",0)</f>
        <v>0</v>
      </c>
      <c r="DI4" t="e">
        <f>AND(Marks!#REF!,"AAAAAH3tl3A=")</f>
        <v>#REF!</v>
      </c>
      <c r="DJ4" t="e">
        <f>AND(Marks!#REF!,"AAAAAH3tl3E=")</f>
        <v>#REF!</v>
      </c>
      <c r="DK4" t="e">
        <f>AND(Marks!#REF!,"AAAAAH3tl3I=")</f>
        <v>#REF!</v>
      </c>
      <c r="DL4">
        <f>IF(Marks!171:171,"AAAAAH3tl3M=",0)</f>
        <v>0</v>
      </c>
      <c r="DM4" t="e">
        <f>AND(Marks!#REF!,"AAAAAH3tl3Q=")</f>
        <v>#REF!</v>
      </c>
      <c r="DN4" t="e">
        <f>AND(Marks!#REF!,"AAAAAH3tl3U=")</f>
        <v>#REF!</v>
      </c>
      <c r="DO4" t="e">
        <f>AND(Marks!#REF!,"AAAAAH3tl3Y=")</f>
        <v>#REF!</v>
      </c>
      <c r="DP4">
        <f>IF(Marks!172:172,"AAAAAH3tl3c=",0)</f>
        <v>0</v>
      </c>
      <c r="DQ4" t="e">
        <f>AND(Marks!#REF!,"AAAAAH3tl3g=")</f>
        <v>#REF!</v>
      </c>
      <c r="DR4" t="e">
        <f>AND(Marks!#REF!,"AAAAAH3tl3k=")</f>
        <v>#REF!</v>
      </c>
      <c r="DS4" t="e">
        <f>AND(Marks!#REF!,"AAAAAH3tl3o=")</f>
        <v>#REF!</v>
      </c>
      <c r="DT4">
        <f>IF(Marks!173:173,"AAAAAH3tl3s=",0)</f>
        <v>0</v>
      </c>
      <c r="DU4" t="e">
        <f>AND(Marks!#REF!,"AAAAAH3tl3w=")</f>
        <v>#REF!</v>
      </c>
      <c r="DV4" t="e">
        <f>AND(Marks!#REF!,"AAAAAH3tl30=")</f>
        <v>#REF!</v>
      </c>
      <c r="DW4" t="e">
        <f>AND(Marks!#REF!,"AAAAAH3tl34=")</f>
        <v>#REF!</v>
      </c>
      <c r="DX4">
        <f>IF(Marks!174:174,"AAAAAH3tl38=",0)</f>
        <v>0</v>
      </c>
      <c r="DY4" t="e">
        <f>AND(Marks!#REF!,"AAAAAH3tl4A=")</f>
        <v>#REF!</v>
      </c>
      <c r="DZ4" t="e">
        <f>AND(Marks!#REF!,"AAAAAH3tl4E=")</f>
        <v>#REF!</v>
      </c>
      <c r="EA4" t="e">
        <f>AND(Marks!#REF!,"AAAAAH3tl4I=")</f>
        <v>#REF!</v>
      </c>
      <c r="EB4">
        <f>IF(Marks!175:175,"AAAAAH3tl4M=",0)</f>
        <v>0</v>
      </c>
      <c r="EC4" t="e">
        <f>AND(Marks!#REF!,"AAAAAH3tl4Q=")</f>
        <v>#REF!</v>
      </c>
      <c r="ED4" t="e">
        <f>AND(Marks!#REF!,"AAAAAH3tl4U=")</f>
        <v>#REF!</v>
      </c>
      <c r="EE4" t="e">
        <f>AND(Marks!#REF!,"AAAAAH3tl4Y=")</f>
        <v>#REF!</v>
      </c>
      <c r="EF4">
        <f>IF(Marks!176:176,"AAAAAH3tl4c=",0)</f>
        <v>0</v>
      </c>
      <c r="EG4" t="e">
        <f>AND(Marks!#REF!,"AAAAAH3tl4g=")</f>
        <v>#REF!</v>
      </c>
      <c r="EH4" t="e">
        <f>AND(Marks!#REF!,"AAAAAH3tl4k=")</f>
        <v>#REF!</v>
      </c>
      <c r="EI4" t="e">
        <f>AND(Marks!#REF!,"AAAAAH3tl4o=")</f>
        <v>#REF!</v>
      </c>
      <c r="EJ4">
        <f>IF(Marks!177:177,"AAAAAH3tl4s=",0)</f>
        <v>0</v>
      </c>
      <c r="EK4" t="e">
        <f>AND(Marks!#REF!,"AAAAAH3tl4w=")</f>
        <v>#REF!</v>
      </c>
      <c r="EL4" t="e">
        <f>AND(Marks!#REF!,"AAAAAH3tl40=")</f>
        <v>#REF!</v>
      </c>
      <c r="EM4" t="e">
        <f>AND(Marks!#REF!,"AAAAAH3tl44=")</f>
        <v>#REF!</v>
      </c>
      <c r="EN4">
        <f>IF(Marks!178:178,"AAAAAH3tl48=",0)</f>
        <v>0</v>
      </c>
      <c r="EO4" t="e">
        <f>AND(Marks!#REF!,"AAAAAH3tl5A=")</f>
        <v>#REF!</v>
      </c>
      <c r="EP4" t="e">
        <f>AND(Marks!#REF!,"AAAAAH3tl5E=")</f>
        <v>#REF!</v>
      </c>
      <c r="EQ4" t="e">
        <f>AND(Marks!#REF!,"AAAAAH3tl5I=")</f>
        <v>#REF!</v>
      </c>
      <c r="ER4">
        <f>IF(Marks!179:179,"AAAAAH3tl5M=",0)</f>
        <v>0</v>
      </c>
      <c r="ES4" t="e">
        <f>AND(Marks!#REF!,"AAAAAH3tl5Q=")</f>
        <v>#REF!</v>
      </c>
      <c r="ET4" t="e">
        <f>AND(Marks!#REF!,"AAAAAH3tl5U=")</f>
        <v>#REF!</v>
      </c>
      <c r="EU4" t="e">
        <f>AND(Marks!#REF!,"AAAAAH3tl5Y=")</f>
        <v>#REF!</v>
      </c>
      <c r="EV4">
        <f>IF(Marks!180:180,"AAAAAH3tl5c=",0)</f>
        <v>0</v>
      </c>
      <c r="EW4" t="e">
        <f>AND(Marks!#REF!,"AAAAAH3tl5g=")</f>
        <v>#REF!</v>
      </c>
      <c r="EX4" t="e">
        <f>AND(Marks!#REF!,"AAAAAH3tl5k=")</f>
        <v>#REF!</v>
      </c>
      <c r="EY4" t="e">
        <f>AND(Marks!#REF!,"AAAAAH3tl5o=")</f>
        <v>#REF!</v>
      </c>
      <c r="EZ4">
        <f>IF(Marks!181:181,"AAAAAH3tl5s=",0)</f>
        <v>0</v>
      </c>
      <c r="FA4" t="e">
        <f>AND(Marks!#REF!,"AAAAAH3tl5w=")</f>
        <v>#REF!</v>
      </c>
      <c r="FB4" t="e">
        <f>AND(Marks!#REF!,"AAAAAH3tl50=")</f>
        <v>#REF!</v>
      </c>
      <c r="FC4" t="e">
        <f>AND(Marks!#REF!,"AAAAAH3tl54=")</f>
        <v>#REF!</v>
      </c>
      <c r="FD4">
        <f>IF(Marks!182:182,"AAAAAH3tl58=",0)</f>
        <v>0</v>
      </c>
      <c r="FE4" t="e">
        <f>AND(Marks!#REF!,"AAAAAH3tl6A=")</f>
        <v>#REF!</v>
      </c>
      <c r="FF4" t="e">
        <f>AND(Marks!#REF!,"AAAAAH3tl6E=")</f>
        <v>#REF!</v>
      </c>
      <c r="FG4" t="e">
        <f>AND(Marks!#REF!,"AAAAAH3tl6I=")</f>
        <v>#REF!</v>
      </c>
      <c r="FH4">
        <f>IF(Marks!183:183,"AAAAAH3tl6M=",0)</f>
        <v>0</v>
      </c>
      <c r="FI4" t="e">
        <f>AND(Marks!#REF!,"AAAAAH3tl6Q=")</f>
        <v>#REF!</v>
      </c>
      <c r="FJ4" t="e">
        <f>AND(Marks!#REF!,"AAAAAH3tl6U=")</f>
        <v>#REF!</v>
      </c>
      <c r="FK4" t="e">
        <f>AND(Marks!#REF!,"AAAAAH3tl6Y=")</f>
        <v>#REF!</v>
      </c>
      <c r="FL4">
        <f>IF(Marks!184:184,"AAAAAH3tl6c=",0)</f>
        <v>0</v>
      </c>
      <c r="FM4" t="e">
        <f>AND(Marks!#REF!,"AAAAAH3tl6g=")</f>
        <v>#REF!</v>
      </c>
      <c r="FN4" t="e">
        <f>AND(Marks!#REF!,"AAAAAH3tl6k=")</f>
        <v>#REF!</v>
      </c>
      <c r="FO4" t="e">
        <f>AND(Marks!#REF!,"AAAAAH3tl6o=")</f>
        <v>#REF!</v>
      </c>
      <c r="FP4">
        <f>IF(Marks!185:185,"AAAAAH3tl6s=",0)</f>
        <v>0</v>
      </c>
      <c r="FQ4" t="e">
        <f>AND(Marks!#REF!,"AAAAAH3tl6w=")</f>
        <v>#REF!</v>
      </c>
      <c r="FR4" t="e">
        <f>AND(Marks!#REF!,"AAAAAH3tl60=")</f>
        <v>#REF!</v>
      </c>
      <c r="FS4" t="e">
        <f>AND(Marks!#REF!,"AAAAAH3tl64=")</f>
        <v>#REF!</v>
      </c>
      <c r="FT4">
        <f>IF(Marks!186:186,"AAAAAH3tl68=",0)</f>
        <v>0</v>
      </c>
      <c r="FU4" t="e">
        <f>AND(Marks!#REF!,"AAAAAH3tl7A=")</f>
        <v>#REF!</v>
      </c>
      <c r="FV4" t="e">
        <f>AND(Marks!#REF!,"AAAAAH3tl7E=")</f>
        <v>#REF!</v>
      </c>
      <c r="FW4" t="e">
        <f>AND(Marks!#REF!,"AAAAAH3tl7I=")</f>
        <v>#REF!</v>
      </c>
      <c r="FX4">
        <f>IF(Marks!187:187,"AAAAAH3tl7M=",0)</f>
        <v>0</v>
      </c>
      <c r="FY4" t="e">
        <f>AND(Marks!#REF!,"AAAAAH3tl7Q=")</f>
        <v>#REF!</v>
      </c>
      <c r="FZ4" t="e">
        <f>AND(Marks!#REF!,"AAAAAH3tl7U=")</f>
        <v>#REF!</v>
      </c>
      <c r="GA4" t="e">
        <f>AND(Marks!#REF!,"AAAAAH3tl7Y=")</f>
        <v>#REF!</v>
      </c>
      <c r="GB4">
        <f>IF(Marks!188:188,"AAAAAH3tl7c=",0)</f>
        <v>0</v>
      </c>
      <c r="GC4" t="e">
        <f>AND(Marks!#REF!,"AAAAAH3tl7g=")</f>
        <v>#REF!</v>
      </c>
      <c r="GD4" t="e">
        <f>AND(Marks!#REF!,"AAAAAH3tl7k=")</f>
        <v>#REF!</v>
      </c>
      <c r="GE4" t="e">
        <f>AND(Marks!#REF!,"AAAAAH3tl7o=")</f>
        <v>#REF!</v>
      </c>
      <c r="GF4">
        <f>IF(Marks!189:189,"AAAAAH3tl7s=",0)</f>
        <v>0</v>
      </c>
      <c r="GG4" t="e">
        <f>AND(Marks!#REF!,"AAAAAH3tl7w=")</f>
        <v>#REF!</v>
      </c>
      <c r="GH4" t="e">
        <f>AND(Marks!#REF!,"AAAAAH3tl70=")</f>
        <v>#REF!</v>
      </c>
      <c r="GI4" t="e">
        <f>AND(Marks!#REF!,"AAAAAH3tl74=")</f>
        <v>#REF!</v>
      </c>
      <c r="GJ4">
        <f>IF(Marks!190:190,"AAAAAH3tl78=",0)</f>
        <v>0</v>
      </c>
      <c r="GK4" t="e">
        <f>AND(Marks!#REF!,"AAAAAH3tl8A=")</f>
        <v>#REF!</v>
      </c>
      <c r="GL4" t="e">
        <f>AND(Marks!#REF!,"AAAAAH3tl8E=")</f>
        <v>#REF!</v>
      </c>
      <c r="GM4" t="e">
        <f>AND(Marks!#REF!,"AAAAAH3tl8I=")</f>
        <v>#REF!</v>
      </c>
      <c r="GN4">
        <f>IF(Marks!191:191,"AAAAAH3tl8M=",0)</f>
        <v>0</v>
      </c>
      <c r="GO4" t="e">
        <f>AND(Marks!#REF!,"AAAAAH3tl8Q=")</f>
        <v>#REF!</v>
      </c>
      <c r="GP4" t="e">
        <f>AND(Marks!#REF!,"AAAAAH3tl8U=")</f>
        <v>#REF!</v>
      </c>
      <c r="GQ4" t="e">
        <f>AND(Marks!#REF!,"AAAAAH3tl8Y=")</f>
        <v>#REF!</v>
      </c>
      <c r="GR4">
        <f>IF(Marks!192:192,"AAAAAH3tl8c=",0)</f>
        <v>0</v>
      </c>
      <c r="GS4" t="e">
        <f>AND(Marks!#REF!,"AAAAAH3tl8g=")</f>
        <v>#REF!</v>
      </c>
      <c r="GT4" t="e">
        <f>AND(Marks!#REF!,"AAAAAH3tl8k=")</f>
        <v>#REF!</v>
      </c>
      <c r="GU4" t="e">
        <f>AND(Marks!#REF!,"AAAAAH3tl8o=")</f>
        <v>#REF!</v>
      </c>
      <c r="GV4">
        <f>IF(Marks!193:193,"AAAAAH3tl8s=",0)</f>
        <v>0</v>
      </c>
      <c r="GW4" t="e">
        <f>AND(Marks!#REF!,"AAAAAH3tl8w=")</f>
        <v>#REF!</v>
      </c>
      <c r="GX4" t="e">
        <f>AND(Marks!#REF!,"AAAAAH3tl80=")</f>
        <v>#REF!</v>
      </c>
      <c r="GY4" t="e">
        <f>AND(Marks!#REF!,"AAAAAH3tl84=")</f>
        <v>#REF!</v>
      </c>
      <c r="GZ4">
        <f>IF(Marks!194:194,"AAAAAH3tl88=",0)</f>
        <v>0</v>
      </c>
      <c r="HA4" t="e">
        <f>AND(Marks!#REF!,"AAAAAH3tl9A=")</f>
        <v>#REF!</v>
      </c>
      <c r="HB4" t="e">
        <f>AND(Marks!#REF!,"AAAAAH3tl9E=")</f>
        <v>#REF!</v>
      </c>
      <c r="HC4" t="e">
        <f>AND(Marks!#REF!,"AAAAAH3tl9I=")</f>
        <v>#REF!</v>
      </c>
      <c r="HD4">
        <f>IF(Marks!195:195,"AAAAAH3tl9M=",0)</f>
        <v>0</v>
      </c>
      <c r="HE4" t="e">
        <f>AND(Marks!#REF!,"AAAAAH3tl9Q=")</f>
        <v>#REF!</v>
      </c>
      <c r="HF4" t="e">
        <f>AND(Marks!#REF!,"AAAAAH3tl9U=")</f>
        <v>#REF!</v>
      </c>
      <c r="HG4" t="e">
        <f>AND(Marks!#REF!,"AAAAAH3tl9Y=")</f>
        <v>#REF!</v>
      </c>
      <c r="HH4">
        <f>IF(Marks!196:196,"AAAAAH3tl9c=",0)</f>
        <v>0</v>
      </c>
      <c r="HI4" t="e">
        <f>AND(Marks!#REF!,"AAAAAH3tl9g=")</f>
        <v>#REF!</v>
      </c>
      <c r="HJ4" t="e">
        <f>AND(Marks!#REF!,"AAAAAH3tl9k=")</f>
        <v>#REF!</v>
      </c>
      <c r="HK4" t="e">
        <f>AND(Marks!#REF!,"AAAAAH3tl9o=")</f>
        <v>#REF!</v>
      </c>
      <c r="HL4">
        <f>IF(Marks!197:197,"AAAAAH3tl9s=",0)</f>
        <v>0</v>
      </c>
      <c r="HM4" t="e">
        <f>AND(Marks!#REF!,"AAAAAH3tl9w=")</f>
        <v>#REF!</v>
      </c>
      <c r="HN4" t="e">
        <f>AND(Marks!#REF!,"AAAAAH3tl90=")</f>
        <v>#REF!</v>
      </c>
      <c r="HO4" t="e">
        <f>AND(Marks!#REF!,"AAAAAH3tl94=")</f>
        <v>#REF!</v>
      </c>
      <c r="HP4">
        <f>IF(Marks!198:198,"AAAAAH3tl98=",0)</f>
        <v>0</v>
      </c>
      <c r="HQ4" t="e">
        <f>AND(Marks!#REF!,"AAAAAH3tl+A=")</f>
        <v>#REF!</v>
      </c>
      <c r="HR4" t="e">
        <f>AND(Marks!#REF!,"AAAAAH3tl+E=")</f>
        <v>#REF!</v>
      </c>
      <c r="HS4" t="e">
        <f>AND(Marks!#REF!,"AAAAAH3tl+I=")</f>
        <v>#REF!</v>
      </c>
      <c r="HT4">
        <f>IF(Marks!199:199,"AAAAAH3tl+M=",0)</f>
        <v>0</v>
      </c>
      <c r="HU4" t="e">
        <f>AND(Marks!#REF!,"AAAAAH3tl+Q=")</f>
        <v>#REF!</v>
      </c>
      <c r="HV4" t="e">
        <f>AND(Marks!#REF!,"AAAAAH3tl+U=")</f>
        <v>#REF!</v>
      </c>
      <c r="HW4" t="e">
        <f>AND(Marks!#REF!,"AAAAAH3tl+Y=")</f>
        <v>#REF!</v>
      </c>
      <c r="HX4">
        <f>IF(Marks!200:200,"AAAAAH3tl+c=",0)</f>
        <v>0</v>
      </c>
      <c r="HY4" t="e">
        <f>AND(Marks!#REF!,"AAAAAH3tl+g=")</f>
        <v>#REF!</v>
      </c>
      <c r="HZ4" t="e">
        <f>AND(Marks!#REF!,"AAAAAH3tl+k=")</f>
        <v>#REF!</v>
      </c>
      <c r="IA4" t="e">
        <f>AND(Marks!#REF!,"AAAAAH3tl+o=")</f>
        <v>#REF!</v>
      </c>
      <c r="IB4">
        <f>IF(Marks!201:201,"AAAAAH3tl+s=",0)</f>
        <v>0</v>
      </c>
      <c r="IC4" t="e">
        <f>AND(Marks!#REF!,"AAAAAH3tl+w=")</f>
        <v>#REF!</v>
      </c>
      <c r="ID4" t="e">
        <f>AND(Marks!#REF!,"AAAAAH3tl+0=")</f>
        <v>#REF!</v>
      </c>
      <c r="IE4" t="e">
        <f>AND(Marks!#REF!,"AAAAAH3tl+4=")</f>
        <v>#REF!</v>
      </c>
      <c r="IF4">
        <f>IF(Marks!202:202,"AAAAAH3tl+8=",0)</f>
        <v>0</v>
      </c>
      <c r="IG4" t="e">
        <f>AND(Marks!#REF!,"AAAAAH3tl/A=")</f>
        <v>#REF!</v>
      </c>
      <c r="IH4" t="e">
        <f>AND(Marks!#REF!,"AAAAAH3tl/E=")</f>
        <v>#REF!</v>
      </c>
      <c r="II4" t="e">
        <f>AND(Marks!#REF!,"AAAAAH3tl/I=")</f>
        <v>#REF!</v>
      </c>
      <c r="IJ4">
        <f>IF(Marks!203:203,"AAAAAH3tl/M=",0)</f>
        <v>0</v>
      </c>
      <c r="IK4" t="e">
        <f>AND(Marks!#REF!,"AAAAAH3tl/Q=")</f>
        <v>#REF!</v>
      </c>
      <c r="IL4" t="e">
        <f>AND(Marks!#REF!,"AAAAAH3tl/U=")</f>
        <v>#REF!</v>
      </c>
      <c r="IM4" t="e">
        <f>AND(Marks!#REF!,"AAAAAH3tl/Y=")</f>
        <v>#REF!</v>
      </c>
      <c r="IN4">
        <f>IF(Marks!204:204,"AAAAAH3tl/c=",0)</f>
        <v>0</v>
      </c>
      <c r="IO4" t="e">
        <f>AND(Marks!#REF!,"AAAAAH3tl/g=")</f>
        <v>#REF!</v>
      </c>
      <c r="IP4" t="e">
        <f>AND(Marks!#REF!,"AAAAAH3tl/k=")</f>
        <v>#REF!</v>
      </c>
      <c r="IQ4" t="e">
        <f>AND(Marks!#REF!,"AAAAAH3tl/o=")</f>
        <v>#REF!</v>
      </c>
      <c r="IR4">
        <f>IF(Marks!205:205,"AAAAAH3tl/s=",0)</f>
        <v>0</v>
      </c>
      <c r="IS4" t="e">
        <f>AND(Marks!#REF!,"AAAAAH3tl/w=")</f>
        <v>#REF!</v>
      </c>
      <c r="IT4" t="e">
        <f>AND(Marks!#REF!,"AAAAAH3tl/0=")</f>
        <v>#REF!</v>
      </c>
      <c r="IU4" t="e">
        <f>AND(Marks!#REF!,"AAAAAH3tl/4=")</f>
        <v>#REF!</v>
      </c>
      <c r="IV4">
        <f>IF(Marks!206:206,"AAAAAH3tl/8=",0)</f>
        <v>0</v>
      </c>
    </row>
    <row r="5" spans="1:256" x14ac:dyDescent="0.15">
      <c r="A5" t="e">
        <f>AND(Marks!#REF!,"AAAAAHs1VgA=")</f>
        <v>#REF!</v>
      </c>
      <c r="B5" t="e">
        <f>AND(Marks!#REF!,"AAAAAHs1VgE=")</f>
        <v>#REF!</v>
      </c>
      <c r="C5" t="e">
        <f>AND(Marks!#REF!,"AAAAAHs1VgI=")</f>
        <v>#REF!</v>
      </c>
      <c r="D5">
        <f>IF(Marks!207:207,"AAAAAHs1VgM=",0)</f>
        <v>0</v>
      </c>
      <c r="E5" t="e">
        <f>AND(Marks!#REF!,"AAAAAHs1VgQ=")</f>
        <v>#REF!</v>
      </c>
      <c r="F5" t="e">
        <f>AND(Marks!#REF!,"AAAAAHs1VgU=")</f>
        <v>#REF!</v>
      </c>
      <c r="G5" t="e">
        <f>AND(Marks!#REF!,"AAAAAHs1VgY=")</f>
        <v>#REF!</v>
      </c>
      <c r="H5">
        <f>IF(Marks!208:208,"AAAAAHs1Vgc=",0)</f>
        <v>0</v>
      </c>
      <c r="I5" t="e">
        <f>AND(Marks!#REF!,"AAAAAHs1Vgg=")</f>
        <v>#REF!</v>
      </c>
      <c r="J5" t="e">
        <f>AND(Marks!#REF!,"AAAAAHs1Vgk=")</f>
        <v>#REF!</v>
      </c>
      <c r="K5" t="e">
        <f>AND(Marks!#REF!,"AAAAAHs1Vgo=")</f>
        <v>#REF!</v>
      </c>
      <c r="L5">
        <f>IF(Marks!209:209,"AAAAAHs1Vgs=",0)</f>
        <v>0</v>
      </c>
      <c r="M5" t="e">
        <f>AND(Marks!#REF!,"AAAAAHs1Vgw=")</f>
        <v>#REF!</v>
      </c>
      <c r="N5" t="e">
        <f>AND(Marks!#REF!,"AAAAAHs1Vg0=")</f>
        <v>#REF!</v>
      </c>
      <c r="O5" t="e">
        <f>AND(Marks!#REF!,"AAAAAHs1Vg4=")</f>
        <v>#REF!</v>
      </c>
      <c r="P5">
        <f>IF(Marks!210:210,"AAAAAHs1Vg8=",0)</f>
        <v>0</v>
      </c>
      <c r="Q5" t="e">
        <f>AND(Marks!#REF!,"AAAAAHs1VhA=")</f>
        <v>#REF!</v>
      </c>
      <c r="R5" t="e">
        <f>AND(Marks!#REF!,"AAAAAHs1VhE=")</f>
        <v>#REF!</v>
      </c>
      <c r="S5" t="e">
        <f>AND(Marks!#REF!,"AAAAAHs1VhI=")</f>
        <v>#REF!</v>
      </c>
      <c r="T5" t="e">
        <f>IF(Marks!#REF!,"AAAAAHs1VhM=",0)</f>
        <v>#REF!</v>
      </c>
      <c r="U5" t="e">
        <f>IF(Marks!#REF!,"AAAAAHs1VhQ=",0)</f>
        <v>#REF!</v>
      </c>
      <c r="V5" t="e">
        <f>IF(Marks!#REF!,"AAAAAHs1VhU=",0)</f>
        <v>#REF!</v>
      </c>
      <c r="W5" t="e">
        <f>IF(Marks!#REF!,"AAAAAHs1VhY=",0)</f>
        <v>#REF!</v>
      </c>
      <c r="X5" t="e">
        <f>IF(Marks!#REF!,"AAAAAHs1Vhc=",0)</f>
        <v>#REF!</v>
      </c>
      <c r="Y5" t="e">
        <f>IF(Marks!#REF!,"AAAAAHs1Vhg=",0)</f>
        <v>#REF!</v>
      </c>
      <c r="Z5" t="e">
        <f>IF(Marks!#REF!,"AAAAAHs1Vhk=",0)</f>
        <v>#REF!</v>
      </c>
      <c r="AA5" t="e">
        <f>IF(Marks!#REF!,"AAAAAHs1Vho=",0)</f>
        <v>#REF!</v>
      </c>
      <c r="AB5">
        <f>IF(Marks!A:A,"AAAAAHs1Vhs=",0)</f>
        <v>0</v>
      </c>
      <c r="AC5">
        <f>IF(Marks!B:B,"AAAAAHs1Vhw=",0)</f>
        <v>0</v>
      </c>
      <c r="AD5">
        <f>IF(Marks!C:C,"AAAAAHs1Vh0=",0)</f>
        <v>0</v>
      </c>
      <c r="AE5">
        <f>IF(Marks!D:D,"AAAAAHs1Vh4=",0)</f>
        <v>0</v>
      </c>
      <c r="AF5">
        <f>IF(Marks!E:E,"AAAAAHs1Vh8=",0)</f>
        <v>0</v>
      </c>
      <c r="AG5">
        <f>IF(Marks!F:F,"AAAAAHs1ViA=",0)</f>
        <v>0</v>
      </c>
      <c r="AH5" t="e">
        <f>IF(Answers!1:1,"AAAAAHs1ViE=",0)</f>
        <v>#VALUE!</v>
      </c>
      <c r="AI5" t="e">
        <f>AND(Answers!A1,"AAAAAHs1ViI=")</f>
        <v>#VALUE!</v>
      </c>
      <c r="AJ5" t="e">
        <f>AND(Answers!B1,"AAAAAHs1ViM=")</f>
        <v>#VALUE!</v>
      </c>
      <c r="AK5" t="e">
        <f>AND(Answers!C1,"AAAAAHs1ViQ=")</f>
        <v>#VALUE!</v>
      </c>
      <c r="AL5" t="e">
        <f>AND(Answers!D1,"AAAAAHs1ViU=")</f>
        <v>#VALUE!</v>
      </c>
      <c r="AM5" t="e">
        <f>AND(Answers!E1,"AAAAAHs1ViY=")</f>
        <v>#VALUE!</v>
      </c>
      <c r="AN5" t="e">
        <f>AND(Answers!F1,"AAAAAHs1Vic=")</f>
        <v>#VALUE!</v>
      </c>
      <c r="AO5" t="e">
        <f>AND(Answers!G1,"AAAAAHs1Vig=")</f>
        <v>#VALUE!</v>
      </c>
      <c r="AP5" t="e">
        <f>AND(Answers!H1,"AAAAAHs1Vik=")</f>
        <v>#VALUE!</v>
      </c>
      <c r="AQ5" t="e">
        <f>AND(Answers!J1,"AAAAAHs1Vio=")</f>
        <v>#VALUE!</v>
      </c>
      <c r="AR5" t="e">
        <f>AND(Answers!K1,"AAAAAHs1Vis=")</f>
        <v>#VALUE!</v>
      </c>
      <c r="AS5" t="e">
        <f>AND(Answers!L1,"AAAAAHs1Viw=")</f>
        <v>#VALUE!</v>
      </c>
      <c r="AT5" t="e">
        <f>AND(Answers!M1,"AAAAAHs1Vi0=")</f>
        <v>#VALUE!</v>
      </c>
      <c r="AU5" t="e">
        <f>AND(Answers!N1,"AAAAAHs1Vi4=")</f>
        <v>#VALUE!</v>
      </c>
      <c r="AV5" t="e">
        <f>AND(Answers!O1,"AAAAAHs1Vi8=")</f>
        <v>#VALUE!</v>
      </c>
      <c r="AW5" t="e">
        <f>AND(Answers!P1,"AAAAAHs1VjA=")</f>
        <v>#VALUE!</v>
      </c>
      <c r="AX5" t="e">
        <f>AND(Answers!Q1,"AAAAAHs1VjE=")</f>
        <v>#VALUE!</v>
      </c>
      <c r="AY5" t="e">
        <f>AND(Answers!R1,"AAAAAHs1VjI=")</f>
        <v>#VALUE!</v>
      </c>
      <c r="AZ5" t="e">
        <f>AND(Answers!S1,"AAAAAHs1VjM=")</f>
        <v>#VALUE!</v>
      </c>
      <c r="BA5" t="e">
        <f>AND(Answers!T1,"AAAAAHs1VjQ=")</f>
        <v>#VALUE!</v>
      </c>
      <c r="BB5" t="e">
        <f>AND(Answers!U1,"AAAAAHs1VjU=")</f>
        <v>#VALUE!</v>
      </c>
      <c r="BC5" t="e">
        <f>AND(Answers!V1,"AAAAAHs1VjY=")</f>
        <v>#VALUE!</v>
      </c>
      <c r="BD5" t="e">
        <f>AND(Answers!X1,"AAAAAHs1Vjc=")</f>
        <v>#VALUE!</v>
      </c>
      <c r="BE5" t="e">
        <f>AND(Answers!Y1,"AAAAAHs1Vjg=")</f>
        <v>#VALUE!</v>
      </c>
      <c r="BF5" t="e">
        <f>AND(Answers!Z1,"AAAAAHs1Vjk=")</f>
        <v>#VALUE!</v>
      </c>
      <c r="BG5" t="e">
        <f>AND(Answers!AA1,"AAAAAHs1Vjo=")</f>
        <v>#VALUE!</v>
      </c>
      <c r="BH5" t="e">
        <f>AND(Answers!AB1,"AAAAAHs1Vjs=")</f>
        <v>#VALUE!</v>
      </c>
      <c r="BI5" t="e">
        <f>AND(Answers!AC1,"AAAAAHs1Vjw=")</f>
        <v>#VALUE!</v>
      </c>
      <c r="BJ5" t="e">
        <f>AND(Answers!AD1,"AAAAAHs1Vj0=")</f>
        <v>#VALUE!</v>
      </c>
      <c r="BK5" t="e">
        <f>AND(Answers!AE1,"AAAAAHs1Vj4=")</f>
        <v>#VALUE!</v>
      </c>
      <c r="BL5" t="e">
        <f>AND(Answers!AF1,"AAAAAHs1Vj8=")</f>
        <v>#VALUE!</v>
      </c>
      <c r="BM5" t="e">
        <f>AND(Answers!AH1,"AAAAAHs1VkA=")</f>
        <v>#VALUE!</v>
      </c>
      <c r="BN5" t="e">
        <f>AND(Answers!AI1,"AAAAAHs1VkE=")</f>
        <v>#VALUE!</v>
      </c>
      <c r="BO5" t="e">
        <f>AND(Answers!AK1,"AAAAAHs1VkI=")</f>
        <v>#VALUE!</v>
      </c>
      <c r="BP5" t="e">
        <f>AND(Answers!#REF!,"AAAAAHs1VkM=")</f>
        <v>#REF!</v>
      </c>
      <c r="BQ5" t="e">
        <f>AND(Answers!#REF!,"AAAAAHs1VkQ=")</f>
        <v>#REF!</v>
      </c>
      <c r="BR5" t="e">
        <f>AND(Answers!AS1,"AAAAAHs1VkU=")</f>
        <v>#VALUE!</v>
      </c>
      <c r="BS5" t="e">
        <f>AND(Answers!AT1,"AAAAAHs1VkY=")</f>
        <v>#VALUE!</v>
      </c>
      <c r="BT5" t="e">
        <f>AND(Answers!AU1,"AAAAAHs1Vkc=")</f>
        <v>#VALUE!</v>
      </c>
      <c r="BU5" t="e">
        <f>AND(Answers!AW1,"AAAAAHs1Vkg=")</f>
        <v>#VALUE!</v>
      </c>
      <c r="BV5" t="e">
        <f>AND(Answers!AX1,"AAAAAHs1Vkk=")</f>
        <v>#VALUE!</v>
      </c>
      <c r="BW5" t="e">
        <f>AND(Answers!AY1,"AAAAAHs1Vko=")</f>
        <v>#VALUE!</v>
      </c>
      <c r="BX5" t="e">
        <f>AND(Answers!AZ1,"AAAAAHs1Vks=")</f>
        <v>#VALUE!</v>
      </c>
      <c r="BY5" t="e">
        <f>AND(Answers!BA1,"AAAAAHs1Vkw=")</f>
        <v>#VALUE!</v>
      </c>
      <c r="BZ5" t="e">
        <f>AND(Answers!BB1,"AAAAAHs1Vk0=")</f>
        <v>#VALUE!</v>
      </c>
      <c r="CA5" t="e">
        <f>AND(Answers!BC1,"AAAAAHs1Vk4=")</f>
        <v>#VALUE!</v>
      </c>
      <c r="CB5" t="e">
        <f>AND(Answers!BD1,"AAAAAHs1Vk8=")</f>
        <v>#VALUE!</v>
      </c>
      <c r="CC5" t="e">
        <f>AND(Answers!BE1,"AAAAAHs1VlA=")</f>
        <v>#VALUE!</v>
      </c>
      <c r="CD5" t="e">
        <f>AND(Answers!BF1,"AAAAAHs1VlE=")</f>
        <v>#VALUE!</v>
      </c>
      <c r="CE5" t="e">
        <f>AND(Answers!BG1,"AAAAAHs1VlI=")</f>
        <v>#VALUE!</v>
      </c>
      <c r="CF5" t="e">
        <f>AND(Answers!BH1,"AAAAAHs1VlM=")</f>
        <v>#VALUE!</v>
      </c>
      <c r="CG5" t="e">
        <f>AND(Answers!BI1,"AAAAAHs1VlQ=")</f>
        <v>#VALUE!</v>
      </c>
      <c r="CH5" t="e">
        <f>AND(Answers!BK1,"AAAAAHs1VlU=")</f>
        <v>#VALUE!</v>
      </c>
      <c r="CI5" t="e">
        <f>AND(Answers!BL1,"AAAAAHs1VlY=")</f>
        <v>#VALUE!</v>
      </c>
      <c r="CJ5" t="e">
        <f>AND(Answers!BM1,"AAAAAHs1Vlc=")</f>
        <v>#VALUE!</v>
      </c>
      <c r="CK5" t="e">
        <f>AND(Answers!BN1,"AAAAAHs1Vlg=")</f>
        <v>#VALUE!</v>
      </c>
      <c r="CL5" t="e">
        <f>AND(Answers!BO1,"AAAAAHs1Vlk=")</f>
        <v>#VALUE!</v>
      </c>
      <c r="CM5" t="e">
        <f>AND(Answers!BP1,"AAAAAHs1Vlo=")</f>
        <v>#VALUE!</v>
      </c>
      <c r="CN5" t="e">
        <f>AND(Answers!BQ1,"AAAAAHs1Vls=")</f>
        <v>#VALUE!</v>
      </c>
      <c r="CO5" t="e">
        <f>AND(Answers!BR1,"AAAAAHs1Vlw=")</f>
        <v>#VALUE!</v>
      </c>
      <c r="CP5" t="e">
        <f>AND(Answers!BS1,"AAAAAHs1Vl0=")</f>
        <v>#VALUE!</v>
      </c>
      <c r="CQ5" t="e">
        <f>AND(Answers!BU1,"AAAAAHs1Vl4=")</f>
        <v>#VALUE!</v>
      </c>
      <c r="CR5" t="e">
        <f>AND(Answers!BV1,"AAAAAHs1Vl8=")</f>
        <v>#VALUE!</v>
      </c>
      <c r="CS5" t="e">
        <f>AND(Answers!BW1,"AAAAAHs1VmA=")</f>
        <v>#VALUE!</v>
      </c>
      <c r="CT5" t="e">
        <f>AND(Answers!#REF!,"AAAAAHs1VmE=")</f>
        <v>#REF!</v>
      </c>
      <c r="CU5" t="e">
        <f>AND(Answers!BX1,"AAAAAHs1VmI=")</f>
        <v>#VALUE!</v>
      </c>
      <c r="CV5" t="e">
        <f>AND(Answers!BY1,"AAAAAHs1VmM=")</f>
        <v>#VALUE!</v>
      </c>
      <c r="CW5" t="e">
        <f>AND(Answers!BZ1,"AAAAAHs1VmQ=")</f>
        <v>#VALUE!</v>
      </c>
      <c r="CX5" t="e">
        <f>IF(Answers!#REF!,"AAAAAHs1VmU=",0)</f>
        <v>#REF!</v>
      </c>
      <c r="CY5" t="e">
        <f>AND(Answers!#REF!,"AAAAAHs1VmY=")</f>
        <v>#REF!</v>
      </c>
      <c r="CZ5" t="e">
        <f>AND(Answers!#REF!,"AAAAAHs1Vmc=")</f>
        <v>#REF!</v>
      </c>
      <c r="DA5" t="e">
        <f>AND(Answers!#REF!,"AAAAAHs1Vmg=")</f>
        <v>#REF!</v>
      </c>
      <c r="DB5" t="e">
        <f>AND(Answers!#REF!,"AAAAAHs1Vmk=")</f>
        <v>#REF!</v>
      </c>
      <c r="DC5" t="e">
        <f>AND(Answers!#REF!,"AAAAAHs1Vmo=")</f>
        <v>#REF!</v>
      </c>
      <c r="DD5" t="e">
        <f>AND(Answers!#REF!,"AAAAAHs1Vms=")</f>
        <v>#REF!</v>
      </c>
      <c r="DE5" t="e">
        <f>AND(Answers!#REF!,"AAAAAHs1Vmw=")</f>
        <v>#REF!</v>
      </c>
      <c r="DF5" t="e">
        <f>AND(Answers!#REF!,"AAAAAHs1Vm0=")</f>
        <v>#REF!</v>
      </c>
      <c r="DG5" t="e">
        <f>AND(Answers!#REF!,"AAAAAHs1Vm4=")</f>
        <v>#REF!</v>
      </c>
      <c r="DH5" t="e">
        <f>AND(Answers!#REF!,"AAAAAHs1Vm8=")</f>
        <v>#REF!</v>
      </c>
      <c r="DI5" t="e">
        <f>AND(Answers!#REF!,"AAAAAHs1VnA=")</f>
        <v>#REF!</v>
      </c>
      <c r="DJ5" t="e">
        <f>AND(Answers!#REF!,"AAAAAHs1VnE=")</f>
        <v>#REF!</v>
      </c>
      <c r="DK5" t="e">
        <f>AND(Answers!#REF!,"AAAAAHs1VnI=")</f>
        <v>#REF!</v>
      </c>
      <c r="DL5" t="e">
        <f>AND(Answers!#REF!,"AAAAAHs1VnM=")</f>
        <v>#REF!</v>
      </c>
      <c r="DM5" t="e">
        <f>AND(Answers!#REF!,"AAAAAHs1VnQ=")</f>
        <v>#REF!</v>
      </c>
      <c r="DN5" t="e">
        <f>AND(Answers!#REF!,"AAAAAHs1VnU=")</f>
        <v>#REF!</v>
      </c>
      <c r="DO5" t="e">
        <f>AND(Answers!#REF!,"AAAAAHs1VnY=")</f>
        <v>#REF!</v>
      </c>
      <c r="DP5" t="e">
        <f>AND(Answers!#REF!,"AAAAAHs1Vnc=")</f>
        <v>#REF!</v>
      </c>
      <c r="DQ5" t="e">
        <f>AND(Answers!#REF!,"AAAAAHs1Vng=")</f>
        <v>#REF!</v>
      </c>
      <c r="DR5" t="e">
        <f>AND(Answers!#REF!,"AAAAAHs1Vnk=")</f>
        <v>#REF!</v>
      </c>
      <c r="DS5" t="e">
        <f>AND(Answers!#REF!,"AAAAAHs1Vno=")</f>
        <v>#REF!</v>
      </c>
      <c r="DT5" t="e">
        <f>AND(Answers!#REF!,"AAAAAHs1Vns=")</f>
        <v>#REF!</v>
      </c>
      <c r="DU5" t="e">
        <f>AND(Answers!#REF!,"AAAAAHs1Vnw=")</f>
        <v>#REF!</v>
      </c>
      <c r="DV5" t="e">
        <f>AND(Answers!#REF!,"AAAAAHs1Vn0=")</f>
        <v>#REF!</v>
      </c>
      <c r="DW5" t="e">
        <f>AND(Answers!#REF!,"AAAAAHs1Vn4=")</f>
        <v>#REF!</v>
      </c>
      <c r="DX5" t="e">
        <f>AND(Answers!#REF!,"AAAAAHs1Vn8=")</f>
        <v>#REF!</v>
      </c>
      <c r="DY5" t="e">
        <f>AND(Answers!#REF!,"AAAAAHs1VoA=")</f>
        <v>#REF!</v>
      </c>
      <c r="DZ5" t="e">
        <f>AND(Answers!#REF!,"AAAAAHs1VoE=")</f>
        <v>#REF!</v>
      </c>
      <c r="EA5" t="e">
        <f>AND(Answers!#REF!,"AAAAAHs1VoI=")</f>
        <v>#REF!</v>
      </c>
      <c r="EB5" t="e">
        <f>AND(Answers!#REF!,"AAAAAHs1VoM=")</f>
        <v>#REF!</v>
      </c>
      <c r="EC5" t="e">
        <f>AND(Answers!#REF!,"AAAAAHs1VoQ=")</f>
        <v>#REF!</v>
      </c>
      <c r="ED5" t="e">
        <f>AND(Answers!#REF!,"AAAAAHs1VoU=")</f>
        <v>#REF!</v>
      </c>
      <c r="EE5" t="e">
        <f>AND(Answers!#REF!,"AAAAAHs1VoY=")</f>
        <v>#REF!</v>
      </c>
      <c r="EF5" t="e">
        <f>AND(Answers!#REF!,"AAAAAHs1Voc=")</f>
        <v>#REF!</v>
      </c>
      <c r="EG5" t="e">
        <f>AND(Answers!#REF!,"AAAAAHs1Vog=")</f>
        <v>#REF!</v>
      </c>
      <c r="EH5" t="e">
        <f>AND(Answers!#REF!,"AAAAAHs1Vok=")</f>
        <v>#REF!</v>
      </c>
      <c r="EI5" t="e">
        <f>AND(Answers!#REF!,"AAAAAHs1Voo=")</f>
        <v>#REF!</v>
      </c>
      <c r="EJ5" t="e">
        <f>AND(Answers!#REF!,"AAAAAHs1Vos=")</f>
        <v>#REF!</v>
      </c>
      <c r="EK5" t="e">
        <f>AND(Answers!#REF!,"AAAAAHs1Vow=")</f>
        <v>#REF!</v>
      </c>
      <c r="EL5" t="e">
        <f>AND(Answers!#REF!,"AAAAAHs1Vo0=")</f>
        <v>#REF!</v>
      </c>
      <c r="EM5" t="e">
        <f>AND(Answers!#REF!,"AAAAAHs1Vo4=")</f>
        <v>#REF!</v>
      </c>
      <c r="EN5" t="e">
        <f>AND(Answers!#REF!,"AAAAAHs1Vo8=")</f>
        <v>#REF!</v>
      </c>
      <c r="EO5" t="e">
        <f>AND(Answers!#REF!,"AAAAAHs1VpA=")</f>
        <v>#REF!</v>
      </c>
      <c r="EP5" t="e">
        <f>AND(Answers!#REF!,"AAAAAHs1VpE=")</f>
        <v>#REF!</v>
      </c>
      <c r="EQ5" t="e">
        <f>AND(Answers!#REF!,"AAAAAHs1VpI=")</f>
        <v>#REF!</v>
      </c>
      <c r="ER5" t="e">
        <f>AND(Answers!#REF!,"AAAAAHs1VpM=")</f>
        <v>#REF!</v>
      </c>
      <c r="ES5" t="e">
        <f>AND(Answers!#REF!,"AAAAAHs1VpQ=")</f>
        <v>#REF!</v>
      </c>
      <c r="ET5" t="e">
        <f>AND(Answers!#REF!,"AAAAAHs1VpU=")</f>
        <v>#REF!</v>
      </c>
      <c r="EU5" t="e">
        <f>AND(Answers!#REF!,"AAAAAHs1VpY=")</f>
        <v>#REF!</v>
      </c>
      <c r="EV5" t="e">
        <f>AND(Answers!#REF!,"AAAAAHs1Vpc=")</f>
        <v>#REF!</v>
      </c>
      <c r="EW5" t="e">
        <f>AND(Answers!#REF!,"AAAAAHs1Vpg=")</f>
        <v>#REF!</v>
      </c>
      <c r="EX5" t="e">
        <f>AND(Answers!#REF!,"AAAAAHs1Vpk=")</f>
        <v>#REF!</v>
      </c>
      <c r="EY5" t="e">
        <f>AND(Answers!#REF!,"AAAAAHs1Vpo=")</f>
        <v>#REF!</v>
      </c>
      <c r="EZ5" t="e">
        <f>AND(Answers!#REF!,"AAAAAHs1Vps=")</f>
        <v>#REF!</v>
      </c>
      <c r="FA5" t="e">
        <f>AND(Answers!#REF!,"AAAAAHs1Vpw=")</f>
        <v>#REF!</v>
      </c>
      <c r="FB5" t="e">
        <f>AND(Answers!#REF!,"AAAAAHs1Vp0=")</f>
        <v>#REF!</v>
      </c>
      <c r="FC5" t="e">
        <f>AND(Answers!#REF!,"AAAAAHs1Vp4=")</f>
        <v>#REF!</v>
      </c>
      <c r="FD5" t="e">
        <f>AND(Answers!#REF!,"AAAAAHs1Vp8=")</f>
        <v>#REF!</v>
      </c>
      <c r="FE5" t="e">
        <f>AND(Answers!#REF!,"AAAAAHs1VqA=")</f>
        <v>#REF!</v>
      </c>
      <c r="FF5" t="e">
        <f>AND(Answers!#REF!,"AAAAAHs1VqE=")</f>
        <v>#REF!</v>
      </c>
      <c r="FG5" t="e">
        <f>AND(Answers!#REF!,"AAAAAHs1VqI=")</f>
        <v>#REF!</v>
      </c>
      <c r="FH5" t="e">
        <f>AND(Answers!#REF!,"AAAAAHs1VqM=")</f>
        <v>#REF!</v>
      </c>
      <c r="FI5" t="e">
        <f>AND(Answers!#REF!,"AAAAAHs1VqQ=")</f>
        <v>#REF!</v>
      </c>
      <c r="FJ5" t="e">
        <f>AND(Answers!#REF!,"AAAAAHs1VqU=")</f>
        <v>#REF!</v>
      </c>
      <c r="FK5" t="e">
        <f>AND(Answers!#REF!,"AAAAAHs1VqY=")</f>
        <v>#REF!</v>
      </c>
      <c r="FL5" t="e">
        <f>AND(Answers!#REF!,"AAAAAHs1Vqc=")</f>
        <v>#REF!</v>
      </c>
      <c r="FM5" t="e">
        <f>AND(Answers!#REF!,"AAAAAHs1Vqg=")</f>
        <v>#REF!</v>
      </c>
      <c r="FN5" t="e">
        <f>IF(Answers!#REF!,"AAAAAHs1Vqk=",0)</f>
        <v>#REF!</v>
      </c>
      <c r="FO5" t="e">
        <f>AND(Answers!#REF!,"AAAAAHs1Vqo=")</f>
        <v>#REF!</v>
      </c>
      <c r="FP5" t="e">
        <f>AND(Answers!#REF!,"AAAAAHs1Vqs=")</f>
        <v>#REF!</v>
      </c>
      <c r="FQ5" t="e">
        <f>AND(Answers!#REF!,"AAAAAHs1Vqw=")</f>
        <v>#REF!</v>
      </c>
      <c r="FR5" t="e">
        <f>AND(Answers!#REF!,"AAAAAHs1Vq0=")</f>
        <v>#REF!</v>
      </c>
      <c r="FS5" t="e">
        <f>AND(Answers!#REF!,"AAAAAHs1Vq4=")</f>
        <v>#REF!</v>
      </c>
      <c r="FT5" t="e">
        <f>AND(Answers!#REF!,"AAAAAHs1Vq8=")</f>
        <v>#REF!</v>
      </c>
      <c r="FU5" t="e">
        <f>AND(Answers!#REF!,"AAAAAHs1VrA=")</f>
        <v>#REF!</v>
      </c>
      <c r="FV5" t="e">
        <f>AND(Answers!#REF!,"AAAAAHs1VrE=")</f>
        <v>#REF!</v>
      </c>
      <c r="FW5" t="e">
        <f>AND(Answers!#REF!,"AAAAAHs1VrI=")</f>
        <v>#REF!</v>
      </c>
      <c r="FX5" t="e">
        <f>AND(Answers!#REF!,"AAAAAHs1VrM=")</f>
        <v>#REF!</v>
      </c>
      <c r="FY5" t="e">
        <f>AND(Answers!#REF!,"AAAAAHs1VrQ=")</f>
        <v>#REF!</v>
      </c>
      <c r="FZ5" t="e">
        <f>AND(Answers!#REF!,"AAAAAHs1VrU=")</f>
        <v>#REF!</v>
      </c>
      <c r="GA5" t="e">
        <f>AND(Answers!#REF!,"AAAAAHs1VrY=")</f>
        <v>#REF!</v>
      </c>
      <c r="GB5" t="e">
        <f>AND(Answers!#REF!,"AAAAAHs1Vrc=")</f>
        <v>#REF!</v>
      </c>
      <c r="GC5" t="e">
        <f>AND(Answers!#REF!,"AAAAAHs1Vrg=")</f>
        <v>#REF!</v>
      </c>
      <c r="GD5" t="e">
        <f>AND(Answers!#REF!,"AAAAAHs1Vrk=")</f>
        <v>#REF!</v>
      </c>
      <c r="GE5" t="e">
        <f>AND(Answers!#REF!,"AAAAAHs1Vro=")</f>
        <v>#REF!</v>
      </c>
      <c r="GF5" t="e">
        <f>AND(Answers!#REF!,"AAAAAHs1Vrs=")</f>
        <v>#REF!</v>
      </c>
      <c r="GG5" t="e">
        <f>AND(Answers!#REF!,"AAAAAHs1Vrw=")</f>
        <v>#REF!</v>
      </c>
      <c r="GH5" t="e">
        <f>AND(Answers!#REF!,"AAAAAHs1Vr0=")</f>
        <v>#REF!</v>
      </c>
      <c r="GI5" t="e">
        <f>AND(Answers!#REF!,"AAAAAHs1Vr4=")</f>
        <v>#REF!</v>
      </c>
      <c r="GJ5" t="e">
        <f>AND(Answers!#REF!,"AAAAAHs1Vr8=")</f>
        <v>#REF!</v>
      </c>
      <c r="GK5" t="e">
        <f>AND(Answers!#REF!,"AAAAAHs1VsA=")</f>
        <v>#REF!</v>
      </c>
      <c r="GL5" t="e">
        <f>AND(Answers!#REF!,"AAAAAHs1VsE=")</f>
        <v>#REF!</v>
      </c>
      <c r="GM5" t="e">
        <f>AND(Answers!#REF!,"AAAAAHs1VsI=")</f>
        <v>#REF!</v>
      </c>
      <c r="GN5" t="e">
        <f>AND(Answers!#REF!,"AAAAAHs1VsM=")</f>
        <v>#REF!</v>
      </c>
      <c r="GO5" t="e">
        <f>AND(Answers!#REF!,"AAAAAHs1VsQ=")</f>
        <v>#REF!</v>
      </c>
      <c r="GP5" t="e">
        <f>AND(Answers!#REF!,"AAAAAHs1VsU=")</f>
        <v>#REF!</v>
      </c>
      <c r="GQ5" t="e">
        <f>AND(Answers!#REF!,"AAAAAHs1VsY=")</f>
        <v>#REF!</v>
      </c>
      <c r="GR5" t="e">
        <f>AND(Answers!#REF!,"AAAAAHs1Vsc=")</f>
        <v>#REF!</v>
      </c>
      <c r="GS5" t="e">
        <f>AND(Answers!#REF!,"AAAAAHs1Vsg=")</f>
        <v>#REF!</v>
      </c>
      <c r="GT5" t="e">
        <f>AND(Answers!#REF!,"AAAAAHs1Vsk=")</f>
        <v>#REF!</v>
      </c>
      <c r="GU5" t="e">
        <f>AND(Answers!#REF!,"AAAAAHs1Vso=")</f>
        <v>#REF!</v>
      </c>
      <c r="GV5" t="e">
        <f>AND(Answers!#REF!,"AAAAAHs1Vss=")</f>
        <v>#REF!</v>
      </c>
      <c r="GW5" t="e">
        <f>AND(Answers!#REF!,"AAAAAHs1Vsw=")</f>
        <v>#REF!</v>
      </c>
      <c r="GX5" t="e">
        <f>AND(Answers!#REF!,"AAAAAHs1Vs0=")</f>
        <v>#REF!</v>
      </c>
      <c r="GY5" t="e">
        <f>AND(Answers!#REF!,"AAAAAHs1Vs4=")</f>
        <v>#REF!</v>
      </c>
      <c r="GZ5" t="e">
        <f>AND(Answers!#REF!,"AAAAAHs1Vs8=")</f>
        <v>#REF!</v>
      </c>
      <c r="HA5" t="e">
        <f>AND(Answers!#REF!,"AAAAAHs1VtA=")</f>
        <v>#REF!</v>
      </c>
      <c r="HB5" t="e">
        <f>AND(Answers!#REF!,"AAAAAHs1VtE=")</f>
        <v>#REF!</v>
      </c>
      <c r="HC5" t="e">
        <f>AND(Answers!#REF!,"AAAAAHs1VtI=")</f>
        <v>#REF!</v>
      </c>
      <c r="HD5" t="e">
        <f>AND(Answers!#REF!,"AAAAAHs1VtM=")</f>
        <v>#REF!</v>
      </c>
      <c r="HE5" t="e">
        <f>AND(Answers!#REF!,"AAAAAHs1VtQ=")</f>
        <v>#REF!</v>
      </c>
      <c r="HF5" t="e">
        <f>AND(Answers!#REF!,"AAAAAHs1VtU=")</f>
        <v>#REF!</v>
      </c>
      <c r="HG5" t="e">
        <f>AND(Answers!#REF!,"AAAAAHs1VtY=")</f>
        <v>#REF!</v>
      </c>
      <c r="HH5" t="e">
        <f>AND(Answers!#REF!,"AAAAAHs1Vtc=")</f>
        <v>#REF!</v>
      </c>
      <c r="HI5" t="e">
        <f>AND(Answers!#REF!,"AAAAAHs1Vtg=")</f>
        <v>#REF!</v>
      </c>
      <c r="HJ5" t="e">
        <f>AND(Answers!#REF!,"AAAAAHs1Vtk=")</f>
        <v>#REF!</v>
      </c>
      <c r="HK5" t="e">
        <f>AND(Answers!#REF!,"AAAAAHs1Vto=")</f>
        <v>#REF!</v>
      </c>
      <c r="HL5" t="e">
        <f>AND(Answers!#REF!,"AAAAAHs1Vts=")</f>
        <v>#REF!</v>
      </c>
      <c r="HM5" t="e">
        <f>AND(Answers!#REF!,"AAAAAHs1Vtw=")</f>
        <v>#REF!</v>
      </c>
      <c r="HN5" t="e">
        <f>AND(Answers!#REF!,"AAAAAHs1Vt0=")</f>
        <v>#REF!</v>
      </c>
      <c r="HO5" t="e">
        <f>AND(Answers!#REF!,"AAAAAHs1Vt4=")</f>
        <v>#REF!</v>
      </c>
      <c r="HP5" t="e">
        <f>AND(Answers!#REF!,"AAAAAHs1Vt8=")</f>
        <v>#REF!</v>
      </c>
      <c r="HQ5" t="e">
        <f>AND(Answers!#REF!,"AAAAAHs1VuA=")</f>
        <v>#REF!</v>
      </c>
      <c r="HR5" t="e">
        <f>AND(Answers!#REF!,"AAAAAHs1VuE=")</f>
        <v>#REF!</v>
      </c>
      <c r="HS5" t="e">
        <f>AND(Answers!#REF!,"AAAAAHs1VuI=")</f>
        <v>#REF!</v>
      </c>
      <c r="HT5" t="e">
        <f>AND(Answers!#REF!,"AAAAAHs1VuM=")</f>
        <v>#REF!</v>
      </c>
      <c r="HU5" t="e">
        <f>AND(Answers!#REF!,"AAAAAHs1VuQ=")</f>
        <v>#REF!</v>
      </c>
      <c r="HV5" t="e">
        <f>AND(Answers!#REF!,"AAAAAHs1VuU=")</f>
        <v>#REF!</v>
      </c>
      <c r="HW5" t="e">
        <f>AND(Answers!#REF!,"AAAAAHs1VuY=")</f>
        <v>#REF!</v>
      </c>
      <c r="HX5" t="e">
        <f>AND(Answers!#REF!,"AAAAAHs1Vuc=")</f>
        <v>#REF!</v>
      </c>
      <c r="HY5" t="e">
        <f>AND(Answers!#REF!,"AAAAAHs1Vug=")</f>
        <v>#REF!</v>
      </c>
      <c r="HZ5" t="e">
        <f>AND(Answers!#REF!,"AAAAAHs1Vuk=")</f>
        <v>#REF!</v>
      </c>
      <c r="IA5" t="e">
        <f>AND(Answers!#REF!,"AAAAAHs1Vuo=")</f>
        <v>#REF!</v>
      </c>
      <c r="IB5" t="e">
        <f>AND(Answers!#REF!,"AAAAAHs1Vus=")</f>
        <v>#REF!</v>
      </c>
      <c r="IC5" t="e">
        <f>AND(Answers!#REF!,"AAAAAHs1Vuw=")</f>
        <v>#REF!</v>
      </c>
      <c r="ID5" t="e">
        <f>IF(Answers!#REF!,"AAAAAHs1Vu0=",0)</f>
        <v>#REF!</v>
      </c>
      <c r="IE5" t="e">
        <f>AND(Answers!#REF!,"AAAAAHs1Vu4=")</f>
        <v>#REF!</v>
      </c>
      <c r="IF5" t="e">
        <f>AND(Answers!#REF!,"AAAAAHs1Vu8=")</f>
        <v>#REF!</v>
      </c>
      <c r="IG5" t="e">
        <f>AND(Answers!#REF!,"AAAAAHs1VvA=")</f>
        <v>#REF!</v>
      </c>
      <c r="IH5" t="e">
        <f>AND(Answers!#REF!,"AAAAAHs1VvE=")</f>
        <v>#REF!</v>
      </c>
      <c r="II5" t="e">
        <f>AND(Answers!#REF!,"AAAAAHs1VvI=")</f>
        <v>#REF!</v>
      </c>
      <c r="IJ5" t="e">
        <f>AND(Answers!#REF!,"AAAAAHs1VvM=")</f>
        <v>#REF!</v>
      </c>
      <c r="IK5" t="e">
        <f>AND(Answers!#REF!,"AAAAAHs1VvQ=")</f>
        <v>#REF!</v>
      </c>
      <c r="IL5" t="e">
        <f>AND(Answers!#REF!,"AAAAAHs1VvU=")</f>
        <v>#REF!</v>
      </c>
      <c r="IM5" t="e">
        <f>AND(Answers!#REF!,"AAAAAHs1VvY=")</f>
        <v>#REF!</v>
      </c>
      <c r="IN5" t="e">
        <f>AND(Answers!#REF!,"AAAAAHs1Vvc=")</f>
        <v>#REF!</v>
      </c>
      <c r="IO5" t="e">
        <f>AND(Answers!#REF!,"AAAAAHs1Vvg=")</f>
        <v>#REF!</v>
      </c>
      <c r="IP5" t="e">
        <f>AND(Answers!#REF!,"AAAAAHs1Vvk=")</f>
        <v>#REF!</v>
      </c>
      <c r="IQ5" t="e">
        <f>AND(Answers!#REF!,"AAAAAHs1Vvo=")</f>
        <v>#REF!</v>
      </c>
      <c r="IR5" t="e">
        <f>AND(Answers!#REF!,"AAAAAHs1Vvs=")</f>
        <v>#REF!</v>
      </c>
      <c r="IS5" t="e">
        <f>AND(Answers!#REF!,"AAAAAHs1Vvw=")</f>
        <v>#REF!</v>
      </c>
      <c r="IT5" t="e">
        <f>AND(Answers!#REF!,"AAAAAHs1Vv0=")</f>
        <v>#REF!</v>
      </c>
      <c r="IU5" t="e">
        <f>AND(Answers!#REF!,"AAAAAHs1Vv4=")</f>
        <v>#REF!</v>
      </c>
      <c r="IV5" t="e">
        <f>AND(Answers!#REF!,"AAAAAHs1Vv8=")</f>
        <v>#REF!</v>
      </c>
    </row>
    <row r="6" spans="1:256" x14ac:dyDescent="0.15">
      <c r="A6" t="e">
        <f>AND(Answers!#REF!,"AAAAAD/PvQA=")</f>
        <v>#REF!</v>
      </c>
      <c r="B6" t="e">
        <f>AND(Answers!#REF!,"AAAAAD/PvQE=")</f>
        <v>#REF!</v>
      </c>
      <c r="C6" t="e">
        <f>AND(Answers!#REF!,"AAAAAD/PvQI=")</f>
        <v>#REF!</v>
      </c>
      <c r="D6" t="e">
        <f>AND(Answers!#REF!,"AAAAAD/PvQM=")</f>
        <v>#REF!</v>
      </c>
      <c r="E6" t="e">
        <f>AND(Answers!#REF!,"AAAAAD/PvQQ=")</f>
        <v>#REF!</v>
      </c>
      <c r="F6" t="e">
        <f>AND(Answers!#REF!,"AAAAAD/PvQU=")</f>
        <v>#REF!</v>
      </c>
      <c r="G6" t="e">
        <f>AND(Answers!#REF!,"AAAAAD/PvQY=")</f>
        <v>#REF!</v>
      </c>
      <c r="H6" t="e">
        <f>AND(Answers!#REF!,"AAAAAD/PvQc=")</f>
        <v>#REF!</v>
      </c>
      <c r="I6" t="e">
        <f>AND(Answers!#REF!,"AAAAAD/PvQg=")</f>
        <v>#REF!</v>
      </c>
      <c r="J6" t="e">
        <f>AND(Answers!#REF!,"AAAAAD/PvQk=")</f>
        <v>#REF!</v>
      </c>
      <c r="K6" t="e">
        <f>AND(Answers!#REF!,"AAAAAD/PvQo=")</f>
        <v>#REF!</v>
      </c>
      <c r="L6" t="e">
        <f>AND(Answers!#REF!,"AAAAAD/PvQs=")</f>
        <v>#REF!</v>
      </c>
      <c r="M6" t="e">
        <f>AND(Answers!#REF!,"AAAAAD/PvQw=")</f>
        <v>#REF!</v>
      </c>
      <c r="N6" t="e">
        <f>AND(Answers!#REF!,"AAAAAD/PvQ0=")</f>
        <v>#REF!</v>
      </c>
      <c r="O6" t="e">
        <f>AND(Answers!#REF!,"AAAAAD/PvQ4=")</f>
        <v>#REF!</v>
      </c>
      <c r="P6" t="e">
        <f>AND(Answers!#REF!,"AAAAAD/PvQ8=")</f>
        <v>#REF!</v>
      </c>
      <c r="Q6" t="e">
        <f>AND(Answers!#REF!,"AAAAAD/PvRA=")</f>
        <v>#REF!</v>
      </c>
      <c r="R6" t="e">
        <f>AND(Answers!#REF!,"AAAAAD/PvRE=")</f>
        <v>#REF!</v>
      </c>
      <c r="S6" t="e">
        <f>AND(Answers!#REF!,"AAAAAD/PvRI=")</f>
        <v>#REF!</v>
      </c>
      <c r="T6" t="e">
        <f>AND(Answers!#REF!,"AAAAAD/PvRM=")</f>
        <v>#REF!</v>
      </c>
      <c r="U6" t="e">
        <f>AND(Answers!#REF!,"AAAAAD/PvRQ=")</f>
        <v>#REF!</v>
      </c>
      <c r="V6" t="e">
        <f>AND(Answers!#REF!,"AAAAAD/PvRU=")</f>
        <v>#REF!</v>
      </c>
      <c r="W6" t="e">
        <f>AND(Answers!#REF!,"AAAAAD/PvRY=")</f>
        <v>#REF!</v>
      </c>
      <c r="X6" t="e">
        <f>AND(Answers!#REF!,"AAAAAD/PvRc=")</f>
        <v>#REF!</v>
      </c>
      <c r="Y6" t="e">
        <f>AND(Answers!#REF!,"AAAAAD/PvRg=")</f>
        <v>#REF!</v>
      </c>
      <c r="Z6" t="e">
        <f>AND(Answers!#REF!,"AAAAAD/PvRk=")</f>
        <v>#REF!</v>
      </c>
      <c r="AA6" t="e">
        <f>AND(Answers!#REF!,"AAAAAD/PvRo=")</f>
        <v>#REF!</v>
      </c>
      <c r="AB6" t="e">
        <f>AND(Answers!#REF!,"AAAAAD/PvRs=")</f>
        <v>#REF!</v>
      </c>
      <c r="AC6" t="e">
        <f>AND(Answers!#REF!,"AAAAAD/PvRw=")</f>
        <v>#REF!</v>
      </c>
      <c r="AD6" t="e">
        <f>AND(Answers!#REF!,"AAAAAD/PvR0=")</f>
        <v>#REF!</v>
      </c>
      <c r="AE6" t="e">
        <f>AND(Answers!#REF!,"AAAAAD/PvR4=")</f>
        <v>#REF!</v>
      </c>
      <c r="AF6" t="e">
        <f>AND(Answers!#REF!,"AAAAAD/PvR8=")</f>
        <v>#REF!</v>
      </c>
      <c r="AG6" t="e">
        <f>AND(Answers!#REF!,"AAAAAD/PvSA=")</f>
        <v>#REF!</v>
      </c>
      <c r="AH6" t="e">
        <f>AND(Answers!#REF!,"AAAAAD/PvSE=")</f>
        <v>#REF!</v>
      </c>
      <c r="AI6" t="e">
        <f>AND(Answers!#REF!,"AAAAAD/PvSI=")</f>
        <v>#REF!</v>
      </c>
      <c r="AJ6" t="e">
        <f>AND(Answers!#REF!,"AAAAAD/PvSM=")</f>
        <v>#REF!</v>
      </c>
      <c r="AK6" t="e">
        <f>AND(Answers!#REF!,"AAAAAD/PvSQ=")</f>
        <v>#REF!</v>
      </c>
      <c r="AL6" t="e">
        <f>AND(Answers!#REF!,"AAAAAD/PvSU=")</f>
        <v>#REF!</v>
      </c>
      <c r="AM6" t="e">
        <f>AND(Answers!#REF!,"AAAAAD/PvSY=")</f>
        <v>#REF!</v>
      </c>
      <c r="AN6" t="e">
        <f>AND(Answers!#REF!,"AAAAAD/PvSc=")</f>
        <v>#REF!</v>
      </c>
      <c r="AO6" t="e">
        <f>AND(Answers!#REF!,"AAAAAD/PvSg=")</f>
        <v>#REF!</v>
      </c>
      <c r="AP6" t="e">
        <f>AND(Answers!#REF!,"AAAAAD/PvSk=")</f>
        <v>#REF!</v>
      </c>
      <c r="AQ6" t="e">
        <f>AND(Answers!#REF!,"AAAAAD/PvSo=")</f>
        <v>#REF!</v>
      </c>
      <c r="AR6" t="e">
        <f>AND(Answers!#REF!,"AAAAAD/PvSs=")</f>
        <v>#REF!</v>
      </c>
      <c r="AS6" t="e">
        <f>AND(Answers!#REF!,"AAAAAD/PvSw=")</f>
        <v>#REF!</v>
      </c>
      <c r="AT6" t="e">
        <f>AND(Answers!#REF!,"AAAAAD/PvS0=")</f>
        <v>#REF!</v>
      </c>
      <c r="AU6" t="e">
        <f>AND(Answers!#REF!,"AAAAAD/PvS4=")</f>
        <v>#REF!</v>
      </c>
      <c r="AV6" t="e">
        <f>AND(Answers!#REF!,"AAAAAD/PvS8=")</f>
        <v>#REF!</v>
      </c>
      <c r="AW6" t="e">
        <f>AND(Answers!#REF!,"AAAAAD/PvTA=")</f>
        <v>#REF!</v>
      </c>
      <c r="AX6" t="e">
        <f>IF(Answers!#REF!,"AAAAAD/PvTE=",0)</f>
        <v>#REF!</v>
      </c>
      <c r="AY6" t="e">
        <f>AND(Answers!#REF!,"AAAAAD/PvTI=")</f>
        <v>#REF!</v>
      </c>
      <c r="AZ6" t="e">
        <f>AND(Answers!#REF!,"AAAAAD/PvTM=")</f>
        <v>#REF!</v>
      </c>
      <c r="BA6" t="e">
        <f>AND(Answers!#REF!,"AAAAAD/PvTQ=")</f>
        <v>#REF!</v>
      </c>
      <c r="BB6" t="e">
        <f>AND(Answers!#REF!,"AAAAAD/PvTU=")</f>
        <v>#REF!</v>
      </c>
      <c r="BC6" t="e">
        <f>AND(Answers!#REF!,"AAAAAD/PvTY=")</f>
        <v>#REF!</v>
      </c>
      <c r="BD6" t="e">
        <f>AND(Answers!#REF!,"AAAAAD/PvTc=")</f>
        <v>#REF!</v>
      </c>
      <c r="BE6" t="e">
        <f>AND(Answers!#REF!,"AAAAAD/PvTg=")</f>
        <v>#REF!</v>
      </c>
      <c r="BF6" t="e">
        <f>AND(Answers!#REF!,"AAAAAD/PvTk=")</f>
        <v>#REF!</v>
      </c>
      <c r="BG6" t="e">
        <f>AND(Answers!#REF!,"AAAAAD/PvTo=")</f>
        <v>#REF!</v>
      </c>
      <c r="BH6" t="e">
        <f>AND(Answers!#REF!,"AAAAAD/PvTs=")</f>
        <v>#REF!</v>
      </c>
      <c r="BI6" t="e">
        <f>AND(Answers!#REF!,"AAAAAD/PvTw=")</f>
        <v>#REF!</v>
      </c>
      <c r="BJ6" t="e">
        <f>AND(Answers!#REF!,"AAAAAD/PvT0=")</f>
        <v>#REF!</v>
      </c>
      <c r="BK6" t="e">
        <f>AND(Answers!#REF!,"AAAAAD/PvT4=")</f>
        <v>#REF!</v>
      </c>
      <c r="BL6" t="e">
        <f>AND(Answers!#REF!,"AAAAAD/PvT8=")</f>
        <v>#REF!</v>
      </c>
      <c r="BM6" t="e">
        <f>AND(Answers!#REF!,"AAAAAD/PvUA=")</f>
        <v>#REF!</v>
      </c>
      <c r="BN6" t="e">
        <f>AND(Answers!#REF!,"AAAAAD/PvUE=")</f>
        <v>#REF!</v>
      </c>
      <c r="BO6" t="e">
        <f>AND(Answers!#REF!,"AAAAAD/PvUI=")</f>
        <v>#REF!</v>
      </c>
      <c r="BP6" t="e">
        <f>AND(Answers!#REF!,"AAAAAD/PvUM=")</f>
        <v>#REF!</v>
      </c>
      <c r="BQ6" t="e">
        <f>AND(Answers!#REF!,"AAAAAD/PvUQ=")</f>
        <v>#REF!</v>
      </c>
      <c r="BR6" t="e">
        <f>AND(Answers!#REF!,"AAAAAD/PvUU=")</f>
        <v>#REF!</v>
      </c>
      <c r="BS6" t="e">
        <f>AND(Answers!#REF!,"AAAAAD/PvUY=")</f>
        <v>#REF!</v>
      </c>
      <c r="BT6" t="e">
        <f>AND(Answers!#REF!,"AAAAAD/PvUc=")</f>
        <v>#REF!</v>
      </c>
      <c r="BU6" t="e">
        <f>AND(Answers!#REF!,"AAAAAD/PvUg=")</f>
        <v>#REF!</v>
      </c>
      <c r="BV6" t="e">
        <f>AND(Answers!#REF!,"AAAAAD/PvUk=")</f>
        <v>#REF!</v>
      </c>
      <c r="BW6" t="e">
        <f>AND(Answers!#REF!,"AAAAAD/PvUo=")</f>
        <v>#REF!</v>
      </c>
      <c r="BX6" t="e">
        <f>AND(Answers!#REF!,"AAAAAD/PvUs=")</f>
        <v>#REF!</v>
      </c>
      <c r="BY6" t="e">
        <f>AND(Answers!#REF!,"AAAAAD/PvUw=")</f>
        <v>#REF!</v>
      </c>
      <c r="BZ6" t="e">
        <f>AND(Answers!#REF!,"AAAAAD/PvU0=")</f>
        <v>#REF!</v>
      </c>
      <c r="CA6" t="e">
        <f>AND(Answers!#REF!,"AAAAAD/PvU4=")</f>
        <v>#REF!</v>
      </c>
      <c r="CB6" t="e">
        <f>AND(Answers!#REF!,"AAAAAD/PvU8=")</f>
        <v>#REF!</v>
      </c>
      <c r="CC6" t="e">
        <f>AND(Answers!#REF!,"AAAAAD/PvVA=")</f>
        <v>#REF!</v>
      </c>
      <c r="CD6" t="e">
        <f>AND(Answers!#REF!,"AAAAAD/PvVE=")</f>
        <v>#REF!</v>
      </c>
      <c r="CE6" t="e">
        <f>AND(Answers!#REF!,"AAAAAD/PvVI=")</f>
        <v>#REF!</v>
      </c>
      <c r="CF6" t="e">
        <f>AND(Answers!#REF!,"AAAAAD/PvVM=")</f>
        <v>#REF!</v>
      </c>
      <c r="CG6" t="e">
        <f>AND(Answers!#REF!,"AAAAAD/PvVQ=")</f>
        <v>#REF!</v>
      </c>
      <c r="CH6" t="e">
        <f>AND(Answers!#REF!,"AAAAAD/PvVU=")</f>
        <v>#REF!</v>
      </c>
      <c r="CI6" t="e">
        <f>AND(Answers!#REF!,"AAAAAD/PvVY=")</f>
        <v>#REF!</v>
      </c>
      <c r="CJ6" t="e">
        <f>AND(Answers!#REF!,"AAAAAD/PvVc=")</f>
        <v>#REF!</v>
      </c>
      <c r="CK6" t="e">
        <f>AND(Answers!#REF!,"AAAAAD/PvVg=")</f>
        <v>#REF!</v>
      </c>
      <c r="CL6" t="e">
        <f>AND(Answers!#REF!,"AAAAAD/PvVk=")</f>
        <v>#REF!</v>
      </c>
      <c r="CM6" t="e">
        <f>AND(Answers!#REF!,"AAAAAD/PvVo=")</f>
        <v>#REF!</v>
      </c>
      <c r="CN6" t="e">
        <f>AND(Answers!#REF!,"AAAAAD/PvVs=")</f>
        <v>#REF!</v>
      </c>
      <c r="CO6" t="e">
        <f>AND(Answers!#REF!,"AAAAAD/PvVw=")</f>
        <v>#REF!</v>
      </c>
      <c r="CP6" t="e">
        <f>AND(Answers!#REF!,"AAAAAD/PvV0=")</f>
        <v>#REF!</v>
      </c>
      <c r="CQ6" t="e">
        <f>AND(Answers!#REF!,"AAAAAD/PvV4=")</f>
        <v>#REF!</v>
      </c>
      <c r="CR6" t="e">
        <f>AND(Answers!#REF!,"AAAAAD/PvV8=")</f>
        <v>#REF!</v>
      </c>
      <c r="CS6" t="e">
        <f>AND(Answers!#REF!,"AAAAAD/PvWA=")</f>
        <v>#REF!</v>
      </c>
      <c r="CT6" t="e">
        <f>AND(Answers!#REF!,"AAAAAD/PvWE=")</f>
        <v>#REF!</v>
      </c>
      <c r="CU6" t="e">
        <f>AND(Answers!#REF!,"AAAAAD/PvWI=")</f>
        <v>#REF!</v>
      </c>
      <c r="CV6" t="e">
        <f>AND(Answers!#REF!,"AAAAAD/PvWM=")</f>
        <v>#REF!</v>
      </c>
      <c r="CW6" t="e">
        <f>AND(Answers!#REF!,"AAAAAD/PvWQ=")</f>
        <v>#REF!</v>
      </c>
      <c r="CX6" t="e">
        <f>AND(Answers!#REF!,"AAAAAD/PvWU=")</f>
        <v>#REF!</v>
      </c>
      <c r="CY6" t="e">
        <f>AND(Answers!#REF!,"AAAAAD/PvWY=")</f>
        <v>#REF!</v>
      </c>
      <c r="CZ6" t="e">
        <f>AND(Answers!#REF!,"AAAAAD/PvWc=")</f>
        <v>#REF!</v>
      </c>
      <c r="DA6" t="e">
        <f>AND(Answers!#REF!,"AAAAAD/PvWg=")</f>
        <v>#REF!</v>
      </c>
      <c r="DB6" t="e">
        <f>AND(Answers!#REF!,"AAAAAD/PvWk=")</f>
        <v>#REF!</v>
      </c>
      <c r="DC6" t="e">
        <f>AND(Answers!#REF!,"AAAAAD/PvWo=")</f>
        <v>#REF!</v>
      </c>
      <c r="DD6" t="e">
        <f>AND(Answers!#REF!,"AAAAAD/PvWs=")</f>
        <v>#REF!</v>
      </c>
      <c r="DE6" t="e">
        <f>AND(Answers!#REF!,"AAAAAD/PvWw=")</f>
        <v>#REF!</v>
      </c>
      <c r="DF6" t="e">
        <f>AND(Answers!#REF!,"AAAAAD/PvW0=")</f>
        <v>#REF!</v>
      </c>
      <c r="DG6" t="e">
        <f>AND(Answers!#REF!,"AAAAAD/PvW4=")</f>
        <v>#REF!</v>
      </c>
      <c r="DH6" t="e">
        <f>AND(Answers!#REF!,"AAAAAD/PvW8=")</f>
        <v>#REF!</v>
      </c>
      <c r="DI6" t="e">
        <f>AND(Answers!#REF!,"AAAAAD/PvXA=")</f>
        <v>#REF!</v>
      </c>
      <c r="DJ6" t="e">
        <f>AND(Answers!#REF!,"AAAAAD/PvXE=")</f>
        <v>#REF!</v>
      </c>
      <c r="DK6" t="e">
        <f>AND(Answers!#REF!,"AAAAAD/PvXI=")</f>
        <v>#REF!</v>
      </c>
      <c r="DL6" t="e">
        <f>AND(Answers!#REF!,"AAAAAD/PvXM=")</f>
        <v>#REF!</v>
      </c>
      <c r="DM6" t="e">
        <f>AND(Answers!#REF!,"AAAAAD/PvXQ=")</f>
        <v>#REF!</v>
      </c>
      <c r="DN6" t="e">
        <f>IF(Answers!#REF!,"AAAAAD/PvXU=",0)</f>
        <v>#REF!</v>
      </c>
      <c r="DO6" t="e">
        <f>AND(Answers!#REF!,"AAAAAD/PvXY=")</f>
        <v>#REF!</v>
      </c>
      <c r="DP6" t="e">
        <f>AND(Answers!#REF!,"AAAAAD/PvXc=")</f>
        <v>#REF!</v>
      </c>
      <c r="DQ6" t="e">
        <f>AND(Answers!#REF!,"AAAAAD/PvXg=")</f>
        <v>#REF!</v>
      </c>
      <c r="DR6" t="e">
        <f>AND(Answers!#REF!,"AAAAAD/PvXk=")</f>
        <v>#REF!</v>
      </c>
      <c r="DS6" t="e">
        <f>AND(Answers!#REF!,"AAAAAD/PvXo=")</f>
        <v>#REF!</v>
      </c>
      <c r="DT6" t="e">
        <f>AND(Answers!#REF!,"AAAAAD/PvXs=")</f>
        <v>#REF!</v>
      </c>
      <c r="DU6" t="e">
        <f>AND(Answers!#REF!,"AAAAAD/PvXw=")</f>
        <v>#REF!</v>
      </c>
      <c r="DV6" t="e">
        <f>AND(Answers!#REF!,"AAAAAD/PvX0=")</f>
        <v>#REF!</v>
      </c>
      <c r="DW6" t="e">
        <f>AND(Answers!#REF!,"AAAAAD/PvX4=")</f>
        <v>#REF!</v>
      </c>
      <c r="DX6" t="e">
        <f>AND(Answers!#REF!,"AAAAAD/PvX8=")</f>
        <v>#REF!</v>
      </c>
      <c r="DY6" t="e">
        <f>AND(Answers!#REF!,"AAAAAD/PvYA=")</f>
        <v>#REF!</v>
      </c>
      <c r="DZ6" t="e">
        <f>AND(Answers!#REF!,"AAAAAD/PvYE=")</f>
        <v>#REF!</v>
      </c>
      <c r="EA6" t="e">
        <f>AND(Answers!#REF!,"AAAAAD/PvYI=")</f>
        <v>#REF!</v>
      </c>
      <c r="EB6" t="e">
        <f>AND(Answers!#REF!,"AAAAAD/PvYM=")</f>
        <v>#REF!</v>
      </c>
      <c r="EC6" t="e">
        <f>AND(Answers!#REF!,"AAAAAD/PvYQ=")</f>
        <v>#REF!</v>
      </c>
      <c r="ED6" t="e">
        <f>AND(Answers!#REF!,"AAAAAD/PvYU=")</f>
        <v>#REF!</v>
      </c>
      <c r="EE6" t="e">
        <f>AND(Answers!#REF!,"AAAAAD/PvYY=")</f>
        <v>#REF!</v>
      </c>
      <c r="EF6" t="e">
        <f>AND(Answers!#REF!,"AAAAAD/PvYc=")</f>
        <v>#REF!</v>
      </c>
      <c r="EG6" t="e">
        <f>AND(Answers!#REF!,"AAAAAD/PvYg=")</f>
        <v>#REF!</v>
      </c>
      <c r="EH6" t="e">
        <f>AND(Answers!#REF!,"AAAAAD/PvYk=")</f>
        <v>#REF!</v>
      </c>
      <c r="EI6" t="e">
        <f>AND(Answers!#REF!,"AAAAAD/PvYo=")</f>
        <v>#REF!</v>
      </c>
      <c r="EJ6" t="e">
        <f>AND(Answers!#REF!,"AAAAAD/PvYs=")</f>
        <v>#REF!</v>
      </c>
      <c r="EK6" t="e">
        <f>AND(Answers!#REF!,"AAAAAD/PvYw=")</f>
        <v>#REF!</v>
      </c>
      <c r="EL6" t="e">
        <f>AND(Answers!#REF!,"AAAAAD/PvY0=")</f>
        <v>#REF!</v>
      </c>
      <c r="EM6" t="e">
        <f>AND(Answers!#REF!,"AAAAAD/PvY4=")</f>
        <v>#REF!</v>
      </c>
      <c r="EN6" t="e">
        <f>AND(Answers!#REF!,"AAAAAD/PvY8=")</f>
        <v>#REF!</v>
      </c>
      <c r="EO6" t="e">
        <f>AND(Answers!#REF!,"AAAAAD/PvZA=")</f>
        <v>#REF!</v>
      </c>
      <c r="EP6" t="e">
        <f>AND(Answers!#REF!,"AAAAAD/PvZE=")</f>
        <v>#REF!</v>
      </c>
      <c r="EQ6" t="e">
        <f>AND(Answers!#REF!,"AAAAAD/PvZI=")</f>
        <v>#REF!</v>
      </c>
      <c r="ER6" t="e">
        <f>AND(Answers!#REF!,"AAAAAD/PvZM=")</f>
        <v>#REF!</v>
      </c>
      <c r="ES6" t="e">
        <f>AND(Answers!#REF!,"AAAAAD/PvZQ=")</f>
        <v>#REF!</v>
      </c>
      <c r="ET6" t="e">
        <f>AND(Answers!#REF!,"AAAAAD/PvZU=")</f>
        <v>#REF!</v>
      </c>
      <c r="EU6" t="e">
        <f>AND(Answers!#REF!,"AAAAAD/PvZY=")</f>
        <v>#REF!</v>
      </c>
      <c r="EV6" t="e">
        <f>AND(Answers!#REF!,"AAAAAD/PvZc=")</f>
        <v>#REF!</v>
      </c>
      <c r="EW6" t="e">
        <f>AND(Answers!#REF!,"AAAAAD/PvZg=")</f>
        <v>#REF!</v>
      </c>
      <c r="EX6" t="e">
        <f>AND(Answers!#REF!,"AAAAAD/PvZk=")</f>
        <v>#REF!</v>
      </c>
      <c r="EY6" t="e">
        <f>AND(Answers!#REF!,"AAAAAD/PvZo=")</f>
        <v>#REF!</v>
      </c>
      <c r="EZ6" t="e">
        <f>AND(Answers!#REF!,"AAAAAD/PvZs=")</f>
        <v>#REF!</v>
      </c>
      <c r="FA6" t="e">
        <f>AND(Answers!#REF!,"AAAAAD/PvZw=")</f>
        <v>#REF!</v>
      </c>
      <c r="FB6" t="e">
        <f>AND(Answers!#REF!,"AAAAAD/PvZ0=")</f>
        <v>#REF!</v>
      </c>
      <c r="FC6" t="e">
        <f>AND(Answers!#REF!,"AAAAAD/PvZ4=")</f>
        <v>#REF!</v>
      </c>
      <c r="FD6" t="e">
        <f>AND(Answers!#REF!,"AAAAAD/PvZ8=")</f>
        <v>#REF!</v>
      </c>
      <c r="FE6" t="e">
        <f>AND(Answers!#REF!,"AAAAAD/PvaA=")</f>
        <v>#REF!</v>
      </c>
      <c r="FF6" t="e">
        <f>AND(Answers!#REF!,"AAAAAD/PvaE=")</f>
        <v>#REF!</v>
      </c>
      <c r="FG6" t="e">
        <f>AND(Answers!#REF!,"AAAAAD/PvaI=")</f>
        <v>#REF!</v>
      </c>
      <c r="FH6" t="e">
        <f>AND(Answers!#REF!,"AAAAAD/PvaM=")</f>
        <v>#REF!</v>
      </c>
      <c r="FI6" t="e">
        <f>AND(Answers!#REF!,"AAAAAD/PvaQ=")</f>
        <v>#REF!</v>
      </c>
      <c r="FJ6" t="e">
        <f>AND(Answers!#REF!,"AAAAAD/PvaU=")</f>
        <v>#REF!</v>
      </c>
      <c r="FK6" t="e">
        <f>AND(Answers!#REF!,"AAAAAD/PvaY=")</f>
        <v>#REF!</v>
      </c>
      <c r="FL6" t="e">
        <f>AND(Answers!#REF!,"AAAAAD/Pvac=")</f>
        <v>#REF!</v>
      </c>
      <c r="FM6" t="e">
        <f>AND(Answers!#REF!,"AAAAAD/Pvag=")</f>
        <v>#REF!</v>
      </c>
      <c r="FN6" t="e">
        <f>AND(Answers!#REF!,"AAAAAD/Pvak=")</f>
        <v>#REF!</v>
      </c>
      <c r="FO6" t="e">
        <f>AND(Answers!#REF!,"AAAAAD/Pvao=")</f>
        <v>#REF!</v>
      </c>
      <c r="FP6" t="e">
        <f>AND(Answers!#REF!,"AAAAAD/Pvas=")</f>
        <v>#REF!</v>
      </c>
      <c r="FQ6" t="e">
        <f>AND(Answers!#REF!,"AAAAAD/Pvaw=")</f>
        <v>#REF!</v>
      </c>
      <c r="FR6" t="e">
        <f>AND(Answers!#REF!,"AAAAAD/Pva0=")</f>
        <v>#REF!</v>
      </c>
      <c r="FS6" t="e">
        <f>AND(Answers!#REF!,"AAAAAD/Pva4=")</f>
        <v>#REF!</v>
      </c>
      <c r="FT6" t="e">
        <f>AND(Answers!#REF!,"AAAAAD/Pva8=")</f>
        <v>#REF!</v>
      </c>
      <c r="FU6" t="e">
        <f>AND(Answers!#REF!,"AAAAAD/PvbA=")</f>
        <v>#REF!</v>
      </c>
      <c r="FV6" t="e">
        <f>AND(Answers!#REF!,"AAAAAD/PvbE=")</f>
        <v>#REF!</v>
      </c>
      <c r="FW6" t="e">
        <f>AND(Answers!#REF!,"AAAAAD/PvbI=")</f>
        <v>#REF!</v>
      </c>
      <c r="FX6" t="e">
        <f>AND(Answers!#REF!,"AAAAAD/PvbM=")</f>
        <v>#REF!</v>
      </c>
      <c r="FY6" t="e">
        <f>AND(Answers!#REF!,"AAAAAD/PvbQ=")</f>
        <v>#REF!</v>
      </c>
      <c r="FZ6" t="e">
        <f>AND(Answers!#REF!,"AAAAAD/PvbU=")</f>
        <v>#REF!</v>
      </c>
      <c r="GA6" t="e">
        <f>AND(Answers!#REF!,"AAAAAD/PvbY=")</f>
        <v>#REF!</v>
      </c>
      <c r="GB6" t="e">
        <f>AND(Answers!#REF!,"AAAAAD/Pvbc=")</f>
        <v>#REF!</v>
      </c>
      <c r="GC6" t="e">
        <f>AND(Answers!#REF!,"AAAAAD/Pvbg=")</f>
        <v>#REF!</v>
      </c>
      <c r="GD6" t="e">
        <f>IF(Answers!#REF!,"AAAAAD/Pvbk=",0)</f>
        <v>#REF!</v>
      </c>
      <c r="GE6" t="e">
        <f>AND(Answers!#REF!,"AAAAAD/Pvbo=")</f>
        <v>#REF!</v>
      </c>
      <c r="GF6" t="e">
        <f>AND(Answers!#REF!,"AAAAAD/Pvbs=")</f>
        <v>#REF!</v>
      </c>
      <c r="GG6" t="e">
        <f>AND(Answers!#REF!,"AAAAAD/Pvbw=")</f>
        <v>#REF!</v>
      </c>
      <c r="GH6" t="e">
        <f>AND(Answers!#REF!,"AAAAAD/Pvb0=")</f>
        <v>#REF!</v>
      </c>
      <c r="GI6" t="e">
        <f>AND(Answers!#REF!,"AAAAAD/Pvb4=")</f>
        <v>#REF!</v>
      </c>
      <c r="GJ6" t="e">
        <f>AND(Answers!#REF!,"AAAAAD/Pvb8=")</f>
        <v>#REF!</v>
      </c>
      <c r="GK6" t="e">
        <f>AND(Answers!#REF!,"AAAAAD/PvcA=")</f>
        <v>#REF!</v>
      </c>
      <c r="GL6" t="e">
        <f>AND(Answers!#REF!,"AAAAAD/PvcE=")</f>
        <v>#REF!</v>
      </c>
      <c r="GM6" t="e">
        <f>AND(Answers!#REF!,"AAAAAD/PvcI=")</f>
        <v>#REF!</v>
      </c>
      <c r="GN6" t="e">
        <f>AND(Answers!#REF!,"AAAAAD/PvcM=")</f>
        <v>#REF!</v>
      </c>
      <c r="GO6" t="e">
        <f>AND(Answers!#REF!,"AAAAAD/PvcQ=")</f>
        <v>#REF!</v>
      </c>
      <c r="GP6" t="e">
        <f>AND(Answers!#REF!,"AAAAAD/PvcU=")</f>
        <v>#REF!</v>
      </c>
      <c r="GQ6" t="e">
        <f>AND(Answers!#REF!,"AAAAAD/PvcY=")</f>
        <v>#REF!</v>
      </c>
      <c r="GR6" t="e">
        <f>AND(Answers!#REF!,"AAAAAD/Pvcc=")</f>
        <v>#REF!</v>
      </c>
      <c r="GS6" t="e">
        <f>AND(Answers!#REF!,"AAAAAD/Pvcg=")</f>
        <v>#REF!</v>
      </c>
      <c r="GT6" t="e">
        <f>AND(Answers!#REF!,"AAAAAD/Pvck=")</f>
        <v>#REF!</v>
      </c>
      <c r="GU6" t="e">
        <f>AND(Answers!#REF!,"AAAAAD/Pvco=")</f>
        <v>#REF!</v>
      </c>
      <c r="GV6" t="e">
        <f>AND(Answers!#REF!,"AAAAAD/Pvcs=")</f>
        <v>#REF!</v>
      </c>
      <c r="GW6" t="e">
        <f>AND(Answers!#REF!,"AAAAAD/Pvcw=")</f>
        <v>#REF!</v>
      </c>
      <c r="GX6" t="e">
        <f>AND(Answers!#REF!,"AAAAAD/Pvc0=")</f>
        <v>#REF!</v>
      </c>
      <c r="GY6" t="e">
        <f>AND(Answers!#REF!,"AAAAAD/Pvc4=")</f>
        <v>#REF!</v>
      </c>
      <c r="GZ6" t="e">
        <f>AND(Answers!#REF!,"AAAAAD/Pvc8=")</f>
        <v>#REF!</v>
      </c>
      <c r="HA6" t="e">
        <f>AND(Answers!#REF!,"AAAAAD/PvdA=")</f>
        <v>#REF!</v>
      </c>
      <c r="HB6" t="e">
        <f>AND(Answers!#REF!,"AAAAAD/PvdE=")</f>
        <v>#REF!</v>
      </c>
      <c r="HC6" t="e">
        <f>AND(Answers!#REF!,"AAAAAD/PvdI=")</f>
        <v>#REF!</v>
      </c>
      <c r="HD6" t="e">
        <f>AND(Answers!#REF!,"AAAAAD/PvdM=")</f>
        <v>#REF!</v>
      </c>
      <c r="HE6" t="e">
        <f>AND(Answers!#REF!,"AAAAAD/PvdQ=")</f>
        <v>#REF!</v>
      </c>
      <c r="HF6" t="e">
        <f>AND(Answers!#REF!,"AAAAAD/PvdU=")</f>
        <v>#REF!</v>
      </c>
      <c r="HG6" t="e">
        <f>AND(Answers!#REF!,"AAAAAD/PvdY=")</f>
        <v>#REF!</v>
      </c>
      <c r="HH6" t="e">
        <f>AND(Answers!#REF!,"AAAAAD/Pvdc=")</f>
        <v>#REF!</v>
      </c>
      <c r="HI6" t="e">
        <f>AND(Answers!#REF!,"AAAAAD/Pvdg=")</f>
        <v>#REF!</v>
      </c>
      <c r="HJ6" t="e">
        <f>AND(Answers!#REF!,"AAAAAD/Pvdk=")</f>
        <v>#REF!</v>
      </c>
      <c r="HK6" t="e">
        <f>AND(Answers!#REF!,"AAAAAD/Pvdo=")</f>
        <v>#REF!</v>
      </c>
      <c r="HL6" t="e">
        <f>AND(Answers!#REF!,"AAAAAD/Pvds=")</f>
        <v>#REF!</v>
      </c>
      <c r="HM6" t="e">
        <f>AND(Answers!#REF!,"AAAAAD/Pvdw=")</f>
        <v>#REF!</v>
      </c>
      <c r="HN6" t="e">
        <f>AND(Answers!#REF!,"AAAAAD/Pvd0=")</f>
        <v>#REF!</v>
      </c>
      <c r="HO6" t="e">
        <f>AND(Answers!#REF!,"AAAAAD/Pvd4=")</f>
        <v>#REF!</v>
      </c>
      <c r="HP6" t="e">
        <f>AND(Answers!#REF!,"AAAAAD/Pvd8=")</f>
        <v>#REF!</v>
      </c>
      <c r="HQ6" t="e">
        <f>AND(Answers!#REF!,"AAAAAD/PveA=")</f>
        <v>#REF!</v>
      </c>
      <c r="HR6" t="e">
        <f>AND(Answers!#REF!,"AAAAAD/PveE=")</f>
        <v>#REF!</v>
      </c>
      <c r="HS6" t="e">
        <f>AND(Answers!#REF!,"AAAAAD/PveI=")</f>
        <v>#REF!</v>
      </c>
      <c r="HT6" t="e">
        <f>AND(Answers!#REF!,"AAAAAD/PveM=")</f>
        <v>#REF!</v>
      </c>
      <c r="HU6" t="e">
        <f>AND(Answers!#REF!,"AAAAAD/PveQ=")</f>
        <v>#REF!</v>
      </c>
      <c r="HV6" t="e">
        <f>AND(Answers!#REF!,"AAAAAD/PveU=")</f>
        <v>#REF!</v>
      </c>
      <c r="HW6" t="e">
        <f>AND(Answers!#REF!,"AAAAAD/PveY=")</f>
        <v>#REF!</v>
      </c>
      <c r="HX6" t="e">
        <f>AND(Answers!#REF!,"AAAAAD/Pvec=")</f>
        <v>#REF!</v>
      </c>
      <c r="HY6" t="e">
        <f>AND(Answers!#REF!,"AAAAAD/Pveg=")</f>
        <v>#REF!</v>
      </c>
      <c r="HZ6" t="e">
        <f>AND(Answers!#REF!,"AAAAAD/Pvek=")</f>
        <v>#REF!</v>
      </c>
      <c r="IA6" t="e">
        <f>AND(Answers!#REF!,"AAAAAD/Pveo=")</f>
        <v>#REF!</v>
      </c>
      <c r="IB6" t="e">
        <f>AND(Answers!#REF!,"AAAAAD/Pves=")</f>
        <v>#REF!</v>
      </c>
      <c r="IC6" t="e">
        <f>AND(Answers!#REF!,"AAAAAD/Pvew=")</f>
        <v>#REF!</v>
      </c>
      <c r="ID6" t="e">
        <f>AND(Answers!#REF!,"AAAAAD/Pve0=")</f>
        <v>#REF!</v>
      </c>
      <c r="IE6" t="e">
        <f>AND(Answers!#REF!,"AAAAAD/Pve4=")</f>
        <v>#REF!</v>
      </c>
      <c r="IF6" t="e">
        <f>AND(Answers!#REF!,"AAAAAD/Pve8=")</f>
        <v>#REF!</v>
      </c>
      <c r="IG6" t="e">
        <f>AND(Answers!#REF!,"AAAAAD/PvfA=")</f>
        <v>#REF!</v>
      </c>
      <c r="IH6" t="e">
        <f>AND(Answers!#REF!,"AAAAAD/PvfE=")</f>
        <v>#REF!</v>
      </c>
      <c r="II6" t="e">
        <f>AND(Answers!#REF!,"AAAAAD/PvfI=")</f>
        <v>#REF!</v>
      </c>
      <c r="IJ6" t="e">
        <f>AND(Answers!#REF!,"AAAAAD/PvfM=")</f>
        <v>#REF!</v>
      </c>
      <c r="IK6" t="e">
        <f>AND(Answers!#REF!,"AAAAAD/PvfQ=")</f>
        <v>#REF!</v>
      </c>
      <c r="IL6" t="e">
        <f>AND(Answers!#REF!,"AAAAAD/PvfU=")</f>
        <v>#REF!</v>
      </c>
      <c r="IM6" t="e">
        <f>AND(Answers!#REF!,"AAAAAD/PvfY=")</f>
        <v>#REF!</v>
      </c>
      <c r="IN6" t="e">
        <f>AND(Answers!#REF!,"AAAAAD/Pvfc=")</f>
        <v>#REF!</v>
      </c>
      <c r="IO6" t="e">
        <f>AND(Answers!#REF!,"AAAAAD/Pvfg=")</f>
        <v>#REF!</v>
      </c>
      <c r="IP6" t="e">
        <f>AND(Answers!#REF!,"AAAAAD/Pvfk=")</f>
        <v>#REF!</v>
      </c>
      <c r="IQ6" t="e">
        <f>AND(Answers!#REF!,"AAAAAD/Pvfo=")</f>
        <v>#REF!</v>
      </c>
      <c r="IR6" t="e">
        <f>AND(Answers!#REF!,"AAAAAD/Pvfs=")</f>
        <v>#REF!</v>
      </c>
      <c r="IS6" t="e">
        <f>AND(Answers!#REF!,"AAAAAD/Pvfw=")</f>
        <v>#REF!</v>
      </c>
      <c r="IT6" t="e">
        <f>IF(Answers!#REF!,"AAAAAD/Pvf0=",0)</f>
        <v>#REF!</v>
      </c>
      <c r="IU6" t="e">
        <f>AND(Answers!#REF!,"AAAAAD/Pvf4=")</f>
        <v>#REF!</v>
      </c>
      <c r="IV6" t="e">
        <f>AND(Answers!#REF!,"AAAAAD/Pvf8=")</f>
        <v>#REF!</v>
      </c>
    </row>
    <row r="7" spans="1:256" x14ac:dyDescent="0.15">
      <c r="A7" t="e">
        <f>AND(Answers!#REF!,"AAAAAB+mfwA=")</f>
        <v>#REF!</v>
      </c>
      <c r="B7" t="e">
        <f>AND(Answers!#REF!,"AAAAAB+mfwE=")</f>
        <v>#REF!</v>
      </c>
      <c r="C7" t="e">
        <f>AND(Answers!#REF!,"AAAAAB+mfwI=")</f>
        <v>#REF!</v>
      </c>
      <c r="D7" t="e">
        <f>AND(Answers!#REF!,"AAAAAB+mfwM=")</f>
        <v>#REF!</v>
      </c>
      <c r="E7" t="e">
        <f>AND(Answers!#REF!,"AAAAAB+mfwQ=")</f>
        <v>#REF!</v>
      </c>
      <c r="F7" t="e">
        <f>AND(Answers!#REF!,"AAAAAB+mfwU=")</f>
        <v>#REF!</v>
      </c>
      <c r="G7" t="e">
        <f>AND(Answers!#REF!,"AAAAAB+mfwY=")</f>
        <v>#REF!</v>
      </c>
      <c r="H7" t="e">
        <f>AND(Answers!#REF!,"AAAAAB+mfwc=")</f>
        <v>#REF!</v>
      </c>
      <c r="I7" t="e">
        <f>AND(Answers!#REF!,"AAAAAB+mfwg=")</f>
        <v>#REF!</v>
      </c>
      <c r="J7" t="e">
        <f>AND(Answers!#REF!,"AAAAAB+mfwk=")</f>
        <v>#REF!</v>
      </c>
      <c r="K7" t="e">
        <f>AND(Answers!#REF!,"AAAAAB+mfwo=")</f>
        <v>#REF!</v>
      </c>
      <c r="L7" t="e">
        <f>AND(Answers!#REF!,"AAAAAB+mfws=")</f>
        <v>#REF!</v>
      </c>
      <c r="M7" t="e">
        <f>AND(Answers!#REF!,"AAAAAB+mfww=")</f>
        <v>#REF!</v>
      </c>
      <c r="N7" t="e">
        <f>AND(Answers!#REF!,"AAAAAB+mfw0=")</f>
        <v>#REF!</v>
      </c>
      <c r="O7" t="e">
        <f>AND(Answers!#REF!,"AAAAAB+mfw4=")</f>
        <v>#REF!</v>
      </c>
      <c r="P7" t="e">
        <f>AND(Answers!#REF!,"AAAAAB+mfw8=")</f>
        <v>#REF!</v>
      </c>
      <c r="Q7" t="e">
        <f>AND(Answers!#REF!,"AAAAAB+mfxA=")</f>
        <v>#REF!</v>
      </c>
      <c r="R7" t="e">
        <f>AND(Answers!#REF!,"AAAAAB+mfxE=")</f>
        <v>#REF!</v>
      </c>
      <c r="S7" t="e">
        <f>AND(Answers!#REF!,"AAAAAB+mfxI=")</f>
        <v>#REF!</v>
      </c>
      <c r="T7" t="e">
        <f>AND(Answers!#REF!,"AAAAAB+mfxM=")</f>
        <v>#REF!</v>
      </c>
      <c r="U7" t="e">
        <f>AND(Answers!#REF!,"AAAAAB+mfxQ=")</f>
        <v>#REF!</v>
      </c>
      <c r="V7" t="e">
        <f>AND(Answers!#REF!,"AAAAAB+mfxU=")</f>
        <v>#REF!</v>
      </c>
      <c r="W7" t="e">
        <f>AND(Answers!#REF!,"AAAAAB+mfxY=")</f>
        <v>#REF!</v>
      </c>
      <c r="X7" t="e">
        <f>AND(Answers!#REF!,"AAAAAB+mfxc=")</f>
        <v>#REF!</v>
      </c>
      <c r="Y7" t="e">
        <f>AND(Answers!#REF!,"AAAAAB+mfxg=")</f>
        <v>#REF!</v>
      </c>
      <c r="Z7" t="e">
        <f>AND(Answers!#REF!,"AAAAAB+mfxk=")</f>
        <v>#REF!</v>
      </c>
      <c r="AA7" t="e">
        <f>AND(Answers!#REF!,"AAAAAB+mfxo=")</f>
        <v>#REF!</v>
      </c>
      <c r="AB7" t="e">
        <f>AND(Answers!#REF!,"AAAAAB+mfxs=")</f>
        <v>#REF!</v>
      </c>
      <c r="AC7" t="e">
        <f>AND(Answers!#REF!,"AAAAAB+mfxw=")</f>
        <v>#REF!</v>
      </c>
      <c r="AD7" t="e">
        <f>AND(Answers!#REF!,"AAAAAB+mfx0=")</f>
        <v>#REF!</v>
      </c>
      <c r="AE7" t="e">
        <f>AND(Answers!#REF!,"AAAAAB+mfx4=")</f>
        <v>#REF!</v>
      </c>
      <c r="AF7" t="e">
        <f>AND(Answers!#REF!,"AAAAAB+mfx8=")</f>
        <v>#REF!</v>
      </c>
      <c r="AG7" t="e">
        <f>AND(Answers!#REF!,"AAAAAB+mfyA=")</f>
        <v>#REF!</v>
      </c>
      <c r="AH7" t="e">
        <f>AND(Answers!#REF!,"AAAAAB+mfyE=")</f>
        <v>#REF!</v>
      </c>
      <c r="AI7" t="e">
        <f>AND(Answers!#REF!,"AAAAAB+mfyI=")</f>
        <v>#REF!</v>
      </c>
      <c r="AJ7" t="e">
        <f>AND(Answers!#REF!,"AAAAAB+mfyM=")</f>
        <v>#REF!</v>
      </c>
      <c r="AK7" t="e">
        <f>AND(Answers!#REF!,"AAAAAB+mfyQ=")</f>
        <v>#REF!</v>
      </c>
      <c r="AL7" t="e">
        <f>AND(Answers!#REF!,"AAAAAB+mfyU=")</f>
        <v>#REF!</v>
      </c>
      <c r="AM7" t="e">
        <f>AND(Answers!#REF!,"AAAAAB+mfyY=")</f>
        <v>#REF!</v>
      </c>
      <c r="AN7" t="e">
        <f>AND(Answers!#REF!,"AAAAAB+mfyc=")</f>
        <v>#REF!</v>
      </c>
      <c r="AO7" t="e">
        <f>AND(Answers!#REF!,"AAAAAB+mfyg=")</f>
        <v>#REF!</v>
      </c>
      <c r="AP7" t="e">
        <f>AND(Answers!#REF!,"AAAAAB+mfyk=")</f>
        <v>#REF!</v>
      </c>
      <c r="AQ7" t="e">
        <f>AND(Answers!#REF!,"AAAAAB+mfyo=")</f>
        <v>#REF!</v>
      </c>
      <c r="AR7" t="e">
        <f>AND(Answers!#REF!,"AAAAAB+mfys=")</f>
        <v>#REF!</v>
      </c>
      <c r="AS7" t="e">
        <f>AND(Answers!#REF!,"AAAAAB+mfyw=")</f>
        <v>#REF!</v>
      </c>
      <c r="AT7" t="e">
        <f>AND(Answers!#REF!,"AAAAAB+mfy0=")</f>
        <v>#REF!</v>
      </c>
      <c r="AU7" t="e">
        <f>AND(Answers!#REF!,"AAAAAB+mfy4=")</f>
        <v>#REF!</v>
      </c>
      <c r="AV7" t="e">
        <f>AND(Answers!#REF!,"AAAAAB+mfy8=")</f>
        <v>#REF!</v>
      </c>
      <c r="AW7" t="e">
        <f>AND(Answers!#REF!,"AAAAAB+mfzA=")</f>
        <v>#REF!</v>
      </c>
      <c r="AX7" t="e">
        <f>AND(Answers!#REF!,"AAAAAB+mfzE=")</f>
        <v>#REF!</v>
      </c>
      <c r="AY7" t="e">
        <f>AND(Answers!#REF!,"AAAAAB+mfzI=")</f>
        <v>#REF!</v>
      </c>
      <c r="AZ7" t="e">
        <f>AND(Answers!#REF!,"AAAAAB+mfzM=")</f>
        <v>#REF!</v>
      </c>
      <c r="BA7" t="e">
        <f>AND(Answers!#REF!,"AAAAAB+mfzQ=")</f>
        <v>#REF!</v>
      </c>
      <c r="BB7" t="e">
        <f>AND(Answers!#REF!,"AAAAAB+mfzU=")</f>
        <v>#REF!</v>
      </c>
      <c r="BC7" t="e">
        <f>AND(Answers!#REF!,"AAAAAB+mfzY=")</f>
        <v>#REF!</v>
      </c>
      <c r="BD7" t="e">
        <f>AND(Answers!#REF!,"AAAAAB+mfzc=")</f>
        <v>#REF!</v>
      </c>
      <c r="BE7" t="e">
        <f>AND(Answers!#REF!,"AAAAAB+mfzg=")</f>
        <v>#REF!</v>
      </c>
      <c r="BF7" t="e">
        <f>AND(Answers!#REF!,"AAAAAB+mfzk=")</f>
        <v>#REF!</v>
      </c>
      <c r="BG7" t="e">
        <f>AND(Answers!#REF!,"AAAAAB+mfzo=")</f>
        <v>#REF!</v>
      </c>
      <c r="BH7" t="e">
        <f>AND(Answers!#REF!,"AAAAAB+mfzs=")</f>
        <v>#REF!</v>
      </c>
      <c r="BI7" t="e">
        <f>AND(Answers!#REF!,"AAAAAB+mfzw=")</f>
        <v>#REF!</v>
      </c>
      <c r="BJ7" t="e">
        <f>AND(Answers!#REF!,"AAAAAB+mfz0=")</f>
        <v>#REF!</v>
      </c>
      <c r="BK7" t="e">
        <f>AND(Answers!#REF!,"AAAAAB+mfz4=")</f>
        <v>#REF!</v>
      </c>
      <c r="BL7" t="e">
        <f>AND(Answers!#REF!,"AAAAAB+mfz8=")</f>
        <v>#REF!</v>
      </c>
      <c r="BM7" t="e">
        <f>AND(Answers!#REF!,"AAAAAB+mf0A=")</f>
        <v>#REF!</v>
      </c>
      <c r="BN7" t="e">
        <f>IF(Answers!#REF!,"AAAAAB+mf0E=",0)</f>
        <v>#REF!</v>
      </c>
      <c r="BO7" t="e">
        <f>AND(Answers!#REF!,"AAAAAB+mf0I=")</f>
        <v>#REF!</v>
      </c>
      <c r="BP7" t="e">
        <f>AND(Answers!#REF!,"AAAAAB+mf0M=")</f>
        <v>#REF!</v>
      </c>
      <c r="BQ7" t="e">
        <f>AND(Answers!#REF!,"AAAAAB+mf0Q=")</f>
        <v>#REF!</v>
      </c>
      <c r="BR7" t="e">
        <f>AND(Answers!#REF!,"AAAAAB+mf0U=")</f>
        <v>#REF!</v>
      </c>
      <c r="BS7" t="e">
        <f>AND(Answers!#REF!,"AAAAAB+mf0Y=")</f>
        <v>#REF!</v>
      </c>
      <c r="BT7" t="e">
        <f>AND(Answers!#REF!,"AAAAAB+mf0c=")</f>
        <v>#REF!</v>
      </c>
      <c r="BU7" t="e">
        <f>AND(Answers!#REF!,"AAAAAB+mf0g=")</f>
        <v>#REF!</v>
      </c>
      <c r="BV7" t="e">
        <f>AND(Answers!#REF!,"AAAAAB+mf0k=")</f>
        <v>#REF!</v>
      </c>
      <c r="BW7" t="e">
        <f>AND(Answers!#REF!,"AAAAAB+mf0o=")</f>
        <v>#REF!</v>
      </c>
      <c r="BX7" t="e">
        <f>AND(Answers!#REF!,"AAAAAB+mf0s=")</f>
        <v>#REF!</v>
      </c>
      <c r="BY7" t="e">
        <f>AND(Answers!#REF!,"AAAAAB+mf0w=")</f>
        <v>#REF!</v>
      </c>
      <c r="BZ7" t="e">
        <f>AND(Answers!#REF!,"AAAAAB+mf00=")</f>
        <v>#REF!</v>
      </c>
      <c r="CA7" t="e">
        <f>AND(Answers!#REF!,"AAAAAB+mf04=")</f>
        <v>#REF!</v>
      </c>
      <c r="CB7" t="e">
        <f>AND(Answers!#REF!,"AAAAAB+mf08=")</f>
        <v>#REF!</v>
      </c>
      <c r="CC7" t="e">
        <f>AND(Answers!#REF!,"AAAAAB+mf1A=")</f>
        <v>#REF!</v>
      </c>
      <c r="CD7" t="e">
        <f>AND(Answers!#REF!,"AAAAAB+mf1E=")</f>
        <v>#REF!</v>
      </c>
      <c r="CE7" t="e">
        <f>AND(Answers!#REF!,"AAAAAB+mf1I=")</f>
        <v>#REF!</v>
      </c>
      <c r="CF7" t="e">
        <f>AND(Answers!#REF!,"AAAAAB+mf1M=")</f>
        <v>#REF!</v>
      </c>
      <c r="CG7" t="e">
        <f>AND(Answers!#REF!,"AAAAAB+mf1Q=")</f>
        <v>#REF!</v>
      </c>
      <c r="CH7" t="e">
        <f>AND(Answers!#REF!,"AAAAAB+mf1U=")</f>
        <v>#REF!</v>
      </c>
      <c r="CI7" t="e">
        <f>AND(Answers!#REF!,"AAAAAB+mf1Y=")</f>
        <v>#REF!</v>
      </c>
      <c r="CJ7" t="e">
        <f>AND(Answers!#REF!,"AAAAAB+mf1c=")</f>
        <v>#REF!</v>
      </c>
      <c r="CK7" t="e">
        <f>AND(Answers!#REF!,"AAAAAB+mf1g=")</f>
        <v>#REF!</v>
      </c>
      <c r="CL7" t="e">
        <f>AND(Answers!#REF!,"AAAAAB+mf1k=")</f>
        <v>#REF!</v>
      </c>
      <c r="CM7" t="e">
        <f>AND(Answers!#REF!,"AAAAAB+mf1o=")</f>
        <v>#REF!</v>
      </c>
      <c r="CN7" t="e">
        <f>AND(Answers!#REF!,"AAAAAB+mf1s=")</f>
        <v>#REF!</v>
      </c>
      <c r="CO7" t="e">
        <f>AND(Answers!#REF!,"AAAAAB+mf1w=")</f>
        <v>#REF!</v>
      </c>
      <c r="CP7" t="e">
        <f>AND(Answers!#REF!,"AAAAAB+mf10=")</f>
        <v>#REF!</v>
      </c>
      <c r="CQ7" t="e">
        <f>AND(Answers!#REF!,"AAAAAB+mf14=")</f>
        <v>#REF!</v>
      </c>
      <c r="CR7" t="e">
        <f>AND(Answers!#REF!,"AAAAAB+mf18=")</f>
        <v>#REF!</v>
      </c>
      <c r="CS7" t="e">
        <f>AND(Answers!#REF!,"AAAAAB+mf2A=")</f>
        <v>#REF!</v>
      </c>
      <c r="CT7" t="e">
        <f>AND(Answers!#REF!,"AAAAAB+mf2E=")</f>
        <v>#REF!</v>
      </c>
      <c r="CU7" t="e">
        <f>AND(Answers!#REF!,"AAAAAB+mf2I=")</f>
        <v>#REF!</v>
      </c>
      <c r="CV7" t="e">
        <f>AND(Answers!#REF!,"AAAAAB+mf2M=")</f>
        <v>#REF!</v>
      </c>
      <c r="CW7" t="e">
        <f>AND(Answers!#REF!,"AAAAAB+mf2Q=")</f>
        <v>#REF!</v>
      </c>
      <c r="CX7" t="e">
        <f>AND(Answers!#REF!,"AAAAAB+mf2U=")</f>
        <v>#REF!</v>
      </c>
      <c r="CY7" t="e">
        <f>AND(Answers!#REF!,"AAAAAB+mf2Y=")</f>
        <v>#REF!</v>
      </c>
      <c r="CZ7" t="e">
        <f>AND(Answers!#REF!,"AAAAAB+mf2c=")</f>
        <v>#REF!</v>
      </c>
      <c r="DA7" t="e">
        <f>AND(Answers!#REF!,"AAAAAB+mf2g=")</f>
        <v>#REF!</v>
      </c>
      <c r="DB7" t="e">
        <f>AND(Answers!#REF!,"AAAAAB+mf2k=")</f>
        <v>#REF!</v>
      </c>
      <c r="DC7" t="e">
        <f>AND(Answers!#REF!,"AAAAAB+mf2o=")</f>
        <v>#REF!</v>
      </c>
      <c r="DD7" t="e">
        <f>AND(Answers!#REF!,"AAAAAB+mf2s=")</f>
        <v>#REF!</v>
      </c>
      <c r="DE7" t="e">
        <f>AND(Answers!#REF!,"AAAAAB+mf2w=")</f>
        <v>#REF!</v>
      </c>
      <c r="DF7" t="e">
        <f>AND(Answers!#REF!,"AAAAAB+mf20=")</f>
        <v>#REF!</v>
      </c>
      <c r="DG7" t="e">
        <f>AND(Answers!#REF!,"AAAAAB+mf24=")</f>
        <v>#REF!</v>
      </c>
      <c r="DH7" t="e">
        <f>AND(Answers!#REF!,"AAAAAB+mf28=")</f>
        <v>#REF!</v>
      </c>
      <c r="DI7" t="e">
        <f>AND(Answers!#REF!,"AAAAAB+mf3A=")</f>
        <v>#REF!</v>
      </c>
      <c r="DJ7" t="e">
        <f>AND(Answers!#REF!,"AAAAAB+mf3E=")</f>
        <v>#REF!</v>
      </c>
      <c r="DK7" t="e">
        <f>AND(Answers!#REF!,"AAAAAB+mf3I=")</f>
        <v>#REF!</v>
      </c>
      <c r="DL7" t="e">
        <f>AND(Answers!#REF!,"AAAAAB+mf3M=")</f>
        <v>#REF!</v>
      </c>
      <c r="DM7" t="e">
        <f>AND(Answers!#REF!,"AAAAAB+mf3Q=")</f>
        <v>#REF!</v>
      </c>
      <c r="DN7" t="e">
        <f>AND(Answers!#REF!,"AAAAAB+mf3U=")</f>
        <v>#REF!</v>
      </c>
      <c r="DO7" t="e">
        <f>AND(Answers!#REF!,"AAAAAB+mf3Y=")</f>
        <v>#REF!</v>
      </c>
      <c r="DP7" t="e">
        <f>AND(Answers!#REF!,"AAAAAB+mf3c=")</f>
        <v>#REF!</v>
      </c>
      <c r="DQ7" t="e">
        <f>AND(Answers!#REF!,"AAAAAB+mf3g=")</f>
        <v>#REF!</v>
      </c>
      <c r="DR7" t="e">
        <f>AND(Answers!#REF!,"AAAAAB+mf3k=")</f>
        <v>#REF!</v>
      </c>
      <c r="DS7" t="e">
        <f>AND(Answers!#REF!,"AAAAAB+mf3o=")</f>
        <v>#REF!</v>
      </c>
      <c r="DT7" t="e">
        <f>AND(Answers!#REF!,"AAAAAB+mf3s=")</f>
        <v>#REF!</v>
      </c>
      <c r="DU7" t="e">
        <f>AND(Answers!#REF!,"AAAAAB+mf3w=")</f>
        <v>#REF!</v>
      </c>
      <c r="DV7" t="e">
        <f>AND(Answers!#REF!,"AAAAAB+mf30=")</f>
        <v>#REF!</v>
      </c>
      <c r="DW7" t="e">
        <f>AND(Answers!#REF!,"AAAAAB+mf34=")</f>
        <v>#REF!</v>
      </c>
      <c r="DX7" t="e">
        <f>AND(Answers!#REF!,"AAAAAB+mf38=")</f>
        <v>#REF!</v>
      </c>
      <c r="DY7" t="e">
        <f>AND(Answers!#REF!,"AAAAAB+mf4A=")</f>
        <v>#REF!</v>
      </c>
      <c r="DZ7" t="e">
        <f>AND(Answers!#REF!,"AAAAAB+mf4E=")</f>
        <v>#REF!</v>
      </c>
      <c r="EA7" t="e">
        <f>AND(Answers!#REF!,"AAAAAB+mf4I=")</f>
        <v>#REF!</v>
      </c>
      <c r="EB7" t="e">
        <f>AND(Answers!#REF!,"AAAAAB+mf4M=")</f>
        <v>#REF!</v>
      </c>
      <c r="EC7" t="e">
        <f>AND(Answers!#REF!,"AAAAAB+mf4Q=")</f>
        <v>#REF!</v>
      </c>
      <c r="ED7" t="e">
        <f>IF(Answers!#REF!,"AAAAAB+mf4U=",0)</f>
        <v>#REF!</v>
      </c>
      <c r="EE7" t="e">
        <f>AND(Answers!#REF!,"AAAAAB+mf4Y=")</f>
        <v>#REF!</v>
      </c>
      <c r="EF7" t="e">
        <f>AND(Answers!#REF!,"AAAAAB+mf4c=")</f>
        <v>#REF!</v>
      </c>
      <c r="EG7" t="e">
        <f>AND(Answers!#REF!,"AAAAAB+mf4g=")</f>
        <v>#REF!</v>
      </c>
      <c r="EH7" t="e">
        <f>AND(Answers!#REF!,"AAAAAB+mf4k=")</f>
        <v>#REF!</v>
      </c>
      <c r="EI7" t="e">
        <f>AND(Answers!#REF!,"AAAAAB+mf4o=")</f>
        <v>#REF!</v>
      </c>
      <c r="EJ7" t="e">
        <f>AND(Answers!#REF!,"AAAAAB+mf4s=")</f>
        <v>#REF!</v>
      </c>
      <c r="EK7" t="e">
        <f>AND(Answers!#REF!,"AAAAAB+mf4w=")</f>
        <v>#REF!</v>
      </c>
      <c r="EL7" t="e">
        <f>AND(Answers!#REF!,"AAAAAB+mf40=")</f>
        <v>#REF!</v>
      </c>
      <c r="EM7" t="e">
        <f>AND(Answers!#REF!,"AAAAAB+mf44=")</f>
        <v>#REF!</v>
      </c>
      <c r="EN7" t="e">
        <f>AND(Answers!#REF!,"AAAAAB+mf48=")</f>
        <v>#REF!</v>
      </c>
      <c r="EO7" t="e">
        <f>AND(Answers!#REF!,"AAAAAB+mf5A=")</f>
        <v>#REF!</v>
      </c>
      <c r="EP7" t="e">
        <f>AND(Answers!#REF!,"AAAAAB+mf5E=")</f>
        <v>#REF!</v>
      </c>
      <c r="EQ7" t="e">
        <f>AND(Answers!#REF!,"AAAAAB+mf5I=")</f>
        <v>#REF!</v>
      </c>
      <c r="ER7" t="e">
        <f>AND(Answers!#REF!,"AAAAAB+mf5M=")</f>
        <v>#REF!</v>
      </c>
      <c r="ES7" t="e">
        <f>AND(Answers!#REF!,"AAAAAB+mf5Q=")</f>
        <v>#REF!</v>
      </c>
      <c r="ET7" t="e">
        <f>AND(Answers!#REF!,"AAAAAB+mf5U=")</f>
        <v>#REF!</v>
      </c>
      <c r="EU7" t="e">
        <f>AND(Answers!#REF!,"AAAAAB+mf5Y=")</f>
        <v>#REF!</v>
      </c>
      <c r="EV7" t="e">
        <f>AND(Answers!#REF!,"AAAAAB+mf5c=")</f>
        <v>#REF!</v>
      </c>
      <c r="EW7" t="e">
        <f>AND(Answers!#REF!,"AAAAAB+mf5g=")</f>
        <v>#REF!</v>
      </c>
      <c r="EX7" t="e">
        <f>AND(Answers!#REF!,"AAAAAB+mf5k=")</f>
        <v>#REF!</v>
      </c>
      <c r="EY7" t="e">
        <f>AND(Answers!#REF!,"AAAAAB+mf5o=")</f>
        <v>#REF!</v>
      </c>
      <c r="EZ7" t="e">
        <f>AND(Answers!#REF!,"AAAAAB+mf5s=")</f>
        <v>#REF!</v>
      </c>
      <c r="FA7" t="e">
        <f>AND(Answers!#REF!,"AAAAAB+mf5w=")</f>
        <v>#REF!</v>
      </c>
      <c r="FB7" t="e">
        <f>AND(Answers!#REF!,"AAAAAB+mf50=")</f>
        <v>#REF!</v>
      </c>
      <c r="FC7" t="e">
        <f>AND(Answers!#REF!,"AAAAAB+mf54=")</f>
        <v>#REF!</v>
      </c>
      <c r="FD7" t="e">
        <f>AND(Answers!#REF!,"AAAAAB+mf58=")</f>
        <v>#REF!</v>
      </c>
      <c r="FE7" t="e">
        <f>AND(Answers!#REF!,"AAAAAB+mf6A=")</f>
        <v>#REF!</v>
      </c>
      <c r="FF7" t="e">
        <f>AND(Answers!#REF!,"AAAAAB+mf6E=")</f>
        <v>#REF!</v>
      </c>
      <c r="FG7" t="e">
        <f>AND(Answers!#REF!,"AAAAAB+mf6I=")</f>
        <v>#REF!</v>
      </c>
      <c r="FH7" t="e">
        <f>AND(Answers!#REF!,"AAAAAB+mf6M=")</f>
        <v>#REF!</v>
      </c>
      <c r="FI7" t="e">
        <f>AND(Answers!#REF!,"AAAAAB+mf6Q=")</f>
        <v>#REF!</v>
      </c>
      <c r="FJ7" t="e">
        <f>AND(Answers!#REF!,"AAAAAB+mf6U=")</f>
        <v>#REF!</v>
      </c>
      <c r="FK7" t="e">
        <f>AND(Answers!#REF!,"AAAAAB+mf6Y=")</f>
        <v>#REF!</v>
      </c>
      <c r="FL7" t="e">
        <f>AND(Answers!#REF!,"AAAAAB+mf6c=")</f>
        <v>#REF!</v>
      </c>
      <c r="FM7" t="e">
        <f>AND(Answers!#REF!,"AAAAAB+mf6g=")</f>
        <v>#REF!</v>
      </c>
      <c r="FN7" t="e">
        <f>AND(Answers!#REF!,"AAAAAB+mf6k=")</f>
        <v>#REF!</v>
      </c>
      <c r="FO7" t="e">
        <f>AND(Answers!#REF!,"AAAAAB+mf6o=")</f>
        <v>#REF!</v>
      </c>
      <c r="FP7" t="e">
        <f>AND(Answers!#REF!,"AAAAAB+mf6s=")</f>
        <v>#REF!</v>
      </c>
      <c r="FQ7" t="e">
        <f>AND(Answers!#REF!,"AAAAAB+mf6w=")</f>
        <v>#REF!</v>
      </c>
      <c r="FR7" t="e">
        <f>AND(Answers!#REF!,"AAAAAB+mf60=")</f>
        <v>#REF!</v>
      </c>
      <c r="FS7" t="e">
        <f>AND(Answers!#REF!,"AAAAAB+mf64=")</f>
        <v>#REF!</v>
      </c>
      <c r="FT7" t="e">
        <f>AND(Answers!#REF!,"AAAAAB+mf68=")</f>
        <v>#REF!</v>
      </c>
      <c r="FU7" t="e">
        <f>AND(Answers!#REF!,"AAAAAB+mf7A=")</f>
        <v>#REF!</v>
      </c>
      <c r="FV7" t="e">
        <f>AND(Answers!#REF!,"AAAAAB+mf7E=")</f>
        <v>#REF!</v>
      </c>
      <c r="FW7" t="e">
        <f>AND(Answers!#REF!,"AAAAAB+mf7I=")</f>
        <v>#REF!</v>
      </c>
      <c r="FX7" t="e">
        <f>AND(Answers!#REF!,"AAAAAB+mf7M=")</f>
        <v>#REF!</v>
      </c>
      <c r="FY7" t="e">
        <f>AND(Answers!#REF!,"AAAAAB+mf7Q=")</f>
        <v>#REF!</v>
      </c>
      <c r="FZ7" t="e">
        <f>AND(Answers!#REF!,"AAAAAB+mf7U=")</f>
        <v>#REF!</v>
      </c>
      <c r="GA7" t="e">
        <f>AND(Answers!#REF!,"AAAAAB+mf7Y=")</f>
        <v>#REF!</v>
      </c>
      <c r="GB7" t="e">
        <f>AND(Answers!#REF!,"AAAAAB+mf7c=")</f>
        <v>#REF!</v>
      </c>
      <c r="GC7" t="e">
        <f>AND(Answers!#REF!,"AAAAAB+mf7g=")</f>
        <v>#REF!</v>
      </c>
      <c r="GD7" t="e">
        <f>AND(Answers!#REF!,"AAAAAB+mf7k=")</f>
        <v>#REF!</v>
      </c>
      <c r="GE7" t="e">
        <f>AND(Answers!#REF!,"AAAAAB+mf7o=")</f>
        <v>#REF!</v>
      </c>
      <c r="GF7" t="e">
        <f>AND(Answers!#REF!,"AAAAAB+mf7s=")</f>
        <v>#REF!</v>
      </c>
      <c r="GG7" t="e">
        <f>AND(Answers!#REF!,"AAAAAB+mf7w=")</f>
        <v>#REF!</v>
      </c>
      <c r="GH7" t="e">
        <f>AND(Answers!#REF!,"AAAAAB+mf70=")</f>
        <v>#REF!</v>
      </c>
      <c r="GI7" t="e">
        <f>AND(Answers!#REF!,"AAAAAB+mf74=")</f>
        <v>#REF!</v>
      </c>
      <c r="GJ7" t="e">
        <f>AND(Answers!#REF!,"AAAAAB+mf78=")</f>
        <v>#REF!</v>
      </c>
      <c r="GK7" t="e">
        <f>AND(Answers!#REF!,"AAAAAB+mf8A=")</f>
        <v>#REF!</v>
      </c>
      <c r="GL7" t="e">
        <f>AND(Answers!#REF!,"AAAAAB+mf8E=")</f>
        <v>#REF!</v>
      </c>
      <c r="GM7" t="e">
        <f>AND(Answers!#REF!,"AAAAAB+mf8I=")</f>
        <v>#REF!</v>
      </c>
      <c r="GN7" t="e">
        <f>AND(Answers!#REF!,"AAAAAB+mf8M=")</f>
        <v>#REF!</v>
      </c>
      <c r="GO7" t="e">
        <f>AND(Answers!#REF!,"AAAAAB+mf8Q=")</f>
        <v>#REF!</v>
      </c>
      <c r="GP7" t="e">
        <f>AND(Answers!#REF!,"AAAAAB+mf8U=")</f>
        <v>#REF!</v>
      </c>
      <c r="GQ7" t="e">
        <f>AND(Answers!#REF!,"AAAAAB+mf8Y=")</f>
        <v>#REF!</v>
      </c>
      <c r="GR7" t="e">
        <f>AND(Answers!#REF!,"AAAAAB+mf8c=")</f>
        <v>#REF!</v>
      </c>
      <c r="GS7" t="e">
        <f>AND(Answers!#REF!,"AAAAAB+mf8g=")</f>
        <v>#REF!</v>
      </c>
      <c r="GT7" t="e">
        <f>IF(Answers!#REF!,"AAAAAB+mf8k=",0)</f>
        <v>#REF!</v>
      </c>
      <c r="GU7" t="e">
        <f>AND(Answers!#REF!,"AAAAAB+mf8o=")</f>
        <v>#REF!</v>
      </c>
      <c r="GV7" t="e">
        <f>AND(Answers!#REF!,"AAAAAB+mf8s=")</f>
        <v>#REF!</v>
      </c>
      <c r="GW7" t="e">
        <f>AND(Answers!#REF!,"AAAAAB+mf8w=")</f>
        <v>#REF!</v>
      </c>
      <c r="GX7" t="e">
        <f>AND(Answers!#REF!,"AAAAAB+mf80=")</f>
        <v>#REF!</v>
      </c>
      <c r="GY7" t="e">
        <f>AND(Answers!#REF!,"AAAAAB+mf84=")</f>
        <v>#REF!</v>
      </c>
      <c r="GZ7" t="e">
        <f>AND(Answers!#REF!,"AAAAAB+mf88=")</f>
        <v>#REF!</v>
      </c>
      <c r="HA7" t="e">
        <f>AND(Answers!#REF!,"AAAAAB+mf9A=")</f>
        <v>#REF!</v>
      </c>
      <c r="HB7" t="e">
        <f>AND(Answers!#REF!,"AAAAAB+mf9E=")</f>
        <v>#REF!</v>
      </c>
      <c r="HC7" t="e">
        <f>AND(Answers!#REF!,"AAAAAB+mf9I=")</f>
        <v>#REF!</v>
      </c>
      <c r="HD7" t="e">
        <f>AND(Answers!#REF!,"AAAAAB+mf9M=")</f>
        <v>#REF!</v>
      </c>
      <c r="HE7" t="e">
        <f>AND(Answers!#REF!,"AAAAAB+mf9Q=")</f>
        <v>#REF!</v>
      </c>
      <c r="HF7" t="e">
        <f>AND(Answers!#REF!,"AAAAAB+mf9U=")</f>
        <v>#REF!</v>
      </c>
      <c r="HG7" t="e">
        <f>AND(Answers!#REF!,"AAAAAB+mf9Y=")</f>
        <v>#REF!</v>
      </c>
      <c r="HH7" t="e">
        <f>AND(Answers!#REF!,"AAAAAB+mf9c=")</f>
        <v>#REF!</v>
      </c>
      <c r="HI7" t="e">
        <f>AND(Answers!#REF!,"AAAAAB+mf9g=")</f>
        <v>#REF!</v>
      </c>
      <c r="HJ7" t="e">
        <f>AND(Answers!#REF!,"AAAAAB+mf9k=")</f>
        <v>#REF!</v>
      </c>
      <c r="HK7" t="e">
        <f>AND(Answers!#REF!,"AAAAAB+mf9o=")</f>
        <v>#REF!</v>
      </c>
      <c r="HL7" t="e">
        <f>AND(Answers!#REF!,"AAAAAB+mf9s=")</f>
        <v>#REF!</v>
      </c>
      <c r="HM7" t="e">
        <f>AND(Answers!#REF!,"AAAAAB+mf9w=")</f>
        <v>#REF!</v>
      </c>
      <c r="HN7" t="e">
        <f>AND(Answers!#REF!,"AAAAAB+mf90=")</f>
        <v>#REF!</v>
      </c>
      <c r="HO7" t="e">
        <f>AND(Answers!#REF!,"AAAAAB+mf94=")</f>
        <v>#REF!</v>
      </c>
      <c r="HP7" t="e">
        <f>AND(Answers!#REF!,"AAAAAB+mf98=")</f>
        <v>#REF!</v>
      </c>
      <c r="HQ7" t="e">
        <f>AND(Answers!#REF!,"AAAAAB+mf+A=")</f>
        <v>#REF!</v>
      </c>
      <c r="HR7" t="e">
        <f>AND(Answers!#REF!,"AAAAAB+mf+E=")</f>
        <v>#REF!</v>
      </c>
      <c r="HS7" t="e">
        <f>AND(Answers!#REF!,"AAAAAB+mf+I=")</f>
        <v>#REF!</v>
      </c>
      <c r="HT7" t="e">
        <f>AND(Answers!#REF!,"AAAAAB+mf+M=")</f>
        <v>#REF!</v>
      </c>
      <c r="HU7" t="e">
        <f>AND(Answers!#REF!,"AAAAAB+mf+Q=")</f>
        <v>#REF!</v>
      </c>
      <c r="HV7" t="e">
        <f>AND(Answers!#REF!,"AAAAAB+mf+U=")</f>
        <v>#REF!</v>
      </c>
      <c r="HW7" t="e">
        <f>AND(Answers!#REF!,"AAAAAB+mf+Y=")</f>
        <v>#REF!</v>
      </c>
      <c r="HX7" t="e">
        <f>AND(Answers!#REF!,"AAAAAB+mf+c=")</f>
        <v>#REF!</v>
      </c>
      <c r="HY7" t="e">
        <f>AND(Answers!#REF!,"AAAAAB+mf+g=")</f>
        <v>#REF!</v>
      </c>
      <c r="HZ7" t="e">
        <f>AND(Answers!#REF!,"AAAAAB+mf+k=")</f>
        <v>#REF!</v>
      </c>
      <c r="IA7" t="e">
        <f>AND(Answers!#REF!,"AAAAAB+mf+o=")</f>
        <v>#REF!</v>
      </c>
      <c r="IB7" t="e">
        <f>AND(Answers!#REF!,"AAAAAB+mf+s=")</f>
        <v>#REF!</v>
      </c>
      <c r="IC7" t="e">
        <f>AND(Answers!#REF!,"AAAAAB+mf+w=")</f>
        <v>#REF!</v>
      </c>
      <c r="ID7" t="e">
        <f>AND(Answers!#REF!,"AAAAAB+mf+0=")</f>
        <v>#REF!</v>
      </c>
      <c r="IE7" t="e">
        <f>AND(Answers!#REF!,"AAAAAB+mf+4=")</f>
        <v>#REF!</v>
      </c>
      <c r="IF7" t="e">
        <f>AND(Answers!#REF!,"AAAAAB+mf+8=")</f>
        <v>#REF!</v>
      </c>
      <c r="IG7" t="e">
        <f>AND(Answers!#REF!,"AAAAAB+mf/A=")</f>
        <v>#REF!</v>
      </c>
      <c r="IH7" t="e">
        <f>AND(Answers!#REF!,"AAAAAB+mf/E=")</f>
        <v>#REF!</v>
      </c>
      <c r="II7" t="e">
        <f>AND(Answers!#REF!,"AAAAAB+mf/I=")</f>
        <v>#REF!</v>
      </c>
      <c r="IJ7" t="e">
        <f>AND(Answers!#REF!,"AAAAAB+mf/M=")</f>
        <v>#REF!</v>
      </c>
      <c r="IK7" t="e">
        <f>AND(Answers!#REF!,"AAAAAB+mf/Q=")</f>
        <v>#REF!</v>
      </c>
      <c r="IL7" t="e">
        <f>AND(Answers!#REF!,"AAAAAB+mf/U=")</f>
        <v>#REF!</v>
      </c>
      <c r="IM7" t="e">
        <f>AND(Answers!#REF!,"AAAAAB+mf/Y=")</f>
        <v>#REF!</v>
      </c>
      <c r="IN7" t="e">
        <f>AND(Answers!#REF!,"AAAAAB+mf/c=")</f>
        <v>#REF!</v>
      </c>
      <c r="IO7" t="e">
        <f>AND(Answers!#REF!,"AAAAAB+mf/g=")</f>
        <v>#REF!</v>
      </c>
      <c r="IP7" t="e">
        <f>AND(Answers!#REF!,"AAAAAB+mf/k=")</f>
        <v>#REF!</v>
      </c>
      <c r="IQ7" t="e">
        <f>AND(Answers!#REF!,"AAAAAB+mf/o=")</f>
        <v>#REF!</v>
      </c>
      <c r="IR7" t="e">
        <f>AND(Answers!#REF!,"AAAAAB+mf/s=")</f>
        <v>#REF!</v>
      </c>
      <c r="IS7" t="e">
        <f>AND(Answers!#REF!,"AAAAAB+mf/w=")</f>
        <v>#REF!</v>
      </c>
      <c r="IT7" t="e">
        <f>AND(Answers!#REF!,"AAAAAB+mf/0=")</f>
        <v>#REF!</v>
      </c>
      <c r="IU7" t="e">
        <f>AND(Answers!#REF!,"AAAAAB+mf/4=")</f>
        <v>#REF!</v>
      </c>
      <c r="IV7" t="e">
        <f>AND(Answers!#REF!,"AAAAAB+mf/8=")</f>
        <v>#REF!</v>
      </c>
    </row>
    <row r="8" spans="1:256" x14ac:dyDescent="0.15">
      <c r="A8" t="e">
        <f>AND(Answers!#REF!,"AAAAAF7//QA=")</f>
        <v>#REF!</v>
      </c>
      <c r="B8" t="e">
        <f>AND(Answers!#REF!,"AAAAAF7//QE=")</f>
        <v>#REF!</v>
      </c>
      <c r="C8" t="e">
        <f>AND(Answers!#REF!,"AAAAAF7//QI=")</f>
        <v>#REF!</v>
      </c>
      <c r="D8" t="e">
        <f>AND(Answers!#REF!,"AAAAAF7//QM=")</f>
        <v>#REF!</v>
      </c>
      <c r="E8" t="e">
        <f>AND(Answers!#REF!,"AAAAAF7//QQ=")</f>
        <v>#REF!</v>
      </c>
      <c r="F8" t="e">
        <f>AND(Answers!#REF!,"AAAAAF7//QU=")</f>
        <v>#REF!</v>
      </c>
      <c r="G8" t="e">
        <f>AND(Answers!#REF!,"AAAAAF7//QY=")</f>
        <v>#REF!</v>
      </c>
      <c r="H8" t="e">
        <f>AND(Answers!#REF!,"AAAAAF7//Qc=")</f>
        <v>#REF!</v>
      </c>
      <c r="I8" t="e">
        <f>AND(Answers!#REF!,"AAAAAF7//Qg=")</f>
        <v>#REF!</v>
      </c>
      <c r="J8" t="e">
        <f>AND(Answers!#REF!,"AAAAAF7//Qk=")</f>
        <v>#REF!</v>
      </c>
      <c r="K8" t="e">
        <f>AND(Answers!#REF!,"AAAAAF7//Qo=")</f>
        <v>#REF!</v>
      </c>
      <c r="L8" t="e">
        <f>AND(Answers!#REF!,"AAAAAF7//Qs=")</f>
        <v>#REF!</v>
      </c>
      <c r="M8" t="e">
        <f>AND(Answers!#REF!,"AAAAAF7//Qw=")</f>
        <v>#REF!</v>
      </c>
      <c r="N8" t="e">
        <f>IF(Answers!#REF!,"AAAAAF7//Q0=",0)</f>
        <v>#REF!</v>
      </c>
      <c r="O8" t="e">
        <f>AND(Answers!#REF!,"AAAAAF7//Q4=")</f>
        <v>#REF!</v>
      </c>
      <c r="P8" t="e">
        <f>AND(Answers!#REF!,"AAAAAF7//Q8=")</f>
        <v>#REF!</v>
      </c>
      <c r="Q8" t="e">
        <f>AND(Answers!#REF!,"AAAAAF7//RA=")</f>
        <v>#REF!</v>
      </c>
      <c r="R8" t="e">
        <f>AND(Answers!#REF!,"AAAAAF7//RE=")</f>
        <v>#REF!</v>
      </c>
      <c r="S8" t="e">
        <f>AND(Answers!#REF!,"AAAAAF7//RI=")</f>
        <v>#REF!</v>
      </c>
      <c r="T8" t="e">
        <f>AND(Answers!#REF!,"AAAAAF7//RM=")</f>
        <v>#REF!</v>
      </c>
      <c r="U8" t="e">
        <f>AND(Answers!#REF!,"AAAAAF7//RQ=")</f>
        <v>#REF!</v>
      </c>
      <c r="V8" t="e">
        <f>AND(Answers!#REF!,"AAAAAF7//RU=")</f>
        <v>#REF!</v>
      </c>
      <c r="W8" t="e">
        <f>AND(Answers!#REF!,"AAAAAF7//RY=")</f>
        <v>#REF!</v>
      </c>
      <c r="X8" t="e">
        <f>AND(Answers!#REF!,"AAAAAF7//Rc=")</f>
        <v>#REF!</v>
      </c>
      <c r="Y8" t="e">
        <f>AND(Answers!#REF!,"AAAAAF7//Rg=")</f>
        <v>#REF!</v>
      </c>
      <c r="Z8" t="e">
        <f>AND(Answers!#REF!,"AAAAAF7//Rk=")</f>
        <v>#REF!</v>
      </c>
      <c r="AA8" t="e">
        <f>AND(Answers!#REF!,"AAAAAF7//Ro=")</f>
        <v>#REF!</v>
      </c>
      <c r="AB8" t="e">
        <f>AND(Answers!#REF!,"AAAAAF7//Rs=")</f>
        <v>#REF!</v>
      </c>
      <c r="AC8" t="e">
        <f>AND(Answers!#REF!,"AAAAAF7//Rw=")</f>
        <v>#REF!</v>
      </c>
      <c r="AD8" t="e">
        <f>AND(Answers!#REF!,"AAAAAF7//R0=")</f>
        <v>#REF!</v>
      </c>
      <c r="AE8" t="e">
        <f>AND(Answers!#REF!,"AAAAAF7//R4=")</f>
        <v>#REF!</v>
      </c>
      <c r="AF8" t="e">
        <f>AND(Answers!#REF!,"AAAAAF7//R8=")</f>
        <v>#REF!</v>
      </c>
      <c r="AG8" t="e">
        <f>AND(Answers!#REF!,"AAAAAF7//SA=")</f>
        <v>#REF!</v>
      </c>
      <c r="AH8" t="e">
        <f>AND(Answers!#REF!,"AAAAAF7//SE=")</f>
        <v>#REF!</v>
      </c>
      <c r="AI8" t="e">
        <f>AND(Answers!#REF!,"AAAAAF7//SI=")</f>
        <v>#REF!</v>
      </c>
      <c r="AJ8" t="e">
        <f>AND(Answers!#REF!,"AAAAAF7//SM=")</f>
        <v>#REF!</v>
      </c>
      <c r="AK8" t="e">
        <f>AND(Answers!#REF!,"AAAAAF7//SQ=")</f>
        <v>#REF!</v>
      </c>
      <c r="AL8" t="e">
        <f>AND(Answers!#REF!,"AAAAAF7//SU=")</f>
        <v>#REF!</v>
      </c>
      <c r="AM8" t="e">
        <f>AND(Answers!#REF!,"AAAAAF7//SY=")</f>
        <v>#REF!</v>
      </c>
      <c r="AN8" t="e">
        <f>AND(Answers!#REF!,"AAAAAF7//Sc=")</f>
        <v>#REF!</v>
      </c>
      <c r="AO8" t="e">
        <f>AND(Answers!#REF!,"AAAAAF7//Sg=")</f>
        <v>#REF!</v>
      </c>
      <c r="AP8" t="e">
        <f>AND(Answers!#REF!,"AAAAAF7//Sk=")</f>
        <v>#REF!</v>
      </c>
      <c r="AQ8" t="e">
        <f>AND(Answers!#REF!,"AAAAAF7//So=")</f>
        <v>#REF!</v>
      </c>
      <c r="AR8" t="e">
        <f>AND(Answers!#REF!,"AAAAAF7//Ss=")</f>
        <v>#REF!</v>
      </c>
      <c r="AS8" t="e">
        <f>AND(Answers!#REF!,"AAAAAF7//Sw=")</f>
        <v>#REF!</v>
      </c>
      <c r="AT8" t="e">
        <f>AND(Answers!#REF!,"AAAAAF7//S0=")</f>
        <v>#REF!</v>
      </c>
      <c r="AU8" t="e">
        <f>AND(Answers!#REF!,"AAAAAF7//S4=")</f>
        <v>#REF!</v>
      </c>
      <c r="AV8" t="e">
        <f>AND(Answers!#REF!,"AAAAAF7//S8=")</f>
        <v>#REF!</v>
      </c>
      <c r="AW8" t="e">
        <f>AND(Answers!#REF!,"AAAAAF7//TA=")</f>
        <v>#REF!</v>
      </c>
      <c r="AX8" t="e">
        <f>AND(Answers!#REF!,"AAAAAF7//TE=")</f>
        <v>#REF!</v>
      </c>
      <c r="AY8" t="e">
        <f>AND(Answers!#REF!,"AAAAAF7//TI=")</f>
        <v>#REF!</v>
      </c>
      <c r="AZ8" t="e">
        <f>AND(Answers!#REF!,"AAAAAF7//TM=")</f>
        <v>#REF!</v>
      </c>
      <c r="BA8" t="e">
        <f>AND(Answers!#REF!,"AAAAAF7//TQ=")</f>
        <v>#REF!</v>
      </c>
      <c r="BB8" t="e">
        <f>AND(Answers!#REF!,"AAAAAF7//TU=")</f>
        <v>#REF!</v>
      </c>
      <c r="BC8" t="e">
        <f>AND(Answers!#REF!,"AAAAAF7//TY=")</f>
        <v>#REF!</v>
      </c>
      <c r="BD8" t="e">
        <f>AND(Answers!#REF!,"AAAAAF7//Tc=")</f>
        <v>#REF!</v>
      </c>
      <c r="BE8" t="e">
        <f>AND(Answers!#REF!,"AAAAAF7//Tg=")</f>
        <v>#REF!</v>
      </c>
      <c r="BF8" t="e">
        <f>AND(Answers!#REF!,"AAAAAF7//Tk=")</f>
        <v>#REF!</v>
      </c>
      <c r="BG8" t="e">
        <f>AND(Answers!#REF!,"AAAAAF7//To=")</f>
        <v>#REF!</v>
      </c>
      <c r="BH8" t="e">
        <f>AND(Answers!#REF!,"AAAAAF7//Ts=")</f>
        <v>#REF!</v>
      </c>
      <c r="BI8" t="e">
        <f>AND(Answers!#REF!,"AAAAAF7//Tw=")</f>
        <v>#REF!</v>
      </c>
      <c r="BJ8" t="e">
        <f>AND(Answers!#REF!,"AAAAAF7//T0=")</f>
        <v>#REF!</v>
      </c>
      <c r="BK8" t="e">
        <f>AND(Answers!#REF!,"AAAAAF7//T4=")</f>
        <v>#REF!</v>
      </c>
      <c r="BL8" t="e">
        <f>AND(Answers!#REF!,"AAAAAF7//T8=")</f>
        <v>#REF!</v>
      </c>
      <c r="BM8" t="e">
        <f>AND(Answers!#REF!,"AAAAAF7//UA=")</f>
        <v>#REF!</v>
      </c>
      <c r="BN8" t="e">
        <f>AND(Answers!#REF!,"AAAAAF7//UE=")</f>
        <v>#REF!</v>
      </c>
      <c r="BO8" t="e">
        <f>AND(Answers!#REF!,"AAAAAF7//UI=")</f>
        <v>#REF!</v>
      </c>
      <c r="BP8" t="e">
        <f>AND(Answers!#REF!,"AAAAAF7//UM=")</f>
        <v>#REF!</v>
      </c>
      <c r="BQ8" t="e">
        <f>AND(Answers!#REF!,"AAAAAF7//UQ=")</f>
        <v>#REF!</v>
      </c>
      <c r="BR8" t="e">
        <f>AND(Answers!#REF!,"AAAAAF7//UU=")</f>
        <v>#REF!</v>
      </c>
      <c r="BS8" t="e">
        <f>AND(Answers!#REF!,"AAAAAF7//UY=")</f>
        <v>#REF!</v>
      </c>
      <c r="BT8" t="e">
        <f>AND(Answers!#REF!,"AAAAAF7//Uc=")</f>
        <v>#REF!</v>
      </c>
      <c r="BU8" t="e">
        <f>AND(Answers!#REF!,"AAAAAF7//Ug=")</f>
        <v>#REF!</v>
      </c>
      <c r="BV8" t="e">
        <f>AND(Answers!#REF!,"AAAAAF7//Uk=")</f>
        <v>#REF!</v>
      </c>
      <c r="BW8" t="e">
        <f>AND(Answers!#REF!,"AAAAAF7//Uo=")</f>
        <v>#REF!</v>
      </c>
      <c r="BX8" t="e">
        <f>AND(Answers!#REF!,"AAAAAF7//Us=")</f>
        <v>#REF!</v>
      </c>
      <c r="BY8" t="e">
        <f>AND(Answers!#REF!,"AAAAAF7//Uw=")</f>
        <v>#REF!</v>
      </c>
      <c r="BZ8" t="e">
        <f>AND(Answers!#REF!,"AAAAAF7//U0=")</f>
        <v>#REF!</v>
      </c>
      <c r="CA8" t="e">
        <f>AND(Answers!#REF!,"AAAAAF7//U4=")</f>
        <v>#REF!</v>
      </c>
      <c r="CB8" t="e">
        <f>AND(Answers!#REF!,"AAAAAF7//U8=")</f>
        <v>#REF!</v>
      </c>
      <c r="CC8" t="e">
        <f>AND(Answers!#REF!,"AAAAAF7//VA=")</f>
        <v>#REF!</v>
      </c>
      <c r="CD8" t="e">
        <f>IF(Answers!#REF!,"AAAAAF7//VE=",0)</f>
        <v>#REF!</v>
      </c>
      <c r="CE8" t="e">
        <f>AND(Answers!#REF!,"AAAAAF7//VI=")</f>
        <v>#REF!</v>
      </c>
      <c r="CF8" t="e">
        <f>AND(Answers!#REF!,"AAAAAF7//VM=")</f>
        <v>#REF!</v>
      </c>
      <c r="CG8" t="e">
        <f>AND(Answers!#REF!,"AAAAAF7//VQ=")</f>
        <v>#REF!</v>
      </c>
      <c r="CH8" t="e">
        <f>AND(Answers!#REF!,"AAAAAF7//VU=")</f>
        <v>#REF!</v>
      </c>
      <c r="CI8" t="e">
        <f>AND(Answers!#REF!,"AAAAAF7//VY=")</f>
        <v>#REF!</v>
      </c>
      <c r="CJ8" t="e">
        <f>AND(Answers!#REF!,"AAAAAF7//Vc=")</f>
        <v>#REF!</v>
      </c>
      <c r="CK8" t="e">
        <f>AND(Answers!#REF!,"AAAAAF7//Vg=")</f>
        <v>#REF!</v>
      </c>
      <c r="CL8" t="e">
        <f>AND(Answers!#REF!,"AAAAAF7//Vk=")</f>
        <v>#REF!</v>
      </c>
      <c r="CM8" t="e">
        <f>AND(Answers!#REF!,"AAAAAF7//Vo=")</f>
        <v>#REF!</v>
      </c>
      <c r="CN8" t="e">
        <f>AND(Answers!#REF!,"AAAAAF7//Vs=")</f>
        <v>#REF!</v>
      </c>
      <c r="CO8" t="e">
        <f>AND(Answers!#REF!,"AAAAAF7//Vw=")</f>
        <v>#REF!</v>
      </c>
      <c r="CP8" t="e">
        <f>AND(Answers!#REF!,"AAAAAF7//V0=")</f>
        <v>#REF!</v>
      </c>
      <c r="CQ8" t="e">
        <f>AND(Answers!#REF!,"AAAAAF7//V4=")</f>
        <v>#REF!</v>
      </c>
      <c r="CR8" t="e">
        <f>AND(Answers!#REF!,"AAAAAF7//V8=")</f>
        <v>#REF!</v>
      </c>
      <c r="CS8" t="e">
        <f>AND(Answers!#REF!,"AAAAAF7//WA=")</f>
        <v>#REF!</v>
      </c>
      <c r="CT8" t="e">
        <f>AND(Answers!#REF!,"AAAAAF7//WE=")</f>
        <v>#REF!</v>
      </c>
      <c r="CU8" t="e">
        <f>AND(Answers!#REF!,"AAAAAF7//WI=")</f>
        <v>#REF!</v>
      </c>
      <c r="CV8" t="e">
        <f>AND(Answers!#REF!,"AAAAAF7//WM=")</f>
        <v>#REF!</v>
      </c>
      <c r="CW8" t="e">
        <f>AND(Answers!#REF!,"AAAAAF7//WQ=")</f>
        <v>#REF!</v>
      </c>
      <c r="CX8" t="e">
        <f>AND(Answers!#REF!,"AAAAAF7//WU=")</f>
        <v>#REF!</v>
      </c>
      <c r="CY8" t="e">
        <f>AND(Answers!#REF!,"AAAAAF7//WY=")</f>
        <v>#REF!</v>
      </c>
      <c r="CZ8" t="e">
        <f>AND(Answers!#REF!,"AAAAAF7//Wc=")</f>
        <v>#REF!</v>
      </c>
      <c r="DA8" t="e">
        <f>AND(Answers!#REF!,"AAAAAF7//Wg=")</f>
        <v>#REF!</v>
      </c>
      <c r="DB8" t="e">
        <f>AND(Answers!#REF!,"AAAAAF7//Wk=")</f>
        <v>#REF!</v>
      </c>
      <c r="DC8" t="e">
        <f>AND(Answers!#REF!,"AAAAAF7//Wo=")</f>
        <v>#REF!</v>
      </c>
      <c r="DD8" t="e">
        <f>AND(Answers!#REF!,"AAAAAF7//Ws=")</f>
        <v>#REF!</v>
      </c>
      <c r="DE8" t="e">
        <f>AND(Answers!#REF!,"AAAAAF7//Ww=")</f>
        <v>#REF!</v>
      </c>
      <c r="DF8" t="e">
        <f>AND(Answers!#REF!,"AAAAAF7//W0=")</f>
        <v>#REF!</v>
      </c>
      <c r="DG8" t="e">
        <f>AND(Answers!#REF!,"AAAAAF7//W4=")</f>
        <v>#REF!</v>
      </c>
      <c r="DH8" t="e">
        <f>AND(Answers!#REF!,"AAAAAF7//W8=")</f>
        <v>#REF!</v>
      </c>
      <c r="DI8" t="e">
        <f>AND(Answers!#REF!,"AAAAAF7//XA=")</f>
        <v>#REF!</v>
      </c>
      <c r="DJ8" t="e">
        <f>AND(Answers!#REF!,"AAAAAF7//XE=")</f>
        <v>#REF!</v>
      </c>
      <c r="DK8" t="e">
        <f>AND(Answers!#REF!,"AAAAAF7//XI=")</f>
        <v>#REF!</v>
      </c>
      <c r="DL8" t="e">
        <f>AND(Answers!#REF!,"AAAAAF7//XM=")</f>
        <v>#REF!</v>
      </c>
      <c r="DM8" t="e">
        <f>AND(Answers!#REF!,"AAAAAF7//XQ=")</f>
        <v>#REF!</v>
      </c>
      <c r="DN8" t="e">
        <f>AND(Answers!#REF!,"AAAAAF7//XU=")</f>
        <v>#REF!</v>
      </c>
      <c r="DO8" t="e">
        <f>AND(Answers!#REF!,"AAAAAF7//XY=")</f>
        <v>#REF!</v>
      </c>
      <c r="DP8" t="e">
        <f>AND(Answers!#REF!,"AAAAAF7//Xc=")</f>
        <v>#REF!</v>
      </c>
      <c r="DQ8" t="e">
        <f>AND(Answers!#REF!,"AAAAAF7//Xg=")</f>
        <v>#REF!</v>
      </c>
      <c r="DR8" t="e">
        <f>AND(Answers!#REF!,"AAAAAF7//Xk=")</f>
        <v>#REF!</v>
      </c>
      <c r="DS8" t="e">
        <f>AND(Answers!#REF!,"AAAAAF7//Xo=")</f>
        <v>#REF!</v>
      </c>
      <c r="DT8" t="e">
        <f>AND(Answers!#REF!,"AAAAAF7//Xs=")</f>
        <v>#REF!</v>
      </c>
      <c r="DU8" t="e">
        <f>AND(Answers!#REF!,"AAAAAF7//Xw=")</f>
        <v>#REF!</v>
      </c>
      <c r="DV8" t="e">
        <f>AND(Answers!#REF!,"AAAAAF7//X0=")</f>
        <v>#REF!</v>
      </c>
      <c r="DW8" t="e">
        <f>AND(Answers!#REF!,"AAAAAF7//X4=")</f>
        <v>#REF!</v>
      </c>
      <c r="DX8" t="e">
        <f>AND(Answers!#REF!,"AAAAAF7//X8=")</f>
        <v>#REF!</v>
      </c>
      <c r="DY8" t="e">
        <f>AND(Answers!#REF!,"AAAAAF7//YA=")</f>
        <v>#REF!</v>
      </c>
      <c r="DZ8" t="e">
        <f>AND(Answers!#REF!,"AAAAAF7//YE=")</f>
        <v>#REF!</v>
      </c>
      <c r="EA8" t="e">
        <f>AND(Answers!#REF!,"AAAAAF7//YI=")</f>
        <v>#REF!</v>
      </c>
      <c r="EB8" t="e">
        <f>AND(Answers!#REF!,"AAAAAF7//YM=")</f>
        <v>#REF!</v>
      </c>
      <c r="EC8" t="e">
        <f>AND(Answers!#REF!,"AAAAAF7//YQ=")</f>
        <v>#REF!</v>
      </c>
      <c r="ED8" t="e">
        <f>AND(Answers!#REF!,"AAAAAF7//YU=")</f>
        <v>#REF!</v>
      </c>
      <c r="EE8" t="e">
        <f>AND(Answers!#REF!,"AAAAAF7//YY=")</f>
        <v>#REF!</v>
      </c>
      <c r="EF8" t="e">
        <f>AND(Answers!#REF!,"AAAAAF7//Yc=")</f>
        <v>#REF!</v>
      </c>
      <c r="EG8" t="e">
        <f>AND(Answers!#REF!,"AAAAAF7//Yg=")</f>
        <v>#REF!</v>
      </c>
      <c r="EH8" t="e">
        <f>AND(Answers!#REF!,"AAAAAF7//Yk=")</f>
        <v>#REF!</v>
      </c>
      <c r="EI8" t="e">
        <f>AND(Answers!#REF!,"AAAAAF7//Yo=")</f>
        <v>#REF!</v>
      </c>
      <c r="EJ8" t="e">
        <f>AND(Answers!#REF!,"AAAAAF7//Ys=")</f>
        <v>#REF!</v>
      </c>
      <c r="EK8" t="e">
        <f>AND(Answers!#REF!,"AAAAAF7//Yw=")</f>
        <v>#REF!</v>
      </c>
      <c r="EL8" t="e">
        <f>AND(Answers!#REF!,"AAAAAF7//Y0=")</f>
        <v>#REF!</v>
      </c>
      <c r="EM8" t="e">
        <f>AND(Answers!#REF!,"AAAAAF7//Y4=")</f>
        <v>#REF!</v>
      </c>
      <c r="EN8" t="e">
        <f>AND(Answers!#REF!,"AAAAAF7//Y8=")</f>
        <v>#REF!</v>
      </c>
      <c r="EO8" t="e">
        <f>AND(Answers!#REF!,"AAAAAF7//ZA=")</f>
        <v>#REF!</v>
      </c>
      <c r="EP8" t="e">
        <f>AND(Answers!#REF!,"AAAAAF7//ZE=")</f>
        <v>#REF!</v>
      </c>
      <c r="EQ8" t="e">
        <f>AND(Answers!#REF!,"AAAAAF7//ZI=")</f>
        <v>#REF!</v>
      </c>
      <c r="ER8" t="e">
        <f>AND(Answers!#REF!,"AAAAAF7//ZM=")</f>
        <v>#REF!</v>
      </c>
      <c r="ES8" t="e">
        <f>AND(Answers!#REF!,"AAAAAF7//ZQ=")</f>
        <v>#REF!</v>
      </c>
      <c r="ET8" t="e">
        <f>IF(Answers!#REF!,"AAAAAF7//ZU=",0)</f>
        <v>#REF!</v>
      </c>
      <c r="EU8" t="e">
        <f>AND(Answers!#REF!,"AAAAAF7//ZY=")</f>
        <v>#REF!</v>
      </c>
      <c r="EV8" t="e">
        <f>AND(Answers!#REF!,"AAAAAF7//Zc=")</f>
        <v>#REF!</v>
      </c>
      <c r="EW8" t="e">
        <f>AND(Answers!#REF!,"AAAAAF7//Zg=")</f>
        <v>#REF!</v>
      </c>
      <c r="EX8" t="e">
        <f>AND(Answers!#REF!,"AAAAAF7//Zk=")</f>
        <v>#REF!</v>
      </c>
      <c r="EY8" t="e">
        <f>AND(Answers!#REF!,"AAAAAF7//Zo=")</f>
        <v>#REF!</v>
      </c>
      <c r="EZ8" t="e">
        <f>AND(Answers!#REF!,"AAAAAF7//Zs=")</f>
        <v>#REF!</v>
      </c>
      <c r="FA8" t="e">
        <f>AND(Answers!#REF!,"AAAAAF7//Zw=")</f>
        <v>#REF!</v>
      </c>
      <c r="FB8" t="e">
        <f>AND(Answers!#REF!,"AAAAAF7//Z0=")</f>
        <v>#REF!</v>
      </c>
      <c r="FC8" t="e">
        <f>AND(Answers!#REF!,"AAAAAF7//Z4=")</f>
        <v>#REF!</v>
      </c>
      <c r="FD8" t="e">
        <f>AND(Answers!#REF!,"AAAAAF7//Z8=")</f>
        <v>#REF!</v>
      </c>
      <c r="FE8" t="e">
        <f>AND(Answers!#REF!,"AAAAAF7//aA=")</f>
        <v>#REF!</v>
      </c>
      <c r="FF8" t="e">
        <f>AND(Answers!#REF!,"AAAAAF7//aE=")</f>
        <v>#REF!</v>
      </c>
      <c r="FG8" t="e">
        <f>AND(Answers!#REF!,"AAAAAF7//aI=")</f>
        <v>#REF!</v>
      </c>
      <c r="FH8" t="e">
        <f>AND(Answers!#REF!,"AAAAAF7//aM=")</f>
        <v>#REF!</v>
      </c>
      <c r="FI8" t="e">
        <f>AND(Answers!#REF!,"AAAAAF7//aQ=")</f>
        <v>#REF!</v>
      </c>
      <c r="FJ8" t="e">
        <f>AND(Answers!#REF!,"AAAAAF7//aU=")</f>
        <v>#REF!</v>
      </c>
      <c r="FK8" t="e">
        <f>AND(Answers!#REF!,"AAAAAF7//aY=")</f>
        <v>#REF!</v>
      </c>
      <c r="FL8" t="e">
        <f>AND(Answers!#REF!,"AAAAAF7//ac=")</f>
        <v>#REF!</v>
      </c>
      <c r="FM8" t="e">
        <f>AND(Answers!#REF!,"AAAAAF7//ag=")</f>
        <v>#REF!</v>
      </c>
      <c r="FN8" t="e">
        <f>AND(Answers!#REF!,"AAAAAF7//ak=")</f>
        <v>#REF!</v>
      </c>
      <c r="FO8" t="e">
        <f>AND(Answers!#REF!,"AAAAAF7//ao=")</f>
        <v>#REF!</v>
      </c>
      <c r="FP8" t="e">
        <f>AND(Answers!#REF!,"AAAAAF7//as=")</f>
        <v>#REF!</v>
      </c>
      <c r="FQ8" t="e">
        <f>AND(Answers!#REF!,"AAAAAF7//aw=")</f>
        <v>#REF!</v>
      </c>
      <c r="FR8" t="e">
        <f>AND(Answers!#REF!,"AAAAAF7//a0=")</f>
        <v>#REF!</v>
      </c>
      <c r="FS8" t="e">
        <f>AND(Answers!#REF!,"AAAAAF7//a4=")</f>
        <v>#REF!</v>
      </c>
      <c r="FT8" t="e">
        <f>AND(Answers!#REF!,"AAAAAF7//a8=")</f>
        <v>#REF!</v>
      </c>
      <c r="FU8" t="e">
        <f>AND(Answers!#REF!,"AAAAAF7//bA=")</f>
        <v>#REF!</v>
      </c>
      <c r="FV8" t="e">
        <f>AND(Answers!#REF!,"AAAAAF7//bE=")</f>
        <v>#REF!</v>
      </c>
      <c r="FW8" t="e">
        <f>AND(Answers!#REF!,"AAAAAF7//bI=")</f>
        <v>#REF!</v>
      </c>
      <c r="FX8" t="e">
        <f>AND(Answers!#REF!,"AAAAAF7//bM=")</f>
        <v>#REF!</v>
      </c>
      <c r="FY8" t="e">
        <f>AND(Answers!#REF!,"AAAAAF7//bQ=")</f>
        <v>#REF!</v>
      </c>
      <c r="FZ8" t="e">
        <f>AND(Answers!#REF!,"AAAAAF7//bU=")</f>
        <v>#REF!</v>
      </c>
      <c r="GA8" t="e">
        <f>AND(Answers!#REF!,"AAAAAF7//bY=")</f>
        <v>#REF!</v>
      </c>
      <c r="GB8" t="e">
        <f>AND(Answers!#REF!,"AAAAAF7//bc=")</f>
        <v>#REF!</v>
      </c>
      <c r="GC8" t="e">
        <f>AND(Answers!#REF!,"AAAAAF7//bg=")</f>
        <v>#REF!</v>
      </c>
      <c r="GD8" t="e">
        <f>AND(Answers!#REF!,"AAAAAF7//bk=")</f>
        <v>#REF!</v>
      </c>
      <c r="GE8" t="e">
        <f>AND(Answers!#REF!,"AAAAAF7//bo=")</f>
        <v>#REF!</v>
      </c>
      <c r="GF8" t="e">
        <f>AND(Answers!#REF!,"AAAAAF7//bs=")</f>
        <v>#REF!</v>
      </c>
      <c r="GG8" t="e">
        <f>AND(Answers!#REF!,"AAAAAF7//bw=")</f>
        <v>#REF!</v>
      </c>
      <c r="GH8" t="e">
        <f>AND(Answers!#REF!,"AAAAAF7//b0=")</f>
        <v>#REF!</v>
      </c>
      <c r="GI8" t="e">
        <f>AND(Answers!#REF!,"AAAAAF7//b4=")</f>
        <v>#REF!</v>
      </c>
      <c r="GJ8" t="e">
        <f>AND(Answers!#REF!,"AAAAAF7//b8=")</f>
        <v>#REF!</v>
      </c>
      <c r="GK8" t="e">
        <f>AND(Answers!#REF!,"AAAAAF7//cA=")</f>
        <v>#REF!</v>
      </c>
      <c r="GL8" t="e">
        <f>AND(Answers!#REF!,"AAAAAF7//cE=")</f>
        <v>#REF!</v>
      </c>
      <c r="GM8" t="e">
        <f>AND(Answers!#REF!,"AAAAAF7//cI=")</f>
        <v>#REF!</v>
      </c>
      <c r="GN8" t="e">
        <f>AND(Answers!#REF!,"AAAAAF7//cM=")</f>
        <v>#REF!</v>
      </c>
      <c r="GO8" t="e">
        <f>AND(Answers!#REF!,"AAAAAF7//cQ=")</f>
        <v>#REF!</v>
      </c>
      <c r="GP8" t="e">
        <f>AND(Answers!#REF!,"AAAAAF7//cU=")</f>
        <v>#REF!</v>
      </c>
      <c r="GQ8" t="e">
        <f>AND(Answers!#REF!,"AAAAAF7//cY=")</f>
        <v>#REF!</v>
      </c>
      <c r="GR8" t="e">
        <f>AND(Answers!#REF!,"AAAAAF7//cc=")</f>
        <v>#REF!</v>
      </c>
      <c r="GS8" t="e">
        <f>AND(Answers!#REF!,"AAAAAF7//cg=")</f>
        <v>#REF!</v>
      </c>
      <c r="GT8" t="e">
        <f>AND(Answers!#REF!,"AAAAAF7//ck=")</f>
        <v>#REF!</v>
      </c>
      <c r="GU8" t="e">
        <f>AND(Answers!#REF!,"AAAAAF7//co=")</f>
        <v>#REF!</v>
      </c>
      <c r="GV8" t="e">
        <f>AND(Answers!#REF!,"AAAAAF7//cs=")</f>
        <v>#REF!</v>
      </c>
      <c r="GW8" t="e">
        <f>AND(Answers!#REF!,"AAAAAF7//cw=")</f>
        <v>#REF!</v>
      </c>
      <c r="GX8" t="e">
        <f>AND(Answers!#REF!,"AAAAAF7//c0=")</f>
        <v>#REF!</v>
      </c>
      <c r="GY8" t="e">
        <f>AND(Answers!#REF!,"AAAAAF7//c4=")</f>
        <v>#REF!</v>
      </c>
      <c r="GZ8" t="e">
        <f>AND(Answers!#REF!,"AAAAAF7//c8=")</f>
        <v>#REF!</v>
      </c>
      <c r="HA8" t="e">
        <f>AND(Answers!#REF!,"AAAAAF7//dA=")</f>
        <v>#REF!</v>
      </c>
      <c r="HB8" t="e">
        <f>AND(Answers!#REF!,"AAAAAF7//dE=")</f>
        <v>#REF!</v>
      </c>
      <c r="HC8" t="e">
        <f>AND(Answers!#REF!,"AAAAAF7//dI=")</f>
        <v>#REF!</v>
      </c>
      <c r="HD8" t="e">
        <f>AND(Answers!#REF!,"AAAAAF7//dM=")</f>
        <v>#REF!</v>
      </c>
      <c r="HE8" t="e">
        <f>AND(Answers!#REF!,"AAAAAF7//dQ=")</f>
        <v>#REF!</v>
      </c>
      <c r="HF8" t="e">
        <f>AND(Answers!#REF!,"AAAAAF7//dU=")</f>
        <v>#REF!</v>
      </c>
      <c r="HG8" t="e">
        <f>AND(Answers!#REF!,"AAAAAF7//dY=")</f>
        <v>#REF!</v>
      </c>
      <c r="HH8" t="e">
        <f>AND(Answers!#REF!,"AAAAAF7//dc=")</f>
        <v>#REF!</v>
      </c>
      <c r="HI8" t="e">
        <f>AND(Answers!#REF!,"AAAAAF7//dg=")</f>
        <v>#REF!</v>
      </c>
      <c r="HJ8">
        <f>IF(Answers!4:4,"AAAAAF7//dk=",0)</f>
        <v>0</v>
      </c>
      <c r="HK8" t="e">
        <f>AND(Answers!A4,"AAAAAF7//do=")</f>
        <v>#VALUE!</v>
      </c>
      <c r="HL8" t="e">
        <f>AND(Answers!B4,"AAAAAF7//ds=")</f>
        <v>#VALUE!</v>
      </c>
      <c r="HM8" t="e">
        <f>AND(Answers!C4,"AAAAAF7//dw=")</f>
        <v>#VALUE!</v>
      </c>
      <c r="HN8" t="e">
        <f>AND(Answers!D4,"AAAAAF7//d0=")</f>
        <v>#VALUE!</v>
      </c>
      <c r="HO8" t="e">
        <f>AND(Answers!E4,"AAAAAF7//d4=")</f>
        <v>#VALUE!</v>
      </c>
      <c r="HP8" t="e">
        <f>AND(Answers!F4,"AAAAAF7//d8=")</f>
        <v>#VALUE!</v>
      </c>
      <c r="HQ8" t="e">
        <f>AND(Answers!G4,"AAAAAF7//eA=")</f>
        <v>#VALUE!</v>
      </c>
      <c r="HR8" t="e">
        <f>AND(Answers!H4,"AAAAAF7//eE=")</f>
        <v>#VALUE!</v>
      </c>
      <c r="HS8" t="e">
        <f>AND(Answers!J4,"AAAAAF7//eI=")</f>
        <v>#VALUE!</v>
      </c>
      <c r="HT8" t="e">
        <f>AND(Answers!K4,"AAAAAF7//eM=")</f>
        <v>#VALUE!</v>
      </c>
      <c r="HU8" t="e">
        <f>AND(Answers!L4,"AAAAAF7//eQ=")</f>
        <v>#VALUE!</v>
      </c>
      <c r="HV8" t="e">
        <f>AND(Answers!M4,"AAAAAF7//eU=")</f>
        <v>#VALUE!</v>
      </c>
      <c r="HW8" t="e">
        <f>AND(Answers!N4,"AAAAAF7//eY=")</f>
        <v>#VALUE!</v>
      </c>
      <c r="HX8" t="e">
        <f>AND(Answers!O4,"AAAAAF7//ec=")</f>
        <v>#VALUE!</v>
      </c>
      <c r="HY8" t="e">
        <f>AND(Answers!P4,"AAAAAF7//eg=")</f>
        <v>#VALUE!</v>
      </c>
      <c r="HZ8" t="e">
        <f>AND(Answers!Q4,"AAAAAF7//ek=")</f>
        <v>#VALUE!</v>
      </c>
      <c r="IA8" t="e">
        <f>AND(Answers!R4,"AAAAAF7//eo=")</f>
        <v>#VALUE!</v>
      </c>
      <c r="IB8" t="e">
        <f>AND(Answers!S4,"AAAAAF7//es=")</f>
        <v>#VALUE!</v>
      </c>
      <c r="IC8" t="e">
        <f>AND(Answers!T4,"AAAAAF7//ew=")</f>
        <v>#VALUE!</v>
      </c>
      <c r="ID8" t="e">
        <f>AND(Answers!U4,"AAAAAF7//e0=")</f>
        <v>#VALUE!</v>
      </c>
      <c r="IE8" t="e">
        <f>AND(Answers!V4,"AAAAAF7//e4=")</f>
        <v>#VALUE!</v>
      </c>
      <c r="IF8" t="e">
        <f>AND(Answers!X4,"AAAAAF7//e8=")</f>
        <v>#VALUE!</v>
      </c>
      <c r="IG8" t="e">
        <f>AND(Answers!Y4,"AAAAAF7//fA=")</f>
        <v>#VALUE!</v>
      </c>
      <c r="IH8" t="e">
        <f>AND(Answers!Z4,"AAAAAF7//fE=")</f>
        <v>#VALUE!</v>
      </c>
      <c r="II8" t="e">
        <f>AND(Answers!AA4,"AAAAAF7//fI=")</f>
        <v>#VALUE!</v>
      </c>
      <c r="IJ8" t="e">
        <f>AND(Answers!AB4,"AAAAAF7//fM=")</f>
        <v>#VALUE!</v>
      </c>
      <c r="IK8" t="e">
        <f>AND(Answers!AC4,"AAAAAF7//fQ=")</f>
        <v>#VALUE!</v>
      </c>
      <c r="IL8" t="e">
        <f>AND(Answers!AD4,"AAAAAF7//fU=")</f>
        <v>#VALUE!</v>
      </c>
      <c r="IM8" t="e">
        <f>AND(Answers!AE4,"AAAAAF7//fY=")</f>
        <v>#VALUE!</v>
      </c>
      <c r="IN8" t="e">
        <f>AND(Answers!AF4,"AAAAAF7//fc=")</f>
        <v>#VALUE!</v>
      </c>
      <c r="IO8" t="e">
        <f>AND(Answers!AH4,"AAAAAF7//fg=")</f>
        <v>#VALUE!</v>
      </c>
      <c r="IP8" t="e">
        <f>AND(Answers!AI4,"AAAAAF7//fk=")</f>
        <v>#VALUE!</v>
      </c>
      <c r="IQ8" t="e">
        <f>AND(Answers!AK4,"AAAAAF7//fo=")</f>
        <v>#VALUE!</v>
      </c>
      <c r="IR8" t="e">
        <f>AND(Answers!#REF!,"AAAAAF7//fs=")</f>
        <v>#REF!</v>
      </c>
      <c r="IS8" t="e">
        <f>AND(Answers!AR4,"AAAAAF7//fw=")</f>
        <v>#VALUE!</v>
      </c>
      <c r="IT8" t="e">
        <f>AND(Answers!AS4,"AAAAAF7//f0=")</f>
        <v>#VALUE!</v>
      </c>
      <c r="IU8" t="e">
        <f>AND(Answers!AT4,"AAAAAF7//f4=")</f>
        <v>#VALUE!</v>
      </c>
      <c r="IV8" t="e">
        <f>AND(Answers!AU4,"AAAAAF7//f8=")</f>
        <v>#VALUE!</v>
      </c>
    </row>
    <row r="9" spans="1:256" x14ac:dyDescent="0.15">
      <c r="A9" t="e">
        <f>AND(Answers!AW4,"AAAAAG+7NwA=")</f>
        <v>#VALUE!</v>
      </c>
      <c r="B9" t="e">
        <f>AND(Answers!AX4,"AAAAAG+7NwE=")</f>
        <v>#VALUE!</v>
      </c>
      <c r="C9" t="e">
        <f>AND(Answers!AY4,"AAAAAG+7NwI=")</f>
        <v>#VALUE!</v>
      </c>
      <c r="D9" t="e">
        <f>AND(Answers!AZ4,"AAAAAG+7NwM=")</f>
        <v>#VALUE!</v>
      </c>
      <c r="E9" t="e">
        <f>AND(Answers!BA4,"AAAAAG+7NwQ=")</f>
        <v>#VALUE!</v>
      </c>
      <c r="F9" t="e">
        <f>AND(Answers!BB4,"AAAAAG+7NwU=")</f>
        <v>#VALUE!</v>
      </c>
      <c r="G9" t="e">
        <f>AND(Answers!BC4,"AAAAAG+7NwY=")</f>
        <v>#VALUE!</v>
      </c>
      <c r="H9" t="e">
        <f>AND(Answers!BD4,"AAAAAG+7Nwc=")</f>
        <v>#VALUE!</v>
      </c>
      <c r="I9" t="e">
        <f>AND(Answers!BE4,"AAAAAG+7Nwg=")</f>
        <v>#VALUE!</v>
      </c>
      <c r="J9" t="e">
        <f>AND(Answers!BF4,"AAAAAG+7Nwk=")</f>
        <v>#VALUE!</v>
      </c>
      <c r="K9" t="e">
        <f>AND(Answers!BG4,"AAAAAG+7Nwo=")</f>
        <v>#VALUE!</v>
      </c>
      <c r="L9" t="e">
        <f>AND(Answers!BH4,"AAAAAG+7Nws=")</f>
        <v>#VALUE!</v>
      </c>
      <c r="M9" t="e">
        <f>AND(Answers!BI4,"AAAAAG+7Nww=")</f>
        <v>#VALUE!</v>
      </c>
      <c r="N9" t="e">
        <f>AND(Answers!BK4,"AAAAAG+7Nw0=")</f>
        <v>#VALUE!</v>
      </c>
      <c r="O9" t="e">
        <f>AND(Answers!BL4,"AAAAAG+7Nw4=")</f>
        <v>#VALUE!</v>
      </c>
      <c r="P9" t="e">
        <f>AND(Answers!BM4,"AAAAAG+7Nw8=")</f>
        <v>#VALUE!</v>
      </c>
      <c r="Q9" t="e">
        <f>AND(Answers!BN4,"AAAAAG+7NxA=")</f>
        <v>#VALUE!</v>
      </c>
      <c r="R9" t="e">
        <f>AND(Answers!BO4,"AAAAAG+7NxE=")</f>
        <v>#VALUE!</v>
      </c>
      <c r="S9" t="e">
        <f>AND(Answers!BP4,"AAAAAG+7NxI=")</f>
        <v>#VALUE!</v>
      </c>
      <c r="T9" t="e">
        <f>AND(Answers!BQ4,"AAAAAG+7NxM=")</f>
        <v>#VALUE!</v>
      </c>
      <c r="U9" t="e">
        <f>AND(Answers!BR4,"AAAAAG+7NxQ=")</f>
        <v>#VALUE!</v>
      </c>
      <c r="V9" t="e">
        <f>AND(Answers!BS4,"AAAAAG+7NxU=")</f>
        <v>#VALUE!</v>
      </c>
      <c r="W9" t="e">
        <f>AND(Answers!BU4,"AAAAAG+7NxY=")</f>
        <v>#VALUE!</v>
      </c>
      <c r="X9" t="e">
        <f>AND(Answers!BV4,"AAAAAG+7Nxc=")</f>
        <v>#VALUE!</v>
      </c>
      <c r="Y9" t="e">
        <f>AND(Answers!#REF!,"AAAAAG+7Nxg=")</f>
        <v>#REF!</v>
      </c>
      <c r="Z9" t="e">
        <f>AND(Answers!BW4,"AAAAAG+7Nxk=")</f>
        <v>#VALUE!</v>
      </c>
      <c r="AA9" t="e">
        <f>AND(Answers!BX4,"AAAAAG+7Nxo=")</f>
        <v>#VALUE!</v>
      </c>
      <c r="AB9" t="e">
        <f>AND(Answers!BY4,"AAAAAG+7Nxs=")</f>
        <v>#VALUE!</v>
      </c>
      <c r="AC9" t="e">
        <f>AND(Answers!BZ4,"AAAAAG+7Nxw=")</f>
        <v>#VALUE!</v>
      </c>
      <c r="AD9" t="str">
        <f>IF(Answers!5:5,"AAAAAG+7Nx0=",0)</f>
        <v>AAAAAG+7Nx0=</v>
      </c>
      <c r="AE9" t="e">
        <f>AND(Answers!A5,"AAAAAG+7Nx4=")</f>
        <v>#VALUE!</v>
      </c>
      <c r="AF9" t="e">
        <f>AND(Answers!B5,"AAAAAG+7Nx8=")</f>
        <v>#VALUE!</v>
      </c>
      <c r="AG9" t="e">
        <f>AND(Answers!C5,"AAAAAG+7NyA=")</f>
        <v>#VALUE!</v>
      </c>
      <c r="AH9" t="e">
        <f>AND(Answers!D5,"AAAAAG+7NyE=")</f>
        <v>#VALUE!</v>
      </c>
      <c r="AI9" t="e">
        <f>AND(Answers!E5,"AAAAAG+7NyI=")</f>
        <v>#VALUE!</v>
      </c>
      <c r="AJ9" t="e">
        <f>AND(Answers!F5,"AAAAAG+7NyM=")</f>
        <v>#VALUE!</v>
      </c>
      <c r="AK9" t="e">
        <f>AND(Answers!G5,"AAAAAG+7NyQ=")</f>
        <v>#VALUE!</v>
      </c>
      <c r="AL9" t="e">
        <f>AND(Answers!H5,"AAAAAG+7NyU=")</f>
        <v>#VALUE!</v>
      </c>
      <c r="AM9" t="e">
        <f>AND(Answers!J5,"AAAAAG+7NyY=")</f>
        <v>#VALUE!</v>
      </c>
      <c r="AN9" t="e">
        <f>AND(Answers!K5,"AAAAAG+7Nyc=")</f>
        <v>#VALUE!</v>
      </c>
      <c r="AO9" t="e">
        <f>AND(Answers!L5,"AAAAAG+7Nyg=")</f>
        <v>#VALUE!</v>
      </c>
      <c r="AP9" t="e">
        <f>AND(Answers!M5,"AAAAAG+7Nyk=")</f>
        <v>#VALUE!</v>
      </c>
      <c r="AQ9" t="e">
        <f>AND(Answers!N5,"AAAAAG+7Nyo=")</f>
        <v>#VALUE!</v>
      </c>
      <c r="AR9" t="e">
        <f>AND(Answers!O5,"AAAAAG+7Nys=")</f>
        <v>#VALUE!</v>
      </c>
      <c r="AS9" t="e">
        <f>AND(Answers!P5,"AAAAAG+7Nyw=")</f>
        <v>#VALUE!</v>
      </c>
      <c r="AT9" t="e">
        <f>AND(Answers!Q5,"AAAAAG+7Ny0=")</f>
        <v>#VALUE!</v>
      </c>
      <c r="AU9" t="e">
        <f>AND(Answers!R5,"AAAAAG+7Ny4=")</f>
        <v>#VALUE!</v>
      </c>
      <c r="AV9" t="e">
        <f>AND(Answers!S5,"AAAAAG+7Ny8=")</f>
        <v>#VALUE!</v>
      </c>
      <c r="AW9" t="e">
        <f>AND(Answers!T5,"AAAAAG+7NzA=")</f>
        <v>#VALUE!</v>
      </c>
      <c r="AX9" t="e">
        <f>AND(Answers!U5,"AAAAAG+7NzE=")</f>
        <v>#VALUE!</v>
      </c>
      <c r="AY9" t="e">
        <f>AND(Answers!V5,"AAAAAG+7NzI=")</f>
        <v>#VALUE!</v>
      </c>
      <c r="AZ9" t="e">
        <f>AND(Answers!X5,"AAAAAG+7NzM=")</f>
        <v>#VALUE!</v>
      </c>
      <c r="BA9" t="e">
        <f>AND(Answers!Y5,"AAAAAG+7NzQ=")</f>
        <v>#VALUE!</v>
      </c>
      <c r="BB9" t="e">
        <f>AND(Answers!Z5,"AAAAAG+7NzU=")</f>
        <v>#VALUE!</v>
      </c>
      <c r="BC9" t="e">
        <f>AND(Answers!AA5,"AAAAAG+7NzY=")</f>
        <v>#VALUE!</v>
      </c>
      <c r="BD9" t="e">
        <f>AND(Answers!AB5,"AAAAAG+7Nzc=")</f>
        <v>#VALUE!</v>
      </c>
      <c r="BE9" t="e">
        <f>AND(Answers!AC5,"AAAAAG+7Nzg=")</f>
        <v>#VALUE!</v>
      </c>
      <c r="BF9" t="e">
        <f>AND(Answers!AD5,"AAAAAG+7Nzk=")</f>
        <v>#VALUE!</v>
      </c>
      <c r="BG9" t="e">
        <f>AND(Answers!AE5,"AAAAAG+7Nzo=")</f>
        <v>#VALUE!</v>
      </c>
      <c r="BH9" t="e">
        <f>AND(Answers!AF5,"AAAAAG+7Nzs=")</f>
        <v>#VALUE!</v>
      </c>
      <c r="BI9" t="e">
        <f>AND(Answers!AH5,"AAAAAG+7Nzw=")</f>
        <v>#VALUE!</v>
      </c>
      <c r="BJ9" t="e">
        <f>AND(Answers!AI5,"AAAAAG+7Nz0=")</f>
        <v>#VALUE!</v>
      </c>
      <c r="BK9" t="e">
        <f>AND(Answers!AK5,"AAAAAG+7Nz4=")</f>
        <v>#VALUE!</v>
      </c>
      <c r="BL9" t="e">
        <f>AND(Answers!#REF!,"AAAAAG+7Nz8=")</f>
        <v>#REF!</v>
      </c>
      <c r="BM9" t="e">
        <f>AND(Answers!AR5,"AAAAAG+7N0A=")</f>
        <v>#VALUE!</v>
      </c>
      <c r="BN9" t="e">
        <f>AND(Answers!AS5,"AAAAAG+7N0E=")</f>
        <v>#VALUE!</v>
      </c>
      <c r="BO9" t="e">
        <f>AND(Answers!AT5,"AAAAAG+7N0I=")</f>
        <v>#VALUE!</v>
      </c>
      <c r="BP9" t="e">
        <f>AND(Answers!AU5,"AAAAAG+7N0M=")</f>
        <v>#VALUE!</v>
      </c>
      <c r="BQ9" t="e">
        <f>AND(Answers!AW5,"AAAAAG+7N0Q=")</f>
        <v>#VALUE!</v>
      </c>
      <c r="BR9" t="e">
        <f>AND(Answers!AX5,"AAAAAG+7N0U=")</f>
        <v>#VALUE!</v>
      </c>
      <c r="BS9" t="e">
        <f>AND(Answers!AY5,"AAAAAG+7N0Y=")</f>
        <v>#VALUE!</v>
      </c>
      <c r="BT9" t="e">
        <f>AND(Answers!AZ5,"AAAAAG+7N0c=")</f>
        <v>#VALUE!</v>
      </c>
      <c r="BU9" t="e">
        <f>AND(Answers!BA5,"AAAAAG+7N0g=")</f>
        <v>#VALUE!</v>
      </c>
      <c r="BV9" t="e">
        <f>AND(Answers!BB5,"AAAAAG+7N0k=")</f>
        <v>#VALUE!</v>
      </c>
      <c r="BW9" t="e">
        <f>AND(Answers!BC5,"AAAAAG+7N0o=")</f>
        <v>#VALUE!</v>
      </c>
      <c r="BX9" t="e">
        <f>AND(Answers!BD5,"AAAAAG+7N0s=")</f>
        <v>#VALUE!</v>
      </c>
      <c r="BY9" t="e">
        <f>AND(Answers!BE5,"AAAAAG+7N0w=")</f>
        <v>#VALUE!</v>
      </c>
      <c r="BZ9" t="e">
        <f>AND(Answers!BF5,"AAAAAG+7N00=")</f>
        <v>#VALUE!</v>
      </c>
      <c r="CA9" t="e">
        <f>AND(Answers!BG5,"AAAAAG+7N04=")</f>
        <v>#VALUE!</v>
      </c>
      <c r="CB9" t="e">
        <f>AND(Answers!BH5,"AAAAAG+7N08=")</f>
        <v>#VALUE!</v>
      </c>
      <c r="CC9" t="e">
        <f>AND(Answers!BI5,"AAAAAG+7N1A=")</f>
        <v>#VALUE!</v>
      </c>
      <c r="CD9" t="e">
        <f>AND(Answers!BK5,"AAAAAG+7N1E=")</f>
        <v>#VALUE!</v>
      </c>
      <c r="CE9" t="e">
        <f>AND(Answers!BL5,"AAAAAG+7N1I=")</f>
        <v>#VALUE!</v>
      </c>
      <c r="CF9" t="e">
        <f>AND(Answers!BM5,"AAAAAG+7N1M=")</f>
        <v>#VALUE!</v>
      </c>
      <c r="CG9" t="e">
        <f>AND(Answers!BN5,"AAAAAG+7N1Q=")</f>
        <v>#VALUE!</v>
      </c>
      <c r="CH9" t="e">
        <f>AND(Answers!BO5,"AAAAAG+7N1U=")</f>
        <v>#VALUE!</v>
      </c>
      <c r="CI9" t="e">
        <f>AND(Answers!BP5,"AAAAAG+7N1Y=")</f>
        <v>#VALUE!</v>
      </c>
      <c r="CJ9" t="e">
        <f>AND(Answers!BQ5,"AAAAAG+7N1c=")</f>
        <v>#VALUE!</v>
      </c>
      <c r="CK9" t="e">
        <f>AND(Answers!BR5,"AAAAAG+7N1g=")</f>
        <v>#VALUE!</v>
      </c>
      <c r="CL9" t="e">
        <f>AND(Answers!BS5,"AAAAAG+7N1k=")</f>
        <v>#VALUE!</v>
      </c>
      <c r="CM9" t="e">
        <f>AND(Answers!BU5,"AAAAAG+7N1o=")</f>
        <v>#VALUE!</v>
      </c>
      <c r="CN9" t="e">
        <f>AND(Answers!BV5,"AAAAAG+7N1s=")</f>
        <v>#VALUE!</v>
      </c>
      <c r="CO9" t="e">
        <f>AND(Answers!#REF!,"AAAAAG+7N1w=")</f>
        <v>#REF!</v>
      </c>
      <c r="CP9" t="e">
        <f>AND(Answers!BW5,"AAAAAG+7N10=")</f>
        <v>#VALUE!</v>
      </c>
      <c r="CQ9" t="e">
        <f>AND(Answers!BX5,"AAAAAG+7N14=")</f>
        <v>#VALUE!</v>
      </c>
      <c r="CR9" t="e">
        <f>AND(Answers!BY5,"AAAAAG+7N18=")</f>
        <v>#VALUE!</v>
      </c>
      <c r="CS9" t="e">
        <f>AND(Answers!BZ5,"AAAAAG+7N2A=")</f>
        <v>#VALUE!</v>
      </c>
      <c r="CT9">
        <f>IF(Answers!6:6,"AAAAAG+7N2E=",0)</f>
        <v>0</v>
      </c>
      <c r="CU9" t="e">
        <f>AND(Answers!A6,"AAAAAG+7N2I=")</f>
        <v>#VALUE!</v>
      </c>
      <c r="CV9" t="e">
        <f>AND(Answers!B6,"AAAAAG+7N2M=")</f>
        <v>#VALUE!</v>
      </c>
      <c r="CW9" t="e">
        <f>AND(Answers!C6,"AAAAAG+7N2Q=")</f>
        <v>#VALUE!</v>
      </c>
      <c r="CX9" t="e">
        <f>AND(Answers!D6,"AAAAAG+7N2U=")</f>
        <v>#VALUE!</v>
      </c>
      <c r="CY9" t="e">
        <f>AND(Answers!E6,"AAAAAG+7N2Y=")</f>
        <v>#VALUE!</v>
      </c>
      <c r="CZ9" t="e">
        <f>AND(Answers!F6,"AAAAAG+7N2c=")</f>
        <v>#VALUE!</v>
      </c>
      <c r="DA9" t="e">
        <f>AND(Answers!G6,"AAAAAG+7N2g=")</f>
        <v>#VALUE!</v>
      </c>
      <c r="DB9" t="e">
        <f>AND(Answers!H6,"AAAAAG+7N2k=")</f>
        <v>#VALUE!</v>
      </c>
      <c r="DC9" t="e">
        <f>AND(Answers!J6,"AAAAAG+7N2o=")</f>
        <v>#VALUE!</v>
      </c>
      <c r="DD9" t="e">
        <f>AND(Answers!K6,"AAAAAG+7N2s=")</f>
        <v>#VALUE!</v>
      </c>
      <c r="DE9" t="e">
        <f>AND(Answers!L6,"AAAAAG+7N2w=")</f>
        <v>#VALUE!</v>
      </c>
      <c r="DF9" t="e">
        <f>AND(Answers!M6,"AAAAAG+7N20=")</f>
        <v>#VALUE!</v>
      </c>
      <c r="DG9" t="e">
        <f>AND(Answers!N6,"AAAAAG+7N24=")</f>
        <v>#VALUE!</v>
      </c>
      <c r="DH9" t="e">
        <f>AND(Answers!O6,"AAAAAG+7N28=")</f>
        <v>#VALUE!</v>
      </c>
      <c r="DI9" t="e">
        <f>AND(Answers!P6,"AAAAAG+7N3A=")</f>
        <v>#VALUE!</v>
      </c>
      <c r="DJ9" t="e">
        <f>AND(Answers!Q6,"AAAAAG+7N3E=")</f>
        <v>#VALUE!</v>
      </c>
      <c r="DK9" t="e">
        <f>AND(Answers!R6,"AAAAAG+7N3I=")</f>
        <v>#VALUE!</v>
      </c>
      <c r="DL9" t="e">
        <f>AND(Answers!S6,"AAAAAG+7N3M=")</f>
        <v>#VALUE!</v>
      </c>
      <c r="DM9" t="e">
        <f>AND(Answers!T6,"AAAAAG+7N3Q=")</f>
        <v>#VALUE!</v>
      </c>
      <c r="DN9" t="e">
        <f>AND(Answers!U6,"AAAAAG+7N3U=")</f>
        <v>#VALUE!</v>
      </c>
      <c r="DO9" t="e">
        <f>AND(Answers!V6,"AAAAAG+7N3Y=")</f>
        <v>#VALUE!</v>
      </c>
      <c r="DP9" t="e">
        <f>AND(Answers!X6,"AAAAAG+7N3c=")</f>
        <v>#VALUE!</v>
      </c>
      <c r="DQ9" t="e">
        <f>AND(Answers!Y6,"AAAAAG+7N3g=")</f>
        <v>#VALUE!</v>
      </c>
      <c r="DR9" t="e">
        <f>AND(Answers!Z6,"AAAAAG+7N3k=")</f>
        <v>#VALUE!</v>
      </c>
      <c r="DS9" t="e">
        <f>AND(Answers!AA6,"AAAAAG+7N3o=")</f>
        <v>#VALUE!</v>
      </c>
      <c r="DT9" t="e">
        <f>AND(Answers!AB6,"AAAAAG+7N3s=")</f>
        <v>#VALUE!</v>
      </c>
      <c r="DU9" t="e">
        <f>AND(Answers!AC6,"AAAAAG+7N3w=")</f>
        <v>#VALUE!</v>
      </c>
      <c r="DV9" t="e">
        <f>AND(Answers!AD6,"AAAAAG+7N30=")</f>
        <v>#VALUE!</v>
      </c>
      <c r="DW9" t="e">
        <f>AND(Answers!AE6,"AAAAAG+7N34=")</f>
        <v>#VALUE!</v>
      </c>
      <c r="DX9" t="e">
        <f>AND(Answers!AF6,"AAAAAG+7N38=")</f>
        <v>#VALUE!</v>
      </c>
      <c r="DY9" t="e">
        <f>AND(Answers!AH6,"AAAAAG+7N4A=")</f>
        <v>#VALUE!</v>
      </c>
      <c r="DZ9" t="e">
        <f>AND(Answers!AI6,"AAAAAG+7N4E=")</f>
        <v>#VALUE!</v>
      </c>
      <c r="EA9" t="e">
        <f>AND(Answers!AK6,"AAAAAG+7N4I=")</f>
        <v>#VALUE!</v>
      </c>
      <c r="EB9" t="e">
        <f>AND(Answers!#REF!,"AAAAAG+7N4M=")</f>
        <v>#REF!</v>
      </c>
      <c r="EC9" t="e">
        <f>AND(Answers!AR6,"AAAAAG+7N4Q=")</f>
        <v>#VALUE!</v>
      </c>
      <c r="ED9" t="e">
        <f>AND(Answers!AS6,"AAAAAG+7N4U=")</f>
        <v>#VALUE!</v>
      </c>
      <c r="EE9" t="e">
        <f>AND(Answers!AT6,"AAAAAG+7N4Y=")</f>
        <v>#VALUE!</v>
      </c>
      <c r="EF9" t="e">
        <f>AND(Answers!AU6,"AAAAAG+7N4c=")</f>
        <v>#VALUE!</v>
      </c>
      <c r="EG9" t="e">
        <f>AND(Answers!AW6,"AAAAAG+7N4g=")</f>
        <v>#VALUE!</v>
      </c>
      <c r="EH9" t="e">
        <f>AND(Answers!AX6,"AAAAAG+7N4k=")</f>
        <v>#VALUE!</v>
      </c>
      <c r="EI9" t="e">
        <f>AND(Answers!AY6,"AAAAAG+7N4o=")</f>
        <v>#VALUE!</v>
      </c>
      <c r="EJ9" t="e">
        <f>AND(Answers!AZ6,"AAAAAG+7N4s=")</f>
        <v>#VALUE!</v>
      </c>
      <c r="EK9" t="e">
        <f>AND(Answers!BA6,"AAAAAG+7N4w=")</f>
        <v>#VALUE!</v>
      </c>
      <c r="EL9" t="e">
        <f>AND(Answers!BB6,"AAAAAG+7N40=")</f>
        <v>#VALUE!</v>
      </c>
      <c r="EM9" t="e">
        <f>AND(Answers!BC6,"AAAAAG+7N44=")</f>
        <v>#VALUE!</v>
      </c>
      <c r="EN9" t="e">
        <f>AND(Answers!BD6,"AAAAAG+7N48=")</f>
        <v>#VALUE!</v>
      </c>
      <c r="EO9" t="e">
        <f>AND(Answers!BE6,"AAAAAG+7N5A=")</f>
        <v>#VALUE!</v>
      </c>
      <c r="EP9" t="e">
        <f>AND(Answers!BF6,"AAAAAG+7N5E=")</f>
        <v>#VALUE!</v>
      </c>
      <c r="EQ9" t="e">
        <f>AND(Answers!BG6,"AAAAAG+7N5I=")</f>
        <v>#VALUE!</v>
      </c>
      <c r="ER9" t="e">
        <f>AND(Answers!BH6,"AAAAAG+7N5M=")</f>
        <v>#VALUE!</v>
      </c>
      <c r="ES9" t="e">
        <f>AND(Answers!BI6,"AAAAAG+7N5Q=")</f>
        <v>#VALUE!</v>
      </c>
      <c r="ET9" t="e">
        <f>AND(Answers!BK6,"AAAAAG+7N5U=")</f>
        <v>#VALUE!</v>
      </c>
      <c r="EU9" t="e">
        <f>AND(Answers!BL6,"AAAAAG+7N5Y=")</f>
        <v>#VALUE!</v>
      </c>
      <c r="EV9" t="e">
        <f>AND(Answers!BM6,"AAAAAG+7N5c=")</f>
        <v>#VALUE!</v>
      </c>
      <c r="EW9" t="e">
        <f>AND(Answers!BN6,"AAAAAG+7N5g=")</f>
        <v>#VALUE!</v>
      </c>
      <c r="EX9" t="e">
        <f>AND(Answers!BO6,"AAAAAG+7N5k=")</f>
        <v>#VALUE!</v>
      </c>
      <c r="EY9" t="e">
        <f>AND(Answers!BP6,"AAAAAG+7N5o=")</f>
        <v>#VALUE!</v>
      </c>
      <c r="EZ9" t="e">
        <f>AND(Answers!BQ6,"AAAAAG+7N5s=")</f>
        <v>#VALUE!</v>
      </c>
      <c r="FA9" t="e">
        <f>AND(Answers!BR6,"AAAAAG+7N5w=")</f>
        <v>#VALUE!</v>
      </c>
      <c r="FB9" t="e">
        <f>AND(Answers!BS6,"AAAAAG+7N50=")</f>
        <v>#VALUE!</v>
      </c>
      <c r="FC9" t="e">
        <f>AND(Answers!BU6,"AAAAAG+7N54=")</f>
        <v>#VALUE!</v>
      </c>
      <c r="FD9" t="e">
        <f>AND(Answers!BV6,"AAAAAG+7N58=")</f>
        <v>#VALUE!</v>
      </c>
      <c r="FE9" t="e">
        <f>AND(Answers!#REF!,"AAAAAG+7N6A=")</f>
        <v>#REF!</v>
      </c>
      <c r="FF9" t="e">
        <f>AND(Answers!BW6,"AAAAAG+7N6E=")</f>
        <v>#VALUE!</v>
      </c>
      <c r="FG9" t="e">
        <f>AND(Answers!BX6,"AAAAAG+7N6I=")</f>
        <v>#VALUE!</v>
      </c>
      <c r="FH9" t="e">
        <f>AND(Answers!BY6,"AAAAAG+7N6M=")</f>
        <v>#VALUE!</v>
      </c>
      <c r="FI9" t="e">
        <f>AND(Answers!BZ6,"AAAAAG+7N6Q=")</f>
        <v>#VALUE!</v>
      </c>
      <c r="FJ9">
        <f>IF(Answers!7:7,"AAAAAG+7N6U=",0)</f>
        <v>0</v>
      </c>
      <c r="FK9" t="e">
        <f>AND(Answers!A7,"AAAAAG+7N6Y=")</f>
        <v>#VALUE!</v>
      </c>
      <c r="FL9" t="e">
        <f>AND(Answers!B7,"AAAAAG+7N6c=")</f>
        <v>#VALUE!</v>
      </c>
      <c r="FM9" t="e">
        <f>AND(Answers!C7,"AAAAAG+7N6g=")</f>
        <v>#VALUE!</v>
      </c>
      <c r="FN9" t="e">
        <f>AND(Answers!D7,"AAAAAG+7N6k=")</f>
        <v>#VALUE!</v>
      </c>
      <c r="FO9" t="e">
        <f>AND(Answers!E7,"AAAAAG+7N6o=")</f>
        <v>#VALUE!</v>
      </c>
      <c r="FP9" t="e">
        <f>AND(Answers!F7,"AAAAAG+7N6s=")</f>
        <v>#VALUE!</v>
      </c>
      <c r="FQ9" t="e">
        <f>AND(Answers!G7,"AAAAAG+7N6w=")</f>
        <v>#VALUE!</v>
      </c>
      <c r="FR9" t="e">
        <f>AND(Answers!H7,"AAAAAG+7N60=")</f>
        <v>#VALUE!</v>
      </c>
      <c r="FS9" t="e">
        <f>AND(Answers!J7,"AAAAAG+7N64=")</f>
        <v>#VALUE!</v>
      </c>
      <c r="FT9" t="e">
        <f>AND(Answers!K7,"AAAAAG+7N68=")</f>
        <v>#VALUE!</v>
      </c>
      <c r="FU9" t="e">
        <f>AND(Answers!L7,"AAAAAG+7N7A=")</f>
        <v>#VALUE!</v>
      </c>
      <c r="FV9" t="e">
        <f>AND(Answers!M7,"AAAAAG+7N7E=")</f>
        <v>#VALUE!</v>
      </c>
      <c r="FW9" t="e">
        <f>AND(Answers!N7,"AAAAAG+7N7I=")</f>
        <v>#VALUE!</v>
      </c>
      <c r="FX9" t="e">
        <f>AND(Answers!O7,"AAAAAG+7N7M=")</f>
        <v>#VALUE!</v>
      </c>
      <c r="FY9" t="e">
        <f>AND(Answers!P7,"AAAAAG+7N7Q=")</f>
        <v>#VALUE!</v>
      </c>
      <c r="FZ9" t="e">
        <f>AND(Answers!Q7,"AAAAAG+7N7U=")</f>
        <v>#VALUE!</v>
      </c>
      <c r="GA9" t="e">
        <f>AND(Answers!R7,"AAAAAG+7N7Y=")</f>
        <v>#VALUE!</v>
      </c>
      <c r="GB9" t="e">
        <f>AND(Answers!S7,"AAAAAG+7N7c=")</f>
        <v>#VALUE!</v>
      </c>
      <c r="GC9" t="e">
        <f>AND(Answers!T7,"AAAAAG+7N7g=")</f>
        <v>#VALUE!</v>
      </c>
      <c r="GD9" t="e">
        <f>AND(Answers!U7,"AAAAAG+7N7k=")</f>
        <v>#VALUE!</v>
      </c>
      <c r="GE9" t="e">
        <f>AND(Answers!V7,"AAAAAG+7N7o=")</f>
        <v>#VALUE!</v>
      </c>
      <c r="GF9" t="e">
        <f>AND(Answers!X7,"AAAAAG+7N7s=")</f>
        <v>#VALUE!</v>
      </c>
      <c r="GG9" t="e">
        <f>AND(Answers!Y7,"AAAAAG+7N7w=")</f>
        <v>#VALUE!</v>
      </c>
      <c r="GH9" t="e">
        <f>AND(Answers!Z7,"AAAAAG+7N70=")</f>
        <v>#VALUE!</v>
      </c>
      <c r="GI9" t="e">
        <f>AND(Answers!AA7,"AAAAAG+7N74=")</f>
        <v>#VALUE!</v>
      </c>
      <c r="GJ9" t="e">
        <f>AND(Answers!AB7,"AAAAAG+7N78=")</f>
        <v>#VALUE!</v>
      </c>
      <c r="GK9" t="e">
        <f>AND(Answers!AC7,"AAAAAG+7N8A=")</f>
        <v>#VALUE!</v>
      </c>
      <c r="GL9" t="e">
        <f>AND(Answers!AD7,"AAAAAG+7N8E=")</f>
        <v>#VALUE!</v>
      </c>
      <c r="GM9" t="e">
        <f>AND(Answers!AE7,"AAAAAG+7N8I=")</f>
        <v>#VALUE!</v>
      </c>
      <c r="GN9" t="e">
        <f>AND(Answers!AF7,"AAAAAG+7N8M=")</f>
        <v>#VALUE!</v>
      </c>
      <c r="GO9" t="e">
        <f>AND(Answers!AH7,"AAAAAG+7N8Q=")</f>
        <v>#VALUE!</v>
      </c>
      <c r="GP9" t="e">
        <f>AND(Answers!AI7,"AAAAAG+7N8U=")</f>
        <v>#VALUE!</v>
      </c>
      <c r="GQ9" t="e">
        <f>AND(Answers!AK7,"AAAAAG+7N8Y=")</f>
        <v>#VALUE!</v>
      </c>
      <c r="GR9" t="e">
        <f>AND(Answers!#REF!,"AAAAAG+7N8c=")</f>
        <v>#REF!</v>
      </c>
      <c r="GS9" t="e">
        <f>AND(Answers!AR7,"AAAAAG+7N8g=")</f>
        <v>#VALUE!</v>
      </c>
      <c r="GT9" t="e">
        <f>AND(Answers!AS7,"AAAAAG+7N8k=")</f>
        <v>#VALUE!</v>
      </c>
      <c r="GU9" t="e">
        <f>AND(Answers!AT7,"AAAAAG+7N8o=")</f>
        <v>#VALUE!</v>
      </c>
      <c r="GV9" t="e">
        <f>AND(Answers!AU7,"AAAAAG+7N8s=")</f>
        <v>#VALUE!</v>
      </c>
      <c r="GW9" t="e">
        <f>AND(Answers!AW7,"AAAAAG+7N8w=")</f>
        <v>#VALUE!</v>
      </c>
      <c r="GX9" t="e">
        <f>AND(Answers!AX7,"AAAAAG+7N80=")</f>
        <v>#VALUE!</v>
      </c>
      <c r="GY9" t="e">
        <f>AND(Answers!AY7,"AAAAAG+7N84=")</f>
        <v>#VALUE!</v>
      </c>
      <c r="GZ9" t="e">
        <f>AND(Answers!AZ7,"AAAAAG+7N88=")</f>
        <v>#VALUE!</v>
      </c>
      <c r="HA9" t="e">
        <f>AND(Answers!BA7,"AAAAAG+7N9A=")</f>
        <v>#VALUE!</v>
      </c>
      <c r="HB9" t="e">
        <f>AND(Answers!BB7,"AAAAAG+7N9E=")</f>
        <v>#VALUE!</v>
      </c>
      <c r="HC9" t="e">
        <f>AND(Answers!BC7,"AAAAAG+7N9I=")</f>
        <v>#VALUE!</v>
      </c>
      <c r="HD9" t="e">
        <f>AND(Answers!BD7,"AAAAAG+7N9M=")</f>
        <v>#VALUE!</v>
      </c>
      <c r="HE9" t="e">
        <f>AND(Answers!BE7,"AAAAAG+7N9Q=")</f>
        <v>#VALUE!</v>
      </c>
      <c r="HF9" t="e">
        <f>AND(Answers!BF7,"AAAAAG+7N9U=")</f>
        <v>#VALUE!</v>
      </c>
      <c r="HG9" t="e">
        <f>AND(Answers!BG7,"AAAAAG+7N9Y=")</f>
        <v>#VALUE!</v>
      </c>
      <c r="HH9" t="e">
        <f>AND(Answers!BH7,"AAAAAG+7N9c=")</f>
        <v>#VALUE!</v>
      </c>
      <c r="HI9" t="e">
        <f>AND(Answers!BI7,"AAAAAG+7N9g=")</f>
        <v>#VALUE!</v>
      </c>
      <c r="HJ9" t="e">
        <f>AND(Answers!BK7,"AAAAAG+7N9k=")</f>
        <v>#VALUE!</v>
      </c>
      <c r="HK9" t="e">
        <f>AND(Answers!BL7,"AAAAAG+7N9o=")</f>
        <v>#VALUE!</v>
      </c>
      <c r="HL9" t="e">
        <f>AND(Answers!BM7,"AAAAAG+7N9s=")</f>
        <v>#VALUE!</v>
      </c>
      <c r="HM9" t="e">
        <f>AND(Answers!BN7,"AAAAAG+7N9w=")</f>
        <v>#VALUE!</v>
      </c>
      <c r="HN9" t="e">
        <f>AND(Answers!BO7,"AAAAAG+7N90=")</f>
        <v>#VALUE!</v>
      </c>
      <c r="HO9" t="e">
        <f>AND(Answers!BP7,"AAAAAG+7N94=")</f>
        <v>#VALUE!</v>
      </c>
      <c r="HP9" t="e">
        <f>AND(Answers!BQ7,"AAAAAG+7N98=")</f>
        <v>#VALUE!</v>
      </c>
      <c r="HQ9" t="e">
        <f>AND(Answers!BR7,"AAAAAG+7N+A=")</f>
        <v>#VALUE!</v>
      </c>
      <c r="HR9" t="e">
        <f>AND(Answers!BS7,"AAAAAG+7N+E=")</f>
        <v>#VALUE!</v>
      </c>
      <c r="HS9" t="e">
        <f>AND(Answers!BU7,"AAAAAG+7N+I=")</f>
        <v>#VALUE!</v>
      </c>
      <c r="HT9" t="e">
        <f>AND(Answers!BV7,"AAAAAG+7N+M=")</f>
        <v>#VALUE!</v>
      </c>
      <c r="HU9" t="e">
        <f>AND(Answers!#REF!,"AAAAAG+7N+Q=")</f>
        <v>#REF!</v>
      </c>
      <c r="HV9" t="e">
        <f>AND(Answers!BW7,"AAAAAG+7N+U=")</f>
        <v>#VALUE!</v>
      </c>
      <c r="HW9" t="e">
        <f>AND(Answers!BX7,"AAAAAG+7N+Y=")</f>
        <v>#VALUE!</v>
      </c>
      <c r="HX9" t="e">
        <f>AND(Answers!BY7,"AAAAAG+7N+c=")</f>
        <v>#VALUE!</v>
      </c>
      <c r="HY9" t="e">
        <f>AND(Answers!BZ7,"AAAAAG+7N+g=")</f>
        <v>#VALUE!</v>
      </c>
      <c r="HZ9">
        <f>IF(Answers!8:8,"AAAAAG+7N+k=",0)</f>
        <v>0</v>
      </c>
      <c r="IA9" t="e">
        <f>AND(Answers!A8,"AAAAAG+7N+o=")</f>
        <v>#VALUE!</v>
      </c>
      <c r="IB9" t="e">
        <f>AND(Answers!B8,"AAAAAG+7N+s=")</f>
        <v>#VALUE!</v>
      </c>
      <c r="IC9" t="e">
        <f>AND(Answers!C8,"AAAAAG+7N+w=")</f>
        <v>#VALUE!</v>
      </c>
      <c r="ID9" t="e">
        <f>AND(Answers!D8,"AAAAAG+7N+0=")</f>
        <v>#VALUE!</v>
      </c>
      <c r="IE9" t="e">
        <f>AND(Answers!E8,"AAAAAG+7N+4=")</f>
        <v>#VALUE!</v>
      </c>
      <c r="IF9" t="e">
        <f>AND(Answers!F8,"AAAAAG+7N+8=")</f>
        <v>#VALUE!</v>
      </c>
      <c r="IG9" t="e">
        <f>AND(Answers!G8,"AAAAAG+7N/A=")</f>
        <v>#VALUE!</v>
      </c>
      <c r="IH9" t="e">
        <f>AND(Answers!H8,"AAAAAG+7N/E=")</f>
        <v>#VALUE!</v>
      </c>
      <c r="II9" t="e">
        <f>AND(Answers!J8,"AAAAAG+7N/I=")</f>
        <v>#VALUE!</v>
      </c>
      <c r="IJ9" t="e">
        <f>AND(Answers!K8,"AAAAAG+7N/M=")</f>
        <v>#VALUE!</v>
      </c>
      <c r="IK9" t="e">
        <f>AND(Answers!L8,"AAAAAG+7N/Q=")</f>
        <v>#VALUE!</v>
      </c>
      <c r="IL9" t="e">
        <f>AND(Answers!M8,"AAAAAG+7N/U=")</f>
        <v>#VALUE!</v>
      </c>
      <c r="IM9" t="e">
        <f>AND(Answers!N8,"AAAAAG+7N/Y=")</f>
        <v>#VALUE!</v>
      </c>
      <c r="IN9" t="e">
        <f>AND(Answers!O8,"AAAAAG+7N/c=")</f>
        <v>#VALUE!</v>
      </c>
      <c r="IO9" t="e">
        <f>AND(Answers!P8,"AAAAAG+7N/g=")</f>
        <v>#VALUE!</v>
      </c>
      <c r="IP9" t="e">
        <f>AND(Answers!Q8,"AAAAAG+7N/k=")</f>
        <v>#VALUE!</v>
      </c>
      <c r="IQ9" t="e">
        <f>AND(Answers!R8,"AAAAAG+7N/o=")</f>
        <v>#VALUE!</v>
      </c>
      <c r="IR9" t="e">
        <f>AND(Answers!S8,"AAAAAG+7N/s=")</f>
        <v>#VALUE!</v>
      </c>
      <c r="IS9" t="e">
        <f>AND(Answers!T8,"AAAAAG+7N/w=")</f>
        <v>#VALUE!</v>
      </c>
      <c r="IT9" t="e">
        <f>AND(Answers!U8,"AAAAAG+7N/0=")</f>
        <v>#VALUE!</v>
      </c>
      <c r="IU9" t="e">
        <f>AND(Answers!V8,"AAAAAG+7N/4=")</f>
        <v>#VALUE!</v>
      </c>
      <c r="IV9" t="e">
        <f>AND(Answers!X8,"AAAAAG+7N/8=")</f>
        <v>#VALUE!</v>
      </c>
    </row>
    <row r="10" spans="1:256" x14ac:dyDescent="0.15">
      <c r="A10" t="e">
        <f>AND(Answers!Y8,"AAAAAFzvrgA=")</f>
        <v>#VALUE!</v>
      </c>
      <c r="B10" t="e">
        <f>AND(Answers!Z8,"AAAAAFzvrgE=")</f>
        <v>#VALUE!</v>
      </c>
      <c r="C10" t="e">
        <f>AND(Answers!AA8,"AAAAAFzvrgI=")</f>
        <v>#VALUE!</v>
      </c>
      <c r="D10" t="e">
        <f>AND(Answers!AB8,"AAAAAFzvrgM=")</f>
        <v>#VALUE!</v>
      </c>
      <c r="E10" t="e">
        <f>AND(Answers!AC8,"AAAAAFzvrgQ=")</f>
        <v>#VALUE!</v>
      </c>
      <c r="F10" t="e">
        <f>AND(Answers!AD8,"AAAAAFzvrgU=")</f>
        <v>#VALUE!</v>
      </c>
      <c r="G10" t="e">
        <f>AND(Answers!AE8,"AAAAAFzvrgY=")</f>
        <v>#VALUE!</v>
      </c>
      <c r="H10" t="e">
        <f>AND(Answers!AF8,"AAAAAFzvrgc=")</f>
        <v>#VALUE!</v>
      </c>
      <c r="I10" t="e">
        <f>AND(Answers!AH8,"AAAAAFzvrgg=")</f>
        <v>#VALUE!</v>
      </c>
      <c r="J10" t="e">
        <f>AND(Answers!AI8,"AAAAAFzvrgk=")</f>
        <v>#VALUE!</v>
      </c>
      <c r="K10" t="e">
        <f>AND(Answers!AK8,"AAAAAFzvrgo=")</f>
        <v>#VALUE!</v>
      </c>
      <c r="L10" t="e">
        <f>AND(Answers!#REF!,"AAAAAFzvrgs=")</f>
        <v>#REF!</v>
      </c>
      <c r="M10" t="e">
        <f>AND(Answers!AR8,"AAAAAFzvrgw=")</f>
        <v>#VALUE!</v>
      </c>
      <c r="N10" t="e">
        <f>AND(Answers!AS8,"AAAAAFzvrg0=")</f>
        <v>#VALUE!</v>
      </c>
      <c r="O10" t="e">
        <f>AND(Answers!AT8,"AAAAAFzvrg4=")</f>
        <v>#VALUE!</v>
      </c>
      <c r="P10" t="e">
        <f>AND(Answers!AU8,"AAAAAFzvrg8=")</f>
        <v>#VALUE!</v>
      </c>
      <c r="Q10" t="e">
        <f>AND(Answers!AW8,"AAAAAFzvrhA=")</f>
        <v>#VALUE!</v>
      </c>
      <c r="R10" t="e">
        <f>AND(Answers!AX8,"AAAAAFzvrhE=")</f>
        <v>#VALUE!</v>
      </c>
      <c r="S10" t="e">
        <f>AND(Answers!AY8,"AAAAAFzvrhI=")</f>
        <v>#VALUE!</v>
      </c>
      <c r="T10" t="e">
        <f>AND(Answers!AZ8,"AAAAAFzvrhM=")</f>
        <v>#VALUE!</v>
      </c>
      <c r="U10" t="e">
        <f>AND(Answers!BA8,"AAAAAFzvrhQ=")</f>
        <v>#VALUE!</v>
      </c>
      <c r="V10" t="e">
        <f>AND(Answers!BB8,"AAAAAFzvrhU=")</f>
        <v>#VALUE!</v>
      </c>
      <c r="W10" t="e">
        <f>AND(Answers!BC8,"AAAAAFzvrhY=")</f>
        <v>#VALUE!</v>
      </c>
      <c r="X10" t="e">
        <f>AND(Answers!BD8,"AAAAAFzvrhc=")</f>
        <v>#VALUE!</v>
      </c>
      <c r="Y10" t="e">
        <f>AND(Answers!BE8,"AAAAAFzvrhg=")</f>
        <v>#VALUE!</v>
      </c>
      <c r="Z10" t="e">
        <f>AND(Answers!BF8,"AAAAAFzvrhk=")</f>
        <v>#VALUE!</v>
      </c>
      <c r="AA10" t="e">
        <f>AND(Answers!BG8,"AAAAAFzvrho=")</f>
        <v>#VALUE!</v>
      </c>
      <c r="AB10" t="e">
        <f>AND(Answers!BH8,"AAAAAFzvrhs=")</f>
        <v>#VALUE!</v>
      </c>
      <c r="AC10" t="e">
        <f>AND(Answers!BI8,"AAAAAFzvrhw=")</f>
        <v>#VALUE!</v>
      </c>
      <c r="AD10" t="e">
        <f>AND(Answers!BK8,"AAAAAFzvrh0=")</f>
        <v>#VALUE!</v>
      </c>
      <c r="AE10" t="e">
        <f>AND(Answers!BL8,"AAAAAFzvrh4=")</f>
        <v>#VALUE!</v>
      </c>
      <c r="AF10" t="e">
        <f>AND(Answers!BM8,"AAAAAFzvrh8=")</f>
        <v>#VALUE!</v>
      </c>
      <c r="AG10" t="e">
        <f>AND(Answers!BN8,"AAAAAFzvriA=")</f>
        <v>#VALUE!</v>
      </c>
      <c r="AH10" t="e">
        <f>AND(Answers!BO8,"AAAAAFzvriE=")</f>
        <v>#VALUE!</v>
      </c>
      <c r="AI10" t="e">
        <f>AND(Answers!BP8,"AAAAAFzvriI=")</f>
        <v>#VALUE!</v>
      </c>
      <c r="AJ10" t="e">
        <f>AND(Answers!BQ8,"AAAAAFzvriM=")</f>
        <v>#VALUE!</v>
      </c>
      <c r="AK10" t="e">
        <f>AND(Answers!BR8,"AAAAAFzvriQ=")</f>
        <v>#VALUE!</v>
      </c>
      <c r="AL10" t="e">
        <f>AND(Answers!BS8,"AAAAAFzvriU=")</f>
        <v>#VALUE!</v>
      </c>
      <c r="AM10" t="e">
        <f>AND(Answers!BU8,"AAAAAFzvriY=")</f>
        <v>#VALUE!</v>
      </c>
      <c r="AN10" t="e">
        <f>AND(Answers!BV8,"AAAAAFzvric=")</f>
        <v>#VALUE!</v>
      </c>
      <c r="AO10" t="e">
        <f>AND(Answers!#REF!,"AAAAAFzvrig=")</f>
        <v>#REF!</v>
      </c>
      <c r="AP10" t="e">
        <f>AND(Answers!BW8,"AAAAAFzvrik=")</f>
        <v>#VALUE!</v>
      </c>
      <c r="AQ10" t="e">
        <f>AND(Answers!BX8,"AAAAAFzvrio=")</f>
        <v>#VALUE!</v>
      </c>
      <c r="AR10" t="e">
        <f>AND(Answers!BY8,"AAAAAFzvris=")</f>
        <v>#VALUE!</v>
      </c>
      <c r="AS10" t="e">
        <f>AND(Answers!BZ8,"AAAAAFzvriw=")</f>
        <v>#VALUE!</v>
      </c>
      <c r="AT10" t="str">
        <f>IF(Answers!9:9,"AAAAAFzvri0=",0)</f>
        <v>AAAAAFzvri0=</v>
      </c>
      <c r="AU10" t="e">
        <f>AND(Answers!A9,"AAAAAFzvri4=")</f>
        <v>#VALUE!</v>
      </c>
      <c r="AV10" t="e">
        <f>AND(Answers!B9,"AAAAAFzvri8=")</f>
        <v>#VALUE!</v>
      </c>
      <c r="AW10" t="e">
        <f>AND(Answers!C9,"AAAAAFzvrjA=")</f>
        <v>#VALUE!</v>
      </c>
      <c r="AX10" t="e">
        <f>AND(Answers!D9,"AAAAAFzvrjE=")</f>
        <v>#VALUE!</v>
      </c>
      <c r="AY10" t="e">
        <f>AND(Answers!E9,"AAAAAFzvrjI=")</f>
        <v>#VALUE!</v>
      </c>
      <c r="AZ10" t="e">
        <f>AND(Answers!F9,"AAAAAFzvrjM=")</f>
        <v>#VALUE!</v>
      </c>
      <c r="BA10" t="e">
        <f>AND(Answers!G9,"AAAAAFzvrjQ=")</f>
        <v>#VALUE!</v>
      </c>
      <c r="BB10" t="e">
        <f>AND(Answers!H9,"AAAAAFzvrjU=")</f>
        <v>#VALUE!</v>
      </c>
      <c r="BC10" t="e">
        <f>AND(Answers!J9,"AAAAAFzvrjY=")</f>
        <v>#VALUE!</v>
      </c>
      <c r="BD10" t="e">
        <f>AND(Answers!K9,"AAAAAFzvrjc=")</f>
        <v>#VALUE!</v>
      </c>
      <c r="BE10" t="e">
        <f>AND(Answers!L9,"AAAAAFzvrjg=")</f>
        <v>#VALUE!</v>
      </c>
      <c r="BF10" t="e">
        <f>AND(Answers!M9,"AAAAAFzvrjk=")</f>
        <v>#VALUE!</v>
      </c>
      <c r="BG10" t="e">
        <f>AND(Answers!N9,"AAAAAFzvrjo=")</f>
        <v>#VALUE!</v>
      </c>
      <c r="BH10" t="e">
        <f>AND(Answers!O9,"AAAAAFzvrjs=")</f>
        <v>#VALUE!</v>
      </c>
      <c r="BI10" t="e">
        <f>AND(Answers!P9,"AAAAAFzvrjw=")</f>
        <v>#VALUE!</v>
      </c>
      <c r="BJ10" t="e">
        <f>AND(Answers!Q9,"AAAAAFzvrj0=")</f>
        <v>#VALUE!</v>
      </c>
      <c r="BK10" t="e">
        <f>AND(Answers!R9,"AAAAAFzvrj4=")</f>
        <v>#VALUE!</v>
      </c>
      <c r="BL10" t="e">
        <f>AND(Answers!S9,"AAAAAFzvrj8=")</f>
        <v>#VALUE!</v>
      </c>
      <c r="BM10" t="e">
        <f>AND(Answers!T9,"AAAAAFzvrkA=")</f>
        <v>#VALUE!</v>
      </c>
      <c r="BN10" t="e">
        <f>AND(Answers!U9,"AAAAAFzvrkE=")</f>
        <v>#VALUE!</v>
      </c>
      <c r="BO10" t="e">
        <f>AND(Answers!V9,"AAAAAFzvrkI=")</f>
        <v>#VALUE!</v>
      </c>
      <c r="BP10" t="e">
        <f>AND(Answers!X9,"AAAAAFzvrkM=")</f>
        <v>#VALUE!</v>
      </c>
      <c r="BQ10" t="e">
        <f>AND(Answers!Y9,"AAAAAFzvrkQ=")</f>
        <v>#VALUE!</v>
      </c>
      <c r="BR10" t="e">
        <f>AND(Answers!Z9,"AAAAAFzvrkU=")</f>
        <v>#VALUE!</v>
      </c>
      <c r="BS10" t="e">
        <f>AND(Answers!AA9,"AAAAAFzvrkY=")</f>
        <v>#VALUE!</v>
      </c>
      <c r="BT10" t="e">
        <f>AND(Answers!AB9,"AAAAAFzvrkc=")</f>
        <v>#VALUE!</v>
      </c>
      <c r="BU10" t="e">
        <f>AND(Answers!AC9,"AAAAAFzvrkg=")</f>
        <v>#VALUE!</v>
      </c>
      <c r="BV10" t="e">
        <f>AND(Answers!AD9,"AAAAAFzvrkk=")</f>
        <v>#VALUE!</v>
      </c>
      <c r="BW10" t="e">
        <f>AND(Answers!AE9,"AAAAAFzvrko=")</f>
        <v>#VALUE!</v>
      </c>
      <c r="BX10" t="e">
        <f>AND(Answers!AF9,"AAAAAFzvrks=")</f>
        <v>#VALUE!</v>
      </c>
      <c r="BY10" t="e">
        <f>AND(Answers!AH9,"AAAAAFzvrkw=")</f>
        <v>#VALUE!</v>
      </c>
      <c r="BZ10" t="e">
        <f>AND(Answers!AI9,"AAAAAFzvrk0=")</f>
        <v>#VALUE!</v>
      </c>
      <c r="CA10" t="e">
        <f>AND(Answers!AK9,"AAAAAFzvrk4=")</f>
        <v>#VALUE!</v>
      </c>
      <c r="CB10" t="e">
        <f>AND(Answers!#REF!,"AAAAAFzvrk8=")</f>
        <v>#REF!</v>
      </c>
      <c r="CC10" t="e">
        <f>AND(Answers!AR9,"AAAAAFzvrlA=")</f>
        <v>#VALUE!</v>
      </c>
      <c r="CD10" t="e">
        <f>AND(Answers!AS9,"AAAAAFzvrlE=")</f>
        <v>#VALUE!</v>
      </c>
      <c r="CE10" t="e">
        <f>AND(Answers!AT9,"AAAAAFzvrlI=")</f>
        <v>#VALUE!</v>
      </c>
      <c r="CF10" t="e">
        <f>AND(Answers!AU9,"AAAAAFzvrlM=")</f>
        <v>#VALUE!</v>
      </c>
      <c r="CG10" t="e">
        <f>AND(Answers!AW9,"AAAAAFzvrlQ=")</f>
        <v>#VALUE!</v>
      </c>
      <c r="CH10" t="e">
        <f>AND(Answers!AX9,"AAAAAFzvrlU=")</f>
        <v>#VALUE!</v>
      </c>
      <c r="CI10" t="e">
        <f>AND(Answers!AY9,"AAAAAFzvrlY=")</f>
        <v>#VALUE!</v>
      </c>
      <c r="CJ10" t="e">
        <f>AND(Answers!AZ9,"AAAAAFzvrlc=")</f>
        <v>#VALUE!</v>
      </c>
      <c r="CK10" t="e">
        <f>AND(Answers!BA9,"AAAAAFzvrlg=")</f>
        <v>#VALUE!</v>
      </c>
      <c r="CL10" t="e">
        <f>AND(Answers!BB9,"AAAAAFzvrlk=")</f>
        <v>#VALUE!</v>
      </c>
      <c r="CM10" t="e">
        <f>AND(Answers!BC9,"AAAAAFzvrlo=")</f>
        <v>#VALUE!</v>
      </c>
      <c r="CN10" t="e">
        <f>AND(Answers!BD9,"AAAAAFzvrls=")</f>
        <v>#VALUE!</v>
      </c>
      <c r="CO10" t="e">
        <f>AND(Answers!BE9,"AAAAAFzvrlw=")</f>
        <v>#VALUE!</v>
      </c>
      <c r="CP10" t="e">
        <f>AND(Answers!BF9,"AAAAAFzvrl0=")</f>
        <v>#VALUE!</v>
      </c>
      <c r="CQ10" t="e">
        <f>AND(Answers!BG9,"AAAAAFzvrl4=")</f>
        <v>#VALUE!</v>
      </c>
      <c r="CR10" t="e">
        <f>AND(Answers!BH9,"AAAAAFzvrl8=")</f>
        <v>#VALUE!</v>
      </c>
      <c r="CS10" t="e">
        <f>AND(Answers!BI9,"AAAAAFzvrmA=")</f>
        <v>#VALUE!</v>
      </c>
      <c r="CT10" t="e">
        <f>AND(Answers!BK9,"AAAAAFzvrmE=")</f>
        <v>#VALUE!</v>
      </c>
      <c r="CU10" t="e">
        <f>AND(Answers!BL9,"AAAAAFzvrmI=")</f>
        <v>#VALUE!</v>
      </c>
      <c r="CV10" t="e">
        <f>AND(Answers!BM9,"AAAAAFzvrmM=")</f>
        <v>#VALUE!</v>
      </c>
      <c r="CW10" t="e">
        <f>AND(Answers!BN9,"AAAAAFzvrmQ=")</f>
        <v>#VALUE!</v>
      </c>
      <c r="CX10" t="e">
        <f>AND(Answers!BO9,"AAAAAFzvrmU=")</f>
        <v>#VALUE!</v>
      </c>
      <c r="CY10" t="e">
        <f>AND(Answers!BP9,"AAAAAFzvrmY=")</f>
        <v>#VALUE!</v>
      </c>
      <c r="CZ10" t="e">
        <f>AND(Answers!BQ9,"AAAAAFzvrmc=")</f>
        <v>#VALUE!</v>
      </c>
      <c r="DA10" t="e">
        <f>AND(Answers!BR9,"AAAAAFzvrmg=")</f>
        <v>#VALUE!</v>
      </c>
      <c r="DB10" t="e">
        <f>AND(Answers!BS9,"AAAAAFzvrmk=")</f>
        <v>#VALUE!</v>
      </c>
      <c r="DC10" t="e">
        <f>AND(Answers!BU9,"AAAAAFzvrmo=")</f>
        <v>#VALUE!</v>
      </c>
      <c r="DD10" t="e">
        <f>AND(Answers!BV9,"AAAAAFzvrms=")</f>
        <v>#VALUE!</v>
      </c>
      <c r="DE10" t="e">
        <f>AND(Answers!#REF!,"AAAAAFzvrmw=")</f>
        <v>#REF!</v>
      </c>
      <c r="DF10" t="e">
        <f>AND(Answers!BW9,"AAAAAFzvrm0=")</f>
        <v>#VALUE!</v>
      </c>
      <c r="DG10" t="e">
        <f>AND(Answers!BX9,"AAAAAFzvrm4=")</f>
        <v>#VALUE!</v>
      </c>
      <c r="DH10" t="e">
        <f>AND(Answers!BY9,"AAAAAFzvrm8=")</f>
        <v>#VALUE!</v>
      </c>
      <c r="DI10" t="e">
        <f>AND(Answers!BZ9,"AAAAAFzvrnA=")</f>
        <v>#VALUE!</v>
      </c>
      <c r="DJ10">
        <f>IF(Answers!10:10,"AAAAAFzvrnE=",0)</f>
        <v>0</v>
      </c>
      <c r="DK10" t="e">
        <f>AND(Answers!A10,"AAAAAFzvrnI=")</f>
        <v>#VALUE!</v>
      </c>
      <c r="DL10" t="e">
        <f>AND(Answers!B10,"AAAAAFzvrnM=")</f>
        <v>#VALUE!</v>
      </c>
      <c r="DM10" t="e">
        <f>AND(Answers!C10,"AAAAAFzvrnQ=")</f>
        <v>#VALUE!</v>
      </c>
      <c r="DN10" t="e">
        <f>AND(Answers!D10,"AAAAAFzvrnU=")</f>
        <v>#VALUE!</v>
      </c>
      <c r="DO10" t="e">
        <f>AND(Answers!E10,"AAAAAFzvrnY=")</f>
        <v>#VALUE!</v>
      </c>
      <c r="DP10" t="e">
        <f>AND(Answers!F10,"AAAAAFzvrnc=")</f>
        <v>#VALUE!</v>
      </c>
      <c r="DQ10" t="e">
        <f>AND(Answers!G10,"AAAAAFzvrng=")</f>
        <v>#VALUE!</v>
      </c>
      <c r="DR10" t="e">
        <f>AND(Answers!H10,"AAAAAFzvrnk=")</f>
        <v>#VALUE!</v>
      </c>
      <c r="DS10" t="e">
        <f>AND(Answers!J10,"AAAAAFzvrno=")</f>
        <v>#VALUE!</v>
      </c>
      <c r="DT10" t="e">
        <f>AND(Answers!K10,"AAAAAFzvrns=")</f>
        <v>#VALUE!</v>
      </c>
      <c r="DU10" t="e">
        <f>AND(Answers!L10,"AAAAAFzvrnw=")</f>
        <v>#VALUE!</v>
      </c>
      <c r="DV10" t="e">
        <f>AND(Answers!M10,"AAAAAFzvrn0=")</f>
        <v>#VALUE!</v>
      </c>
      <c r="DW10" t="e">
        <f>AND(Answers!N10,"AAAAAFzvrn4=")</f>
        <v>#VALUE!</v>
      </c>
      <c r="DX10" t="e">
        <f>AND(Answers!O10,"AAAAAFzvrn8=")</f>
        <v>#VALUE!</v>
      </c>
      <c r="DY10" t="e">
        <f>AND(Answers!P10,"AAAAAFzvroA=")</f>
        <v>#VALUE!</v>
      </c>
      <c r="DZ10" t="e">
        <f>AND(Answers!Q10,"AAAAAFzvroE=")</f>
        <v>#VALUE!</v>
      </c>
      <c r="EA10" t="e">
        <f>AND(Answers!R10,"AAAAAFzvroI=")</f>
        <v>#VALUE!</v>
      </c>
      <c r="EB10" t="e">
        <f>AND(Answers!S10,"AAAAAFzvroM=")</f>
        <v>#VALUE!</v>
      </c>
      <c r="EC10" t="e">
        <f>AND(Answers!T10,"AAAAAFzvroQ=")</f>
        <v>#VALUE!</v>
      </c>
      <c r="ED10" t="e">
        <f>AND(Answers!U10,"AAAAAFzvroU=")</f>
        <v>#VALUE!</v>
      </c>
      <c r="EE10" t="e">
        <f>AND(Answers!V10,"AAAAAFzvroY=")</f>
        <v>#VALUE!</v>
      </c>
      <c r="EF10" t="e">
        <f>AND(Answers!X10,"AAAAAFzvroc=")</f>
        <v>#VALUE!</v>
      </c>
      <c r="EG10" t="e">
        <f>AND(Answers!Y10,"AAAAAFzvrog=")</f>
        <v>#VALUE!</v>
      </c>
      <c r="EH10" t="e">
        <f>AND(Answers!Z10,"AAAAAFzvrok=")</f>
        <v>#VALUE!</v>
      </c>
      <c r="EI10" t="e">
        <f>AND(Answers!AA10,"AAAAAFzvroo=")</f>
        <v>#VALUE!</v>
      </c>
      <c r="EJ10" t="e">
        <f>AND(Answers!AB10,"AAAAAFzvros=")</f>
        <v>#VALUE!</v>
      </c>
      <c r="EK10" t="e">
        <f>AND(Answers!AC10,"AAAAAFzvrow=")</f>
        <v>#VALUE!</v>
      </c>
      <c r="EL10" t="e">
        <f>AND(Answers!AD10,"AAAAAFzvro0=")</f>
        <v>#VALUE!</v>
      </c>
      <c r="EM10" t="e">
        <f>AND(Answers!AE10,"AAAAAFzvro4=")</f>
        <v>#VALUE!</v>
      </c>
      <c r="EN10" t="e">
        <f>AND(Answers!AF10,"AAAAAFzvro8=")</f>
        <v>#VALUE!</v>
      </c>
      <c r="EO10" t="e">
        <f>AND(Answers!AH10,"AAAAAFzvrpA=")</f>
        <v>#VALUE!</v>
      </c>
      <c r="EP10" t="e">
        <f>AND(Answers!AI10,"AAAAAFzvrpE=")</f>
        <v>#VALUE!</v>
      </c>
      <c r="EQ10" t="e">
        <f>AND(Answers!AK10,"AAAAAFzvrpI=")</f>
        <v>#VALUE!</v>
      </c>
      <c r="ER10" t="e">
        <f>AND(Answers!#REF!,"AAAAAFzvrpM=")</f>
        <v>#REF!</v>
      </c>
      <c r="ES10" t="e">
        <f>AND(Answers!AR10,"AAAAAFzvrpQ=")</f>
        <v>#VALUE!</v>
      </c>
      <c r="ET10" t="e">
        <f>AND(Answers!AS10,"AAAAAFzvrpU=")</f>
        <v>#VALUE!</v>
      </c>
      <c r="EU10" t="e">
        <f>AND(Answers!AT10,"AAAAAFzvrpY=")</f>
        <v>#VALUE!</v>
      </c>
      <c r="EV10" t="e">
        <f>AND(Answers!AU10,"AAAAAFzvrpc=")</f>
        <v>#VALUE!</v>
      </c>
      <c r="EW10" t="e">
        <f>AND(Answers!AW10,"AAAAAFzvrpg=")</f>
        <v>#VALUE!</v>
      </c>
      <c r="EX10" t="e">
        <f>AND(Answers!AX10,"AAAAAFzvrpk=")</f>
        <v>#VALUE!</v>
      </c>
      <c r="EY10" t="e">
        <f>AND(Answers!AY10,"AAAAAFzvrpo=")</f>
        <v>#VALUE!</v>
      </c>
      <c r="EZ10" t="e">
        <f>AND(Answers!AZ10,"AAAAAFzvrps=")</f>
        <v>#VALUE!</v>
      </c>
      <c r="FA10" t="e">
        <f>AND(Answers!BA10,"AAAAAFzvrpw=")</f>
        <v>#VALUE!</v>
      </c>
      <c r="FB10" t="e">
        <f>AND(Answers!BB10,"AAAAAFzvrp0=")</f>
        <v>#VALUE!</v>
      </c>
      <c r="FC10" t="e">
        <f>AND(Answers!BC10,"AAAAAFzvrp4=")</f>
        <v>#VALUE!</v>
      </c>
      <c r="FD10" t="e">
        <f>AND(Answers!BD10,"AAAAAFzvrp8=")</f>
        <v>#VALUE!</v>
      </c>
      <c r="FE10" t="e">
        <f>AND(Answers!BE10,"AAAAAFzvrqA=")</f>
        <v>#VALUE!</v>
      </c>
      <c r="FF10" t="e">
        <f>AND(Answers!BF10,"AAAAAFzvrqE=")</f>
        <v>#VALUE!</v>
      </c>
      <c r="FG10" t="e">
        <f>AND(Answers!BG10,"AAAAAFzvrqI=")</f>
        <v>#VALUE!</v>
      </c>
      <c r="FH10" t="e">
        <f>AND(Answers!BH10,"AAAAAFzvrqM=")</f>
        <v>#VALUE!</v>
      </c>
      <c r="FI10" t="e">
        <f>AND(Answers!BI10,"AAAAAFzvrqQ=")</f>
        <v>#VALUE!</v>
      </c>
      <c r="FJ10" t="e">
        <f>AND(Answers!BK10,"AAAAAFzvrqU=")</f>
        <v>#VALUE!</v>
      </c>
      <c r="FK10" t="e">
        <f>AND(Answers!BL10,"AAAAAFzvrqY=")</f>
        <v>#VALUE!</v>
      </c>
      <c r="FL10" t="e">
        <f>AND(Answers!BM10,"AAAAAFzvrqc=")</f>
        <v>#VALUE!</v>
      </c>
      <c r="FM10" t="e">
        <f>AND(Answers!BN10,"AAAAAFzvrqg=")</f>
        <v>#VALUE!</v>
      </c>
      <c r="FN10" t="e">
        <f>AND(Answers!BO10,"AAAAAFzvrqk=")</f>
        <v>#VALUE!</v>
      </c>
      <c r="FO10" t="e">
        <f>AND(Answers!BP10,"AAAAAFzvrqo=")</f>
        <v>#VALUE!</v>
      </c>
      <c r="FP10" t="e">
        <f>AND(Answers!BQ10,"AAAAAFzvrqs=")</f>
        <v>#VALUE!</v>
      </c>
      <c r="FQ10" t="e">
        <f>AND(Answers!BR10,"AAAAAFzvrqw=")</f>
        <v>#VALUE!</v>
      </c>
      <c r="FR10" t="e">
        <f>AND(Answers!BS10,"AAAAAFzvrq0=")</f>
        <v>#VALUE!</v>
      </c>
      <c r="FS10" t="e">
        <f>AND(Answers!BU10,"AAAAAFzvrq4=")</f>
        <v>#VALUE!</v>
      </c>
      <c r="FT10" t="e">
        <f>AND(Answers!BV10,"AAAAAFzvrq8=")</f>
        <v>#VALUE!</v>
      </c>
      <c r="FU10" t="e">
        <f>AND(Answers!#REF!,"AAAAAFzvrrA=")</f>
        <v>#REF!</v>
      </c>
      <c r="FV10" t="e">
        <f>AND(Answers!BW10,"AAAAAFzvrrE=")</f>
        <v>#VALUE!</v>
      </c>
      <c r="FW10" t="e">
        <f>AND(Answers!BX10,"AAAAAFzvrrI=")</f>
        <v>#VALUE!</v>
      </c>
      <c r="FX10" t="e">
        <f>AND(Answers!BY10,"AAAAAFzvrrM=")</f>
        <v>#VALUE!</v>
      </c>
      <c r="FY10" t="e">
        <f>AND(Answers!BZ10,"AAAAAFzvrrQ=")</f>
        <v>#VALUE!</v>
      </c>
      <c r="FZ10">
        <f>IF(Answers!11:11,"AAAAAFzvrrU=",0)</f>
        <v>0</v>
      </c>
      <c r="GA10" t="e">
        <f>AND(Answers!A11,"AAAAAFzvrrY=")</f>
        <v>#VALUE!</v>
      </c>
      <c r="GB10" t="e">
        <f>AND(Answers!B11,"AAAAAFzvrrc=")</f>
        <v>#VALUE!</v>
      </c>
      <c r="GC10" t="e">
        <f>AND(Answers!C11,"AAAAAFzvrrg=")</f>
        <v>#VALUE!</v>
      </c>
      <c r="GD10" t="e">
        <f>AND(Answers!D11,"AAAAAFzvrrk=")</f>
        <v>#VALUE!</v>
      </c>
      <c r="GE10" t="e">
        <f>AND(Answers!E11,"AAAAAFzvrro=")</f>
        <v>#VALUE!</v>
      </c>
      <c r="GF10" t="e">
        <f>AND(Answers!F11,"AAAAAFzvrrs=")</f>
        <v>#VALUE!</v>
      </c>
      <c r="GG10" t="e">
        <f>AND(Answers!G11,"AAAAAFzvrrw=")</f>
        <v>#VALUE!</v>
      </c>
      <c r="GH10" t="e">
        <f>AND(Answers!H11,"AAAAAFzvrr0=")</f>
        <v>#VALUE!</v>
      </c>
      <c r="GI10" t="e">
        <f>AND(Answers!J11,"AAAAAFzvrr4=")</f>
        <v>#VALUE!</v>
      </c>
      <c r="GJ10" t="e">
        <f>AND(Answers!K11,"AAAAAFzvrr8=")</f>
        <v>#VALUE!</v>
      </c>
      <c r="GK10" t="e">
        <f>AND(Answers!L11,"AAAAAFzvrsA=")</f>
        <v>#VALUE!</v>
      </c>
      <c r="GL10" t="e">
        <f>AND(Answers!M11,"AAAAAFzvrsE=")</f>
        <v>#VALUE!</v>
      </c>
      <c r="GM10" t="e">
        <f>AND(Answers!N11,"AAAAAFzvrsI=")</f>
        <v>#VALUE!</v>
      </c>
      <c r="GN10" t="e">
        <f>AND(Answers!O11,"AAAAAFzvrsM=")</f>
        <v>#VALUE!</v>
      </c>
      <c r="GO10" t="e">
        <f>AND(Answers!P11,"AAAAAFzvrsQ=")</f>
        <v>#VALUE!</v>
      </c>
      <c r="GP10" t="e">
        <f>AND(Answers!Q11,"AAAAAFzvrsU=")</f>
        <v>#VALUE!</v>
      </c>
      <c r="GQ10" t="e">
        <f>AND(Answers!R11,"AAAAAFzvrsY=")</f>
        <v>#VALUE!</v>
      </c>
      <c r="GR10" t="e">
        <f>AND(Answers!S11,"AAAAAFzvrsc=")</f>
        <v>#VALUE!</v>
      </c>
      <c r="GS10" t="e">
        <f>AND(Answers!T11,"AAAAAFzvrsg=")</f>
        <v>#VALUE!</v>
      </c>
      <c r="GT10" t="e">
        <f>AND(Answers!U11,"AAAAAFzvrsk=")</f>
        <v>#VALUE!</v>
      </c>
      <c r="GU10" t="e">
        <f>AND(Answers!V11,"AAAAAFzvrso=")</f>
        <v>#VALUE!</v>
      </c>
      <c r="GV10" t="e">
        <f>AND(Answers!X11,"AAAAAFzvrss=")</f>
        <v>#VALUE!</v>
      </c>
      <c r="GW10" t="e">
        <f>AND(Answers!Y11,"AAAAAFzvrsw=")</f>
        <v>#VALUE!</v>
      </c>
      <c r="GX10" t="e">
        <f>AND(Answers!Z11,"AAAAAFzvrs0=")</f>
        <v>#VALUE!</v>
      </c>
      <c r="GY10" t="e">
        <f>AND(Answers!AA11,"AAAAAFzvrs4=")</f>
        <v>#VALUE!</v>
      </c>
      <c r="GZ10" t="e">
        <f>AND(Answers!AB11,"AAAAAFzvrs8=")</f>
        <v>#VALUE!</v>
      </c>
      <c r="HA10" t="e">
        <f>AND(Answers!AC11,"AAAAAFzvrtA=")</f>
        <v>#VALUE!</v>
      </c>
      <c r="HB10" t="e">
        <f>AND(Answers!AD11,"AAAAAFzvrtE=")</f>
        <v>#VALUE!</v>
      </c>
      <c r="HC10" t="e">
        <f>AND(Answers!AE11,"AAAAAFzvrtI=")</f>
        <v>#VALUE!</v>
      </c>
      <c r="HD10" t="e">
        <f>AND(Answers!AF11,"AAAAAFzvrtM=")</f>
        <v>#VALUE!</v>
      </c>
      <c r="HE10" t="e">
        <f>AND(Answers!AH11,"AAAAAFzvrtQ=")</f>
        <v>#VALUE!</v>
      </c>
      <c r="HF10" t="e">
        <f>AND(Answers!AI11,"AAAAAFzvrtU=")</f>
        <v>#VALUE!</v>
      </c>
      <c r="HG10" t="e">
        <f>AND(Answers!AK11,"AAAAAFzvrtY=")</f>
        <v>#VALUE!</v>
      </c>
      <c r="HH10" t="e">
        <f>AND(Answers!#REF!,"AAAAAFzvrtc=")</f>
        <v>#REF!</v>
      </c>
      <c r="HI10" t="e">
        <f>AND(Answers!AR11,"AAAAAFzvrtg=")</f>
        <v>#VALUE!</v>
      </c>
      <c r="HJ10" t="e">
        <f>AND(Answers!AS11,"AAAAAFzvrtk=")</f>
        <v>#VALUE!</v>
      </c>
      <c r="HK10" t="e">
        <f>AND(Answers!AT11,"AAAAAFzvrto=")</f>
        <v>#VALUE!</v>
      </c>
      <c r="HL10" t="e">
        <f>AND(Answers!AU11,"AAAAAFzvrts=")</f>
        <v>#VALUE!</v>
      </c>
      <c r="HM10" t="e">
        <f>AND(Answers!AW11,"AAAAAFzvrtw=")</f>
        <v>#VALUE!</v>
      </c>
      <c r="HN10" t="e">
        <f>AND(Answers!AX11,"AAAAAFzvrt0=")</f>
        <v>#VALUE!</v>
      </c>
      <c r="HO10" t="e">
        <f>AND(Answers!AY11,"AAAAAFzvrt4=")</f>
        <v>#VALUE!</v>
      </c>
      <c r="HP10" t="e">
        <f>AND(Answers!AZ11,"AAAAAFzvrt8=")</f>
        <v>#VALUE!</v>
      </c>
      <c r="HQ10" t="e">
        <f>AND(Answers!BA11,"AAAAAFzvruA=")</f>
        <v>#VALUE!</v>
      </c>
      <c r="HR10" t="e">
        <f>AND(Answers!BB11,"AAAAAFzvruE=")</f>
        <v>#VALUE!</v>
      </c>
      <c r="HS10" t="e">
        <f>AND(Answers!BC11,"AAAAAFzvruI=")</f>
        <v>#VALUE!</v>
      </c>
      <c r="HT10" t="e">
        <f>AND(Answers!BD11,"AAAAAFzvruM=")</f>
        <v>#VALUE!</v>
      </c>
      <c r="HU10" t="e">
        <f>AND(Answers!BE11,"AAAAAFzvruQ=")</f>
        <v>#VALUE!</v>
      </c>
      <c r="HV10" t="e">
        <f>AND(Answers!BF11,"AAAAAFzvruU=")</f>
        <v>#VALUE!</v>
      </c>
      <c r="HW10" t="e">
        <f>AND(Answers!BG11,"AAAAAFzvruY=")</f>
        <v>#VALUE!</v>
      </c>
      <c r="HX10" t="e">
        <f>AND(Answers!BH11,"AAAAAFzvruc=")</f>
        <v>#VALUE!</v>
      </c>
      <c r="HY10" t="e">
        <f>AND(Answers!BI11,"AAAAAFzvrug=")</f>
        <v>#VALUE!</v>
      </c>
      <c r="HZ10" t="e">
        <f>AND(Answers!BK11,"AAAAAFzvruk=")</f>
        <v>#VALUE!</v>
      </c>
      <c r="IA10" t="e">
        <f>AND(Answers!BL11,"AAAAAFzvruo=")</f>
        <v>#VALUE!</v>
      </c>
      <c r="IB10" t="e">
        <f>AND(Answers!BM11,"AAAAAFzvrus=")</f>
        <v>#VALUE!</v>
      </c>
      <c r="IC10" t="e">
        <f>AND(Answers!BN11,"AAAAAFzvruw=")</f>
        <v>#VALUE!</v>
      </c>
      <c r="ID10" t="e">
        <f>AND(Answers!BO11,"AAAAAFzvru0=")</f>
        <v>#VALUE!</v>
      </c>
      <c r="IE10" t="e">
        <f>AND(Answers!BP11,"AAAAAFzvru4=")</f>
        <v>#VALUE!</v>
      </c>
      <c r="IF10" t="e">
        <f>AND(Answers!BQ11,"AAAAAFzvru8=")</f>
        <v>#VALUE!</v>
      </c>
      <c r="IG10" t="e">
        <f>AND(Answers!BR11,"AAAAAFzvrvA=")</f>
        <v>#VALUE!</v>
      </c>
      <c r="IH10" t="e">
        <f>AND(Answers!BS11,"AAAAAFzvrvE=")</f>
        <v>#VALUE!</v>
      </c>
      <c r="II10" t="e">
        <f>AND(Answers!BU11,"AAAAAFzvrvI=")</f>
        <v>#VALUE!</v>
      </c>
      <c r="IJ10" t="e">
        <f>AND(Answers!BV11,"AAAAAFzvrvM=")</f>
        <v>#VALUE!</v>
      </c>
      <c r="IK10" t="e">
        <f>AND(Answers!#REF!,"AAAAAFzvrvQ=")</f>
        <v>#REF!</v>
      </c>
      <c r="IL10" t="e">
        <f>AND(Answers!BW11,"AAAAAFzvrvU=")</f>
        <v>#VALUE!</v>
      </c>
      <c r="IM10" t="e">
        <f>AND(Answers!BX11,"AAAAAFzvrvY=")</f>
        <v>#VALUE!</v>
      </c>
      <c r="IN10" t="e">
        <f>AND(Answers!BY11,"AAAAAFzvrvc=")</f>
        <v>#VALUE!</v>
      </c>
      <c r="IO10" t="e">
        <f>AND(Answers!BZ11,"AAAAAFzvrvg=")</f>
        <v>#VALUE!</v>
      </c>
      <c r="IP10">
        <f>IF(Answers!12:12,"AAAAAFzvrvk=",0)</f>
        <v>0</v>
      </c>
      <c r="IQ10" t="e">
        <f>AND(Answers!A12,"AAAAAFzvrvo=")</f>
        <v>#VALUE!</v>
      </c>
      <c r="IR10" t="e">
        <f>AND(Answers!B12,"AAAAAFzvrvs=")</f>
        <v>#VALUE!</v>
      </c>
      <c r="IS10" t="e">
        <f>AND(Answers!C12,"AAAAAFzvrvw=")</f>
        <v>#VALUE!</v>
      </c>
      <c r="IT10" t="e">
        <f>AND(Answers!D12,"AAAAAFzvrv0=")</f>
        <v>#VALUE!</v>
      </c>
      <c r="IU10" t="e">
        <f>AND(Answers!E12,"AAAAAFzvrv4=")</f>
        <v>#VALUE!</v>
      </c>
      <c r="IV10" t="e">
        <f>AND(Answers!F12,"AAAAAFzvrv8=")</f>
        <v>#VALUE!</v>
      </c>
    </row>
    <row r="11" spans="1:256" x14ac:dyDescent="0.15">
      <c r="A11" t="e">
        <f>AND(Answers!G12,"AAAAAHW+3wA=")</f>
        <v>#VALUE!</v>
      </c>
      <c r="B11" t="e">
        <f>AND(Answers!H12,"AAAAAHW+3wE=")</f>
        <v>#VALUE!</v>
      </c>
      <c r="C11" t="e">
        <f>AND(Answers!J12,"AAAAAHW+3wI=")</f>
        <v>#VALUE!</v>
      </c>
      <c r="D11" t="e">
        <f>AND(Answers!K12,"AAAAAHW+3wM=")</f>
        <v>#VALUE!</v>
      </c>
      <c r="E11" t="e">
        <f>AND(Answers!L12,"AAAAAHW+3wQ=")</f>
        <v>#VALUE!</v>
      </c>
      <c r="F11" t="e">
        <f>AND(Answers!M12,"AAAAAHW+3wU=")</f>
        <v>#VALUE!</v>
      </c>
      <c r="G11" t="e">
        <f>AND(Answers!N12,"AAAAAHW+3wY=")</f>
        <v>#VALUE!</v>
      </c>
      <c r="H11" t="e">
        <f>AND(Answers!O12,"AAAAAHW+3wc=")</f>
        <v>#VALUE!</v>
      </c>
      <c r="I11" t="e">
        <f>AND(Answers!P12,"AAAAAHW+3wg=")</f>
        <v>#VALUE!</v>
      </c>
      <c r="J11" t="e">
        <f>AND(Answers!Q12,"AAAAAHW+3wk=")</f>
        <v>#VALUE!</v>
      </c>
      <c r="K11" t="e">
        <f>AND(Answers!R12,"AAAAAHW+3wo=")</f>
        <v>#VALUE!</v>
      </c>
      <c r="L11" t="e">
        <f>AND(Answers!S12,"AAAAAHW+3ws=")</f>
        <v>#VALUE!</v>
      </c>
      <c r="M11" t="e">
        <f>AND(Answers!T12,"AAAAAHW+3ww=")</f>
        <v>#VALUE!</v>
      </c>
      <c r="N11" t="e">
        <f>AND(Answers!U12,"AAAAAHW+3w0=")</f>
        <v>#VALUE!</v>
      </c>
      <c r="O11" t="e">
        <f>AND(Answers!V12,"AAAAAHW+3w4=")</f>
        <v>#VALUE!</v>
      </c>
      <c r="P11" t="e">
        <f>AND(Answers!X12,"AAAAAHW+3w8=")</f>
        <v>#VALUE!</v>
      </c>
      <c r="Q11" t="e">
        <f>AND(Answers!Y12,"AAAAAHW+3xA=")</f>
        <v>#VALUE!</v>
      </c>
      <c r="R11" t="e">
        <f>AND(Answers!Z12,"AAAAAHW+3xE=")</f>
        <v>#VALUE!</v>
      </c>
      <c r="S11" t="e">
        <f>AND(Answers!AA12,"AAAAAHW+3xI=")</f>
        <v>#VALUE!</v>
      </c>
      <c r="T11" t="e">
        <f>AND(Answers!AB12,"AAAAAHW+3xM=")</f>
        <v>#VALUE!</v>
      </c>
      <c r="U11" t="e">
        <f>AND(Answers!AC12,"AAAAAHW+3xQ=")</f>
        <v>#VALUE!</v>
      </c>
      <c r="V11" t="e">
        <f>AND(Answers!AD12,"AAAAAHW+3xU=")</f>
        <v>#VALUE!</v>
      </c>
      <c r="W11" t="e">
        <f>AND(Answers!AE12,"AAAAAHW+3xY=")</f>
        <v>#VALUE!</v>
      </c>
      <c r="X11" t="e">
        <f>AND(Answers!AF12,"AAAAAHW+3xc=")</f>
        <v>#VALUE!</v>
      </c>
      <c r="Y11" t="e">
        <f>AND(Answers!AH12,"AAAAAHW+3xg=")</f>
        <v>#VALUE!</v>
      </c>
      <c r="Z11" t="e">
        <f>AND(Answers!AI12,"AAAAAHW+3xk=")</f>
        <v>#VALUE!</v>
      </c>
      <c r="AA11" t="e">
        <f>AND(Answers!AK12,"AAAAAHW+3xo=")</f>
        <v>#VALUE!</v>
      </c>
      <c r="AB11" t="e">
        <f>AND(Answers!#REF!,"AAAAAHW+3xs=")</f>
        <v>#REF!</v>
      </c>
      <c r="AC11" t="e">
        <f>AND(Answers!AR12,"AAAAAHW+3xw=")</f>
        <v>#VALUE!</v>
      </c>
      <c r="AD11" t="e">
        <f>AND(Answers!AS12,"AAAAAHW+3x0=")</f>
        <v>#VALUE!</v>
      </c>
      <c r="AE11" t="e">
        <f>AND(Answers!AT12,"AAAAAHW+3x4=")</f>
        <v>#VALUE!</v>
      </c>
      <c r="AF11" t="e">
        <f>AND(Answers!AU12,"AAAAAHW+3x8=")</f>
        <v>#VALUE!</v>
      </c>
      <c r="AG11" t="e">
        <f>AND(Answers!AW12,"AAAAAHW+3yA=")</f>
        <v>#VALUE!</v>
      </c>
      <c r="AH11" t="e">
        <f>AND(Answers!AX12,"AAAAAHW+3yE=")</f>
        <v>#VALUE!</v>
      </c>
      <c r="AI11" t="e">
        <f>AND(Answers!AY12,"AAAAAHW+3yI=")</f>
        <v>#VALUE!</v>
      </c>
      <c r="AJ11" t="e">
        <f>AND(Answers!AZ12,"AAAAAHW+3yM=")</f>
        <v>#VALUE!</v>
      </c>
      <c r="AK11" t="e">
        <f>AND(Answers!BA12,"AAAAAHW+3yQ=")</f>
        <v>#VALUE!</v>
      </c>
      <c r="AL11" t="e">
        <f>AND(Answers!BB12,"AAAAAHW+3yU=")</f>
        <v>#VALUE!</v>
      </c>
      <c r="AM11" t="e">
        <f>AND(Answers!BC12,"AAAAAHW+3yY=")</f>
        <v>#VALUE!</v>
      </c>
      <c r="AN11" t="e">
        <f>AND(Answers!BD12,"AAAAAHW+3yc=")</f>
        <v>#VALUE!</v>
      </c>
      <c r="AO11" t="e">
        <f>AND(Answers!BE12,"AAAAAHW+3yg=")</f>
        <v>#VALUE!</v>
      </c>
      <c r="AP11" t="e">
        <f>AND(Answers!BF12,"AAAAAHW+3yk=")</f>
        <v>#VALUE!</v>
      </c>
      <c r="AQ11" t="e">
        <f>AND(Answers!BG12,"AAAAAHW+3yo=")</f>
        <v>#VALUE!</v>
      </c>
      <c r="AR11" t="e">
        <f>AND(Answers!BH12,"AAAAAHW+3ys=")</f>
        <v>#VALUE!</v>
      </c>
      <c r="AS11" t="e">
        <f>AND(Answers!BI12,"AAAAAHW+3yw=")</f>
        <v>#VALUE!</v>
      </c>
      <c r="AT11" t="e">
        <f>AND(Answers!BK12,"AAAAAHW+3y0=")</f>
        <v>#VALUE!</v>
      </c>
      <c r="AU11" t="e">
        <f>AND(Answers!BL12,"AAAAAHW+3y4=")</f>
        <v>#VALUE!</v>
      </c>
      <c r="AV11" t="e">
        <f>AND(Answers!BM12,"AAAAAHW+3y8=")</f>
        <v>#VALUE!</v>
      </c>
      <c r="AW11" t="e">
        <f>AND(Answers!BN12,"AAAAAHW+3zA=")</f>
        <v>#VALUE!</v>
      </c>
      <c r="AX11" t="e">
        <f>AND(Answers!BO12,"AAAAAHW+3zE=")</f>
        <v>#VALUE!</v>
      </c>
      <c r="AY11" t="e">
        <f>AND(Answers!BP12,"AAAAAHW+3zI=")</f>
        <v>#VALUE!</v>
      </c>
      <c r="AZ11" t="e">
        <f>AND(Answers!BQ12,"AAAAAHW+3zM=")</f>
        <v>#VALUE!</v>
      </c>
      <c r="BA11" t="e">
        <f>AND(Answers!BR12,"AAAAAHW+3zQ=")</f>
        <v>#VALUE!</v>
      </c>
      <c r="BB11" t="e">
        <f>AND(Answers!BS12,"AAAAAHW+3zU=")</f>
        <v>#VALUE!</v>
      </c>
      <c r="BC11" t="e">
        <f>AND(Answers!BU12,"AAAAAHW+3zY=")</f>
        <v>#VALUE!</v>
      </c>
      <c r="BD11" t="e">
        <f>AND(Answers!BV12,"AAAAAHW+3zc=")</f>
        <v>#VALUE!</v>
      </c>
      <c r="BE11" t="e">
        <f>AND(Answers!#REF!,"AAAAAHW+3zg=")</f>
        <v>#REF!</v>
      </c>
      <c r="BF11" t="e">
        <f>AND(Answers!BW12,"AAAAAHW+3zk=")</f>
        <v>#VALUE!</v>
      </c>
      <c r="BG11" t="e">
        <f>AND(Answers!BX12,"AAAAAHW+3zo=")</f>
        <v>#VALUE!</v>
      </c>
      <c r="BH11" t="e">
        <f>AND(Answers!BY12,"AAAAAHW+3zs=")</f>
        <v>#VALUE!</v>
      </c>
      <c r="BI11" t="e">
        <f>AND(Answers!BZ12,"AAAAAHW+3zw=")</f>
        <v>#VALUE!</v>
      </c>
      <c r="BJ11">
        <f>IF(Answers!13:13,"AAAAAHW+3z0=",0)</f>
        <v>0</v>
      </c>
      <c r="BK11" t="e">
        <f>AND(Answers!A13,"AAAAAHW+3z4=")</f>
        <v>#VALUE!</v>
      </c>
      <c r="BL11" t="e">
        <f>AND(Answers!B13,"AAAAAHW+3z8=")</f>
        <v>#VALUE!</v>
      </c>
      <c r="BM11" t="e">
        <f>AND(Answers!C13,"AAAAAHW+30A=")</f>
        <v>#VALUE!</v>
      </c>
      <c r="BN11" t="e">
        <f>AND(Answers!D13,"AAAAAHW+30E=")</f>
        <v>#VALUE!</v>
      </c>
      <c r="BO11" t="e">
        <f>AND(Answers!E13,"AAAAAHW+30I=")</f>
        <v>#VALUE!</v>
      </c>
      <c r="BP11" t="e">
        <f>AND(Answers!F13,"AAAAAHW+30M=")</f>
        <v>#VALUE!</v>
      </c>
      <c r="BQ11" t="e">
        <f>AND(Answers!G13,"AAAAAHW+30Q=")</f>
        <v>#VALUE!</v>
      </c>
      <c r="BR11" t="e">
        <f>AND(Answers!H13,"AAAAAHW+30U=")</f>
        <v>#VALUE!</v>
      </c>
      <c r="BS11" t="e">
        <f>AND(Answers!J13,"AAAAAHW+30Y=")</f>
        <v>#VALUE!</v>
      </c>
      <c r="BT11" t="e">
        <f>AND(Answers!K13,"AAAAAHW+30c=")</f>
        <v>#VALUE!</v>
      </c>
      <c r="BU11" t="e">
        <f>AND(Answers!L13,"AAAAAHW+30g=")</f>
        <v>#VALUE!</v>
      </c>
      <c r="BV11" t="e">
        <f>AND(Answers!M13,"AAAAAHW+30k=")</f>
        <v>#VALUE!</v>
      </c>
      <c r="BW11" t="e">
        <f>AND(Answers!N13,"AAAAAHW+30o=")</f>
        <v>#VALUE!</v>
      </c>
      <c r="BX11" t="e">
        <f>AND(Answers!O13,"AAAAAHW+30s=")</f>
        <v>#VALUE!</v>
      </c>
      <c r="BY11" t="e">
        <f>AND(Answers!P13,"AAAAAHW+30w=")</f>
        <v>#VALUE!</v>
      </c>
      <c r="BZ11" t="e">
        <f>AND(Answers!Q13,"AAAAAHW+300=")</f>
        <v>#VALUE!</v>
      </c>
      <c r="CA11" t="e">
        <f>AND(Answers!R13,"AAAAAHW+304=")</f>
        <v>#VALUE!</v>
      </c>
      <c r="CB11" t="e">
        <f>AND(Answers!S13,"AAAAAHW+308=")</f>
        <v>#VALUE!</v>
      </c>
      <c r="CC11" t="e">
        <f>AND(Answers!T13,"AAAAAHW+31A=")</f>
        <v>#VALUE!</v>
      </c>
      <c r="CD11" t="e">
        <f>AND(Answers!U13,"AAAAAHW+31E=")</f>
        <v>#VALUE!</v>
      </c>
      <c r="CE11" t="e">
        <f>AND(Answers!V13,"AAAAAHW+31I=")</f>
        <v>#VALUE!</v>
      </c>
      <c r="CF11" t="e">
        <f>AND(Answers!X13,"AAAAAHW+31M=")</f>
        <v>#VALUE!</v>
      </c>
      <c r="CG11" t="e">
        <f>AND(Answers!Y13,"AAAAAHW+31Q=")</f>
        <v>#VALUE!</v>
      </c>
      <c r="CH11" t="e">
        <f>AND(Answers!Z13,"AAAAAHW+31U=")</f>
        <v>#VALUE!</v>
      </c>
      <c r="CI11" t="e">
        <f>AND(Answers!AA13,"AAAAAHW+31Y=")</f>
        <v>#VALUE!</v>
      </c>
      <c r="CJ11" t="e">
        <f>AND(Answers!AB13,"AAAAAHW+31c=")</f>
        <v>#VALUE!</v>
      </c>
      <c r="CK11" t="e">
        <f>AND(Answers!AC13,"AAAAAHW+31g=")</f>
        <v>#VALUE!</v>
      </c>
      <c r="CL11" t="e">
        <f>AND(Answers!AD13,"AAAAAHW+31k=")</f>
        <v>#VALUE!</v>
      </c>
      <c r="CM11" t="e">
        <f>AND(Answers!AE13,"AAAAAHW+31o=")</f>
        <v>#VALUE!</v>
      </c>
      <c r="CN11" t="e">
        <f>AND(Answers!AF13,"AAAAAHW+31s=")</f>
        <v>#VALUE!</v>
      </c>
      <c r="CO11" t="e">
        <f>AND(Answers!AH13,"AAAAAHW+31w=")</f>
        <v>#VALUE!</v>
      </c>
      <c r="CP11" t="e">
        <f>AND(Answers!AI13,"AAAAAHW+310=")</f>
        <v>#VALUE!</v>
      </c>
      <c r="CQ11" t="e">
        <f>AND(Answers!AK13,"AAAAAHW+314=")</f>
        <v>#VALUE!</v>
      </c>
      <c r="CR11" t="e">
        <f>AND(Answers!#REF!,"AAAAAHW+318=")</f>
        <v>#REF!</v>
      </c>
      <c r="CS11" t="e">
        <f>AND(Answers!AR13,"AAAAAHW+32A=")</f>
        <v>#VALUE!</v>
      </c>
      <c r="CT11" t="e">
        <f>AND(Answers!AS13,"AAAAAHW+32E=")</f>
        <v>#VALUE!</v>
      </c>
      <c r="CU11" t="e">
        <f>AND(Answers!AT13,"AAAAAHW+32I=")</f>
        <v>#VALUE!</v>
      </c>
      <c r="CV11" t="e">
        <f>AND(Answers!AU13,"AAAAAHW+32M=")</f>
        <v>#VALUE!</v>
      </c>
      <c r="CW11" t="e">
        <f>AND(Answers!AW13,"AAAAAHW+32Q=")</f>
        <v>#VALUE!</v>
      </c>
      <c r="CX11" t="e">
        <f>AND(Answers!AX13,"AAAAAHW+32U=")</f>
        <v>#VALUE!</v>
      </c>
      <c r="CY11" t="e">
        <f>AND(Answers!AY13,"AAAAAHW+32Y=")</f>
        <v>#VALUE!</v>
      </c>
      <c r="CZ11" t="e">
        <f>AND(Answers!AZ13,"AAAAAHW+32c=")</f>
        <v>#VALUE!</v>
      </c>
      <c r="DA11" t="e">
        <f>AND(Answers!BA13,"AAAAAHW+32g=")</f>
        <v>#VALUE!</v>
      </c>
      <c r="DB11" t="e">
        <f>AND(Answers!BB13,"AAAAAHW+32k=")</f>
        <v>#VALUE!</v>
      </c>
      <c r="DC11" t="e">
        <f>AND(Answers!BC13,"AAAAAHW+32o=")</f>
        <v>#VALUE!</v>
      </c>
      <c r="DD11" t="e">
        <f>AND(Answers!BD13,"AAAAAHW+32s=")</f>
        <v>#VALUE!</v>
      </c>
      <c r="DE11" t="e">
        <f>AND(Answers!BE13,"AAAAAHW+32w=")</f>
        <v>#VALUE!</v>
      </c>
      <c r="DF11" t="e">
        <f>AND(Answers!BF13,"AAAAAHW+320=")</f>
        <v>#VALUE!</v>
      </c>
      <c r="DG11" t="e">
        <f>AND(Answers!BG13,"AAAAAHW+324=")</f>
        <v>#VALUE!</v>
      </c>
      <c r="DH11" t="e">
        <f>AND(Answers!BH13,"AAAAAHW+328=")</f>
        <v>#VALUE!</v>
      </c>
      <c r="DI11" t="e">
        <f>AND(Answers!BI13,"AAAAAHW+33A=")</f>
        <v>#VALUE!</v>
      </c>
      <c r="DJ11" t="e">
        <f>AND(Answers!BK13,"AAAAAHW+33E=")</f>
        <v>#VALUE!</v>
      </c>
      <c r="DK11" t="e">
        <f>AND(Answers!BL13,"AAAAAHW+33I=")</f>
        <v>#VALUE!</v>
      </c>
      <c r="DL11" t="e">
        <f>AND(Answers!BM13,"AAAAAHW+33M=")</f>
        <v>#VALUE!</v>
      </c>
      <c r="DM11" t="e">
        <f>AND(Answers!BN13,"AAAAAHW+33Q=")</f>
        <v>#VALUE!</v>
      </c>
      <c r="DN11" t="e">
        <f>AND(Answers!BO13,"AAAAAHW+33U=")</f>
        <v>#VALUE!</v>
      </c>
      <c r="DO11" t="e">
        <f>AND(Answers!BP13,"AAAAAHW+33Y=")</f>
        <v>#VALUE!</v>
      </c>
      <c r="DP11" t="e">
        <f>AND(Answers!BQ13,"AAAAAHW+33c=")</f>
        <v>#VALUE!</v>
      </c>
      <c r="DQ11" t="e">
        <f>AND(Answers!BR13,"AAAAAHW+33g=")</f>
        <v>#VALUE!</v>
      </c>
      <c r="DR11" t="e">
        <f>AND(Answers!BS13,"AAAAAHW+33k=")</f>
        <v>#VALUE!</v>
      </c>
      <c r="DS11" t="e">
        <f>AND(Answers!BU13,"AAAAAHW+33o=")</f>
        <v>#VALUE!</v>
      </c>
      <c r="DT11" t="e">
        <f>AND(Answers!BV13,"AAAAAHW+33s=")</f>
        <v>#VALUE!</v>
      </c>
      <c r="DU11" t="e">
        <f>AND(Answers!#REF!,"AAAAAHW+33w=")</f>
        <v>#REF!</v>
      </c>
      <c r="DV11" t="e">
        <f>AND(Answers!BW13,"AAAAAHW+330=")</f>
        <v>#VALUE!</v>
      </c>
      <c r="DW11" t="e">
        <f>AND(Answers!BX13,"AAAAAHW+334=")</f>
        <v>#VALUE!</v>
      </c>
      <c r="DX11" t="e">
        <f>AND(Answers!BY13,"AAAAAHW+338=")</f>
        <v>#VALUE!</v>
      </c>
      <c r="DY11" t="e">
        <f>AND(Answers!BZ13,"AAAAAHW+34A=")</f>
        <v>#VALUE!</v>
      </c>
      <c r="DZ11">
        <f>IF(Answers!14:14,"AAAAAHW+34E=",0)</f>
        <v>0</v>
      </c>
      <c r="EA11" t="e">
        <f>AND(Answers!A14,"AAAAAHW+34I=")</f>
        <v>#VALUE!</v>
      </c>
      <c r="EB11" t="e">
        <f>AND(Answers!B14,"AAAAAHW+34M=")</f>
        <v>#VALUE!</v>
      </c>
      <c r="EC11" t="e">
        <f>AND(Answers!C14,"AAAAAHW+34Q=")</f>
        <v>#VALUE!</v>
      </c>
      <c r="ED11" t="e">
        <f>AND(Answers!D14,"AAAAAHW+34U=")</f>
        <v>#VALUE!</v>
      </c>
      <c r="EE11" t="e">
        <f>AND(Answers!E14,"AAAAAHW+34Y=")</f>
        <v>#VALUE!</v>
      </c>
      <c r="EF11" t="e">
        <f>AND(Answers!F14,"AAAAAHW+34c=")</f>
        <v>#VALUE!</v>
      </c>
      <c r="EG11" t="e">
        <f>AND(Answers!G14,"AAAAAHW+34g=")</f>
        <v>#VALUE!</v>
      </c>
      <c r="EH11" t="e">
        <f>AND(Answers!H14,"AAAAAHW+34k=")</f>
        <v>#VALUE!</v>
      </c>
      <c r="EI11" t="e">
        <f>AND(Answers!J14,"AAAAAHW+34o=")</f>
        <v>#VALUE!</v>
      </c>
      <c r="EJ11" t="e">
        <f>AND(Answers!K14,"AAAAAHW+34s=")</f>
        <v>#VALUE!</v>
      </c>
      <c r="EK11" t="e">
        <f>AND(Answers!L14,"AAAAAHW+34w=")</f>
        <v>#VALUE!</v>
      </c>
      <c r="EL11" t="e">
        <f>AND(Answers!M14,"AAAAAHW+340=")</f>
        <v>#VALUE!</v>
      </c>
      <c r="EM11" t="e">
        <f>AND(Answers!N14,"AAAAAHW+344=")</f>
        <v>#VALUE!</v>
      </c>
      <c r="EN11" t="e">
        <f>AND(Answers!O14,"AAAAAHW+348=")</f>
        <v>#VALUE!</v>
      </c>
      <c r="EO11" t="e">
        <f>AND(Answers!P14,"AAAAAHW+35A=")</f>
        <v>#VALUE!</v>
      </c>
      <c r="EP11" t="e">
        <f>AND(Answers!Q14,"AAAAAHW+35E=")</f>
        <v>#VALUE!</v>
      </c>
      <c r="EQ11" t="e">
        <f>AND(Answers!R14,"AAAAAHW+35I=")</f>
        <v>#VALUE!</v>
      </c>
      <c r="ER11" t="e">
        <f>AND(Answers!S14,"AAAAAHW+35M=")</f>
        <v>#VALUE!</v>
      </c>
      <c r="ES11" t="e">
        <f>AND(Answers!T14,"AAAAAHW+35Q=")</f>
        <v>#VALUE!</v>
      </c>
      <c r="ET11" t="e">
        <f>AND(Answers!U14,"AAAAAHW+35U=")</f>
        <v>#VALUE!</v>
      </c>
      <c r="EU11" t="e">
        <f>AND(Answers!V14,"AAAAAHW+35Y=")</f>
        <v>#VALUE!</v>
      </c>
      <c r="EV11" t="e">
        <f>AND(Answers!X14,"AAAAAHW+35c=")</f>
        <v>#VALUE!</v>
      </c>
      <c r="EW11" t="e">
        <f>AND(Answers!Y14,"AAAAAHW+35g=")</f>
        <v>#VALUE!</v>
      </c>
      <c r="EX11" t="e">
        <f>AND(Answers!Z14,"AAAAAHW+35k=")</f>
        <v>#VALUE!</v>
      </c>
      <c r="EY11" t="e">
        <f>AND(Answers!AA14,"AAAAAHW+35o=")</f>
        <v>#VALUE!</v>
      </c>
      <c r="EZ11" t="e">
        <f>AND(Answers!AB14,"AAAAAHW+35s=")</f>
        <v>#VALUE!</v>
      </c>
      <c r="FA11" t="e">
        <f>AND(Answers!AC14,"AAAAAHW+35w=")</f>
        <v>#VALUE!</v>
      </c>
      <c r="FB11" t="e">
        <f>AND(Answers!AD14,"AAAAAHW+350=")</f>
        <v>#VALUE!</v>
      </c>
      <c r="FC11" t="e">
        <f>AND(Answers!AE14,"AAAAAHW+354=")</f>
        <v>#VALUE!</v>
      </c>
      <c r="FD11" t="e">
        <f>AND(Answers!AF14,"AAAAAHW+358=")</f>
        <v>#VALUE!</v>
      </c>
      <c r="FE11" t="e">
        <f>AND(Answers!AH14,"AAAAAHW+36A=")</f>
        <v>#VALUE!</v>
      </c>
      <c r="FF11" t="e">
        <f>AND(Answers!AI14,"AAAAAHW+36E=")</f>
        <v>#VALUE!</v>
      </c>
      <c r="FG11" t="e">
        <f>AND(Answers!AK14,"AAAAAHW+36I=")</f>
        <v>#VALUE!</v>
      </c>
      <c r="FH11" t="e">
        <f>AND(Answers!#REF!,"AAAAAHW+36M=")</f>
        <v>#REF!</v>
      </c>
      <c r="FI11" t="e">
        <f>AND(Answers!AR14,"AAAAAHW+36Q=")</f>
        <v>#VALUE!</v>
      </c>
      <c r="FJ11" t="e">
        <f>AND(Answers!AS14,"AAAAAHW+36U=")</f>
        <v>#VALUE!</v>
      </c>
      <c r="FK11" t="e">
        <f>AND(Answers!AT14,"AAAAAHW+36Y=")</f>
        <v>#VALUE!</v>
      </c>
      <c r="FL11" t="e">
        <f>AND(Answers!AU14,"AAAAAHW+36c=")</f>
        <v>#VALUE!</v>
      </c>
      <c r="FM11" t="e">
        <f>AND(Answers!AW14,"AAAAAHW+36g=")</f>
        <v>#VALUE!</v>
      </c>
      <c r="FN11" t="e">
        <f>AND(Answers!AX14,"AAAAAHW+36k=")</f>
        <v>#VALUE!</v>
      </c>
      <c r="FO11" t="e">
        <f>AND(Answers!AY14,"AAAAAHW+36o=")</f>
        <v>#VALUE!</v>
      </c>
      <c r="FP11" t="e">
        <f>AND(Answers!AZ14,"AAAAAHW+36s=")</f>
        <v>#VALUE!</v>
      </c>
      <c r="FQ11" t="e">
        <f>AND(Answers!BA14,"AAAAAHW+36w=")</f>
        <v>#VALUE!</v>
      </c>
      <c r="FR11" t="e">
        <f>AND(Answers!BB14,"AAAAAHW+360=")</f>
        <v>#VALUE!</v>
      </c>
      <c r="FS11" t="e">
        <f>AND(Answers!BC14,"AAAAAHW+364=")</f>
        <v>#VALUE!</v>
      </c>
      <c r="FT11" t="e">
        <f>AND(Answers!BD14,"AAAAAHW+368=")</f>
        <v>#VALUE!</v>
      </c>
      <c r="FU11" t="e">
        <f>AND(Answers!BE14,"AAAAAHW+37A=")</f>
        <v>#VALUE!</v>
      </c>
      <c r="FV11" t="e">
        <f>AND(Answers!BF14,"AAAAAHW+37E=")</f>
        <v>#VALUE!</v>
      </c>
      <c r="FW11" t="e">
        <f>AND(Answers!BG14,"AAAAAHW+37I=")</f>
        <v>#VALUE!</v>
      </c>
      <c r="FX11" t="e">
        <f>AND(Answers!BH14,"AAAAAHW+37M=")</f>
        <v>#VALUE!</v>
      </c>
      <c r="FY11" t="e">
        <f>AND(Answers!BI14,"AAAAAHW+37Q=")</f>
        <v>#VALUE!</v>
      </c>
      <c r="FZ11" t="e">
        <f>AND(Answers!BK14,"AAAAAHW+37U=")</f>
        <v>#VALUE!</v>
      </c>
      <c r="GA11" t="e">
        <f>AND(Answers!BL14,"AAAAAHW+37Y=")</f>
        <v>#VALUE!</v>
      </c>
      <c r="GB11" t="e">
        <f>AND(Answers!BM14,"AAAAAHW+37c=")</f>
        <v>#VALUE!</v>
      </c>
      <c r="GC11" t="e">
        <f>AND(Answers!BN14,"AAAAAHW+37g=")</f>
        <v>#VALUE!</v>
      </c>
      <c r="GD11" t="e">
        <f>AND(Answers!BO14,"AAAAAHW+37k=")</f>
        <v>#VALUE!</v>
      </c>
      <c r="GE11" t="e">
        <f>AND(Answers!BP14,"AAAAAHW+37o=")</f>
        <v>#VALUE!</v>
      </c>
      <c r="GF11" t="e">
        <f>AND(Answers!BQ14,"AAAAAHW+37s=")</f>
        <v>#VALUE!</v>
      </c>
      <c r="GG11" t="e">
        <f>AND(Answers!BR14,"AAAAAHW+37w=")</f>
        <v>#VALUE!</v>
      </c>
      <c r="GH11" t="e">
        <f>AND(Answers!BS14,"AAAAAHW+370=")</f>
        <v>#VALUE!</v>
      </c>
      <c r="GI11" t="e">
        <f>AND(Answers!BU14,"AAAAAHW+374=")</f>
        <v>#VALUE!</v>
      </c>
      <c r="GJ11" t="e">
        <f>AND(Answers!BV14,"AAAAAHW+378=")</f>
        <v>#VALUE!</v>
      </c>
      <c r="GK11" t="e">
        <f>AND(Answers!#REF!,"AAAAAHW+38A=")</f>
        <v>#REF!</v>
      </c>
      <c r="GL11" t="e">
        <f>AND(Answers!BW14,"AAAAAHW+38E=")</f>
        <v>#VALUE!</v>
      </c>
      <c r="GM11" t="e">
        <f>AND(Answers!BX14,"AAAAAHW+38I=")</f>
        <v>#VALUE!</v>
      </c>
      <c r="GN11" t="e">
        <f>AND(Answers!BY14,"AAAAAHW+38M=")</f>
        <v>#VALUE!</v>
      </c>
      <c r="GO11" t="e">
        <f>AND(Answers!BZ14,"AAAAAHW+38Q=")</f>
        <v>#VALUE!</v>
      </c>
      <c r="GP11">
        <f>IF(Answers!15:15,"AAAAAHW+38U=",0)</f>
        <v>0</v>
      </c>
      <c r="GQ11" t="e">
        <f>AND(Answers!A15,"AAAAAHW+38Y=")</f>
        <v>#VALUE!</v>
      </c>
      <c r="GR11" t="e">
        <f>AND(Answers!B15,"AAAAAHW+38c=")</f>
        <v>#VALUE!</v>
      </c>
      <c r="GS11" t="e">
        <f>AND(Answers!C15,"AAAAAHW+38g=")</f>
        <v>#VALUE!</v>
      </c>
      <c r="GT11" t="e">
        <f>AND(Answers!D15,"AAAAAHW+38k=")</f>
        <v>#VALUE!</v>
      </c>
      <c r="GU11" t="e">
        <f>AND(Answers!E15,"AAAAAHW+38o=")</f>
        <v>#VALUE!</v>
      </c>
      <c r="GV11" t="e">
        <f>AND(Answers!F15,"AAAAAHW+38s=")</f>
        <v>#VALUE!</v>
      </c>
      <c r="GW11" t="e">
        <f>AND(Answers!G15,"AAAAAHW+38w=")</f>
        <v>#VALUE!</v>
      </c>
      <c r="GX11" t="e">
        <f>AND(Answers!H15,"AAAAAHW+380=")</f>
        <v>#VALUE!</v>
      </c>
      <c r="GY11" t="e">
        <f>AND(Answers!J15,"AAAAAHW+384=")</f>
        <v>#VALUE!</v>
      </c>
      <c r="GZ11" t="e">
        <f>AND(Answers!K15,"AAAAAHW+388=")</f>
        <v>#VALUE!</v>
      </c>
      <c r="HA11" t="e">
        <f>AND(Answers!L15,"AAAAAHW+39A=")</f>
        <v>#VALUE!</v>
      </c>
      <c r="HB11" t="e">
        <f>AND(Answers!M15,"AAAAAHW+39E=")</f>
        <v>#VALUE!</v>
      </c>
      <c r="HC11" t="e">
        <f>AND(Answers!N15,"AAAAAHW+39I=")</f>
        <v>#VALUE!</v>
      </c>
      <c r="HD11" t="e">
        <f>AND(Answers!O15,"AAAAAHW+39M=")</f>
        <v>#VALUE!</v>
      </c>
      <c r="HE11" t="e">
        <f>AND(Answers!P15,"AAAAAHW+39Q=")</f>
        <v>#VALUE!</v>
      </c>
      <c r="HF11" t="e">
        <f>AND(Answers!Q15,"AAAAAHW+39U=")</f>
        <v>#VALUE!</v>
      </c>
      <c r="HG11" t="e">
        <f>AND(Answers!R15,"AAAAAHW+39Y=")</f>
        <v>#VALUE!</v>
      </c>
      <c r="HH11" t="e">
        <f>AND(Answers!S15,"AAAAAHW+39c=")</f>
        <v>#VALUE!</v>
      </c>
      <c r="HI11" t="e">
        <f>AND(Answers!T15,"AAAAAHW+39g=")</f>
        <v>#VALUE!</v>
      </c>
      <c r="HJ11" t="e">
        <f>AND(Answers!U15,"AAAAAHW+39k=")</f>
        <v>#VALUE!</v>
      </c>
      <c r="HK11" t="e">
        <f>AND(Answers!V15,"AAAAAHW+39o=")</f>
        <v>#VALUE!</v>
      </c>
      <c r="HL11" t="e">
        <f>AND(Answers!X15,"AAAAAHW+39s=")</f>
        <v>#VALUE!</v>
      </c>
      <c r="HM11" t="e">
        <f>AND(Answers!Y15,"AAAAAHW+39w=")</f>
        <v>#VALUE!</v>
      </c>
      <c r="HN11" t="e">
        <f>AND(Answers!Z15,"AAAAAHW+390=")</f>
        <v>#VALUE!</v>
      </c>
      <c r="HO11" t="e">
        <f>AND(Answers!AA15,"AAAAAHW+394=")</f>
        <v>#VALUE!</v>
      </c>
      <c r="HP11" t="e">
        <f>AND(Answers!AB15,"AAAAAHW+398=")</f>
        <v>#VALUE!</v>
      </c>
      <c r="HQ11" t="e">
        <f>AND(Answers!AC15,"AAAAAHW+3+A=")</f>
        <v>#VALUE!</v>
      </c>
      <c r="HR11" t="e">
        <f>AND(Answers!AD15,"AAAAAHW+3+E=")</f>
        <v>#VALUE!</v>
      </c>
      <c r="HS11" t="e">
        <f>AND(Answers!AE15,"AAAAAHW+3+I=")</f>
        <v>#VALUE!</v>
      </c>
      <c r="HT11" t="e">
        <f>AND(Answers!AF15,"AAAAAHW+3+M=")</f>
        <v>#VALUE!</v>
      </c>
      <c r="HU11" t="e">
        <f>AND(Answers!AH15,"AAAAAHW+3+Q=")</f>
        <v>#VALUE!</v>
      </c>
      <c r="HV11" t="e">
        <f>AND(Answers!AI15,"AAAAAHW+3+U=")</f>
        <v>#VALUE!</v>
      </c>
      <c r="HW11" t="e">
        <f>AND(Answers!AK15,"AAAAAHW+3+Y=")</f>
        <v>#VALUE!</v>
      </c>
      <c r="HX11" t="e">
        <f>AND(Answers!#REF!,"AAAAAHW+3+c=")</f>
        <v>#REF!</v>
      </c>
      <c r="HY11" t="e">
        <f>AND(Answers!AR15,"AAAAAHW+3+g=")</f>
        <v>#VALUE!</v>
      </c>
      <c r="HZ11" t="e">
        <f>AND(Answers!AS15,"AAAAAHW+3+k=")</f>
        <v>#VALUE!</v>
      </c>
      <c r="IA11" t="e">
        <f>AND(Answers!AT15,"AAAAAHW+3+o=")</f>
        <v>#VALUE!</v>
      </c>
      <c r="IB11" t="e">
        <f>AND(Answers!AU15,"AAAAAHW+3+s=")</f>
        <v>#VALUE!</v>
      </c>
      <c r="IC11" t="e">
        <f>AND(Answers!AW15,"AAAAAHW+3+w=")</f>
        <v>#VALUE!</v>
      </c>
      <c r="ID11" t="e">
        <f>AND(Answers!AX15,"AAAAAHW+3+0=")</f>
        <v>#VALUE!</v>
      </c>
      <c r="IE11" t="e">
        <f>AND(Answers!AY15,"AAAAAHW+3+4=")</f>
        <v>#VALUE!</v>
      </c>
      <c r="IF11" t="e">
        <f>AND(Answers!AZ15,"AAAAAHW+3+8=")</f>
        <v>#VALUE!</v>
      </c>
      <c r="IG11" t="e">
        <f>AND(Answers!BA15,"AAAAAHW+3/A=")</f>
        <v>#VALUE!</v>
      </c>
      <c r="IH11" t="e">
        <f>AND(Answers!BB15,"AAAAAHW+3/E=")</f>
        <v>#VALUE!</v>
      </c>
      <c r="II11" t="e">
        <f>AND(Answers!BC15,"AAAAAHW+3/I=")</f>
        <v>#VALUE!</v>
      </c>
      <c r="IJ11" t="e">
        <f>AND(Answers!BD15,"AAAAAHW+3/M=")</f>
        <v>#VALUE!</v>
      </c>
      <c r="IK11" t="e">
        <f>AND(Answers!BE15,"AAAAAHW+3/Q=")</f>
        <v>#VALUE!</v>
      </c>
      <c r="IL11" t="e">
        <f>AND(Answers!BF15,"AAAAAHW+3/U=")</f>
        <v>#VALUE!</v>
      </c>
      <c r="IM11" t="e">
        <f>AND(Answers!BG15,"AAAAAHW+3/Y=")</f>
        <v>#VALUE!</v>
      </c>
      <c r="IN11" t="e">
        <f>AND(Answers!BH15,"AAAAAHW+3/c=")</f>
        <v>#VALUE!</v>
      </c>
      <c r="IO11" t="e">
        <f>AND(Answers!BI15,"AAAAAHW+3/g=")</f>
        <v>#VALUE!</v>
      </c>
      <c r="IP11" t="e">
        <f>AND(Answers!BK15,"AAAAAHW+3/k=")</f>
        <v>#VALUE!</v>
      </c>
      <c r="IQ11" t="e">
        <f>AND(Answers!BL15,"AAAAAHW+3/o=")</f>
        <v>#VALUE!</v>
      </c>
      <c r="IR11" t="e">
        <f>AND(Answers!BM15,"AAAAAHW+3/s=")</f>
        <v>#VALUE!</v>
      </c>
      <c r="IS11" t="e">
        <f>AND(Answers!BN15,"AAAAAHW+3/w=")</f>
        <v>#VALUE!</v>
      </c>
      <c r="IT11" t="e">
        <f>AND(Answers!BO15,"AAAAAHW+3/0=")</f>
        <v>#VALUE!</v>
      </c>
      <c r="IU11" t="e">
        <f>AND(Answers!BP15,"AAAAAHW+3/4=")</f>
        <v>#VALUE!</v>
      </c>
      <c r="IV11" t="e">
        <f>AND(Answers!BQ15,"AAAAAHW+3/8=")</f>
        <v>#VALUE!</v>
      </c>
    </row>
    <row r="12" spans="1:256" x14ac:dyDescent="0.15">
      <c r="A12" t="e">
        <f>AND(Answers!BR15,"AAAAABf93QA=")</f>
        <v>#VALUE!</v>
      </c>
      <c r="B12" t="e">
        <f>AND(Answers!BS15,"AAAAABf93QE=")</f>
        <v>#VALUE!</v>
      </c>
      <c r="C12" t="e">
        <f>AND(Answers!BU15,"AAAAABf93QI=")</f>
        <v>#VALUE!</v>
      </c>
      <c r="D12" t="e">
        <f>AND(Answers!BV15,"AAAAABf93QM=")</f>
        <v>#VALUE!</v>
      </c>
      <c r="E12" t="e">
        <f>AND(Answers!#REF!,"AAAAABf93QQ=")</f>
        <v>#REF!</v>
      </c>
      <c r="F12" t="e">
        <f>AND(Answers!BW15,"AAAAABf93QU=")</f>
        <v>#VALUE!</v>
      </c>
      <c r="G12" t="e">
        <f>AND(Answers!BX15,"AAAAABf93QY=")</f>
        <v>#VALUE!</v>
      </c>
      <c r="H12" t="e">
        <f>AND(Answers!BY15,"AAAAABf93Qc=")</f>
        <v>#VALUE!</v>
      </c>
      <c r="I12" t="e">
        <f>AND(Answers!BZ15,"AAAAABf93Qg=")</f>
        <v>#VALUE!</v>
      </c>
      <c r="J12" t="e">
        <f>IF(Answers!16:16,"AAAAABf93Qk=",0)</f>
        <v>#VALUE!</v>
      </c>
      <c r="K12" t="e">
        <f>AND(Answers!A16,"AAAAABf93Qo=")</f>
        <v>#VALUE!</v>
      </c>
      <c r="L12" t="e">
        <f>AND(Answers!B16,"AAAAABf93Qs=")</f>
        <v>#VALUE!</v>
      </c>
      <c r="M12" t="e">
        <f>AND(Answers!C16,"AAAAABf93Qw=")</f>
        <v>#VALUE!</v>
      </c>
      <c r="N12" t="e">
        <f>AND(Answers!D16,"AAAAABf93Q0=")</f>
        <v>#VALUE!</v>
      </c>
      <c r="O12" t="e">
        <f>AND(Answers!E16,"AAAAABf93Q4=")</f>
        <v>#VALUE!</v>
      </c>
      <c r="P12" t="e">
        <f>AND(Answers!F16,"AAAAABf93Q8=")</f>
        <v>#VALUE!</v>
      </c>
      <c r="Q12" t="e">
        <f>AND(Answers!G16,"AAAAABf93RA=")</f>
        <v>#VALUE!</v>
      </c>
      <c r="R12" t="e">
        <f>AND(Answers!H16,"AAAAABf93RE=")</f>
        <v>#VALUE!</v>
      </c>
      <c r="S12" t="e">
        <f>AND(Answers!J16,"AAAAABf93RI=")</f>
        <v>#VALUE!</v>
      </c>
      <c r="T12" t="e">
        <f>AND(Answers!K16,"AAAAABf93RM=")</f>
        <v>#VALUE!</v>
      </c>
      <c r="U12" t="e">
        <f>AND(Answers!L16,"AAAAABf93RQ=")</f>
        <v>#VALUE!</v>
      </c>
      <c r="V12" t="e">
        <f>AND(Answers!M16,"AAAAABf93RU=")</f>
        <v>#VALUE!</v>
      </c>
      <c r="W12" t="e">
        <f>AND(Answers!N16,"AAAAABf93RY=")</f>
        <v>#VALUE!</v>
      </c>
      <c r="X12" t="e">
        <f>AND(Answers!O16,"AAAAABf93Rc=")</f>
        <v>#VALUE!</v>
      </c>
      <c r="Y12" t="e">
        <f>AND(Answers!P16,"AAAAABf93Rg=")</f>
        <v>#VALUE!</v>
      </c>
      <c r="Z12" t="e">
        <f>AND(Answers!Q16,"AAAAABf93Rk=")</f>
        <v>#VALUE!</v>
      </c>
      <c r="AA12" t="e">
        <f>AND(Answers!R16,"AAAAABf93Ro=")</f>
        <v>#VALUE!</v>
      </c>
      <c r="AB12" t="e">
        <f>AND(Answers!S16,"AAAAABf93Rs=")</f>
        <v>#VALUE!</v>
      </c>
      <c r="AC12" t="e">
        <f>AND(Answers!T16,"AAAAABf93Rw=")</f>
        <v>#VALUE!</v>
      </c>
      <c r="AD12" t="e">
        <f>AND(Answers!U16,"AAAAABf93R0=")</f>
        <v>#VALUE!</v>
      </c>
      <c r="AE12" t="e">
        <f>AND(Answers!V16,"AAAAABf93R4=")</f>
        <v>#VALUE!</v>
      </c>
      <c r="AF12" t="e">
        <f>AND(Answers!X16,"AAAAABf93R8=")</f>
        <v>#VALUE!</v>
      </c>
      <c r="AG12" t="e">
        <f>AND(Answers!Y16,"AAAAABf93SA=")</f>
        <v>#VALUE!</v>
      </c>
      <c r="AH12" t="e">
        <f>AND(Answers!Z16,"AAAAABf93SE=")</f>
        <v>#VALUE!</v>
      </c>
      <c r="AI12" t="e">
        <f>AND(Answers!AA16,"AAAAABf93SI=")</f>
        <v>#VALUE!</v>
      </c>
      <c r="AJ12" t="e">
        <f>AND(Answers!AB16,"AAAAABf93SM=")</f>
        <v>#VALUE!</v>
      </c>
      <c r="AK12" t="e">
        <f>AND(Answers!AC16,"AAAAABf93SQ=")</f>
        <v>#VALUE!</v>
      </c>
      <c r="AL12" t="e">
        <f>AND(Answers!AD16,"AAAAABf93SU=")</f>
        <v>#VALUE!</v>
      </c>
      <c r="AM12" t="e">
        <f>AND(Answers!AE16,"AAAAABf93SY=")</f>
        <v>#VALUE!</v>
      </c>
      <c r="AN12" t="e">
        <f>AND(Answers!AF16,"AAAAABf93Sc=")</f>
        <v>#VALUE!</v>
      </c>
      <c r="AO12" t="e">
        <f>AND(Answers!AH16,"AAAAABf93Sg=")</f>
        <v>#VALUE!</v>
      </c>
      <c r="AP12" t="e">
        <f>AND(Answers!AI16,"AAAAABf93Sk=")</f>
        <v>#VALUE!</v>
      </c>
      <c r="AQ12" t="e">
        <f>AND(Answers!AK16,"AAAAABf93So=")</f>
        <v>#VALUE!</v>
      </c>
      <c r="AR12" t="e">
        <f>AND(Answers!#REF!,"AAAAABf93Ss=")</f>
        <v>#REF!</v>
      </c>
      <c r="AS12" t="e">
        <f>AND(Answers!AR16,"AAAAABf93Sw=")</f>
        <v>#VALUE!</v>
      </c>
      <c r="AT12" t="e">
        <f>AND(Answers!AS16,"AAAAABf93S0=")</f>
        <v>#VALUE!</v>
      </c>
      <c r="AU12" t="e">
        <f>AND(Answers!AT16,"AAAAABf93S4=")</f>
        <v>#VALUE!</v>
      </c>
      <c r="AV12" t="e">
        <f>AND(Answers!AU16,"AAAAABf93S8=")</f>
        <v>#VALUE!</v>
      </c>
      <c r="AW12" t="e">
        <f>AND(Answers!AW16,"AAAAABf93TA=")</f>
        <v>#VALUE!</v>
      </c>
      <c r="AX12" t="e">
        <f>AND(Answers!AX16,"AAAAABf93TE=")</f>
        <v>#VALUE!</v>
      </c>
      <c r="AY12" t="e">
        <f>AND(Answers!AY16,"AAAAABf93TI=")</f>
        <v>#VALUE!</v>
      </c>
      <c r="AZ12" t="e">
        <f>AND(Answers!AZ16,"AAAAABf93TM=")</f>
        <v>#VALUE!</v>
      </c>
      <c r="BA12" t="e">
        <f>AND(Answers!BA16,"AAAAABf93TQ=")</f>
        <v>#VALUE!</v>
      </c>
      <c r="BB12" t="e">
        <f>AND(Answers!BB16,"AAAAABf93TU=")</f>
        <v>#VALUE!</v>
      </c>
      <c r="BC12" t="e">
        <f>AND(Answers!BC16,"AAAAABf93TY=")</f>
        <v>#VALUE!</v>
      </c>
      <c r="BD12" t="e">
        <f>AND(Answers!BD16,"AAAAABf93Tc=")</f>
        <v>#VALUE!</v>
      </c>
      <c r="BE12" t="e">
        <f>AND(Answers!BE16,"AAAAABf93Tg=")</f>
        <v>#VALUE!</v>
      </c>
      <c r="BF12" t="e">
        <f>AND(Answers!BF16,"AAAAABf93Tk=")</f>
        <v>#VALUE!</v>
      </c>
      <c r="BG12" t="e">
        <f>AND(Answers!BG16,"AAAAABf93To=")</f>
        <v>#VALUE!</v>
      </c>
      <c r="BH12" t="e">
        <f>AND(Answers!BH16,"AAAAABf93Ts=")</f>
        <v>#VALUE!</v>
      </c>
      <c r="BI12" t="e">
        <f>AND(Answers!BI16,"AAAAABf93Tw=")</f>
        <v>#VALUE!</v>
      </c>
      <c r="BJ12" t="e">
        <f>AND(Answers!BK16,"AAAAABf93T0=")</f>
        <v>#VALUE!</v>
      </c>
      <c r="BK12" t="e">
        <f>AND(Answers!BL16,"AAAAABf93T4=")</f>
        <v>#VALUE!</v>
      </c>
      <c r="BL12" t="e">
        <f>AND(Answers!BM16,"AAAAABf93T8=")</f>
        <v>#VALUE!</v>
      </c>
      <c r="BM12" t="e">
        <f>AND(Answers!BN16,"AAAAABf93UA=")</f>
        <v>#VALUE!</v>
      </c>
      <c r="BN12" t="e">
        <f>AND(Answers!BO16,"AAAAABf93UE=")</f>
        <v>#VALUE!</v>
      </c>
      <c r="BO12" t="e">
        <f>AND(Answers!BP16,"AAAAABf93UI=")</f>
        <v>#VALUE!</v>
      </c>
      <c r="BP12" t="e">
        <f>AND(Answers!BQ16,"AAAAABf93UM=")</f>
        <v>#VALUE!</v>
      </c>
      <c r="BQ12" t="e">
        <f>AND(Answers!BR16,"AAAAABf93UQ=")</f>
        <v>#VALUE!</v>
      </c>
      <c r="BR12" t="e">
        <f>AND(Answers!BS16,"AAAAABf93UU=")</f>
        <v>#VALUE!</v>
      </c>
      <c r="BS12" t="e">
        <f>AND(Answers!BU16,"AAAAABf93UY=")</f>
        <v>#VALUE!</v>
      </c>
      <c r="BT12" t="e">
        <f>AND(Answers!BV16,"AAAAABf93Uc=")</f>
        <v>#VALUE!</v>
      </c>
      <c r="BU12" t="e">
        <f>AND(Answers!#REF!,"AAAAABf93Ug=")</f>
        <v>#REF!</v>
      </c>
      <c r="BV12" t="e">
        <f>AND(Answers!BW16,"AAAAABf93Uk=")</f>
        <v>#VALUE!</v>
      </c>
      <c r="BW12" t="e">
        <f>AND(Answers!BX16,"AAAAABf93Uo=")</f>
        <v>#VALUE!</v>
      </c>
      <c r="BX12" t="e">
        <f>AND(Answers!BY16,"AAAAABf93Us=")</f>
        <v>#VALUE!</v>
      </c>
      <c r="BY12" t="e">
        <f>AND(Answers!BZ16,"AAAAABf93Uw=")</f>
        <v>#VALUE!</v>
      </c>
      <c r="BZ12">
        <f>IF(Answers!17:17,"AAAAABf93U0=",0)</f>
        <v>0</v>
      </c>
      <c r="CA12" t="e">
        <f>AND(Answers!A17,"AAAAABf93U4=")</f>
        <v>#VALUE!</v>
      </c>
      <c r="CB12" t="e">
        <f>AND(Answers!B17,"AAAAABf93U8=")</f>
        <v>#VALUE!</v>
      </c>
      <c r="CC12" t="e">
        <f>AND(Answers!C17,"AAAAABf93VA=")</f>
        <v>#VALUE!</v>
      </c>
      <c r="CD12" t="e">
        <f>AND(Answers!D17,"AAAAABf93VE=")</f>
        <v>#VALUE!</v>
      </c>
      <c r="CE12" t="e">
        <f>AND(Answers!E17,"AAAAABf93VI=")</f>
        <v>#VALUE!</v>
      </c>
      <c r="CF12" t="e">
        <f>AND(Answers!F17,"AAAAABf93VM=")</f>
        <v>#VALUE!</v>
      </c>
      <c r="CG12" t="e">
        <f>AND(Answers!G17,"AAAAABf93VQ=")</f>
        <v>#VALUE!</v>
      </c>
      <c r="CH12" t="e">
        <f>AND(Answers!H17,"AAAAABf93VU=")</f>
        <v>#VALUE!</v>
      </c>
      <c r="CI12" t="e">
        <f>AND(Answers!J17,"AAAAABf93VY=")</f>
        <v>#VALUE!</v>
      </c>
      <c r="CJ12" t="e">
        <f>AND(Answers!K17,"AAAAABf93Vc=")</f>
        <v>#VALUE!</v>
      </c>
      <c r="CK12" t="e">
        <f>AND(Answers!L17,"AAAAABf93Vg=")</f>
        <v>#VALUE!</v>
      </c>
      <c r="CL12" t="e">
        <f>AND(Answers!M17,"AAAAABf93Vk=")</f>
        <v>#VALUE!</v>
      </c>
      <c r="CM12" t="e">
        <f>AND(Answers!N17,"AAAAABf93Vo=")</f>
        <v>#VALUE!</v>
      </c>
      <c r="CN12" t="e">
        <f>AND(Answers!O17,"AAAAABf93Vs=")</f>
        <v>#VALUE!</v>
      </c>
      <c r="CO12" t="e">
        <f>AND(Answers!P17,"AAAAABf93Vw=")</f>
        <v>#VALUE!</v>
      </c>
      <c r="CP12" t="e">
        <f>AND(Answers!Q17,"AAAAABf93V0=")</f>
        <v>#VALUE!</v>
      </c>
      <c r="CQ12" t="e">
        <f>AND(Answers!R17,"AAAAABf93V4=")</f>
        <v>#VALUE!</v>
      </c>
      <c r="CR12" t="e">
        <f>AND(Answers!S17,"AAAAABf93V8=")</f>
        <v>#VALUE!</v>
      </c>
      <c r="CS12" t="e">
        <f>AND(Answers!T17,"AAAAABf93WA=")</f>
        <v>#VALUE!</v>
      </c>
      <c r="CT12" t="e">
        <f>AND(Answers!U17,"AAAAABf93WE=")</f>
        <v>#VALUE!</v>
      </c>
      <c r="CU12" t="e">
        <f>AND(Answers!V17,"AAAAABf93WI=")</f>
        <v>#VALUE!</v>
      </c>
      <c r="CV12" t="e">
        <f>AND(Answers!X17,"AAAAABf93WM=")</f>
        <v>#VALUE!</v>
      </c>
      <c r="CW12" t="e">
        <f>AND(Answers!Y17,"AAAAABf93WQ=")</f>
        <v>#VALUE!</v>
      </c>
      <c r="CX12" t="e">
        <f>AND(Answers!Z17,"AAAAABf93WU=")</f>
        <v>#VALUE!</v>
      </c>
      <c r="CY12" t="e">
        <f>AND(Answers!AA17,"AAAAABf93WY=")</f>
        <v>#VALUE!</v>
      </c>
      <c r="CZ12" t="e">
        <f>AND(Answers!AB17,"AAAAABf93Wc=")</f>
        <v>#VALUE!</v>
      </c>
      <c r="DA12" t="e">
        <f>AND(Answers!AC17,"AAAAABf93Wg=")</f>
        <v>#VALUE!</v>
      </c>
      <c r="DB12" t="e">
        <f>AND(Answers!AD17,"AAAAABf93Wk=")</f>
        <v>#VALUE!</v>
      </c>
      <c r="DC12" t="e">
        <f>AND(Answers!AE17,"AAAAABf93Wo=")</f>
        <v>#VALUE!</v>
      </c>
      <c r="DD12" t="e">
        <f>AND(Answers!AF17,"AAAAABf93Ws=")</f>
        <v>#VALUE!</v>
      </c>
      <c r="DE12" t="e">
        <f>AND(Answers!AH17,"AAAAABf93Ww=")</f>
        <v>#VALUE!</v>
      </c>
      <c r="DF12" t="e">
        <f>AND(Answers!AI17,"AAAAABf93W0=")</f>
        <v>#VALUE!</v>
      </c>
      <c r="DG12" t="e">
        <f>AND(Answers!AK17,"AAAAABf93W4=")</f>
        <v>#VALUE!</v>
      </c>
      <c r="DH12" t="e">
        <f>AND(Answers!#REF!,"AAAAABf93W8=")</f>
        <v>#REF!</v>
      </c>
      <c r="DI12" t="e">
        <f>AND(Answers!AR17,"AAAAABf93XA=")</f>
        <v>#VALUE!</v>
      </c>
      <c r="DJ12" t="e">
        <f>AND(Answers!AS17,"AAAAABf93XE=")</f>
        <v>#VALUE!</v>
      </c>
      <c r="DK12" t="e">
        <f>AND(Answers!AT17,"AAAAABf93XI=")</f>
        <v>#VALUE!</v>
      </c>
      <c r="DL12" t="e">
        <f>AND(Answers!AU17,"AAAAABf93XM=")</f>
        <v>#VALUE!</v>
      </c>
      <c r="DM12" t="e">
        <f>AND(Answers!AW17,"AAAAABf93XQ=")</f>
        <v>#VALUE!</v>
      </c>
      <c r="DN12" t="e">
        <f>AND(Answers!AX17,"AAAAABf93XU=")</f>
        <v>#VALUE!</v>
      </c>
      <c r="DO12" t="e">
        <f>AND(Answers!AY17,"AAAAABf93XY=")</f>
        <v>#VALUE!</v>
      </c>
      <c r="DP12" t="e">
        <f>AND(Answers!AZ17,"AAAAABf93Xc=")</f>
        <v>#VALUE!</v>
      </c>
      <c r="DQ12" t="e">
        <f>AND(Answers!BA17,"AAAAABf93Xg=")</f>
        <v>#VALUE!</v>
      </c>
      <c r="DR12" t="e">
        <f>AND(Answers!BB17,"AAAAABf93Xk=")</f>
        <v>#VALUE!</v>
      </c>
      <c r="DS12" t="e">
        <f>AND(Answers!BC17,"AAAAABf93Xo=")</f>
        <v>#VALUE!</v>
      </c>
      <c r="DT12" t="e">
        <f>AND(Answers!BD17,"AAAAABf93Xs=")</f>
        <v>#VALUE!</v>
      </c>
      <c r="DU12" t="e">
        <f>AND(Answers!BE17,"AAAAABf93Xw=")</f>
        <v>#VALUE!</v>
      </c>
      <c r="DV12" t="e">
        <f>AND(Answers!BF17,"AAAAABf93X0=")</f>
        <v>#VALUE!</v>
      </c>
      <c r="DW12" t="e">
        <f>AND(Answers!BG17,"AAAAABf93X4=")</f>
        <v>#VALUE!</v>
      </c>
      <c r="DX12" t="e">
        <f>AND(Answers!BH17,"AAAAABf93X8=")</f>
        <v>#VALUE!</v>
      </c>
      <c r="DY12" t="e">
        <f>AND(Answers!BI17,"AAAAABf93YA=")</f>
        <v>#VALUE!</v>
      </c>
      <c r="DZ12" t="e">
        <f>AND(Answers!BK17,"AAAAABf93YE=")</f>
        <v>#VALUE!</v>
      </c>
      <c r="EA12" t="e">
        <f>AND(Answers!BL17,"AAAAABf93YI=")</f>
        <v>#VALUE!</v>
      </c>
      <c r="EB12" t="e">
        <f>AND(Answers!BM17,"AAAAABf93YM=")</f>
        <v>#VALUE!</v>
      </c>
      <c r="EC12" t="e">
        <f>AND(Answers!BN17,"AAAAABf93YQ=")</f>
        <v>#VALUE!</v>
      </c>
      <c r="ED12" t="e">
        <f>AND(Answers!BO17,"AAAAABf93YU=")</f>
        <v>#VALUE!</v>
      </c>
      <c r="EE12" t="e">
        <f>AND(Answers!BP17,"AAAAABf93YY=")</f>
        <v>#VALUE!</v>
      </c>
      <c r="EF12" t="e">
        <f>AND(Answers!BQ17,"AAAAABf93Yc=")</f>
        <v>#VALUE!</v>
      </c>
      <c r="EG12" t="e">
        <f>AND(Answers!BR17,"AAAAABf93Yg=")</f>
        <v>#VALUE!</v>
      </c>
      <c r="EH12" t="e">
        <f>AND(Answers!BS17,"AAAAABf93Yk=")</f>
        <v>#VALUE!</v>
      </c>
      <c r="EI12" t="e">
        <f>AND(Answers!BU17,"AAAAABf93Yo=")</f>
        <v>#VALUE!</v>
      </c>
      <c r="EJ12" t="e">
        <f>AND(Answers!BV17,"AAAAABf93Ys=")</f>
        <v>#VALUE!</v>
      </c>
      <c r="EK12" t="e">
        <f>AND(Answers!#REF!,"AAAAABf93Yw=")</f>
        <v>#REF!</v>
      </c>
      <c r="EL12" t="e">
        <f>AND(Answers!BW17,"AAAAABf93Y0=")</f>
        <v>#VALUE!</v>
      </c>
      <c r="EM12" t="e">
        <f>AND(Answers!BX17,"AAAAABf93Y4=")</f>
        <v>#VALUE!</v>
      </c>
      <c r="EN12" t="e">
        <f>AND(Answers!BY17,"AAAAABf93Y8=")</f>
        <v>#VALUE!</v>
      </c>
      <c r="EO12" t="e">
        <f>AND(Answers!BZ17,"AAAAABf93ZA=")</f>
        <v>#VALUE!</v>
      </c>
      <c r="EP12">
        <f>IF(Answers!18:18,"AAAAABf93ZE=",0)</f>
        <v>0</v>
      </c>
      <c r="EQ12" t="e">
        <f>AND(Answers!A18,"AAAAABf93ZI=")</f>
        <v>#VALUE!</v>
      </c>
      <c r="ER12" t="e">
        <f>AND(Answers!B18,"AAAAABf93ZM=")</f>
        <v>#VALUE!</v>
      </c>
      <c r="ES12" t="e">
        <f>AND(Answers!C18,"AAAAABf93ZQ=")</f>
        <v>#VALUE!</v>
      </c>
      <c r="ET12" t="e">
        <f>AND(Answers!D18,"AAAAABf93ZU=")</f>
        <v>#VALUE!</v>
      </c>
      <c r="EU12" t="e">
        <f>AND(Answers!E18,"AAAAABf93ZY=")</f>
        <v>#VALUE!</v>
      </c>
      <c r="EV12" t="e">
        <f>AND(Answers!F18,"AAAAABf93Zc=")</f>
        <v>#VALUE!</v>
      </c>
      <c r="EW12" t="e">
        <f>AND(Answers!G18,"AAAAABf93Zg=")</f>
        <v>#VALUE!</v>
      </c>
      <c r="EX12" t="e">
        <f>AND(Answers!H18,"AAAAABf93Zk=")</f>
        <v>#VALUE!</v>
      </c>
      <c r="EY12" t="e">
        <f>AND(Answers!J18,"AAAAABf93Zo=")</f>
        <v>#VALUE!</v>
      </c>
      <c r="EZ12" t="e">
        <f>AND(Answers!K18,"AAAAABf93Zs=")</f>
        <v>#VALUE!</v>
      </c>
      <c r="FA12" t="e">
        <f>AND(Answers!L18,"AAAAABf93Zw=")</f>
        <v>#VALUE!</v>
      </c>
      <c r="FB12" t="e">
        <f>AND(Answers!M18,"AAAAABf93Z0=")</f>
        <v>#VALUE!</v>
      </c>
      <c r="FC12" t="e">
        <f>AND(Answers!N18,"AAAAABf93Z4=")</f>
        <v>#VALUE!</v>
      </c>
      <c r="FD12" t="e">
        <f>AND(Answers!O18,"AAAAABf93Z8=")</f>
        <v>#VALUE!</v>
      </c>
      <c r="FE12" t="e">
        <f>AND(Answers!P18,"AAAAABf93aA=")</f>
        <v>#VALUE!</v>
      </c>
      <c r="FF12" t="e">
        <f>AND(Answers!Q18,"AAAAABf93aE=")</f>
        <v>#VALUE!</v>
      </c>
      <c r="FG12" t="e">
        <f>AND(Answers!R18,"AAAAABf93aI=")</f>
        <v>#VALUE!</v>
      </c>
      <c r="FH12" t="e">
        <f>AND(Answers!S18,"AAAAABf93aM=")</f>
        <v>#VALUE!</v>
      </c>
      <c r="FI12" t="e">
        <f>AND(Answers!T18,"AAAAABf93aQ=")</f>
        <v>#VALUE!</v>
      </c>
      <c r="FJ12" t="e">
        <f>AND(Answers!U18,"AAAAABf93aU=")</f>
        <v>#VALUE!</v>
      </c>
      <c r="FK12" t="e">
        <f>AND(Answers!V18,"AAAAABf93aY=")</f>
        <v>#VALUE!</v>
      </c>
      <c r="FL12" t="e">
        <f>AND(Answers!X18,"AAAAABf93ac=")</f>
        <v>#VALUE!</v>
      </c>
      <c r="FM12" t="e">
        <f>AND(Answers!Y18,"AAAAABf93ag=")</f>
        <v>#VALUE!</v>
      </c>
      <c r="FN12" t="e">
        <f>AND(Answers!Z18,"AAAAABf93ak=")</f>
        <v>#VALUE!</v>
      </c>
      <c r="FO12" t="e">
        <f>AND(Answers!AA18,"AAAAABf93ao=")</f>
        <v>#VALUE!</v>
      </c>
      <c r="FP12" t="e">
        <f>AND(Answers!AB18,"AAAAABf93as=")</f>
        <v>#VALUE!</v>
      </c>
      <c r="FQ12" t="e">
        <f>AND(Answers!AC18,"AAAAABf93aw=")</f>
        <v>#VALUE!</v>
      </c>
      <c r="FR12" t="e">
        <f>AND(Answers!AD18,"AAAAABf93a0=")</f>
        <v>#VALUE!</v>
      </c>
      <c r="FS12" t="e">
        <f>AND(Answers!AE18,"AAAAABf93a4=")</f>
        <v>#VALUE!</v>
      </c>
      <c r="FT12" t="e">
        <f>AND(Answers!AF18,"AAAAABf93a8=")</f>
        <v>#VALUE!</v>
      </c>
      <c r="FU12" t="e">
        <f>AND(Answers!AH18,"AAAAABf93bA=")</f>
        <v>#VALUE!</v>
      </c>
      <c r="FV12" t="e">
        <f>AND(Answers!AI18,"AAAAABf93bE=")</f>
        <v>#VALUE!</v>
      </c>
      <c r="FW12" t="e">
        <f>AND(Answers!AK18,"AAAAABf93bI=")</f>
        <v>#VALUE!</v>
      </c>
      <c r="FX12" t="e">
        <f>AND(Answers!#REF!,"AAAAABf93bM=")</f>
        <v>#REF!</v>
      </c>
      <c r="FY12" t="e">
        <f>AND(Answers!AR18,"AAAAABf93bQ=")</f>
        <v>#VALUE!</v>
      </c>
      <c r="FZ12" t="e">
        <f>AND(Answers!AS18,"AAAAABf93bU=")</f>
        <v>#VALUE!</v>
      </c>
      <c r="GA12" t="e">
        <f>AND(Answers!AT18,"AAAAABf93bY=")</f>
        <v>#VALUE!</v>
      </c>
      <c r="GB12" t="e">
        <f>AND(Answers!AU18,"AAAAABf93bc=")</f>
        <v>#VALUE!</v>
      </c>
      <c r="GC12" t="e">
        <f>AND(Answers!AW18,"AAAAABf93bg=")</f>
        <v>#VALUE!</v>
      </c>
      <c r="GD12" t="e">
        <f>AND(Answers!AX18,"AAAAABf93bk=")</f>
        <v>#VALUE!</v>
      </c>
      <c r="GE12" t="e">
        <f>AND(Answers!AY18,"AAAAABf93bo=")</f>
        <v>#VALUE!</v>
      </c>
      <c r="GF12" t="e">
        <f>AND(Answers!AZ18,"AAAAABf93bs=")</f>
        <v>#VALUE!</v>
      </c>
      <c r="GG12" t="e">
        <f>AND(Answers!BA18,"AAAAABf93bw=")</f>
        <v>#VALUE!</v>
      </c>
      <c r="GH12" t="e">
        <f>AND(Answers!BB18,"AAAAABf93b0=")</f>
        <v>#VALUE!</v>
      </c>
      <c r="GI12" t="e">
        <f>AND(Answers!BC18,"AAAAABf93b4=")</f>
        <v>#VALUE!</v>
      </c>
      <c r="GJ12" t="e">
        <f>AND(Answers!BD18,"AAAAABf93b8=")</f>
        <v>#VALUE!</v>
      </c>
      <c r="GK12" t="e">
        <f>AND(Answers!BE18,"AAAAABf93cA=")</f>
        <v>#VALUE!</v>
      </c>
      <c r="GL12" t="e">
        <f>AND(Answers!BF18,"AAAAABf93cE=")</f>
        <v>#VALUE!</v>
      </c>
      <c r="GM12" t="e">
        <f>AND(Answers!BG18,"AAAAABf93cI=")</f>
        <v>#VALUE!</v>
      </c>
      <c r="GN12" t="e">
        <f>AND(Answers!BH18,"AAAAABf93cM=")</f>
        <v>#VALUE!</v>
      </c>
      <c r="GO12" t="e">
        <f>AND(Answers!BI18,"AAAAABf93cQ=")</f>
        <v>#VALUE!</v>
      </c>
      <c r="GP12" t="e">
        <f>AND(Answers!BK18,"AAAAABf93cU=")</f>
        <v>#VALUE!</v>
      </c>
      <c r="GQ12" t="e">
        <f>AND(Answers!BL18,"AAAAABf93cY=")</f>
        <v>#VALUE!</v>
      </c>
      <c r="GR12" t="e">
        <f>AND(Answers!BM18,"AAAAABf93cc=")</f>
        <v>#VALUE!</v>
      </c>
      <c r="GS12" t="e">
        <f>AND(Answers!BN18,"AAAAABf93cg=")</f>
        <v>#VALUE!</v>
      </c>
      <c r="GT12" t="e">
        <f>AND(Answers!BO18,"AAAAABf93ck=")</f>
        <v>#VALUE!</v>
      </c>
      <c r="GU12" t="e">
        <f>AND(Answers!BP18,"AAAAABf93co=")</f>
        <v>#VALUE!</v>
      </c>
      <c r="GV12" t="e">
        <f>AND(Answers!BQ18,"AAAAABf93cs=")</f>
        <v>#VALUE!</v>
      </c>
      <c r="GW12" t="e">
        <f>AND(Answers!BR18,"AAAAABf93cw=")</f>
        <v>#VALUE!</v>
      </c>
      <c r="GX12" t="e">
        <f>AND(Answers!BS18,"AAAAABf93c0=")</f>
        <v>#VALUE!</v>
      </c>
      <c r="GY12" t="e">
        <f>AND(Answers!BU18,"AAAAABf93c4=")</f>
        <v>#VALUE!</v>
      </c>
      <c r="GZ12" t="e">
        <f>AND(Answers!BV18,"AAAAABf93c8=")</f>
        <v>#VALUE!</v>
      </c>
      <c r="HA12" t="e">
        <f>AND(Answers!#REF!,"AAAAABf93dA=")</f>
        <v>#REF!</v>
      </c>
      <c r="HB12" t="e">
        <f>AND(Answers!BW18,"AAAAABf93dE=")</f>
        <v>#VALUE!</v>
      </c>
      <c r="HC12" t="e">
        <f>AND(Answers!BX18,"AAAAABf93dI=")</f>
        <v>#VALUE!</v>
      </c>
      <c r="HD12" t="e">
        <f>AND(Answers!BY18,"AAAAABf93dM=")</f>
        <v>#VALUE!</v>
      </c>
      <c r="HE12" t="e">
        <f>AND(Answers!BZ18,"AAAAABf93dQ=")</f>
        <v>#VALUE!</v>
      </c>
      <c r="HF12">
        <f>IF(Answers!19:19,"AAAAABf93dU=",0)</f>
        <v>0</v>
      </c>
      <c r="HG12" t="e">
        <f>AND(Answers!A19,"AAAAABf93dY=")</f>
        <v>#VALUE!</v>
      </c>
      <c r="HH12" t="e">
        <f>AND(Answers!B19,"AAAAABf93dc=")</f>
        <v>#VALUE!</v>
      </c>
      <c r="HI12" t="e">
        <f>AND(Answers!C19,"AAAAABf93dg=")</f>
        <v>#VALUE!</v>
      </c>
      <c r="HJ12" t="e">
        <f>AND(Answers!D19,"AAAAABf93dk=")</f>
        <v>#VALUE!</v>
      </c>
      <c r="HK12" t="e">
        <f>AND(Answers!E19,"AAAAABf93do=")</f>
        <v>#VALUE!</v>
      </c>
      <c r="HL12" t="e">
        <f>AND(Answers!F19,"AAAAABf93ds=")</f>
        <v>#VALUE!</v>
      </c>
      <c r="HM12" t="e">
        <f>AND(Answers!G19,"AAAAABf93dw=")</f>
        <v>#VALUE!</v>
      </c>
      <c r="HN12" t="e">
        <f>AND(Answers!H19,"AAAAABf93d0=")</f>
        <v>#VALUE!</v>
      </c>
      <c r="HO12" t="e">
        <f>AND(Answers!J19,"AAAAABf93d4=")</f>
        <v>#VALUE!</v>
      </c>
      <c r="HP12" t="e">
        <f>AND(Answers!K19,"AAAAABf93d8=")</f>
        <v>#VALUE!</v>
      </c>
      <c r="HQ12" t="e">
        <f>AND(Answers!L19,"AAAAABf93eA=")</f>
        <v>#VALUE!</v>
      </c>
      <c r="HR12" t="e">
        <f>AND(Answers!M19,"AAAAABf93eE=")</f>
        <v>#VALUE!</v>
      </c>
      <c r="HS12" t="e">
        <f>AND(Answers!N19,"AAAAABf93eI=")</f>
        <v>#VALUE!</v>
      </c>
      <c r="HT12" t="e">
        <f>AND(Answers!O19,"AAAAABf93eM=")</f>
        <v>#VALUE!</v>
      </c>
      <c r="HU12" t="e">
        <f>AND(Answers!P19,"AAAAABf93eQ=")</f>
        <v>#VALUE!</v>
      </c>
      <c r="HV12" t="e">
        <f>AND(Answers!Q19,"AAAAABf93eU=")</f>
        <v>#VALUE!</v>
      </c>
      <c r="HW12" t="e">
        <f>AND(Answers!R19,"AAAAABf93eY=")</f>
        <v>#VALUE!</v>
      </c>
      <c r="HX12" t="e">
        <f>AND(Answers!S19,"AAAAABf93ec=")</f>
        <v>#VALUE!</v>
      </c>
      <c r="HY12" t="e">
        <f>AND(Answers!T19,"AAAAABf93eg=")</f>
        <v>#VALUE!</v>
      </c>
      <c r="HZ12" t="e">
        <f>AND(Answers!U19,"AAAAABf93ek=")</f>
        <v>#VALUE!</v>
      </c>
      <c r="IA12" t="e">
        <f>AND(Answers!V19,"AAAAABf93eo=")</f>
        <v>#VALUE!</v>
      </c>
      <c r="IB12" t="e">
        <f>AND(Answers!X19,"AAAAABf93es=")</f>
        <v>#VALUE!</v>
      </c>
      <c r="IC12" t="e">
        <f>AND(Answers!Y19,"AAAAABf93ew=")</f>
        <v>#VALUE!</v>
      </c>
      <c r="ID12" t="e">
        <f>AND(Answers!Z19,"AAAAABf93e0=")</f>
        <v>#VALUE!</v>
      </c>
      <c r="IE12" t="e">
        <f>AND(Answers!AA19,"AAAAABf93e4=")</f>
        <v>#VALUE!</v>
      </c>
      <c r="IF12" t="e">
        <f>AND(Answers!AB19,"AAAAABf93e8=")</f>
        <v>#VALUE!</v>
      </c>
      <c r="IG12" t="e">
        <f>AND(Answers!AC19,"AAAAABf93fA=")</f>
        <v>#VALUE!</v>
      </c>
      <c r="IH12" t="e">
        <f>AND(Answers!AD19,"AAAAABf93fE=")</f>
        <v>#VALUE!</v>
      </c>
      <c r="II12" t="e">
        <f>AND(Answers!AE19,"AAAAABf93fI=")</f>
        <v>#VALUE!</v>
      </c>
      <c r="IJ12" t="e">
        <f>AND(Answers!AF19,"AAAAABf93fM=")</f>
        <v>#VALUE!</v>
      </c>
      <c r="IK12" t="e">
        <f>AND(Answers!AH19,"AAAAABf93fQ=")</f>
        <v>#VALUE!</v>
      </c>
      <c r="IL12" t="e">
        <f>AND(Answers!AI19,"AAAAABf93fU=")</f>
        <v>#VALUE!</v>
      </c>
      <c r="IM12" t="e">
        <f>AND(Answers!AK19,"AAAAABf93fY=")</f>
        <v>#VALUE!</v>
      </c>
      <c r="IN12" t="e">
        <f>AND(Answers!#REF!,"AAAAABf93fc=")</f>
        <v>#REF!</v>
      </c>
      <c r="IO12" t="e">
        <f>AND(Answers!AR19,"AAAAABf93fg=")</f>
        <v>#VALUE!</v>
      </c>
      <c r="IP12" t="e">
        <f>AND(Answers!AS19,"AAAAABf93fk=")</f>
        <v>#VALUE!</v>
      </c>
      <c r="IQ12" t="e">
        <f>AND(Answers!AT19,"AAAAABf93fo=")</f>
        <v>#VALUE!</v>
      </c>
      <c r="IR12" t="e">
        <f>AND(Answers!AU19,"AAAAABf93fs=")</f>
        <v>#VALUE!</v>
      </c>
      <c r="IS12" t="e">
        <f>AND(Answers!AW19,"AAAAABf93fw=")</f>
        <v>#VALUE!</v>
      </c>
      <c r="IT12" t="e">
        <f>AND(Answers!AX19,"AAAAABf93f0=")</f>
        <v>#VALUE!</v>
      </c>
      <c r="IU12" t="e">
        <f>AND(Answers!AY19,"AAAAABf93f4=")</f>
        <v>#VALUE!</v>
      </c>
      <c r="IV12" t="e">
        <f>AND(Answers!AZ19,"AAAAABf93f8=")</f>
        <v>#VALUE!</v>
      </c>
    </row>
    <row r="13" spans="1:256" x14ac:dyDescent="0.15">
      <c r="A13" t="e">
        <f>AND(Answers!BA19,"AAAAAGfv2wA=")</f>
        <v>#VALUE!</v>
      </c>
      <c r="B13" t="e">
        <f>AND(Answers!BB19,"AAAAAGfv2wE=")</f>
        <v>#VALUE!</v>
      </c>
      <c r="C13" t="e">
        <f>AND(Answers!BC19,"AAAAAGfv2wI=")</f>
        <v>#VALUE!</v>
      </c>
      <c r="D13" t="e">
        <f>AND(Answers!BD19,"AAAAAGfv2wM=")</f>
        <v>#VALUE!</v>
      </c>
      <c r="E13" t="e">
        <f>AND(Answers!BE19,"AAAAAGfv2wQ=")</f>
        <v>#VALUE!</v>
      </c>
      <c r="F13" t="e">
        <f>AND(Answers!BF19,"AAAAAGfv2wU=")</f>
        <v>#VALUE!</v>
      </c>
      <c r="G13" t="e">
        <f>AND(Answers!BG19,"AAAAAGfv2wY=")</f>
        <v>#VALUE!</v>
      </c>
      <c r="H13" t="e">
        <f>AND(Answers!BH19,"AAAAAGfv2wc=")</f>
        <v>#VALUE!</v>
      </c>
      <c r="I13" t="e">
        <f>AND(Answers!BI19,"AAAAAGfv2wg=")</f>
        <v>#VALUE!</v>
      </c>
      <c r="J13" t="e">
        <f>AND(Answers!BK19,"AAAAAGfv2wk=")</f>
        <v>#VALUE!</v>
      </c>
      <c r="K13" t="e">
        <f>AND(Answers!BL19,"AAAAAGfv2wo=")</f>
        <v>#VALUE!</v>
      </c>
      <c r="L13" t="e">
        <f>AND(Answers!BM19,"AAAAAGfv2ws=")</f>
        <v>#VALUE!</v>
      </c>
      <c r="M13" t="e">
        <f>AND(Answers!BN19,"AAAAAGfv2ww=")</f>
        <v>#VALUE!</v>
      </c>
      <c r="N13" t="e">
        <f>AND(Answers!BO19,"AAAAAGfv2w0=")</f>
        <v>#VALUE!</v>
      </c>
      <c r="O13" t="e">
        <f>AND(Answers!BP19,"AAAAAGfv2w4=")</f>
        <v>#VALUE!</v>
      </c>
      <c r="P13" t="e">
        <f>AND(Answers!BQ19,"AAAAAGfv2w8=")</f>
        <v>#VALUE!</v>
      </c>
      <c r="Q13" t="e">
        <f>AND(Answers!BR19,"AAAAAGfv2xA=")</f>
        <v>#VALUE!</v>
      </c>
      <c r="R13" t="e">
        <f>AND(Answers!BS19,"AAAAAGfv2xE=")</f>
        <v>#VALUE!</v>
      </c>
      <c r="S13" t="e">
        <f>AND(Answers!BU19,"AAAAAGfv2xI=")</f>
        <v>#VALUE!</v>
      </c>
      <c r="T13" t="e">
        <f>AND(Answers!BV19,"AAAAAGfv2xM=")</f>
        <v>#VALUE!</v>
      </c>
      <c r="U13" t="e">
        <f>AND(Answers!#REF!,"AAAAAGfv2xQ=")</f>
        <v>#REF!</v>
      </c>
      <c r="V13" t="e">
        <f>AND(Answers!BW19,"AAAAAGfv2xU=")</f>
        <v>#VALUE!</v>
      </c>
      <c r="W13" t="e">
        <f>AND(Answers!BX19,"AAAAAGfv2xY=")</f>
        <v>#VALUE!</v>
      </c>
      <c r="X13" t="e">
        <f>AND(Answers!BY19,"AAAAAGfv2xc=")</f>
        <v>#VALUE!</v>
      </c>
      <c r="Y13" t="e">
        <f>AND(Answers!BZ19,"AAAAAGfv2xg=")</f>
        <v>#VALUE!</v>
      </c>
      <c r="Z13" t="str">
        <f>IF(Answers!20:20,"AAAAAGfv2xk=",0)</f>
        <v>AAAAAGfv2xk=</v>
      </c>
      <c r="AA13" t="e">
        <f>AND(Answers!A20,"AAAAAGfv2xo=")</f>
        <v>#VALUE!</v>
      </c>
      <c r="AB13" t="e">
        <f>AND(Answers!B20,"AAAAAGfv2xs=")</f>
        <v>#VALUE!</v>
      </c>
      <c r="AC13" t="e">
        <f>AND(Answers!C20,"AAAAAGfv2xw=")</f>
        <v>#VALUE!</v>
      </c>
      <c r="AD13" t="e">
        <f>AND(Answers!D20,"AAAAAGfv2x0=")</f>
        <v>#VALUE!</v>
      </c>
      <c r="AE13" t="e">
        <f>AND(Answers!E20,"AAAAAGfv2x4=")</f>
        <v>#VALUE!</v>
      </c>
      <c r="AF13" t="e">
        <f>AND(Answers!F20,"AAAAAGfv2x8=")</f>
        <v>#VALUE!</v>
      </c>
      <c r="AG13" t="e">
        <f>AND(Answers!G20,"AAAAAGfv2yA=")</f>
        <v>#VALUE!</v>
      </c>
      <c r="AH13" t="e">
        <f>AND(Answers!H20,"AAAAAGfv2yE=")</f>
        <v>#VALUE!</v>
      </c>
      <c r="AI13" t="e">
        <f>AND(Answers!J20,"AAAAAGfv2yI=")</f>
        <v>#VALUE!</v>
      </c>
      <c r="AJ13" t="e">
        <f>AND(Answers!K20,"AAAAAGfv2yM=")</f>
        <v>#VALUE!</v>
      </c>
      <c r="AK13" t="e">
        <f>AND(Answers!L20,"AAAAAGfv2yQ=")</f>
        <v>#VALUE!</v>
      </c>
      <c r="AL13" t="e">
        <f>AND(Answers!M20,"AAAAAGfv2yU=")</f>
        <v>#VALUE!</v>
      </c>
      <c r="AM13" t="e">
        <f>AND(Answers!N20,"AAAAAGfv2yY=")</f>
        <v>#VALUE!</v>
      </c>
      <c r="AN13" t="e">
        <f>AND(Answers!O20,"AAAAAGfv2yc=")</f>
        <v>#VALUE!</v>
      </c>
      <c r="AO13" t="e">
        <f>AND(Answers!P20,"AAAAAGfv2yg=")</f>
        <v>#VALUE!</v>
      </c>
      <c r="AP13" t="e">
        <f>AND(Answers!Q20,"AAAAAGfv2yk=")</f>
        <v>#VALUE!</v>
      </c>
      <c r="AQ13" t="e">
        <f>AND(Answers!R20,"AAAAAGfv2yo=")</f>
        <v>#VALUE!</v>
      </c>
      <c r="AR13" t="e">
        <f>AND(Answers!S20,"AAAAAGfv2ys=")</f>
        <v>#VALUE!</v>
      </c>
      <c r="AS13" t="e">
        <f>AND(Answers!T20,"AAAAAGfv2yw=")</f>
        <v>#VALUE!</v>
      </c>
      <c r="AT13" t="e">
        <f>AND(Answers!U20,"AAAAAGfv2y0=")</f>
        <v>#VALUE!</v>
      </c>
      <c r="AU13" t="e">
        <f>AND(Answers!V20,"AAAAAGfv2y4=")</f>
        <v>#VALUE!</v>
      </c>
      <c r="AV13" t="e">
        <f>AND(Answers!X20,"AAAAAGfv2y8=")</f>
        <v>#VALUE!</v>
      </c>
      <c r="AW13" t="e">
        <f>AND(Answers!Y20,"AAAAAGfv2zA=")</f>
        <v>#VALUE!</v>
      </c>
      <c r="AX13" t="e">
        <f>AND(Answers!Z20,"AAAAAGfv2zE=")</f>
        <v>#VALUE!</v>
      </c>
      <c r="AY13" t="e">
        <f>AND(Answers!AA20,"AAAAAGfv2zI=")</f>
        <v>#VALUE!</v>
      </c>
      <c r="AZ13" t="e">
        <f>AND(Answers!AB20,"AAAAAGfv2zM=")</f>
        <v>#VALUE!</v>
      </c>
      <c r="BA13" t="e">
        <f>AND(Answers!AC20,"AAAAAGfv2zQ=")</f>
        <v>#VALUE!</v>
      </c>
      <c r="BB13" t="e">
        <f>AND(Answers!AD20,"AAAAAGfv2zU=")</f>
        <v>#VALUE!</v>
      </c>
      <c r="BC13" t="e">
        <f>AND(Answers!AE20,"AAAAAGfv2zY=")</f>
        <v>#VALUE!</v>
      </c>
      <c r="BD13" t="e">
        <f>AND(Answers!AF20,"AAAAAGfv2zc=")</f>
        <v>#VALUE!</v>
      </c>
      <c r="BE13" t="e">
        <f>AND(Answers!AH20,"AAAAAGfv2zg=")</f>
        <v>#VALUE!</v>
      </c>
      <c r="BF13" t="e">
        <f>AND(Answers!AI20,"AAAAAGfv2zk=")</f>
        <v>#VALUE!</v>
      </c>
      <c r="BG13" t="e">
        <f>AND(Answers!AK20,"AAAAAGfv2zo=")</f>
        <v>#VALUE!</v>
      </c>
      <c r="BH13" t="e">
        <f>AND(Answers!#REF!,"AAAAAGfv2zs=")</f>
        <v>#REF!</v>
      </c>
      <c r="BI13" t="e">
        <f>AND(Answers!AR20,"AAAAAGfv2zw=")</f>
        <v>#VALUE!</v>
      </c>
      <c r="BJ13" t="e">
        <f>AND(Answers!AS20,"AAAAAGfv2z0=")</f>
        <v>#VALUE!</v>
      </c>
      <c r="BK13" t="e">
        <f>AND(Answers!AT20,"AAAAAGfv2z4=")</f>
        <v>#VALUE!</v>
      </c>
      <c r="BL13" t="e">
        <f>AND(Answers!AU20,"AAAAAGfv2z8=")</f>
        <v>#VALUE!</v>
      </c>
      <c r="BM13" t="e">
        <f>AND(Answers!AW20,"AAAAAGfv20A=")</f>
        <v>#VALUE!</v>
      </c>
      <c r="BN13" t="e">
        <f>AND(Answers!AX20,"AAAAAGfv20E=")</f>
        <v>#VALUE!</v>
      </c>
      <c r="BO13" t="e">
        <f>AND(Answers!AY20,"AAAAAGfv20I=")</f>
        <v>#VALUE!</v>
      </c>
      <c r="BP13" t="e">
        <f>AND(Answers!AZ20,"AAAAAGfv20M=")</f>
        <v>#VALUE!</v>
      </c>
      <c r="BQ13" t="e">
        <f>AND(Answers!BA20,"AAAAAGfv20Q=")</f>
        <v>#VALUE!</v>
      </c>
      <c r="BR13" t="e">
        <f>AND(Answers!BB20,"AAAAAGfv20U=")</f>
        <v>#VALUE!</v>
      </c>
      <c r="BS13" t="e">
        <f>AND(Answers!BC20,"AAAAAGfv20Y=")</f>
        <v>#VALUE!</v>
      </c>
      <c r="BT13" t="e">
        <f>AND(Answers!BD20,"AAAAAGfv20c=")</f>
        <v>#VALUE!</v>
      </c>
      <c r="BU13" t="e">
        <f>AND(Answers!BE20,"AAAAAGfv20g=")</f>
        <v>#VALUE!</v>
      </c>
      <c r="BV13" t="e">
        <f>AND(Answers!BF20,"AAAAAGfv20k=")</f>
        <v>#VALUE!</v>
      </c>
      <c r="BW13" t="e">
        <f>AND(Answers!BG20,"AAAAAGfv20o=")</f>
        <v>#VALUE!</v>
      </c>
      <c r="BX13" t="e">
        <f>AND(Answers!BH20,"AAAAAGfv20s=")</f>
        <v>#VALUE!</v>
      </c>
      <c r="BY13" t="e">
        <f>AND(Answers!BI20,"AAAAAGfv20w=")</f>
        <v>#VALUE!</v>
      </c>
      <c r="BZ13" t="e">
        <f>AND(Answers!BK20,"AAAAAGfv200=")</f>
        <v>#VALUE!</v>
      </c>
      <c r="CA13" t="e">
        <f>AND(Answers!BL20,"AAAAAGfv204=")</f>
        <v>#VALUE!</v>
      </c>
      <c r="CB13" t="e">
        <f>AND(Answers!BM20,"AAAAAGfv208=")</f>
        <v>#VALUE!</v>
      </c>
      <c r="CC13" t="e">
        <f>AND(Answers!BN20,"AAAAAGfv21A=")</f>
        <v>#VALUE!</v>
      </c>
      <c r="CD13" t="e">
        <f>AND(Answers!BO20,"AAAAAGfv21E=")</f>
        <v>#VALUE!</v>
      </c>
      <c r="CE13" t="e">
        <f>AND(Answers!BP20,"AAAAAGfv21I=")</f>
        <v>#VALUE!</v>
      </c>
      <c r="CF13" t="e">
        <f>AND(Answers!BQ20,"AAAAAGfv21M=")</f>
        <v>#VALUE!</v>
      </c>
      <c r="CG13" t="e">
        <f>AND(Answers!BR20,"AAAAAGfv21Q=")</f>
        <v>#VALUE!</v>
      </c>
      <c r="CH13" t="e">
        <f>AND(Answers!BS20,"AAAAAGfv21U=")</f>
        <v>#VALUE!</v>
      </c>
      <c r="CI13" t="e">
        <f>AND(Answers!BU20,"AAAAAGfv21Y=")</f>
        <v>#VALUE!</v>
      </c>
      <c r="CJ13" t="e">
        <f>AND(Answers!BV20,"AAAAAGfv21c=")</f>
        <v>#VALUE!</v>
      </c>
      <c r="CK13" t="e">
        <f>AND(Answers!#REF!,"AAAAAGfv21g=")</f>
        <v>#REF!</v>
      </c>
      <c r="CL13" t="e">
        <f>AND(Answers!BW20,"AAAAAGfv21k=")</f>
        <v>#VALUE!</v>
      </c>
      <c r="CM13" t="e">
        <f>AND(Answers!BX20,"AAAAAGfv21o=")</f>
        <v>#VALUE!</v>
      </c>
      <c r="CN13" t="e">
        <f>AND(Answers!BY20,"AAAAAGfv21s=")</f>
        <v>#VALUE!</v>
      </c>
      <c r="CO13" t="e">
        <f>AND(Answers!BZ20,"AAAAAGfv21w=")</f>
        <v>#VALUE!</v>
      </c>
      <c r="CP13">
        <f>IF(Answers!21:21,"AAAAAGfv210=",0)</f>
        <v>0</v>
      </c>
      <c r="CQ13" t="e">
        <f>AND(Answers!A21,"AAAAAGfv214=")</f>
        <v>#VALUE!</v>
      </c>
      <c r="CR13" t="e">
        <f>AND(Answers!B21,"AAAAAGfv218=")</f>
        <v>#VALUE!</v>
      </c>
      <c r="CS13" t="e">
        <f>AND(Answers!C21,"AAAAAGfv22A=")</f>
        <v>#VALUE!</v>
      </c>
      <c r="CT13" t="e">
        <f>AND(Answers!D21,"AAAAAGfv22E=")</f>
        <v>#VALUE!</v>
      </c>
      <c r="CU13" t="e">
        <f>AND(Answers!E21,"AAAAAGfv22I=")</f>
        <v>#VALUE!</v>
      </c>
      <c r="CV13" t="e">
        <f>AND(Answers!F21,"AAAAAGfv22M=")</f>
        <v>#VALUE!</v>
      </c>
      <c r="CW13" t="e">
        <f>AND(Answers!G21,"AAAAAGfv22Q=")</f>
        <v>#VALUE!</v>
      </c>
      <c r="CX13" t="e">
        <f>AND(Answers!H21,"AAAAAGfv22U=")</f>
        <v>#VALUE!</v>
      </c>
      <c r="CY13" t="e">
        <f>AND(Answers!J21,"AAAAAGfv22Y=")</f>
        <v>#VALUE!</v>
      </c>
      <c r="CZ13" t="e">
        <f>AND(Answers!K21,"AAAAAGfv22c=")</f>
        <v>#VALUE!</v>
      </c>
      <c r="DA13" t="e">
        <f>AND(Answers!L21,"AAAAAGfv22g=")</f>
        <v>#VALUE!</v>
      </c>
      <c r="DB13" t="e">
        <f>AND(Answers!M21,"AAAAAGfv22k=")</f>
        <v>#VALUE!</v>
      </c>
      <c r="DC13" t="e">
        <f>AND(Answers!N21,"AAAAAGfv22o=")</f>
        <v>#VALUE!</v>
      </c>
      <c r="DD13" t="e">
        <f>AND(Answers!O21,"AAAAAGfv22s=")</f>
        <v>#VALUE!</v>
      </c>
      <c r="DE13" t="e">
        <f>AND(Answers!P21,"AAAAAGfv22w=")</f>
        <v>#VALUE!</v>
      </c>
      <c r="DF13" t="e">
        <f>AND(Answers!Q21,"AAAAAGfv220=")</f>
        <v>#VALUE!</v>
      </c>
      <c r="DG13" t="e">
        <f>AND(Answers!R21,"AAAAAGfv224=")</f>
        <v>#VALUE!</v>
      </c>
      <c r="DH13" t="e">
        <f>AND(Answers!S21,"AAAAAGfv228=")</f>
        <v>#VALUE!</v>
      </c>
      <c r="DI13" t="e">
        <f>AND(Answers!T21,"AAAAAGfv23A=")</f>
        <v>#VALUE!</v>
      </c>
      <c r="DJ13" t="e">
        <f>AND(Answers!U21,"AAAAAGfv23E=")</f>
        <v>#VALUE!</v>
      </c>
      <c r="DK13" t="e">
        <f>AND(Answers!V21,"AAAAAGfv23I=")</f>
        <v>#VALUE!</v>
      </c>
      <c r="DL13" t="e">
        <f>AND(Answers!X21,"AAAAAGfv23M=")</f>
        <v>#VALUE!</v>
      </c>
      <c r="DM13" t="e">
        <f>AND(Answers!Y21,"AAAAAGfv23Q=")</f>
        <v>#VALUE!</v>
      </c>
      <c r="DN13" t="e">
        <f>AND(Answers!Z21,"AAAAAGfv23U=")</f>
        <v>#VALUE!</v>
      </c>
      <c r="DO13" t="e">
        <f>AND(Answers!AA21,"AAAAAGfv23Y=")</f>
        <v>#VALUE!</v>
      </c>
      <c r="DP13" t="e">
        <f>AND(Answers!AB21,"AAAAAGfv23c=")</f>
        <v>#VALUE!</v>
      </c>
      <c r="DQ13" t="e">
        <f>AND(Answers!AC21,"AAAAAGfv23g=")</f>
        <v>#VALUE!</v>
      </c>
      <c r="DR13" t="e">
        <f>AND(Answers!AD21,"AAAAAGfv23k=")</f>
        <v>#VALUE!</v>
      </c>
      <c r="DS13" t="e">
        <f>AND(Answers!AE21,"AAAAAGfv23o=")</f>
        <v>#VALUE!</v>
      </c>
      <c r="DT13" t="e">
        <f>AND(Answers!AF21,"AAAAAGfv23s=")</f>
        <v>#VALUE!</v>
      </c>
      <c r="DU13" t="e">
        <f>AND(Answers!AH21,"AAAAAGfv23w=")</f>
        <v>#VALUE!</v>
      </c>
      <c r="DV13" t="e">
        <f>AND(Answers!AI21,"AAAAAGfv230=")</f>
        <v>#VALUE!</v>
      </c>
      <c r="DW13" t="e">
        <f>AND(Answers!AK21,"AAAAAGfv234=")</f>
        <v>#VALUE!</v>
      </c>
      <c r="DX13" t="e">
        <f>AND(Answers!#REF!,"AAAAAGfv238=")</f>
        <v>#REF!</v>
      </c>
      <c r="DY13" t="e">
        <f>AND(Answers!AR21,"AAAAAGfv24A=")</f>
        <v>#VALUE!</v>
      </c>
      <c r="DZ13" t="e">
        <f>AND(Answers!AS21,"AAAAAGfv24E=")</f>
        <v>#VALUE!</v>
      </c>
      <c r="EA13" t="e">
        <f>AND(Answers!AT21,"AAAAAGfv24I=")</f>
        <v>#VALUE!</v>
      </c>
      <c r="EB13" t="e">
        <f>AND(Answers!AU21,"AAAAAGfv24M=")</f>
        <v>#VALUE!</v>
      </c>
      <c r="EC13" t="e">
        <f>AND(Answers!AW21,"AAAAAGfv24Q=")</f>
        <v>#VALUE!</v>
      </c>
      <c r="ED13" t="e">
        <f>AND(Answers!AX21,"AAAAAGfv24U=")</f>
        <v>#VALUE!</v>
      </c>
      <c r="EE13" t="e">
        <f>AND(Answers!AY21,"AAAAAGfv24Y=")</f>
        <v>#VALUE!</v>
      </c>
      <c r="EF13" t="e">
        <f>AND(Answers!AZ21,"AAAAAGfv24c=")</f>
        <v>#VALUE!</v>
      </c>
      <c r="EG13" t="e">
        <f>AND(Answers!BA21,"AAAAAGfv24g=")</f>
        <v>#VALUE!</v>
      </c>
      <c r="EH13" t="e">
        <f>AND(Answers!BB21,"AAAAAGfv24k=")</f>
        <v>#VALUE!</v>
      </c>
      <c r="EI13" t="e">
        <f>AND(Answers!BC21,"AAAAAGfv24o=")</f>
        <v>#VALUE!</v>
      </c>
      <c r="EJ13" t="e">
        <f>AND(Answers!BD21,"AAAAAGfv24s=")</f>
        <v>#VALUE!</v>
      </c>
      <c r="EK13" t="e">
        <f>AND(Answers!BE21,"AAAAAGfv24w=")</f>
        <v>#VALUE!</v>
      </c>
      <c r="EL13" t="e">
        <f>AND(Answers!BF21,"AAAAAGfv240=")</f>
        <v>#VALUE!</v>
      </c>
      <c r="EM13" t="e">
        <f>AND(Answers!BG21,"AAAAAGfv244=")</f>
        <v>#VALUE!</v>
      </c>
      <c r="EN13" t="e">
        <f>AND(Answers!BH21,"AAAAAGfv248=")</f>
        <v>#VALUE!</v>
      </c>
      <c r="EO13" t="e">
        <f>AND(Answers!BI21,"AAAAAGfv25A=")</f>
        <v>#VALUE!</v>
      </c>
      <c r="EP13" t="e">
        <f>AND(Answers!BK21,"AAAAAGfv25E=")</f>
        <v>#VALUE!</v>
      </c>
      <c r="EQ13" t="e">
        <f>AND(Answers!BL21,"AAAAAGfv25I=")</f>
        <v>#VALUE!</v>
      </c>
      <c r="ER13" t="e">
        <f>AND(Answers!BM21,"AAAAAGfv25M=")</f>
        <v>#VALUE!</v>
      </c>
      <c r="ES13" t="e">
        <f>AND(Answers!BN21,"AAAAAGfv25Q=")</f>
        <v>#VALUE!</v>
      </c>
      <c r="ET13" t="e">
        <f>AND(Answers!BO21,"AAAAAGfv25U=")</f>
        <v>#VALUE!</v>
      </c>
      <c r="EU13" t="e">
        <f>AND(Answers!BP21,"AAAAAGfv25Y=")</f>
        <v>#VALUE!</v>
      </c>
      <c r="EV13" t="e">
        <f>AND(Answers!BQ21,"AAAAAGfv25c=")</f>
        <v>#VALUE!</v>
      </c>
      <c r="EW13" t="e">
        <f>AND(Answers!BR21,"AAAAAGfv25g=")</f>
        <v>#VALUE!</v>
      </c>
      <c r="EX13" t="e">
        <f>AND(Answers!BS21,"AAAAAGfv25k=")</f>
        <v>#VALUE!</v>
      </c>
      <c r="EY13" t="e">
        <f>AND(Answers!BU21,"AAAAAGfv25o=")</f>
        <v>#VALUE!</v>
      </c>
      <c r="EZ13" t="e">
        <f>AND(Answers!BV21,"AAAAAGfv25s=")</f>
        <v>#VALUE!</v>
      </c>
      <c r="FA13" t="e">
        <f>AND(Answers!#REF!,"AAAAAGfv25w=")</f>
        <v>#REF!</v>
      </c>
      <c r="FB13" t="e">
        <f>AND(Answers!BW21,"AAAAAGfv250=")</f>
        <v>#VALUE!</v>
      </c>
      <c r="FC13" t="e">
        <f>AND(Answers!BX21,"AAAAAGfv254=")</f>
        <v>#VALUE!</v>
      </c>
      <c r="FD13" t="e">
        <f>AND(Answers!BY21,"AAAAAGfv258=")</f>
        <v>#VALUE!</v>
      </c>
      <c r="FE13" t="e">
        <f>AND(Answers!BZ21,"AAAAAGfv26A=")</f>
        <v>#VALUE!</v>
      </c>
      <c r="FF13">
        <f>IF(Answers!22:22,"AAAAAGfv26E=",0)</f>
        <v>0</v>
      </c>
      <c r="FG13" t="e">
        <f>AND(Answers!A22,"AAAAAGfv26I=")</f>
        <v>#VALUE!</v>
      </c>
      <c r="FH13" t="e">
        <f>AND(Answers!B22,"AAAAAGfv26M=")</f>
        <v>#VALUE!</v>
      </c>
      <c r="FI13" t="e">
        <f>AND(Answers!C22,"AAAAAGfv26Q=")</f>
        <v>#VALUE!</v>
      </c>
      <c r="FJ13" t="e">
        <f>AND(Answers!D22,"AAAAAGfv26U=")</f>
        <v>#VALUE!</v>
      </c>
      <c r="FK13" t="e">
        <f>AND(Answers!E22,"AAAAAGfv26Y=")</f>
        <v>#VALUE!</v>
      </c>
      <c r="FL13" t="e">
        <f>AND(Answers!F22,"AAAAAGfv26c=")</f>
        <v>#VALUE!</v>
      </c>
      <c r="FM13" t="e">
        <f>AND(Answers!G22,"AAAAAGfv26g=")</f>
        <v>#VALUE!</v>
      </c>
      <c r="FN13" t="e">
        <f>AND(Answers!H22,"AAAAAGfv26k=")</f>
        <v>#VALUE!</v>
      </c>
      <c r="FO13" t="e">
        <f>AND(Answers!J22,"AAAAAGfv26o=")</f>
        <v>#VALUE!</v>
      </c>
      <c r="FP13" t="e">
        <f>AND(Answers!K22,"AAAAAGfv26s=")</f>
        <v>#VALUE!</v>
      </c>
      <c r="FQ13" t="e">
        <f>AND(Answers!L22,"AAAAAGfv26w=")</f>
        <v>#VALUE!</v>
      </c>
      <c r="FR13" t="e">
        <f>AND(Answers!M22,"AAAAAGfv260=")</f>
        <v>#VALUE!</v>
      </c>
      <c r="FS13" t="e">
        <f>AND(Answers!N22,"AAAAAGfv264=")</f>
        <v>#VALUE!</v>
      </c>
      <c r="FT13" t="e">
        <f>AND(Answers!O22,"AAAAAGfv268=")</f>
        <v>#VALUE!</v>
      </c>
      <c r="FU13" t="e">
        <f>AND(Answers!P22,"AAAAAGfv27A=")</f>
        <v>#VALUE!</v>
      </c>
      <c r="FV13" t="e">
        <f>AND(Answers!Q22,"AAAAAGfv27E=")</f>
        <v>#VALUE!</v>
      </c>
      <c r="FW13" t="e">
        <f>AND(Answers!R22,"AAAAAGfv27I=")</f>
        <v>#VALUE!</v>
      </c>
      <c r="FX13" t="e">
        <f>AND(Answers!S22,"AAAAAGfv27M=")</f>
        <v>#VALUE!</v>
      </c>
      <c r="FY13" t="e">
        <f>AND(Answers!T22,"AAAAAGfv27Q=")</f>
        <v>#VALUE!</v>
      </c>
      <c r="FZ13" t="e">
        <f>AND(Answers!U22,"AAAAAGfv27U=")</f>
        <v>#VALUE!</v>
      </c>
      <c r="GA13" t="e">
        <f>AND(Answers!V22,"AAAAAGfv27Y=")</f>
        <v>#VALUE!</v>
      </c>
      <c r="GB13" t="e">
        <f>AND(Answers!X22,"AAAAAGfv27c=")</f>
        <v>#VALUE!</v>
      </c>
      <c r="GC13" t="e">
        <f>AND(Answers!Y22,"AAAAAGfv27g=")</f>
        <v>#VALUE!</v>
      </c>
      <c r="GD13" t="e">
        <f>AND(Answers!Z22,"AAAAAGfv27k=")</f>
        <v>#VALUE!</v>
      </c>
      <c r="GE13" t="e">
        <f>AND(Answers!AA22,"AAAAAGfv27o=")</f>
        <v>#VALUE!</v>
      </c>
      <c r="GF13" t="e">
        <f>AND(Answers!AB22,"AAAAAGfv27s=")</f>
        <v>#VALUE!</v>
      </c>
      <c r="GG13" t="e">
        <f>AND(Answers!AC22,"AAAAAGfv27w=")</f>
        <v>#VALUE!</v>
      </c>
      <c r="GH13" t="e">
        <f>AND(Answers!AD22,"AAAAAGfv270=")</f>
        <v>#VALUE!</v>
      </c>
      <c r="GI13" t="e">
        <f>AND(Answers!AE22,"AAAAAGfv274=")</f>
        <v>#VALUE!</v>
      </c>
      <c r="GJ13" t="e">
        <f>AND(Answers!AF22,"AAAAAGfv278=")</f>
        <v>#VALUE!</v>
      </c>
      <c r="GK13" t="e">
        <f>AND(Answers!AH22,"AAAAAGfv28A=")</f>
        <v>#VALUE!</v>
      </c>
      <c r="GL13" t="e">
        <f>AND(Answers!AI22,"AAAAAGfv28E=")</f>
        <v>#VALUE!</v>
      </c>
      <c r="GM13" t="e">
        <f>AND(Answers!AK22,"AAAAAGfv28I=")</f>
        <v>#VALUE!</v>
      </c>
      <c r="GN13" t="e">
        <f>AND(Answers!#REF!,"AAAAAGfv28M=")</f>
        <v>#REF!</v>
      </c>
      <c r="GO13" t="e">
        <f>AND(Answers!AR22,"AAAAAGfv28Q=")</f>
        <v>#VALUE!</v>
      </c>
      <c r="GP13" t="e">
        <f>AND(Answers!AS22,"AAAAAGfv28U=")</f>
        <v>#VALUE!</v>
      </c>
      <c r="GQ13" t="e">
        <f>AND(Answers!AT22,"AAAAAGfv28Y=")</f>
        <v>#VALUE!</v>
      </c>
      <c r="GR13" t="e">
        <f>AND(Answers!AU22,"AAAAAGfv28c=")</f>
        <v>#VALUE!</v>
      </c>
      <c r="GS13" t="e">
        <f>AND(Answers!AW22,"AAAAAGfv28g=")</f>
        <v>#VALUE!</v>
      </c>
      <c r="GT13" t="e">
        <f>AND(Answers!AX22,"AAAAAGfv28k=")</f>
        <v>#VALUE!</v>
      </c>
      <c r="GU13" t="e">
        <f>AND(Answers!AY22,"AAAAAGfv28o=")</f>
        <v>#VALUE!</v>
      </c>
      <c r="GV13" t="e">
        <f>AND(Answers!AZ22,"AAAAAGfv28s=")</f>
        <v>#VALUE!</v>
      </c>
      <c r="GW13" t="e">
        <f>AND(Answers!BA22,"AAAAAGfv28w=")</f>
        <v>#VALUE!</v>
      </c>
      <c r="GX13" t="e">
        <f>AND(Answers!BB22,"AAAAAGfv280=")</f>
        <v>#VALUE!</v>
      </c>
      <c r="GY13" t="e">
        <f>AND(Answers!BC22,"AAAAAGfv284=")</f>
        <v>#VALUE!</v>
      </c>
      <c r="GZ13" t="e">
        <f>AND(Answers!BD22,"AAAAAGfv288=")</f>
        <v>#VALUE!</v>
      </c>
      <c r="HA13" t="e">
        <f>AND(Answers!BE22,"AAAAAGfv29A=")</f>
        <v>#VALUE!</v>
      </c>
      <c r="HB13" t="e">
        <f>AND(Answers!BF22,"AAAAAGfv29E=")</f>
        <v>#VALUE!</v>
      </c>
      <c r="HC13" t="e">
        <f>AND(Answers!BG22,"AAAAAGfv29I=")</f>
        <v>#VALUE!</v>
      </c>
      <c r="HD13" t="e">
        <f>AND(Answers!BH22,"AAAAAGfv29M=")</f>
        <v>#VALUE!</v>
      </c>
      <c r="HE13" t="e">
        <f>AND(Answers!BI22,"AAAAAGfv29Q=")</f>
        <v>#VALUE!</v>
      </c>
      <c r="HF13" t="e">
        <f>AND(Answers!BK22,"AAAAAGfv29U=")</f>
        <v>#VALUE!</v>
      </c>
      <c r="HG13" t="e">
        <f>AND(Answers!BL22,"AAAAAGfv29Y=")</f>
        <v>#VALUE!</v>
      </c>
      <c r="HH13" t="e">
        <f>AND(Answers!BM22,"AAAAAGfv29c=")</f>
        <v>#VALUE!</v>
      </c>
      <c r="HI13" t="e">
        <f>AND(Answers!BN22,"AAAAAGfv29g=")</f>
        <v>#VALUE!</v>
      </c>
      <c r="HJ13" t="e">
        <f>AND(Answers!BO22,"AAAAAGfv29k=")</f>
        <v>#VALUE!</v>
      </c>
      <c r="HK13" t="e">
        <f>AND(Answers!BP22,"AAAAAGfv29o=")</f>
        <v>#VALUE!</v>
      </c>
      <c r="HL13" t="e">
        <f>AND(Answers!BQ22,"AAAAAGfv29s=")</f>
        <v>#VALUE!</v>
      </c>
      <c r="HM13" t="e">
        <f>AND(Answers!BR22,"AAAAAGfv29w=")</f>
        <v>#VALUE!</v>
      </c>
      <c r="HN13" t="e">
        <f>AND(Answers!BS22,"AAAAAGfv290=")</f>
        <v>#VALUE!</v>
      </c>
      <c r="HO13" t="e">
        <f>AND(Answers!BU22,"AAAAAGfv294=")</f>
        <v>#VALUE!</v>
      </c>
      <c r="HP13" t="e">
        <f>AND(Answers!BV22,"AAAAAGfv298=")</f>
        <v>#VALUE!</v>
      </c>
      <c r="HQ13" t="e">
        <f>AND(Answers!#REF!,"AAAAAGfv2+A=")</f>
        <v>#REF!</v>
      </c>
      <c r="HR13" t="e">
        <f>AND(Answers!BW22,"AAAAAGfv2+E=")</f>
        <v>#VALUE!</v>
      </c>
      <c r="HS13" t="e">
        <f>AND(Answers!BX22,"AAAAAGfv2+I=")</f>
        <v>#VALUE!</v>
      </c>
      <c r="HT13" t="e">
        <f>AND(Answers!BY22,"AAAAAGfv2+M=")</f>
        <v>#VALUE!</v>
      </c>
      <c r="HU13" t="e">
        <f>AND(Answers!BZ22,"AAAAAGfv2+Q=")</f>
        <v>#VALUE!</v>
      </c>
      <c r="HV13">
        <f>IF(Answers!23:23,"AAAAAGfv2+U=",0)</f>
        <v>0</v>
      </c>
      <c r="HW13" t="e">
        <f>AND(Answers!A23,"AAAAAGfv2+Y=")</f>
        <v>#VALUE!</v>
      </c>
      <c r="HX13" t="e">
        <f>AND(Answers!B23,"AAAAAGfv2+c=")</f>
        <v>#VALUE!</v>
      </c>
      <c r="HY13" t="e">
        <f>AND(Answers!C23,"AAAAAGfv2+g=")</f>
        <v>#VALUE!</v>
      </c>
      <c r="HZ13" t="e">
        <f>AND(Answers!D23,"AAAAAGfv2+k=")</f>
        <v>#VALUE!</v>
      </c>
      <c r="IA13" t="e">
        <f>AND(Answers!E23,"AAAAAGfv2+o=")</f>
        <v>#VALUE!</v>
      </c>
      <c r="IB13" t="e">
        <f>AND(Answers!F23,"AAAAAGfv2+s=")</f>
        <v>#VALUE!</v>
      </c>
      <c r="IC13" t="e">
        <f>AND(Answers!G23,"AAAAAGfv2+w=")</f>
        <v>#VALUE!</v>
      </c>
      <c r="ID13" t="e">
        <f>AND(Answers!H23,"AAAAAGfv2+0=")</f>
        <v>#VALUE!</v>
      </c>
      <c r="IE13" t="e">
        <f>AND(Answers!J23,"AAAAAGfv2+4=")</f>
        <v>#VALUE!</v>
      </c>
      <c r="IF13" t="e">
        <f>AND(Answers!K23,"AAAAAGfv2+8=")</f>
        <v>#VALUE!</v>
      </c>
      <c r="IG13" t="e">
        <f>AND(Answers!L23,"AAAAAGfv2/A=")</f>
        <v>#VALUE!</v>
      </c>
      <c r="IH13" t="e">
        <f>AND(Answers!M23,"AAAAAGfv2/E=")</f>
        <v>#VALUE!</v>
      </c>
      <c r="II13" t="e">
        <f>AND(Answers!N23,"AAAAAGfv2/I=")</f>
        <v>#VALUE!</v>
      </c>
      <c r="IJ13" t="e">
        <f>AND(Answers!O23,"AAAAAGfv2/M=")</f>
        <v>#VALUE!</v>
      </c>
      <c r="IK13" t="e">
        <f>AND(Answers!P23,"AAAAAGfv2/Q=")</f>
        <v>#VALUE!</v>
      </c>
      <c r="IL13" t="e">
        <f>AND(Answers!Q23,"AAAAAGfv2/U=")</f>
        <v>#VALUE!</v>
      </c>
      <c r="IM13" t="e">
        <f>AND(Answers!R23,"AAAAAGfv2/Y=")</f>
        <v>#VALUE!</v>
      </c>
      <c r="IN13" t="e">
        <f>AND(Answers!S23,"AAAAAGfv2/c=")</f>
        <v>#VALUE!</v>
      </c>
      <c r="IO13" t="e">
        <f>AND(Answers!T23,"AAAAAGfv2/g=")</f>
        <v>#VALUE!</v>
      </c>
      <c r="IP13" t="e">
        <f>AND(Answers!U23,"AAAAAGfv2/k=")</f>
        <v>#VALUE!</v>
      </c>
      <c r="IQ13" t="e">
        <f>AND(Answers!V23,"AAAAAGfv2/o=")</f>
        <v>#VALUE!</v>
      </c>
      <c r="IR13" t="e">
        <f>AND(Answers!X23,"AAAAAGfv2/s=")</f>
        <v>#VALUE!</v>
      </c>
      <c r="IS13" t="e">
        <f>AND(Answers!Y23,"AAAAAGfv2/w=")</f>
        <v>#VALUE!</v>
      </c>
      <c r="IT13" t="e">
        <f>AND(Answers!Z23,"AAAAAGfv2/0=")</f>
        <v>#VALUE!</v>
      </c>
      <c r="IU13" t="e">
        <f>AND(Answers!AA23,"AAAAAGfv2/4=")</f>
        <v>#VALUE!</v>
      </c>
      <c r="IV13" t="e">
        <f>AND(Answers!AB23,"AAAAAGfv2/8=")</f>
        <v>#VALUE!</v>
      </c>
    </row>
    <row r="14" spans="1:256" x14ac:dyDescent="0.15">
      <c r="A14" t="e">
        <f>AND(Answers!AC23,"AAAAAGsZ5wA=")</f>
        <v>#VALUE!</v>
      </c>
      <c r="B14" t="e">
        <f>AND(Answers!AD23,"AAAAAGsZ5wE=")</f>
        <v>#VALUE!</v>
      </c>
      <c r="C14" t="e">
        <f>AND(Answers!AE23,"AAAAAGsZ5wI=")</f>
        <v>#VALUE!</v>
      </c>
      <c r="D14" t="e">
        <f>AND(Answers!AF23,"AAAAAGsZ5wM=")</f>
        <v>#VALUE!</v>
      </c>
      <c r="E14" t="e">
        <f>AND(Answers!AH23,"AAAAAGsZ5wQ=")</f>
        <v>#VALUE!</v>
      </c>
      <c r="F14" t="e">
        <f>AND(Answers!AI23,"AAAAAGsZ5wU=")</f>
        <v>#VALUE!</v>
      </c>
      <c r="G14" t="e">
        <f>AND(Answers!AK23,"AAAAAGsZ5wY=")</f>
        <v>#VALUE!</v>
      </c>
      <c r="H14" t="e">
        <f>AND(Answers!#REF!,"AAAAAGsZ5wc=")</f>
        <v>#REF!</v>
      </c>
      <c r="I14" t="e">
        <f>AND(Answers!AR23,"AAAAAGsZ5wg=")</f>
        <v>#VALUE!</v>
      </c>
      <c r="J14" t="e">
        <f>AND(Answers!AS23,"AAAAAGsZ5wk=")</f>
        <v>#VALUE!</v>
      </c>
      <c r="K14" t="e">
        <f>AND(Answers!AT23,"AAAAAGsZ5wo=")</f>
        <v>#VALUE!</v>
      </c>
      <c r="L14" t="e">
        <f>AND(Answers!AU23,"AAAAAGsZ5ws=")</f>
        <v>#VALUE!</v>
      </c>
      <c r="M14" t="e">
        <f>AND(Answers!AW23,"AAAAAGsZ5ww=")</f>
        <v>#VALUE!</v>
      </c>
      <c r="N14" t="e">
        <f>AND(Answers!AX23,"AAAAAGsZ5w0=")</f>
        <v>#VALUE!</v>
      </c>
      <c r="O14" t="e">
        <f>AND(Answers!AY23,"AAAAAGsZ5w4=")</f>
        <v>#VALUE!</v>
      </c>
      <c r="P14" t="e">
        <f>AND(Answers!AZ23,"AAAAAGsZ5w8=")</f>
        <v>#VALUE!</v>
      </c>
      <c r="Q14" t="e">
        <f>AND(Answers!BA23,"AAAAAGsZ5xA=")</f>
        <v>#VALUE!</v>
      </c>
      <c r="R14" t="e">
        <f>AND(Answers!BB23,"AAAAAGsZ5xE=")</f>
        <v>#VALUE!</v>
      </c>
      <c r="S14" t="e">
        <f>AND(Answers!BC23,"AAAAAGsZ5xI=")</f>
        <v>#VALUE!</v>
      </c>
      <c r="T14" t="e">
        <f>AND(Answers!BD23,"AAAAAGsZ5xM=")</f>
        <v>#VALUE!</v>
      </c>
      <c r="U14" t="e">
        <f>AND(Answers!BE23,"AAAAAGsZ5xQ=")</f>
        <v>#VALUE!</v>
      </c>
      <c r="V14" t="e">
        <f>AND(Answers!BF23,"AAAAAGsZ5xU=")</f>
        <v>#VALUE!</v>
      </c>
      <c r="W14" t="e">
        <f>AND(Answers!BG23,"AAAAAGsZ5xY=")</f>
        <v>#VALUE!</v>
      </c>
      <c r="X14" t="e">
        <f>AND(Answers!BH23,"AAAAAGsZ5xc=")</f>
        <v>#VALUE!</v>
      </c>
      <c r="Y14" t="e">
        <f>AND(Answers!BI23,"AAAAAGsZ5xg=")</f>
        <v>#VALUE!</v>
      </c>
      <c r="Z14" t="e">
        <f>AND(Answers!BK23,"AAAAAGsZ5xk=")</f>
        <v>#VALUE!</v>
      </c>
      <c r="AA14" t="e">
        <f>AND(Answers!BL23,"AAAAAGsZ5xo=")</f>
        <v>#VALUE!</v>
      </c>
      <c r="AB14" t="e">
        <f>AND(Answers!BM23,"AAAAAGsZ5xs=")</f>
        <v>#VALUE!</v>
      </c>
      <c r="AC14" t="e">
        <f>AND(Answers!BN23,"AAAAAGsZ5xw=")</f>
        <v>#VALUE!</v>
      </c>
      <c r="AD14" t="e">
        <f>AND(Answers!BO23,"AAAAAGsZ5x0=")</f>
        <v>#VALUE!</v>
      </c>
      <c r="AE14" t="e">
        <f>AND(Answers!BP23,"AAAAAGsZ5x4=")</f>
        <v>#VALUE!</v>
      </c>
      <c r="AF14" t="e">
        <f>AND(Answers!BQ23,"AAAAAGsZ5x8=")</f>
        <v>#VALUE!</v>
      </c>
      <c r="AG14" t="e">
        <f>AND(Answers!BR23,"AAAAAGsZ5yA=")</f>
        <v>#VALUE!</v>
      </c>
      <c r="AH14" t="e">
        <f>AND(Answers!BS23,"AAAAAGsZ5yE=")</f>
        <v>#VALUE!</v>
      </c>
      <c r="AI14" t="e">
        <f>AND(Answers!BU23,"AAAAAGsZ5yI=")</f>
        <v>#VALUE!</v>
      </c>
      <c r="AJ14" t="e">
        <f>AND(Answers!BV23,"AAAAAGsZ5yM=")</f>
        <v>#VALUE!</v>
      </c>
      <c r="AK14" t="e">
        <f>AND(Answers!#REF!,"AAAAAGsZ5yQ=")</f>
        <v>#REF!</v>
      </c>
      <c r="AL14" t="e">
        <f>AND(Answers!BW23,"AAAAAGsZ5yU=")</f>
        <v>#VALUE!</v>
      </c>
      <c r="AM14" t="e">
        <f>AND(Answers!BX23,"AAAAAGsZ5yY=")</f>
        <v>#VALUE!</v>
      </c>
      <c r="AN14" t="e">
        <f>AND(Answers!BY23,"AAAAAGsZ5yc=")</f>
        <v>#VALUE!</v>
      </c>
      <c r="AO14" t="e">
        <f>AND(Answers!BZ23,"AAAAAGsZ5yg=")</f>
        <v>#VALUE!</v>
      </c>
      <c r="AP14" t="e">
        <f>IF(Answers!24:24,"AAAAAGsZ5yk=",0)</f>
        <v>#VALUE!</v>
      </c>
      <c r="AQ14" t="e">
        <f>AND(Answers!A24,"AAAAAGsZ5yo=")</f>
        <v>#VALUE!</v>
      </c>
      <c r="AR14" t="e">
        <f>AND(Answers!B24,"AAAAAGsZ5ys=")</f>
        <v>#VALUE!</v>
      </c>
      <c r="AS14" t="e">
        <f>AND(Answers!C24,"AAAAAGsZ5yw=")</f>
        <v>#VALUE!</v>
      </c>
      <c r="AT14" t="e">
        <f>AND(Answers!D24,"AAAAAGsZ5y0=")</f>
        <v>#VALUE!</v>
      </c>
      <c r="AU14" t="e">
        <f>AND(Answers!E24,"AAAAAGsZ5y4=")</f>
        <v>#VALUE!</v>
      </c>
      <c r="AV14" t="e">
        <f>AND(Answers!F24,"AAAAAGsZ5y8=")</f>
        <v>#VALUE!</v>
      </c>
      <c r="AW14" t="e">
        <f>AND(Answers!G24,"AAAAAGsZ5zA=")</f>
        <v>#VALUE!</v>
      </c>
      <c r="AX14" t="e">
        <f>AND(Answers!H24,"AAAAAGsZ5zE=")</f>
        <v>#VALUE!</v>
      </c>
      <c r="AY14" t="e">
        <f>AND(Answers!J24,"AAAAAGsZ5zI=")</f>
        <v>#VALUE!</v>
      </c>
      <c r="AZ14" t="e">
        <f>AND(Answers!K24,"AAAAAGsZ5zM=")</f>
        <v>#VALUE!</v>
      </c>
      <c r="BA14" t="e">
        <f>AND(Answers!L24,"AAAAAGsZ5zQ=")</f>
        <v>#VALUE!</v>
      </c>
      <c r="BB14" t="e">
        <f>AND(Answers!M24,"AAAAAGsZ5zU=")</f>
        <v>#VALUE!</v>
      </c>
      <c r="BC14" t="e">
        <f>AND(Answers!N24,"AAAAAGsZ5zY=")</f>
        <v>#VALUE!</v>
      </c>
      <c r="BD14" t="e">
        <f>AND(Answers!O24,"AAAAAGsZ5zc=")</f>
        <v>#VALUE!</v>
      </c>
      <c r="BE14" t="e">
        <f>AND(Answers!P24,"AAAAAGsZ5zg=")</f>
        <v>#VALUE!</v>
      </c>
      <c r="BF14" t="e">
        <f>AND(Answers!Q24,"AAAAAGsZ5zk=")</f>
        <v>#VALUE!</v>
      </c>
      <c r="BG14" t="e">
        <f>AND(Answers!R24,"AAAAAGsZ5zo=")</f>
        <v>#VALUE!</v>
      </c>
      <c r="BH14" t="e">
        <f>AND(Answers!S24,"AAAAAGsZ5zs=")</f>
        <v>#VALUE!</v>
      </c>
      <c r="BI14" t="e">
        <f>AND(Answers!T24,"AAAAAGsZ5zw=")</f>
        <v>#VALUE!</v>
      </c>
      <c r="BJ14" t="e">
        <f>AND(Answers!U24,"AAAAAGsZ5z0=")</f>
        <v>#VALUE!</v>
      </c>
      <c r="BK14" t="e">
        <f>AND(Answers!V24,"AAAAAGsZ5z4=")</f>
        <v>#VALUE!</v>
      </c>
      <c r="BL14" t="e">
        <f>AND(Answers!X24,"AAAAAGsZ5z8=")</f>
        <v>#VALUE!</v>
      </c>
      <c r="BM14" t="e">
        <f>AND(Answers!Y24,"AAAAAGsZ50A=")</f>
        <v>#VALUE!</v>
      </c>
      <c r="BN14" t="e">
        <f>AND(Answers!Z24,"AAAAAGsZ50E=")</f>
        <v>#VALUE!</v>
      </c>
      <c r="BO14" t="e">
        <f>AND(Answers!AA24,"AAAAAGsZ50I=")</f>
        <v>#VALUE!</v>
      </c>
      <c r="BP14" t="e">
        <f>AND(Answers!AB24,"AAAAAGsZ50M=")</f>
        <v>#VALUE!</v>
      </c>
      <c r="BQ14" t="e">
        <f>AND(Answers!AC24,"AAAAAGsZ50Q=")</f>
        <v>#VALUE!</v>
      </c>
      <c r="BR14" t="e">
        <f>AND(Answers!AD24,"AAAAAGsZ50U=")</f>
        <v>#VALUE!</v>
      </c>
      <c r="BS14" t="e">
        <f>AND(Answers!AE24,"AAAAAGsZ50Y=")</f>
        <v>#VALUE!</v>
      </c>
      <c r="BT14" t="e">
        <f>AND(Answers!AF24,"AAAAAGsZ50c=")</f>
        <v>#VALUE!</v>
      </c>
      <c r="BU14" t="e">
        <f>AND(Answers!AH24,"AAAAAGsZ50g=")</f>
        <v>#VALUE!</v>
      </c>
      <c r="BV14" t="e">
        <f>AND(Answers!AI24,"AAAAAGsZ50k=")</f>
        <v>#VALUE!</v>
      </c>
      <c r="BW14" t="e">
        <f>AND(Answers!AK24,"AAAAAGsZ50o=")</f>
        <v>#VALUE!</v>
      </c>
      <c r="BX14" t="e">
        <f>AND(Answers!#REF!,"AAAAAGsZ50s=")</f>
        <v>#REF!</v>
      </c>
      <c r="BY14" t="e">
        <f>AND(Answers!AR24,"AAAAAGsZ50w=")</f>
        <v>#VALUE!</v>
      </c>
      <c r="BZ14" t="e">
        <f>AND(Answers!AS24,"AAAAAGsZ500=")</f>
        <v>#VALUE!</v>
      </c>
      <c r="CA14" t="e">
        <f>AND(Answers!AT24,"AAAAAGsZ504=")</f>
        <v>#VALUE!</v>
      </c>
      <c r="CB14" t="e">
        <f>AND(Answers!AU24,"AAAAAGsZ508=")</f>
        <v>#VALUE!</v>
      </c>
      <c r="CC14" t="e">
        <f>AND(Answers!AW24,"AAAAAGsZ51A=")</f>
        <v>#VALUE!</v>
      </c>
      <c r="CD14" t="e">
        <f>AND(Answers!AX24,"AAAAAGsZ51E=")</f>
        <v>#VALUE!</v>
      </c>
      <c r="CE14" t="e">
        <f>AND(Answers!AY24,"AAAAAGsZ51I=")</f>
        <v>#VALUE!</v>
      </c>
      <c r="CF14" t="e">
        <f>AND(Answers!AZ24,"AAAAAGsZ51M=")</f>
        <v>#VALUE!</v>
      </c>
      <c r="CG14" t="e">
        <f>AND(Answers!BA24,"AAAAAGsZ51Q=")</f>
        <v>#VALUE!</v>
      </c>
      <c r="CH14" t="e">
        <f>AND(Answers!BB24,"AAAAAGsZ51U=")</f>
        <v>#VALUE!</v>
      </c>
      <c r="CI14" t="e">
        <f>AND(Answers!BC24,"AAAAAGsZ51Y=")</f>
        <v>#VALUE!</v>
      </c>
      <c r="CJ14" t="e">
        <f>AND(Answers!BD24,"AAAAAGsZ51c=")</f>
        <v>#VALUE!</v>
      </c>
      <c r="CK14" t="e">
        <f>AND(Answers!BE24,"AAAAAGsZ51g=")</f>
        <v>#VALUE!</v>
      </c>
      <c r="CL14" t="e">
        <f>AND(Answers!BF24,"AAAAAGsZ51k=")</f>
        <v>#VALUE!</v>
      </c>
      <c r="CM14" t="e">
        <f>AND(Answers!BG24,"AAAAAGsZ51o=")</f>
        <v>#VALUE!</v>
      </c>
      <c r="CN14" t="e">
        <f>AND(Answers!BH24,"AAAAAGsZ51s=")</f>
        <v>#VALUE!</v>
      </c>
      <c r="CO14" t="e">
        <f>AND(Answers!BI24,"AAAAAGsZ51w=")</f>
        <v>#VALUE!</v>
      </c>
      <c r="CP14" t="e">
        <f>AND(Answers!BK24,"AAAAAGsZ510=")</f>
        <v>#VALUE!</v>
      </c>
      <c r="CQ14" t="e">
        <f>AND(Answers!BL24,"AAAAAGsZ514=")</f>
        <v>#VALUE!</v>
      </c>
      <c r="CR14" t="e">
        <f>AND(Answers!BM24,"AAAAAGsZ518=")</f>
        <v>#VALUE!</v>
      </c>
      <c r="CS14" t="e">
        <f>AND(Answers!BN24,"AAAAAGsZ52A=")</f>
        <v>#VALUE!</v>
      </c>
      <c r="CT14" t="e">
        <f>AND(Answers!BO24,"AAAAAGsZ52E=")</f>
        <v>#VALUE!</v>
      </c>
      <c r="CU14" t="e">
        <f>AND(Answers!BP24,"AAAAAGsZ52I=")</f>
        <v>#VALUE!</v>
      </c>
      <c r="CV14" t="e">
        <f>AND(Answers!BQ24,"AAAAAGsZ52M=")</f>
        <v>#VALUE!</v>
      </c>
      <c r="CW14" t="e">
        <f>AND(Answers!BR24,"AAAAAGsZ52Q=")</f>
        <v>#VALUE!</v>
      </c>
      <c r="CX14" t="e">
        <f>AND(Answers!BS24,"AAAAAGsZ52U=")</f>
        <v>#VALUE!</v>
      </c>
      <c r="CY14" t="e">
        <f>AND(Answers!BU24,"AAAAAGsZ52Y=")</f>
        <v>#VALUE!</v>
      </c>
      <c r="CZ14" t="e">
        <f>AND(Answers!BV24,"AAAAAGsZ52c=")</f>
        <v>#VALUE!</v>
      </c>
      <c r="DA14" t="e">
        <f>AND(Answers!#REF!,"AAAAAGsZ52g=")</f>
        <v>#REF!</v>
      </c>
      <c r="DB14" t="e">
        <f>AND(Answers!BW24,"AAAAAGsZ52k=")</f>
        <v>#VALUE!</v>
      </c>
      <c r="DC14" t="e">
        <f>AND(Answers!BX24,"AAAAAGsZ52o=")</f>
        <v>#VALUE!</v>
      </c>
      <c r="DD14" t="e">
        <f>AND(Answers!BY24,"AAAAAGsZ52s=")</f>
        <v>#VALUE!</v>
      </c>
      <c r="DE14" t="e">
        <f>AND(Answers!BZ24,"AAAAAGsZ52w=")</f>
        <v>#VALUE!</v>
      </c>
      <c r="DF14">
        <f>IF(Answers!25:25,"AAAAAGsZ520=",0)</f>
        <v>0</v>
      </c>
      <c r="DG14" t="e">
        <f>AND(Answers!A25,"AAAAAGsZ524=")</f>
        <v>#VALUE!</v>
      </c>
      <c r="DH14" t="e">
        <f>AND(Answers!B25,"AAAAAGsZ528=")</f>
        <v>#VALUE!</v>
      </c>
      <c r="DI14" t="e">
        <f>AND(Answers!C25,"AAAAAGsZ53A=")</f>
        <v>#VALUE!</v>
      </c>
      <c r="DJ14" t="e">
        <f>AND(Answers!D25,"AAAAAGsZ53E=")</f>
        <v>#VALUE!</v>
      </c>
      <c r="DK14" t="e">
        <f>AND(Answers!E25,"AAAAAGsZ53I=")</f>
        <v>#VALUE!</v>
      </c>
      <c r="DL14" t="e">
        <f>AND(Answers!F25,"AAAAAGsZ53M=")</f>
        <v>#VALUE!</v>
      </c>
      <c r="DM14" t="e">
        <f>AND(Answers!G25,"AAAAAGsZ53Q=")</f>
        <v>#VALUE!</v>
      </c>
      <c r="DN14" t="e">
        <f>AND(Answers!H25,"AAAAAGsZ53U=")</f>
        <v>#VALUE!</v>
      </c>
      <c r="DO14" t="e">
        <f>AND(Answers!J25,"AAAAAGsZ53Y=")</f>
        <v>#VALUE!</v>
      </c>
      <c r="DP14" t="e">
        <f>AND(Answers!K25,"AAAAAGsZ53c=")</f>
        <v>#VALUE!</v>
      </c>
      <c r="DQ14" t="e">
        <f>AND(Answers!L25,"AAAAAGsZ53g=")</f>
        <v>#VALUE!</v>
      </c>
      <c r="DR14" t="e">
        <f>AND(Answers!M25,"AAAAAGsZ53k=")</f>
        <v>#VALUE!</v>
      </c>
      <c r="DS14" t="e">
        <f>AND(Answers!N25,"AAAAAGsZ53o=")</f>
        <v>#VALUE!</v>
      </c>
      <c r="DT14" t="e">
        <f>AND(Answers!O25,"AAAAAGsZ53s=")</f>
        <v>#VALUE!</v>
      </c>
      <c r="DU14" t="e">
        <f>AND(Answers!P25,"AAAAAGsZ53w=")</f>
        <v>#VALUE!</v>
      </c>
      <c r="DV14" t="e">
        <f>AND(Answers!Q25,"AAAAAGsZ530=")</f>
        <v>#VALUE!</v>
      </c>
      <c r="DW14" t="e">
        <f>AND(Answers!R25,"AAAAAGsZ534=")</f>
        <v>#VALUE!</v>
      </c>
      <c r="DX14" t="e">
        <f>AND(Answers!S25,"AAAAAGsZ538=")</f>
        <v>#VALUE!</v>
      </c>
      <c r="DY14" t="e">
        <f>AND(Answers!T25,"AAAAAGsZ54A=")</f>
        <v>#VALUE!</v>
      </c>
      <c r="DZ14" t="e">
        <f>AND(Answers!U25,"AAAAAGsZ54E=")</f>
        <v>#VALUE!</v>
      </c>
      <c r="EA14" t="e">
        <f>AND(Answers!V25,"AAAAAGsZ54I=")</f>
        <v>#VALUE!</v>
      </c>
      <c r="EB14" t="e">
        <f>AND(Answers!X25,"AAAAAGsZ54M=")</f>
        <v>#VALUE!</v>
      </c>
      <c r="EC14" t="e">
        <f>AND(Answers!Y25,"AAAAAGsZ54Q=")</f>
        <v>#VALUE!</v>
      </c>
      <c r="ED14" t="e">
        <f>AND(Answers!Z25,"AAAAAGsZ54U=")</f>
        <v>#VALUE!</v>
      </c>
      <c r="EE14" t="e">
        <f>AND(Answers!AA25,"AAAAAGsZ54Y=")</f>
        <v>#VALUE!</v>
      </c>
      <c r="EF14" t="e">
        <f>AND(Answers!AB25,"AAAAAGsZ54c=")</f>
        <v>#VALUE!</v>
      </c>
      <c r="EG14" t="e">
        <f>AND(Answers!AC25,"AAAAAGsZ54g=")</f>
        <v>#VALUE!</v>
      </c>
      <c r="EH14" t="e">
        <f>AND(Answers!AD25,"AAAAAGsZ54k=")</f>
        <v>#VALUE!</v>
      </c>
      <c r="EI14" t="e">
        <f>AND(Answers!AE25,"AAAAAGsZ54o=")</f>
        <v>#VALUE!</v>
      </c>
      <c r="EJ14" t="e">
        <f>AND(Answers!AF25,"AAAAAGsZ54s=")</f>
        <v>#VALUE!</v>
      </c>
      <c r="EK14" t="e">
        <f>AND(Answers!AH25,"AAAAAGsZ54w=")</f>
        <v>#VALUE!</v>
      </c>
      <c r="EL14" t="e">
        <f>AND(Answers!AI25,"AAAAAGsZ540=")</f>
        <v>#VALUE!</v>
      </c>
      <c r="EM14" t="e">
        <f>AND(Answers!AK25,"AAAAAGsZ544=")</f>
        <v>#VALUE!</v>
      </c>
      <c r="EN14" t="e">
        <f>AND(Answers!#REF!,"AAAAAGsZ548=")</f>
        <v>#REF!</v>
      </c>
      <c r="EO14" t="e">
        <f>AND(Answers!AR25,"AAAAAGsZ55A=")</f>
        <v>#VALUE!</v>
      </c>
      <c r="EP14" t="e">
        <f>AND(Answers!AS25,"AAAAAGsZ55E=")</f>
        <v>#VALUE!</v>
      </c>
      <c r="EQ14" t="e">
        <f>AND(Answers!AT25,"AAAAAGsZ55I=")</f>
        <v>#VALUE!</v>
      </c>
      <c r="ER14" t="e">
        <f>AND(Answers!AU25,"AAAAAGsZ55M=")</f>
        <v>#VALUE!</v>
      </c>
      <c r="ES14" t="e">
        <f>AND(Answers!AW25,"AAAAAGsZ55Q=")</f>
        <v>#VALUE!</v>
      </c>
      <c r="ET14" t="e">
        <f>AND(Answers!AX25,"AAAAAGsZ55U=")</f>
        <v>#VALUE!</v>
      </c>
      <c r="EU14" t="e">
        <f>AND(Answers!AY25,"AAAAAGsZ55Y=")</f>
        <v>#VALUE!</v>
      </c>
      <c r="EV14" t="e">
        <f>AND(Answers!AZ25,"AAAAAGsZ55c=")</f>
        <v>#VALUE!</v>
      </c>
      <c r="EW14" t="e">
        <f>AND(Answers!BA25,"AAAAAGsZ55g=")</f>
        <v>#VALUE!</v>
      </c>
      <c r="EX14" t="e">
        <f>AND(Answers!BB25,"AAAAAGsZ55k=")</f>
        <v>#VALUE!</v>
      </c>
      <c r="EY14" t="e">
        <f>AND(Answers!BC25,"AAAAAGsZ55o=")</f>
        <v>#VALUE!</v>
      </c>
      <c r="EZ14" t="e">
        <f>AND(Answers!BD25,"AAAAAGsZ55s=")</f>
        <v>#VALUE!</v>
      </c>
      <c r="FA14" t="e">
        <f>AND(Answers!BE25,"AAAAAGsZ55w=")</f>
        <v>#VALUE!</v>
      </c>
      <c r="FB14" t="e">
        <f>AND(Answers!BF25,"AAAAAGsZ550=")</f>
        <v>#VALUE!</v>
      </c>
      <c r="FC14" t="e">
        <f>AND(Answers!BG25,"AAAAAGsZ554=")</f>
        <v>#VALUE!</v>
      </c>
      <c r="FD14" t="e">
        <f>AND(Answers!BH25,"AAAAAGsZ558=")</f>
        <v>#VALUE!</v>
      </c>
      <c r="FE14" t="e">
        <f>AND(Answers!BI25,"AAAAAGsZ56A=")</f>
        <v>#VALUE!</v>
      </c>
      <c r="FF14" t="e">
        <f>AND(Answers!BK25,"AAAAAGsZ56E=")</f>
        <v>#VALUE!</v>
      </c>
      <c r="FG14" t="e">
        <f>AND(Answers!BL25,"AAAAAGsZ56I=")</f>
        <v>#VALUE!</v>
      </c>
      <c r="FH14" t="e">
        <f>AND(Answers!BM25,"AAAAAGsZ56M=")</f>
        <v>#VALUE!</v>
      </c>
      <c r="FI14" t="e">
        <f>AND(Answers!BN25,"AAAAAGsZ56Q=")</f>
        <v>#VALUE!</v>
      </c>
      <c r="FJ14" t="e">
        <f>AND(Answers!BO25,"AAAAAGsZ56U=")</f>
        <v>#VALUE!</v>
      </c>
      <c r="FK14" t="e">
        <f>AND(Answers!BP25,"AAAAAGsZ56Y=")</f>
        <v>#VALUE!</v>
      </c>
      <c r="FL14" t="e">
        <f>AND(Answers!BQ25,"AAAAAGsZ56c=")</f>
        <v>#VALUE!</v>
      </c>
      <c r="FM14" t="e">
        <f>AND(Answers!BR25,"AAAAAGsZ56g=")</f>
        <v>#VALUE!</v>
      </c>
      <c r="FN14" t="e">
        <f>AND(Answers!BS25,"AAAAAGsZ56k=")</f>
        <v>#VALUE!</v>
      </c>
      <c r="FO14" t="e">
        <f>AND(Answers!BU25,"AAAAAGsZ56o=")</f>
        <v>#VALUE!</v>
      </c>
      <c r="FP14" t="e">
        <f>AND(Answers!BV25,"AAAAAGsZ56s=")</f>
        <v>#VALUE!</v>
      </c>
      <c r="FQ14" t="e">
        <f>AND(Answers!#REF!,"AAAAAGsZ56w=")</f>
        <v>#REF!</v>
      </c>
      <c r="FR14" t="e">
        <f>AND(Answers!BW25,"AAAAAGsZ560=")</f>
        <v>#VALUE!</v>
      </c>
      <c r="FS14" t="e">
        <f>AND(Answers!BX25,"AAAAAGsZ564=")</f>
        <v>#VALUE!</v>
      </c>
      <c r="FT14" t="e">
        <f>AND(Answers!BY25,"AAAAAGsZ568=")</f>
        <v>#VALUE!</v>
      </c>
      <c r="FU14" t="e">
        <f>AND(Answers!BZ25,"AAAAAGsZ57A=")</f>
        <v>#VALUE!</v>
      </c>
      <c r="FV14">
        <f>IF(Answers!26:26,"AAAAAGsZ57E=",0)</f>
        <v>0</v>
      </c>
      <c r="FW14" t="e">
        <f>AND(Answers!A26,"AAAAAGsZ57I=")</f>
        <v>#VALUE!</v>
      </c>
      <c r="FX14" t="e">
        <f>AND(Answers!B26,"AAAAAGsZ57M=")</f>
        <v>#VALUE!</v>
      </c>
      <c r="FY14" t="e">
        <f>AND(Answers!C26,"AAAAAGsZ57Q=")</f>
        <v>#VALUE!</v>
      </c>
      <c r="FZ14" t="e">
        <f>AND(Answers!D26,"AAAAAGsZ57U=")</f>
        <v>#VALUE!</v>
      </c>
      <c r="GA14" t="e">
        <f>AND(Answers!E26,"AAAAAGsZ57Y=")</f>
        <v>#VALUE!</v>
      </c>
      <c r="GB14" t="e">
        <f>AND(Answers!F26,"AAAAAGsZ57c=")</f>
        <v>#VALUE!</v>
      </c>
      <c r="GC14" t="e">
        <f>AND(Answers!G26,"AAAAAGsZ57g=")</f>
        <v>#VALUE!</v>
      </c>
      <c r="GD14" t="e">
        <f>AND(Answers!H26,"AAAAAGsZ57k=")</f>
        <v>#VALUE!</v>
      </c>
      <c r="GE14" t="e">
        <f>AND(Answers!J26,"AAAAAGsZ57o=")</f>
        <v>#VALUE!</v>
      </c>
      <c r="GF14" t="e">
        <f>AND(Answers!K26,"AAAAAGsZ57s=")</f>
        <v>#VALUE!</v>
      </c>
      <c r="GG14" t="e">
        <f>AND(Answers!L26,"AAAAAGsZ57w=")</f>
        <v>#VALUE!</v>
      </c>
      <c r="GH14" t="e">
        <f>AND(Answers!M26,"AAAAAGsZ570=")</f>
        <v>#VALUE!</v>
      </c>
      <c r="GI14" t="e">
        <f>AND(Answers!N26,"AAAAAGsZ574=")</f>
        <v>#VALUE!</v>
      </c>
      <c r="GJ14" t="e">
        <f>AND(Answers!O26,"AAAAAGsZ578=")</f>
        <v>#VALUE!</v>
      </c>
      <c r="GK14" t="e">
        <f>AND(Answers!P26,"AAAAAGsZ58A=")</f>
        <v>#VALUE!</v>
      </c>
      <c r="GL14" t="e">
        <f>AND(Answers!Q26,"AAAAAGsZ58E=")</f>
        <v>#VALUE!</v>
      </c>
      <c r="GM14" t="e">
        <f>AND(Answers!R26,"AAAAAGsZ58I=")</f>
        <v>#VALUE!</v>
      </c>
      <c r="GN14" t="e">
        <f>AND(Answers!S26,"AAAAAGsZ58M=")</f>
        <v>#VALUE!</v>
      </c>
      <c r="GO14" t="e">
        <f>AND(Answers!T26,"AAAAAGsZ58Q=")</f>
        <v>#VALUE!</v>
      </c>
      <c r="GP14" t="e">
        <f>AND(Answers!U26,"AAAAAGsZ58U=")</f>
        <v>#VALUE!</v>
      </c>
      <c r="GQ14" t="e">
        <f>AND(Answers!V26,"AAAAAGsZ58Y=")</f>
        <v>#VALUE!</v>
      </c>
      <c r="GR14" t="e">
        <f>AND(Answers!X26,"AAAAAGsZ58c=")</f>
        <v>#VALUE!</v>
      </c>
      <c r="GS14" t="e">
        <f>AND(Answers!Y26,"AAAAAGsZ58g=")</f>
        <v>#VALUE!</v>
      </c>
      <c r="GT14" t="e">
        <f>AND(Answers!Z26,"AAAAAGsZ58k=")</f>
        <v>#VALUE!</v>
      </c>
      <c r="GU14" t="e">
        <f>AND(Answers!AA26,"AAAAAGsZ58o=")</f>
        <v>#VALUE!</v>
      </c>
      <c r="GV14" t="e">
        <f>AND(Answers!AB26,"AAAAAGsZ58s=")</f>
        <v>#VALUE!</v>
      </c>
      <c r="GW14" t="e">
        <f>AND(Answers!AC26,"AAAAAGsZ58w=")</f>
        <v>#VALUE!</v>
      </c>
      <c r="GX14" t="e">
        <f>AND(Answers!AD26,"AAAAAGsZ580=")</f>
        <v>#VALUE!</v>
      </c>
      <c r="GY14" t="e">
        <f>AND(Answers!AE26,"AAAAAGsZ584=")</f>
        <v>#VALUE!</v>
      </c>
      <c r="GZ14" t="e">
        <f>AND(Answers!AF26,"AAAAAGsZ588=")</f>
        <v>#VALUE!</v>
      </c>
      <c r="HA14" t="e">
        <f>AND(Answers!AH26,"AAAAAGsZ59A=")</f>
        <v>#VALUE!</v>
      </c>
      <c r="HB14" t="e">
        <f>AND(Answers!AI26,"AAAAAGsZ59E=")</f>
        <v>#VALUE!</v>
      </c>
      <c r="HC14" t="e">
        <f>AND(Answers!AK26,"AAAAAGsZ59I=")</f>
        <v>#VALUE!</v>
      </c>
      <c r="HD14" t="e">
        <f>AND(Answers!#REF!,"AAAAAGsZ59M=")</f>
        <v>#REF!</v>
      </c>
      <c r="HE14" t="e">
        <f>AND(Answers!AR26,"AAAAAGsZ59Q=")</f>
        <v>#VALUE!</v>
      </c>
      <c r="HF14" t="e">
        <f>AND(Answers!AS26,"AAAAAGsZ59U=")</f>
        <v>#VALUE!</v>
      </c>
      <c r="HG14" t="e">
        <f>AND(Answers!AT26,"AAAAAGsZ59Y=")</f>
        <v>#VALUE!</v>
      </c>
      <c r="HH14" t="e">
        <f>AND(Answers!AU26,"AAAAAGsZ59c=")</f>
        <v>#VALUE!</v>
      </c>
      <c r="HI14" t="e">
        <f>AND(Answers!AW26,"AAAAAGsZ59g=")</f>
        <v>#VALUE!</v>
      </c>
      <c r="HJ14" t="e">
        <f>AND(Answers!AX26,"AAAAAGsZ59k=")</f>
        <v>#VALUE!</v>
      </c>
      <c r="HK14" t="e">
        <f>AND(Answers!AY26,"AAAAAGsZ59o=")</f>
        <v>#VALUE!</v>
      </c>
      <c r="HL14" t="e">
        <f>AND(Answers!AZ26,"AAAAAGsZ59s=")</f>
        <v>#VALUE!</v>
      </c>
      <c r="HM14" t="e">
        <f>AND(Answers!BA26,"AAAAAGsZ59w=")</f>
        <v>#VALUE!</v>
      </c>
      <c r="HN14" t="e">
        <f>AND(Answers!BB26,"AAAAAGsZ590=")</f>
        <v>#VALUE!</v>
      </c>
      <c r="HO14" t="e">
        <f>AND(Answers!BC26,"AAAAAGsZ594=")</f>
        <v>#VALUE!</v>
      </c>
      <c r="HP14" t="e">
        <f>AND(Answers!BD26,"AAAAAGsZ598=")</f>
        <v>#VALUE!</v>
      </c>
      <c r="HQ14" t="e">
        <f>AND(Answers!BE26,"AAAAAGsZ5+A=")</f>
        <v>#VALUE!</v>
      </c>
      <c r="HR14" t="e">
        <f>AND(Answers!BF26,"AAAAAGsZ5+E=")</f>
        <v>#VALUE!</v>
      </c>
      <c r="HS14" t="e">
        <f>AND(Answers!BG26,"AAAAAGsZ5+I=")</f>
        <v>#VALUE!</v>
      </c>
      <c r="HT14" t="e">
        <f>AND(Answers!BH26,"AAAAAGsZ5+M=")</f>
        <v>#VALUE!</v>
      </c>
      <c r="HU14" t="e">
        <f>AND(Answers!BI26,"AAAAAGsZ5+Q=")</f>
        <v>#VALUE!</v>
      </c>
      <c r="HV14" t="e">
        <f>AND(Answers!BK26,"AAAAAGsZ5+U=")</f>
        <v>#VALUE!</v>
      </c>
      <c r="HW14" t="e">
        <f>AND(Answers!BL26,"AAAAAGsZ5+Y=")</f>
        <v>#VALUE!</v>
      </c>
      <c r="HX14" t="e">
        <f>AND(Answers!BM26,"AAAAAGsZ5+c=")</f>
        <v>#VALUE!</v>
      </c>
      <c r="HY14" t="e">
        <f>AND(Answers!BN26,"AAAAAGsZ5+g=")</f>
        <v>#VALUE!</v>
      </c>
      <c r="HZ14" t="e">
        <f>AND(Answers!BO26,"AAAAAGsZ5+k=")</f>
        <v>#VALUE!</v>
      </c>
      <c r="IA14" t="e">
        <f>AND(Answers!BP26,"AAAAAGsZ5+o=")</f>
        <v>#VALUE!</v>
      </c>
      <c r="IB14" t="e">
        <f>AND(Answers!BQ26,"AAAAAGsZ5+s=")</f>
        <v>#VALUE!</v>
      </c>
      <c r="IC14" t="e">
        <f>AND(Answers!BR26,"AAAAAGsZ5+w=")</f>
        <v>#VALUE!</v>
      </c>
      <c r="ID14" t="e">
        <f>AND(Answers!BS26,"AAAAAGsZ5+0=")</f>
        <v>#VALUE!</v>
      </c>
      <c r="IE14" t="e">
        <f>AND(Answers!BU26,"AAAAAGsZ5+4=")</f>
        <v>#VALUE!</v>
      </c>
      <c r="IF14" t="e">
        <f>AND(Answers!BV26,"AAAAAGsZ5+8=")</f>
        <v>#VALUE!</v>
      </c>
      <c r="IG14" t="e">
        <f>AND(Answers!#REF!,"AAAAAGsZ5/A=")</f>
        <v>#REF!</v>
      </c>
      <c r="IH14" t="e">
        <f>AND(Answers!BW26,"AAAAAGsZ5/E=")</f>
        <v>#VALUE!</v>
      </c>
      <c r="II14" t="e">
        <f>AND(Answers!BX26,"AAAAAGsZ5/I=")</f>
        <v>#VALUE!</v>
      </c>
      <c r="IJ14" t="e">
        <f>AND(Answers!BY26,"AAAAAGsZ5/M=")</f>
        <v>#VALUE!</v>
      </c>
      <c r="IK14" t="e">
        <f>AND(Answers!BZ26,"AAAAAGsZ5/Q=")</f>
        <v>#VALUE!</v>
      </c>
      <c r="IL14">
        <f>IF(Answers!27:27,"AAAAAGsZ5/U=",0)</f>
        <v>0</v>
      </c>
      <c r="IM14" t="e">
        <f>AND(Answers!A27,"AAAAAGsZ5/Y=")</f>
        <v>#VALUE!</v>
      </c>
      <c r="IN14" t="e">
        <f>AND(Answers!B27,"AAAAAGsZ5/c=")</f>
        <v>#VALUE!</v>
      </c>
      <c r="IO14" t="e">
        <f>AND(Answers!C27,"AAAAAGsZ5/g=")</f>
        <v>#VALUE!</v>
      </c>
      <c r="IP14" t="e">
        <f>AND(Answers!D27,"AAAAAGsZ5/k=")</f>
        <v>#VALUE!</v>
      </c>
      <c r="IQ14" t="e">
        <f>AND(Answers!E27,"AAAAAGsZ5/o=")</f>
        <v>#VALUE!</v>
      </c>
      <c r="IR14" t="e">
        <f>AND(Answers!F27,"AAAAAGsZ5/s=")</f>
        <v>#VALUE!</v>
      </c>
      <c r="IS14" t="e">
        <f>AND(Answers!G27,"AAAAAGsZ5/w=")</f>
        <v>#VALUE!</v>
      </c>
      <c r="IT14" t="e">
        <f>AND(Answers!H27,"AAAAAGsZ5/0=")</f>
        <v>#VALUE!</v>
      </c>
      <c r="IU14" t="e">
        <f>AND(Answers!J27,"AAAAAGsZ5/4=")</f>
        <v>#VALUE!</v>
      </c>
      <c r="IV14" t="e">
        <f>AND(Answers!K27,"AAAAAGsZ5/8=")</f>
        <v>#VALUE!</v>
      </c>
    </row>
    <row r="15" spans="1:256" x14ac:dyDescent="0.15">
      <c r="A15" t="e">
        <f>AND(Answers!L27,"AAAAAH//MwA=")</f>
        <v>#VALUE!</v>
      </c>
      <c r="B15" t="e">
        <f>AND(Answers!M27,"AAAAAH//MwE=")</f>
        <v>#VALUE!</v>
      </c>
      <c r="C15" t="e">
        <f>AND(Answers!N27,"AAAAAH//MwI=")</f>
        <v>#VALUE!</v>
      </c>
      <c r="D15" t="e">
        <f>AND(Answers!O27,"AAAAAH//MwM=")</f>
        <v>#VALUE!</v>
      </c>
      <c r="E15" t="e">
        <f>AND(Answers!P27,"AAAAAH//MwQ=")</f>
        <v>#VALUE!</v>
      </c>
      <c r="F15" t="e">
        <f>AND(Answers!Q27,"AAAAAH//MwU=")</f>
        <v>#VALUE!</v>
      </c>
      <c r="G15" t="e">
        <f>AND(Answers!R27,"AAAAAH//MwY=")</f>
        <v>#VALUE!</v>
      </c>
      <c r="H15" t="e">
        <f>AND(Answers!S27,"AAAAAH//Mwc=")</f>
        <v>#VALUE!</v>
      </c>
      <c r="I15" t="e">
        <f>AND(Answers!T27,"AAAAAH//Mwg=")</f>
        <v>#VALUE!</v>
      </c>
      <c r="J15" t="e">
        <f>AND(Answers!U27,"AAAAAH//Mwk=")</f>
        <v>#VALUE!</v>
      </c>
      <c r="K15" t="e">
        <f>AND(Answers!V27,"AAAAAH//Mwo=")</f>
        <v>#VALUE!</v>
      </c>
      <c r="L15" t="e">
        <f>AND(Answers!X27,"AAAAAH//Mws=")</f>
        <v>#VALUE!</v>
      </c>
      <c r="M15" t="e">
        <f>AND(Answers!Y27,"AAAAAH//Mww=")</f>
        <v>#VALUE!</v>
      </c>
      <c r="N15" t="e">
        <f>AND(Answers!Z27,"AAAAAH//Mw0=")</f>
        <v>#VALUE!</v>
      </c>
      <c r="O15" t="e">
        <f>AND(Answers!AA27,"AAAAAH//Mw4=")</f>
        <v>#VALUE!</v>
      </c>
      <c r="P15" t="e">
        <f>AND(Answers!AB27,"AAAAAH//Mw8=")</f>
        <v>#VALUE!</v>
      </c>
      <c r="Q15" t="e">
        <f>AND(Answers!AC27,"AAAAAH//MxA=")</f>
        <v>#VALUE!</v>
      </c>
      <c r="R15" t="e">
        <f>AND(Answers!AD27,"AAAAAH//MxE=")</f>
        <v>#VALUE!</v>
      </c>
      <c r="S15" t="e">
        <f>AND(Answers!AE27,"AAAAAH//MxI=")</f>
        <v>#VALUE!</v>
      </c>
      <c r="T15" t="e">
        <f>AND(Answers!AF27,"AAAAAH//MxM=")</f>
        <v>#VALUE!</v>
      </c>
      <c r="U15" t="e">
        <f>AND(Answers!AH27,"AAAAAH//MxQ=")</f>
        <v>#VALUE!</v>
      </c>
      <c r="V15" t="e">
        <f>AND(Answers!AI27,"AAAAAH//MxU=")</f>
        <v>#VALUE!</v>
      </c>
      <c r="W15" t="e">
        <f>AND(Answers!AK27,"AAAAAH//MxY=")</f>
        <v>#VALUE!</v>
      </c>
      <c r="X15" t="e">
        <f>AND(Answers!#REF!,"AAAAAH//Mxc=")</f>
        <v>#REF!</v>
      </c>
      <c r="Y15" t="e">
        <f>AND(Answers!AR27,"AAAAAH//Mxg=")</f>
        <v>#VALUE!</v>
      </c>
      <c r="Z15" t="e">
        <f>AND(Answers!AS27,"AAAAAH//Mxk=")</f>
        <v>#VALUE!</v>
      </c>
      <c r="AA15" t="e">
        <f>AND(Answers!AT27,"AAAAAH//Mxo=")</f>
        <v>#VALUE!</v>
      </c>
      <c r="AB15" t="e">
        <f>AND(Answers!AU27,"AAAAAH//Mxs=")</f>
        <v>#VALUE!</v>
      </c>
      <c r="AC15" t="e">
        <f>AND(Answers!AW27,"AAAAAH//Mxw=")</f>
        <v>#VALUE!</v>
      </c>
      <c r="AD15" t="e">
        <f>AND(Answers!AX27,"AAAAAH//Mx0=")</f>
        <v>#VALUE!</v>
      </c>
      <c r="AE15" t="e">
        <f>AND(Answers!AY27,"AAAAAH//Mx4=")</f>
        <v>#VALUE!</v>
      </c>
      <c r="AF15" t="e">
        <f>AND(Answers!AZ27,"AAAAAH//Mx8=")</f>
        <v>#VALUE!</v>
      </c>
      <c r="AG15" t="e">
        <f>AND(Answers!BA27,"AAAAAH//MyA=")</f>
        <v>#VALUE!</v>
      </c>
      <c r="AH15" t="e">
        <f>AND(Answers!BB27,"AAAAAH//MyE=")</f>
        <v>#VALUE!</v>
      </c>
      <c r="AI15" t="e">
        <f>AND(Answers!BC27,"AAAAAH//MyI=")</f>
        <v>#VALUE!</v>
      </c>
      <c r="AJ15" t="e">
        <f>AND(Answers!BD27,"AAAAAH//MyM=")</f>
        <v>#VALUE!</v>
      </c>
      <c r="AK15" t="e">
        <f>AND(Answers!BE27,"AAAAAH//MyQ=")</f>
        <v>#VALUE!</v>
      </c>
      <c r="AL15" t="e">
        <f>AND(Answers!BF27,"AAAAAH//MyU=")</f>
        <v>#VALUE!</v>
      </c>
      <c r="AM15" t="e">
        <f>AND(Answers!BG27,"AAAAAH//MyY=")</f>
        <v>#VALUE!</v>
      </c>
      <c r="AN15" t="e">
        <f>AND(Answers!BH27,"AAAAAH//Myc=")</f>
        <v>#VALUE!</v>
      </c>
      <c r="AO15" t="e">
        <f>AND(Answers!BI27,"AAAAAH//Myg=")</f>
        <v>#VALUE!</v>
      </c>
      <c r="AP15" t="e">
        <f>AND(Answers!BK27,"AAAAAH//Myk=")</f>
        <v>#VALUE!</v>
      </c>
      <c r="AQ15" t="e">
        <f>AND(Answers!BL27,"AAAAAH//Myo=")</f>
        <v>#VALUE!</v>
      </c>
      <c r="AR15" t="e">
        <f>AND(Answers!BM27,"AAAAAH//Mys=")</f>
        <v>#VALUE!</v>
      </c>
      <c r="AS15" t="e">
        <f>AND(Answers!BN27,"AAAAAH//Myw=")</f>
        <v>#VALUE!</v>
      </c>
      <c r="AT15" t="e">
        <f>AND(Answers!BO27,"AAAAAH//My0=")</f>
        <v>#VALUE!</v>
      </c>
      <c r="AU15" t="e">
        <f>AND(Answers!BP27,"AAAAAH//My4=")</f>
        <v>#VALUE!</v>
      </c>
      <c r="AV15" t="e">
        <f>AND(Answers!BQ27,"AAAAAH//My8=")</f>
        <v>#VALUE!</v>
      </c>
      <c r="AW15" t="e">
        <f>AND(Answers!BR27,"AAAAAH//MzA=")</f>
        <v>#VALUE!</v>
      </c>
      <c r="AX15" t="e">
        <f>AND(Answers!BS27,"AAAAAH//MzE=")</f>
        <v>#VALUE!</v>
      </c>
      <c r="AY15" t="e">
        <f>AND(Answers!BU27,"AAAAAH//MzI=")</f>
        <v>#VALUE!</v>
      </c>
      <c r="AZ15" t="e">
        <f>AND(Answers!BV27,"AAAAAH//MzM=")</f>
        <v>#VALUE!</v>
      </c>
      <c r="BA15" t="e">
        <f>AND(Answers!#REF!,"AAAAAH//MzQ=")</f>
        <v>#REF!</v>
      </c>
      <c r="BB15" t="e">
        <f>AND(Answers!BW27,"AAAAAH//MzU=")</f>
        <v>#VALUE!</v>
      </c>
      <c r="BC15" t="e">
        <f>AND(Answers!BX27,"AAAAAH//MzY=")</f>
        <v>#VALUE!</v>
      </c>
      <c r="BD15" t="e">
        <f>AND(Answers!BY27,"AAAAAH//Mzc=")</f>
        <v>#VALUE!</v>
      </c>
      <c r="BE15" t="e">
        <f>AND(Answers!BZ27,"AAAAAH//Mzg=")</f>
        <v>#VALUE!</v>
      </c>
      <c r="BF15" t="str">
        <f>IF(Answers!28:28,"AAAAAH//Mzk=",0)</f>
        <v>AAAAAH//Mzk=</v>
      </c>
      <c r="BG15" t="e">
        <f>AND(Answers!A28,"AAAAAH//Mzo=")</f>
        <v>#VALUE!</v>
      </c>
      <c r="BH15" t="e">
        <f>AND(Answers!B28,"AAAAAH//Mzs=")</f>
        <v>#VALUE!</v>
      </c>
      <c r="BI15" t="e">
        <f>AND(Answers!C28,"AAAAAH//Mzw=")</f>
        <v>#VALUE!</v>
      </c>
      <c r="BJ15" t="e">
        <f>AND(Answers!D28,"AAAAAH//Mz0=")</f>
        <v>#VALUE!</v>
      </c>
      <c r="BK15" t="e">
        <f>AND(Answers!E28,"AAAAAH//Mz4=")</f>
        <v>#VALUE!</v>
      </c>
      <c r="BL15" t="e">
        <f>AND(Answers!F28,"AAAAAH//Mz8=")</f>
        <v>#VALUE!</v>
      </c>
      <c r="BM15" t="e">
        <f>AND(Answers!G28,"AAAAAH//M0A=")</f>
        <v>#VALUE!</v>
      </c>
      <c r="BN15" t="e">
        <f>AND(Answers!H28,"AAAAAH//M0E=")</f>
        <v>#VALUE!</v>
      </c>
      <c r="BO15" t="e">
        <f>AND(Answers!J28,"AAAAAH//M0I=")</f>
        <v>#VALUE!</v>
      </c>
      <c r="BP15" t="e">
        <f>AND(Answers!K28,"AAAAAH//M0M=")</f>
        <v>#VALUE!</v>
      </c>
      <c r="BQ15" t="e">
        <f>AND(Answers!L28,"AAAAAH//M0Q=")</f>
        <v>#VALUE!</v>
      </c>
      <c r="BR15" t="e">
        <f>AND(Answers!M28,"AAAAAH//M0U=")</f>
        <v>#VALUE!</v>
      </c>
      <c r="BS15" t="e">
        <f>AND(Answers!N28,"AAAAAH//M0Y=")</f>
        <v>#VALUE!</v>
      </c>
      <c r="BT15" t="e">
        <f>AND(Answers!O28,"AAAAAH//M0c=")</f>
        <v>#VALUE!</v>
      </c>
      <c r="BU15" t="e">
        <f>AND(Answers!P28,"AAAAAH//M0g=")</f>
        <v>#VALUE!</v>
      </c>
      <c r="BV15" t="e">
        <f>AND(Answers!Q28,"AAAAAH//M0k=")</f>
        <v>#VALUE!</v>
      </c>
      <c r="BW15" t="e">
        <f>AND(Answers!R28,"AAAAAH//M0o=")</f>
        <v>#VALUE!</v>
      </c>
      <c r="BX15" t="e">
        <f>AND(Answers!S28,"AAAAAH//M0s=")</f>
        <v>#VALUE!</v>
      </c>
      <c r="BY15" t="e">
        <f>AND(Answers!T28,"AAAAAH//M0w=")</f>
        <v>#VALUE!</v>
      </c>
      <c r="BZ15" t="e">
        <f>AND(Answers!U28,"AAAAAH//M00=")</f>
        <v>#VALUE!</v>
      </c>
      <c r="CA15" t="e">
        <f>AND(Answers!V28,"AAAAAH//M04=")</f>
        <v>#VALUE!</v>
      </c>
      <c r="CB15" t="e">
        <f>AND(Answers!X28,"AAAAAH//M08=")</f>
        <v>#VALUE!</v>
      </c>
      <c r="CC15" t="e">
        <f>AND(Answers!Y28,"AAAAAH//M1A=")</f>
        <v>#VALUE!</v>
      </c>
      <c r="CD15" t="e">
        <f>AND(Answers!Z28,"AAAAAH//M1E=")</f>
        <v>#VALUE!</v>
      </c>
      <c r="CE15" t="e">
        <f>AND(Answers!AA28,"AAAAAH//M1I=")</f>
        <v>#VALUE!</v>
      </c>
      <c r="CF15" t="e">
        <f>AND(Answers!AB28,"AAAAAH//M1M=")</f>
        <v>#VALUE!</v>
      </c>
      <c r="CG15" t="e">
        <f>AND(Answers!AC28,"AAAAAH//M1Q=")</f>
        <v>#VALUE!</v>
      </c>
      <c r="CH15" t="e">
        <f>AND(Answers!AD28,"AAAAAH//M1U=")</f>
        <v>#VALUE!</v>
      </c>
      <c r="CI15" t="e">
        <f>AND(Answers!AE28,"AAAAAH//M1Y=")</f>
        <v>#VALUE!</v>
      </c>
      <c r="CJ15" t="e">
        <f>AND(Answers!AF28,"AAAAAH//M1c=")</f>
        <v>#VALUE!</v>
      </c>
      <c r="CK15" t="e">
        <f>AND(Answers!AH28,"AAAAAH//M1g=")</f>
        <v>#VALUE!</v>
      </c>
      <c r="CL15" t="e">
        <f>AND(Answers!AI28,"AAAAAH//M1k=")</f>
        <v>#VALUE!</v>
      </c>
      <c r="CM15" t="e">
        <f>AND(Answers!AK28,"AAAAAH//M1o=")</f>
        <v>#VALUE!</v>
      </c>
      <c r="CN15" t="e">
        <f>AND(Answers!#REF!,"AAAAAH//M1s=")</f>
        <v>#REF!</v>
      </c>
      <c r="CO15" t="e">
        <f>AND(Answers!AR28,"AAAAAH//M1w=")</f>
        <v>#VALUE!</v>
      </c>
      <c r="CP15" t="e">
        <f>AND(Answers!AS28,"AAAAAH//M10=")</f>
        <v>#VALUE!</v>
      </c>
      <c r="CQ15" t="e">
        <f>AND(Answers!AT28,"AAAAAH//M14=")</f>
        <v>#VALUE!</v>
      </c>
      <c r="CR15" t="e">
        <f>AND(Answers!AU28,"AAAAAH//M18=")</f>
        <v>#VALUE!</v>
      </c>
      <c r="CS15" t="e">
        <f>AND(Answers!AW28,"AAAAAH//M2A=")</f>
        <v>#VALUE!</v>
      </c>
      <c r="CT15" t="e">
        <f>AND(Answers!AX28,"AAAAAH//M2E=")</f>
        <v>#VALUE!</v>
      </c>
      <c r="CU15" t="e">
        <f>AND(Answers!AY28,"AAAAAH//M2I=")</f>
        <v>#VALUE!</v>
      </c>
      <c r="CV15" t="e">
        <f>AND(Answers!AZ28,"AAAAAH//M2M=")</f>
        <v>#VALUE!</v>
      </c>
      <c r="CW15" t="e">
        <f>AND(Answers!BA28,"AAAAAH//M2Q=")</f>
        <v>#VALUE!</v>
      </c>
      <c r="CX15" t="e">
        <f>AND(Answers!BB28,"AAAAAH//M2U=")</f>
        <v>#VALUE!</v>
      </c>
      <c r="CY15" t="e">
        <f>AND(Answers!BC28,"AAAAAH//M2Y=")</f>
        <v>#VALUE!</v>
      </c>
      <c r="CZ15" t="e">
        <f>AND(Answers!BD28,"AAAAAH//M2c=")</f>
        <v>#VALUE!</v>
      </c>
      <c r="DA15" t="e">
        <f>AND(Answers!BE28,"AAAAAH//M2g=")</f>
        <v>#VALUE!</v>
      </c>
      <c r="DB15" t="e">
        <f>AND(Answers!BF28,"AAAAAH//M2k=")</f>
        <v>#VALUE!</v>
      </c>
      <c r="DC15" t="e">
        <f>AND(Answers!BG28,"AAAAAH//M2o=")</f>
        <v>#VALUE!</v>
      </c>
      <c r="DD15" t="e">
        <f>AND(Answers!BH28,"AAAAAH//M2s=")</f>
        <v>#VALUE!</v>
      </c>
      <c r="DE15" t="e">
        <f>AND(Answers!BI28,"AAAAAH//M2w=")</f>
        <v>#VALUE!</v>
      </c>
      <c r="DF15" t="e">
        <f>AND(Answers!BK28,"AAAAAH//M20=")</f>
        <v>#VALUE!</v>
      </c>
      <c r="DG15" t="e">
        <f>AND(Answers!BL28,"AAAAAH//M24=")</f>
        <v>#VALUE!</v>
      </c>
      <c r="DH15" t="e">
        <f>AND(Answers!BM28,"AAAAAH//M28=")</f>
        <v>#VALUE!</v>
      </c>
      <c r="DI15" t="e">
        <f>AND(Answers!BN28,"AAAAAH//M3A=")</f>
        <v>#VALUE!</v>
      </c>
      <c r="DJ15" t="e">
        <f>AND(Answers!BO28,"AAAAAH//M3E=")</f>
        <v>#VALUE!</v>
      </c>
      <c r="DK15" t="e">
        <f>AND(Answers!BP28,"AAAAAH//M3I=")</f>
        <v>#VALUE!</v>
      </c>
      <c r="DL15" t="e">
        <f>AND(Answers!BQ28,"AAAAAH//M3M=")</f>
        <v>#VALUE!</v>
      </c>
      <c r="DM15" t="e">
        <f>AND(Answers!BR28,"AAAAAH//M3Q=")</f>
        <v>#VALUE!</v>
      </c>
      <c r="DN15" t="e">
        <f>AND(Answers!BS28,"AAAAAH//M3U=")</f>
        <v>#VALUE!</v>
      </c>
      <c r="DO15" t="e">
        <f>AND(Answers!BU28,"AAAAAH//M3Y=")</f>
        <v>#VALUE!</v>
      </c>
      <c r="DP15" t="e">
        <f>AND(Answers!BV28,"AAAAAH//M3c=")</f>
        <v>#VALUE!</v>
      </c>
      <c r="DQ15" t="e">
        <f>AND(Answers!#REF!,"AAAAAH//M3g=")</f>
        <v>#REF!</v>
      </c>
      <c r="DR15" t="e">
        <f>AND(Answers!BW28,"AAAAAH//M3k=")</f>
        <v>#VALUE!</v>
      </c>
      <c r="DS15" t="e">
        <f>AND(Answers!BX28,"AAAAAH//M3o=")</f>
        <v>#VALUE!</v>
      </c>
      <c r="DT15" t="e">
        <f>AND(Answers!BY28,"AAAAAH//M3s=")</f>
        <v>#VALUE!</v>
      </c>
      <c r="DU15" t="e">
        <f>AND(Answers!BZ28,"AAAAAH//M3w=")</f>
        <v>#VALUE!</v>
      </c>
      <c r="DV15">
        <f>IF(Answers!29:29,"AAAAAH//M30=",0)</f>
        <v>0</v>
      </c>
      <c r="DW15" t="e">
        <f>AND(Answers!A29,"AAAAAH//M34=")</f>
        <v>#VALUE!</v>
      </c>
      <c r="DX15" t="e">
        <f>AND(Answers!B29,"AAAAAH//M38=")</f>
        <v>#VALUE!</v>
      </c>
      <c r="DY15" t="e">
        <f>AND(Answers!C29,"AAAAAH//M4A=")</f>
        <v>#VALUE!</v>
      </c>
      <c r="DZ15" t="e">
        <f>AND(Answers!D29,"AAAAAH//M4E=")</f>
        <v>#VALUE!</v>
      </c>
      <c r="EA15" t="e">
        <f>AND(Answers!E29,"AAAAAH//M4I=")</f>
        <v>#VALUE!</v>
      </c>
      <c r="EB15" t="e">
        <f>AND(Answers!F29,"AAAAAH//M4M=")</f>
        <v>#VALUE!</v>
      </c>
      <c r="EC15" t="e">
        <f>AND(Answers!G29,"AAAAAH//M4Q=")</f>
        <v>#VALUE!</v>
      </c>
      <c r="ED15" t="e">
        <f>AND(Answers!H29,"AAAAAH//M4U=")</f>
        <v>#VALUE!</v>
      </c>
      <c r="EE15" t="e">
        <f>AND(Answers!J29,"AAAAAH//M4Y=")</f>
        <v>#VALUE!</v>
      </c>
      <c r="EF15" t="e">
        <f>AND(Answers!K29,"AAAAAH//M4c=")</f>
        <v>#VALUE!</v>
      </c>
      <c r="EG15" t="e">
        <f>AND(Answers!L29,"AAAAAH//M4g=")</f>
        <v>#VALUE!</v>
      </c>
      <c r="EH15" t="e">
        <f>AND(Answers!M29,"AAAAAH//M4k=")</f>
        <v>#VALUE!</v>
      </c>
      <c r="EI15" t="e">
        <f>AND(Answers!N29,"AAAAAH//M4o=")</f>
        <v>#VALUE!</v>
      </c>
      <c r="EJ15" t="e">
        <f>AND(Answers!O29,"AAAAAH//M4s=")</f>
        <v>#VALUE!</v>
      </c>
      <c r="EK15" t="e">
        <f>AND(Answers!P29,"AAAAAH//M4w=")</f>
        <v>#VALUE!</v>
      </c>
      <c r="EL15" t="e">
        <f>AND(Answers!Q29,"AAAAAH//M40=")</f>
        <v>#VALUE!</v>
      </c>
      <c r="EM15" t="e">
        <f>AND(Answers!R29,"AAAAAH//M44=")</f>
        <v>#VALUE!</v>
      </c>
      <c r="EN15" t="e">
        <f>AND(Answers!S29,"AAAAAH//M48=")</f>
        <v>#VALUE!</v>
      </c>
      <c r="EO15" t="e">
        <f>AND(Answers!T29,"AAAAAH//M5A=")</f>
        <v>#VALUE!</v>
      </c>
      <c r="EP15" t="e">
        <f>AND(Answers!U29,"AAAAAH//M5E=")</f>
        <v>#VALUE!</v>
      </c>
      <c r="EQ15" t="e">
        <f>AND(Answers!V29,"AAAAAH//M5I=")</f>
        <v>#VALUE!</v>
      </c>
      <c r="ER15" t="e">
        <f>AND(Answers!X29,"AAAAAH//M5M=")</f>
        <v>#VALUE!</v>
      </c>
      <c r="ES15" t="e">
        <f>AND(Answers!Y29,"AAAAAH//M5Q=")</f>
        <v>#VALUE!</v>
      </c>
      <c r="ET15" t="e">
        <f>AND(Answers!Z29,"AAAAAH//M5U=")</f>
        <v>#VALUE!</v>
      </c>
      <c r="EU15" t="e">
        <f>AND(Answers!AA29,"AAAAAH//M5Y=")</f>
        <v>#VALUE!</v>
      </c>
      <c r="EV15" t="e">
        <f>AND(Answers!AB29,"AAAAAH//M5c=")</f>
        <v>#VALUE!</v>
      </c>
      <c r="EW15" t="e">
        <f>AND(Answers!AC29,"AAAAAH//M5g=")</f>
        <v>#VALUE!</v>
      </c>
      <c r="EX15" t="e">
        <f>AND(Answers!AD29,"AAAAAH//M5k=")</f>
        <v>#VALUE!</v>
      </c>
      <c r="EY15" t="e">
        <f>AND(Answers!AE29,"AAAAAH//M5o=")</f>
        <v>#VALUE!</v>
      </c>
      <c r="EZ15" t="e">
        <f>AND(Answers!AF29,"AAAAAH//M5s=")</f>
        <v>#VALUE!</v>
      </c>
      <c r="FA15" t="e">
        <f>AND(Answers!AH29,"AAAAAH//M5w=")</f>
        <v>#VALUE!</v>
      </c>
      <c r="FB15" t="e">
        <f>AND(Answers!AI29,"AAAAAH//M50=")</f>
        <v>#VALUE!</v>
      </c>
      <c r="FC15" t="e">
        <f>AND(Answers!AK29,"AAAAAH//M54=")</f>
        <v>#VALUE!</v>
      </c>
      <c r="FD15" t="e">
        <f>AND(Answers!#REF!,"AAAAAH//M58=")</f>
        <v>#REF!</v>
      </c>
      <c r="FE15" t="e">
        <f>AND(Answers!AR29,"AAAAAH//M6A=")</f>
        <v>#VALUE!</v>
      </c>
      <c r="FF15" t="e">
        <f>AND(Answers!AS29,"AAAAAH//M6E=")</f>
        <v>#VALUE!</v>
      </c>
      <c r="FG15" t="e">
        <f>AND(Answers!AT29,"AAAAAH//M6I=")</f>
        <v>#VALUE!</v>
      </c>
      <c r="FH15" t="e">
        <f>AND(Answers!AU29,"AAAAAH//M6M=")</f>
        <v>#VALUE!</v>
      </c>
      <c r="FI15" t="e">
        <f>AND(Answers!AW29,"AAAAAH//M6Q=")</f>
        <v>#VALUE!</v>
      </c>
      <c r="FJ15" t="e">
        <f>AND(Answers!AX29,"AAAAAH//M6U=")</f>
        <v>#VALUE!</v>
      </c>
      <c r="FK15" t="e">
        <f>AND(Answers!AY29,"AAAAAH//M6Y=")</f>
        <v>#VALUE!</v>
      </c>
      <c r="FL15" t="e">
        <f>AND(Answers!AZ29,"AAAAAH//M6c=")</f>
        <v>#VALUE!</v>
      </c>
      <c r="FM15" t="e">
        <f>AND(Answers!BA29,"AAAAAH//M6g=")</f>
        <v>#VALUE!</v>
      </c>
      <c r="FN15" t="e">
        <f>AND(Answers!BB29,"AAAAAH//M6k=")</f>
        <v>#VALUE!</v>
      </c>
      <c r="FO15" t="e">
        <f>AND(Answers!BC29,"AAAAAH//M6o=")</f>
        <v>#VALUE!</v>
      </c>
      <c r="FP15" t="e">
        <f>AND(Answers!BD29,"AAAAAH//M6s=")</f>
        <v>#VALUE!</v>
      </c>
      <c r="FQ15" t="e">
        <f>AND(Answers!BE29,"AAAAAH//M6w=")</f>
        <v>#VALUE!</v>
      </c>
      <c r="FR15" t="e">
        <f>AND(Answers!BF29,"AAAAAH//M60=")</f>
        <v>#VALUE!</v>
      </c>
      <c r="FS15" t="e">
        <f>AND(Answers!BG29,"AAAAAH//M64=")</f>
        <v>#VALUE!</v>
      </c>
      <c r="FT15" t="e">
        <f>AND(Answers!BH29,"AAAAAH//M68=")</f>
        <v>#VALUE!</v>
      </c>
      <c r="FU15" t="e">
        <f>AND(Answers!BI29,"AAAAAH//M7A=")</f>
        <v>#VALUE!</v>
      </c>
      <c r="FV15" t="e">
        <f>AND(Answers!BK29,"AAAAAH//M7E=")</f>
        <v>#VALUE!</v>
      </c>
      <c r="FW15" t="e">
        <f>AND(Answers!BL29,"AAAAAH//M7I=")</f>
        <v>#VALUE!</v>
      </c>
      <c r="FX15" t="e">
        <f>AND(Answers!BM29,"AAAAAH//M7M=")</f>
        <v>#VALUE!</v>
      </c>
      <c r="FY15" t="e">
        <f>AND(Answers!BN29,"AAAAAH//M7Q=")</f>
        <v>#VALUE!</v>
      </c>
      <c r="FZ15" t="e">
        <f>AND(Answers!BO29,"AAAAAH//M7U=")</f>
        <v>#VALUE!</v>
      </c>
      <c r="GA15" t="e">
        <f>AND(Answers!BP29,"AAAAAH//M7Y=")</f>
        <v>#VALUE!</v>
      </c>
      <c r="GB15" t="e">
        <f>AND(Answers!BQ29,"AAAAAH//M7c=")</f>
        <v>#VALUE!</v>
      </c>
      <c r="GC15" t="e">
        <f>AND(Answers!BR29,"AAAAAH//M7g=")</f>
        <v>#VALUE!</v>
      </c>
      <c r="GD15" t="e">
        <f>AND(Answers!BS29,"AAAAAH//M7k=")</f>
        <v>#VALUE!</v>
      </c>
      <c r="GE15" t="e">
        <f>AND(Answers!BU29,"AAAAAH//M7o=")</f>
        <v>#VALUE!</v>
      </c>
      <c r="GF15" t="e">
        <f>AND(Answers!BV29,"AAAAAH//M7s=")</f>
        <v>#VALUE!</v>
      </c>
      <c r="GG15" t="e">
        <f>AND(Answers!#REF!,"AAAAAH//M7w=")</f>
        <v>#REF!</v>
      </c>
      <c r="GH15" t="e">
        <f>AND(Answers!BW29,"AAAAAH//M70=")</f>
        <v>#VALUE!</v>
      </c>
      <c r="GI15" t="e">
        <f>AND(Answers!BX29,"AAAAAH//M74=")</f>
        <v>#VALUE!</v>
      </c>
      <c r="GJ15" t="e">
        <f>AND(Answers!BY29,"AAAAAH//M78=")</f>
        <v>#VALUE!</v>
      </c>
      <c r="GK15" t="e">
        <f>AND(Answers!BZ29,"AAAAAH//M8A=")</f>
        <v>#VALUE!</v>
      </c>
      <c r="GL15">
        <f>IF(Answers!30:30,"AAAAAH//M8E=",0)</f>
        <v>0</v>
      </c>
      <c r="GM15" t="e">
        <f>AND(Answers!A30,"AAAAAH//M8I=")</f>
        <v>#VALUE!</v>
      </c>
      <c r="GN15" t="e">
        <f>AND(Answers!B30,"AAAAAH//M8M=")</f>
        <v>#VALUE!</v>
      </c>
      <c r="GO15" t="e">
        <f>AND(Answers!C30,"AAAAAH//M8Q=")</f>
        <v>#VALUE!</v>
      </c>
      <c r="GP15" t="e">
        <f>AND(Answers!D30,"AAAAAH//M8U=")</f>
        <v>#VALUE!</v>
      </c>
      <c r="GQ15" t="e">
        <f>AND(Answers!E30,"AAAAAH//M8Y=")</f>
        <v>#VALUE!</v>
      </c>
      <c r="GR15" t="e">
        <f>AND(Answers!F30,"AAAAAH//M8c=")</f>
        <v>#VALUE!</v>
      </c>
      <c r="GS15" t="e">
        <f>AND(Answers!G30,"AAAAAH//M8g=")</f>
        <v>#VALUE!</v>
      </c>
      <c r="GT15" t="e">
        <f>AND(Answers!H30,"AAAAAH//M8k=")</f>
        <v>#VALUE!</v>
      </c>
      <c r="GU15" t="e">
        <f>AND(Answers!J30,"AAAAAH//M8o=")</f>
        <v>#VALUE!</v>
      </c>
      <c r="GV15" t="e">
        <f>AND(Answers!K30,"AAAAAH//M8s=")</f>
        <v>#VALUE!</v>
      </c>
      <c r="GW15" t="e">
        <f>AND(Answers!L30,"AAAAAH//M8w=")</f>
        <v>#VALUE!</v>
      </c>
      <c r="GX15" t="e">
        <f>AND(Answers!M30,"AAAAAH//M80=")</f>
        <v>#VALUE!</v>
      </c>
      <c r="GY15" t="e">
        <f>AND(Answers!N30,"AAAAAH//M84=")</f>
        <v>#VALUE!</v>
      </c>
      <c r="GZ15" t="e">
        <f>AND(Answers!O30,"AAAAAH//M88=")</f>
        <v>#VALUE!</v>
      </c>
      <c r="HA15" t="e">
        <f>AND(Answers!P30,"AAAAAH//M9A=")</f>
        <v>#VALUE!</v>
      </c>
      <c r="HB15" t="e">
        <f>AND(Answers!Q30,"AAAAAH//M9E=")</f>
        <v>#VALUE!</v>
      </c>
      <c r="HC15" t="e">
        <f>AND(Answers!R30,"AAAAAH//M9I=")</f>
        <v>#VALUE!</v>
      </c>
      <c r="HD15" t="e">
        <f>AND(Answers!S30,"AAAAAH//M9M=")</f>
        <v>#VALUE!</v>
      </c>
      <c r="HE15" t="e">
        <f>AND(Answers!T30,"AAAAAH//M9Q=")</f>
        <v>#VALUE!</v>
      </c>
      <c r="HF15" t="e">
        <f>AND(Answers!U30,"AAAAAH//M9U=")</f>
        <v>#VALUE!</v>
      </c>
      <c r="HG15" t="e">
        <f>AND(Answers!V30,"AAAAAH//M9Y=")</f>
        <v>#VALUE!</v>
      </c>
      <c r="HH15" t="e">
        <f>AND(Answers!X30,"AAAAAH//M9c=")</f>
        <v>#VALUE!</v>
      </c>
      <c r="HI15" t="e">
        <f>AND(Answers!Y30,"AAAAAH//M9g=")</f>
        <v>#VALUE!</v>
      </c>
      <c r="HJ15" t="e">
        <f>AND(Answers!Z30,"AAAAAH//M9k=")</f>
        <v>#VALUE!</v>
      </c>
      <c r="HK15" t="e">
        <f>AND(Answers!AA30,"AAAAAH//M9o=")</f>
        <v>#VALUE!</v>
      </c>
      <c r="HL15" t="e">
        <f>AND(Answers!AB30,"AAAAAH//M9s=")</f>
        <v>#VALUE!</v>
      </c>
      <c r="HM15" t="e">
        <f>AND(Answers!AC30,"AAAAAH//M9w=")</f>
        <v>#VALUE!</v>
      </c>
      <c r="HN15" t="e">
        <f>AND(Answers!AD30,"AAAAAH//M90=")</f>
        <v>#VALUE!</v>
      </c>
      <c r="HO15" t="e">
        <f>AND(Answers!AE30,"AAAAAH//M94=")</f>
        <v>#VALUE!</v>
      </c>
      <c r="HP15" t="e">
        <f>AND(Answers!AF30,"AAAAAH//M98=")</f>
        <v>#VALUE!</v>
      </c>
      <c r="HQ15" t="e">
        <f>AND(Answers!AH30,"AAAAAH//M+A=")</f>
        <v>#VALUE!</v>
      </c>
      <c r="HR15" t="e">
        <f>AND(Answers!AI30,"AAAAAH//M+E=")</f>
        <v>#VALUE!</v>
      </c>
      <c r="HS15" t="e">
        <f>AND(Answers!AK30,"AAAAAH//M+I=")</f>
        <v>#VALUE!</v>
      </c>
      <c r="HT15" t="e">
        <f>AND(Answers!#REF!,"AAAAAH//M+M=")</f>
        <v>#REF!</v>
      </c>
      <c r="HU15" t="e">
        <f>AND(Answers!AR30,"AAAAAH//M+Q=")</f>
        <v>#VALUE!</v>
      </c>
      <c r="HV15" t="e">
        <f>AND(Answers!AS30,"AAAAAH//M+U=")</f>
        <v>#VALUE!</v>
      </c>
      <c r="HW15" t="e">
        <f>AND(Answers!AT30,"AAAAAH//M+Y=")</f>
        <v>#VALUE!</v>
      </c>
      <c r="HX15" t="e">
        <f>AND(Answers!AU30,"AAAAAH//M+c=")</f>
        <v>#VALUE!</v>
      </c>
      <c r="HY15" t="e">
        <f>AND(Answers!AW30,"AAAAAH//M+g=")</f>
        <v>#VALUE!</v>
      </c>
      <c r="HZ15" t="e">
        <f>AND(Answers!AX30,"AAAAAH//M+k=")</f>
        <v>#VALUE!</v>
      </c>
      <c r="IA15" t="e">
        <f>AND(Answers!AY30,"AAAAAH//M+o=")</f>
        <v>#VALUE!</v>
      </c>
      <c r="IB15" t="e">
        <f>AND(Answers!AZ30,"AAAAAH//M+s=")</f>
        <v>#VALUE!</v>
      </c>
      <c r="IC15" t="e">
        <f>AND(Answers!BA30,"AAAAAH//M+w=")</f>
        <v>#VALUE!</v>
      </c>
      <c r="ID15" t="e">
        <f>AND(Answers!BB30,"AAAAAH//M+0=")</f>
        <v>#VALUE!</v>
      </c>
      <c r="IE15" t="e">
        <f>AND(Answers!BC30,"AAAAAH//M+4=")</f>
        <v>#VALUE!</v>
      </c>
      <c r="IF15" t="e">
        <f>AND(Answers!BD30,"AAAAAH//M+8=")</f>
        <v>#VALUE!</v>
      </c>
      <c r="IG15" t="e">
        <f>AND(Answers!BE30,"AAAAAH//M/A=")</f>
        <v>#VALUE!</v>
      </c>
      <c r="IH15" t="e">
        <f>AND(Answers!BF30,"AAAAAH//M/E=")</f>
        <v>#VALUE!</v>
      </c>
      <c r="II15" t="e">
        <f>AND(Answers!BG30,"AAAAAH//M/I=")</f>
        <v>#VALUE!</v>
      </c>
      <c r="IJ15" t="e">
        <f>AND(Answers!BH30,"AAAAAH//M/M=")</f>
        <v>#VALUE!</v>
      </c>
      <c r="IK15" t="e">
        <f>AND(Answers!BI30,"AAAAAH//M/Q=")</f>
        <v>#VALUE!</v>
      </c>
      <c r="IL15" t="e">
        <f>AND(Answers!BK30,"AAAAAH//M/U=")</f>
        <v>#VALUE!</v>
      </c>
      <c r="IM15" t="e">
        <f>AND(Answers!BL30,"AAAAAH//M/Y=")</f>
        <v>#VALUE!</v>
      </c>
      <c r="IN15" t="e">
        <f>AND(Answers!BM30,"AAAAAH//M/c=")</f>
        <v>#VALUE!</v>
      </c>
      <c r="IO15" t="e">
        <f>AND(Answers!BN30,"AAAAAH//M/g=")</f>
        <v>#VALUE!</v>
      </c>
      <c r="IP15" t="e">
        <f>AND(Answers!BO30,"AAAAAH//M/k=")</f>
        <v>#VALUE!</v>
      </c>
      <c r="IQ15" t="e">
        <f>AND(Answers!BP30,"AAAAAH//M/o=")</f>
        <v>#VALUE!</v>
      </c>
      <c r="IR15" t="e">
        <f>AND(Answers!BQ30,"AAAAAH//M/s=")</f>
        <v>#VALUE!</v>
      </c>
      <c r="IS15" t="e">
        <f>AND(Answers!BR30,"AAAAAH//M/w=")</f>
        <v>#VALUE!</v>
      </c>
      <c r="IT15" t="e">
        <f>AND(Answers!BS30,"AAAAAH//M/0=")</f>
        <v>#VALUE!</v>
      </c>
      <c r="IU15" t="e">
        <f>AND(Answers!BU30,"AAAAAH//M/4=")</f>
        <v>#VALUE!</v>
      </c>
      <c r="IV15" t="e">
        <f>AND(Answers!BV30,"AAAAAH//M/8=")</f>
        <v>#VALUE!</v>
      </c>
    </row>
    <row r="16" spans="1:256" x14ac:dyDescent="0.15">
      <c r="A16" t="e">
        <f>AND(Answers!#REF!,"AAAAAH9z3wA=")</f>
        <v>#REF!</v>
      </c>
      <c r="B16" t="e">
        <f>AND(Answers!BW30,"AAAAAH9z3wE=")</f>
        <v>#VALUE!</v>
      </c>
      <c r="C16" t="e">
        <f>AND(Answers!BX30,"AAAAAH9z3wI=")</f>
        <v>#VALUE!</v>
      </c>
      <c r="D16" t="e">
        <f>AND(Answers!BY30,"AAAAAH9z3wM=")</f>
        <v>#VALUE!</v>
      </c>
      <c r="E16" t="e">
        <f>AND(Answers!BZ30,"AAAAAH9z3wQ=")</f>
        <v>#VALUE!</v>
      </c>
      <c r="F16" t="e">
        <f>IF(Answers!31:31,"AAAAAH9z3wU=",0)</f>
        <v>#VALUE!</v>
      </c>
      <c r="G16" t="e">
        <f>AND(Answers!A31,"AAAAAH9z3wY=")</f>
        <v>#VALUE!</v>
      </c>
      <c r="H16" t="e">
        <f>AND(Answers!B31,"AAAAAH9z3wc=")</f>
        <v>#VALUE!</v>
      </c>
      <c r="I16" t="e">
        <f>AND(Answers!C31,"AAAAAH9z3wg=")</f>
        <v>#VALUE!</v>
      </c>
      <c r="J16" t="e">
        <f>AND(Answers!D31,"AAAAAH9z3wk=")</f>
        <v>#VALUE!</v>
      </c>
      <c r="K16" t="e">
        <f>AND(Answers!E31,"AAAAAH9z3wo=")</f>
        <v>#VALUE!</v>
      </c>
      <c r="L16" t="e">
        <f>AND(Answers!F31,"AAAAAH9z3ws=")</f>
        <v>#VALUE!</v>
      </c>
      <c r="M16" t="e">
        <f>AND(Answers!G31,"AAAAAH9z3ww=")</f>
        <v>#VALUE!</v>
      </c>
      <c r="N16" t="e">
        <f>AND(Answers!H31,"AAAAAH9z3w0=")</f>
        <v>#VALUE!</v>
      </c>
      <c r="O16" t="e">
        <f>AND(Answers!J31,"AAAAAH9z3w4=")</f>
        <v>#VALUE!</v>
      </c>
      <c r="P16" t="e">
        <f>AND(Answers!K31,"AAAAAH9z3w8=")</f>
        <v>#VALUE!</v>
      </c>
      <c r="Q16" t="e">
        <f>AND(Answers!L31,"AAAAAH9z3xA=")</f>
        <v>#VALUE!</v>
      </c>
      <c r="R16" t="e">
        <f>AND(Answers!M31,"AAAAAH9z3xE=")</f>
        <v>#VALUE!</v>
      </c>
      <c r="S16" t="e">
        <f>AND(Answers!N31,"AAAAAH9z3xI=")</f>
        <v>#VALUE!</v>
      </c>
      <c r="T16" t="e">
        <f>AND(Answers!O31,"AAAAAH9z3xM=")</f>
        <v>#VALUE!</v>
      </c>
      <c r="U16" t="e">
        <f>AND(Answers!P31,"AAAAAH9z3xQ=")</f>
        <v>#VALUE!</v>
      </c>
      <c r="V16" t="e">
        <f>AND(Answers!Q31,"AAAAAH9z3xU=")</f>
        <v>#VALUE!</v>
      </c>
      <c r="W16" t="e">
        <f>AND(Answers!R31,"AAAAAH9z3xY=")</f>
        <v>#VALUE!</v>
      </c>
      <c r="X16" t="e">
        <f>AND(Answers!S31,"AAAAAH9z3xc=")</f>
        <v>#VALUE!</v>
      </c>
      <c r="Y16" t="e">
        <f>AND(Answers!T31,"AAAAAH9z3xg=")</f>
        <v>#VALUE!</v>
      </c>
      <c r="Z16" t="e">
        <f>AND(Answers!U31,"AAAAAH9z3xk=")</f>
        <v>#VALUE!</v>
      </c>
      <c r="AA16" t="e">
        <f>AND(Answers!V31,"AAAAAH9z3xo=")</f>
        <v>#VALUE!</v>
      </c>
      <c r="AB16" t="e">
        <f>AND(Answers!X31,"AAAAAH9z3xs=")</f>
        <v>#VALUE!</v>
      </c>
      <c r="AC16" t="e">
        <f>AND(Answers!Y31,"AAAAAH9z3xw=")</f>
        <v>#VALUE!</v>
      </c>
      <c r="AD16" t="e">
        <f>AND(Answers!Z31,"AAAAAH9z3x0=")</f>
        <v>#VALUE!</v>
      </c>
      <c r="AE16" t="e">
        <f>AND(Answers!AA31,"AAAAAH9z3x4=")</f>
        <v>#VALUE!</v>
      </c>
      <c r="AF16" t="e">
        <f>AND(Answers!AB31,"AAAAAH9z3x8=")</f>
        <v>#VALUE!</v>
      </c>
      <c r="AG16" t="e">
        <f>AND(Answers!AC31,"AAAAAH9z3yA=")</f>
        <v>#VALUE!</v>
      </c>
      <c r="AH16" t="e">
        <f>AND(Answers!AD31,"AAAAAH9z3yE=")</f>
        <v>#VALUE!</v>
      </c>
      <c r="AI16" t="e">
        <f>AND(Answers!AE31,"AAAAAH9z3yI=")</f>
        <v>#VALUE!</v>
      </c>
      <c r="AJ16" t="e">
        <f>AND(Answers!AF31,"AAAAAH9z3yM=")</f>
        <v>#VALUE!</v>
      </c>
      <c r="AK16" t="e">
        <f>AND(Answers!AH31,"AAAAAH9z3yQ=")</f>
        <v>#VALUE!</v>
      </c>
      <c r="AL16" t="e">
        <f>AND(Answers!AI31,"AAAAAH9z3yU=")</f>
        <v>#VALUE!</v>
      </c>
      <c r="AM16" t="e">
        <f>AND(Answers!AK31,"AAAAAH9z3yY=")</f>
        <v>#VALUE!</v>
      </c>
      <c r="AN16" t="e">
        <f>AND(Answers!#REF!,"AAAAAH9z3yc=")</f>
        <v>#REF!</v>
      </c>
      <c r="AO16" t="e">
        <f>AND(Answers!AR31,"AAAAAH9z3yg=")</f>
        <v>#VALUE!</v>
      </c>
      <c r="AP16" t="e">
        <f>AND(Answers!AS31,"AAAAAH9z3yk=")</f>
        <v>#VALUE!</v>
      </c>
      <c r="AQ16" t="e">
        <f>AND(Answers!AT31,"AAAAAH9z3yo=")</f>
        <v>#VALUE!</v>
      </c>
      <c r="AR16" t="e">
        <f>AND(Answers!AU31,"AAAAAH9z3ys=")</f>
        <v>#VALUE!</v>
      </c>
      <c r="AS16" t="e">
        <f>AND(Answers!AW31,"AAAAAH9z3yw=")</f>
        <v>#VALUE!</v>
      </c>
      <c r="AT16" t="e">
        <f>AND(Answers!AX31,"AAAAAH9z3y0=")</f>
        <v>#VALUE!</v>
      </c>
      <c r="AU16" t="e">
        <f>AND(Answers!AY31,"AAAAAH9z3y4=")</f>
        <v>#VALUE!</v>
      </c>
      <c r="AV16" t="e">
        <f>AND(Answers!AZ31,"AAAAAH9z3y8=")</f>
        <v>#VALUE!</v>
      </c>
      <c r="AW16" t="e">
        <f>AND(Answers!BA31,"AAAAAH9z3zA=")</f>
        <v>#VALUE!</v>
      </c>
      <c r="AX16" t="e">
        <f>AND(Answers!BB31,"AAAAAH9z3zE=")</f>
        <v>#VALUE!</v>
      </c>
      <c r="AY16" t="e">
        <f>AND(Answers!BC31,"AAAAAH9z3zI=")</f>
        <v>#VALUE!</v>
      </c>
      <c r="AZ16" t="e">
        <f>AND(Answers!BD31,"AAAAAH9z3zM=")</f>
        <v>#VALUE!</v>
      </c>
      <c r="BA16" t="e">
        <f>AND(Answers!BE31,"AAAAAH9z3zQ=")</f>
        <v>#VALUE!</v>
      </c>
      <c r="BB16" t="e">
        <f>AND(Answers!BF31,"AAAAAH9z3zU=")</f>
        <v>#VALUE!</v>
      </c>
      <c r="BC16" t="e">
        <f>AND(Answers!BG31,"AAAAAH9z3zY=")</f>
        <v>#VALUE!</v>
      </c>
      <c r="BD16" t="e">
        <f>AND(Answers!BH31,"AAAAAH9z3zc=")</f>
        <v>#VALUE!</v>
      </c>
      <c r="BE16" t="e">
        <f>AND(Answers!BI31,"AAAAAH9z3zg=")</f>
        <v>#VALUE!</v>
      </c>
      <c r="BF16" t="e">
        <f>AND(Answers!BK31,"AAAAAH9z3zk=")</f>
        <v>#VALUE!</v>
      </c>
      <c r="BG16" t="e">
        <f>AND(Answers!BL31,"AAAAAH9z3zo=")</f>
        <v>#VALUE!</v>
      </c>
      <c r="BH16" t="e">
        <f>AND(Answers!BM31,"AAAAAH9z3zs=")</f>
        <v>#VALUE!</v>
      </c>
      <c r="BI16" t="e">
        <f>AND(Answers!BN31,"AAAAAH9z3zw=")</f>
        <v>#VALUE!</v>
      </c>
      <c r="BJ16" t="e">
        <f>AND(Answers!BO31,"AAAAAH9z3z0=")</f>
        <v>#VALUE!</v>
      </c>
      <c r="BK16" t="e">
        <f>AND(Answers!BP31,"AAAAAH9z3z4=")</f>
        <v>#VALUE!</v>
      </c>
      <c r="BL16" t="e">
        <f>AND(Answers!BQ31,"AAAAAH9z3z8=")</f>
        <v>#VALUE!</v>
      </c>
      <c r="BM16" t="e">
        <f>AND(Answers!BR31,"AAAAAH9z30A=")</f>
        <v>#VALUE!</v>
      </c>
      <c r="BN16" t="e">
        <f>AND(Answers!BS31,"AAAAAH9z30E=")</f>
        <v>#VALUE!</v>
      </c>
      <c r="BO16" t="e">
        <f>AND(Answers!BU31,"AAAAAH9z30I=")</f>
        <v>#VALUE!</v>
      </c>
      <c r="BP16" t="e">
        <f>AND(Answers!BV31,"AAAAAH9z30M=")</f>
        <v>#VALUE!</v>
      </c>
      <c r="BQ16" t="e">
        <f>AND(Answers!#REF!,"AAAAAH9z30Q=")</f>
        <v>#REF!</v>
      </c>
      <c r="BR16" t="e">
        <f>AND(Answers!BW31,"AAAAAH9z30U=")</f>
        <v>#VALUE!</v>
      </c>
      <c r="BS16" t="e">
        <f>AND(Answers!BX31,"AAAAAH9z30Y=")</f>
        <v>#VALUE!</v>
      </c>
      <c r="BT16" t="e">
        <f>AND(Answers!BY31,"AAAAAH9z30c=")</f>
        <v>#VALUE!</v>
      </c>
      <c r="BU16" t="e">
        <f>AND(Answers!BZ31,"AAAAAH9z30g=")</f>
        <v>#VALUE!</v>
      </c>
      <c r="BV16">
        <f>IF(Answers!32:32,"AAAAAH9z30k=",0)</f>
        <v>0</v>
      </c>
      <c r="BW16" t="e">
        <f>AND(Answers!A32,"AAAAAH9z30o=")</f>
        <v>#VALUE!</v>
      </c>
      <c r="BX16" t="e">
        <f>AND(Answers!B32,"AAAAAH9z30s=")</f>
        <v>#VALUE!</v>
      </c>
      <c r="BY16" t="e">
        <f>AND(Answers!C32,"AAAAAH9z30w=")</f>
        <v>#VALUE!</v>
      </c>
      <c r="BZ16" t="e">
        <f>AND(Answers!D32,"AAAAAH9z300=")</f>
        <v>#VALUE!</v>
      </c>
      <c r="CA16" t="e">
        <f>AND(Answers!E32,"AAAAAH9z304=")</f>
        <v>#VALUE!</v>
      </c>
      <c r="CB16" t="e">
        <f>AND(Answers!F32,"AAAAAH9z308=")</f>
        <v>#VALUE!</v>
      </c>
      <c r="CC16" t="e">
        <f>AND(Answers!G32,"AAAAAH9z31A=")</f>
        <v>#VALUE!</v>
      </c>
      <c r="CD16" t="e">
        <f>AND(Answers!H32,"AAAAAH9z31E=")</f>
        <v>#VALUE!</v>
      </c>
      <c r="CE16" t="e">
        <f>AND(Answers!J32,"AAAAAH9z31I=")</f>
        <v>#VALUE!</v>
      </c>
      <c r="CF16" t="e">
        <f>AND(Answers!K32,"AAAAAH9z31M=")</f>
        <v>#VALUE!</v>
      </c>
      <c r="CG16" t="e">
        <f>AND(Answers!L32,"AAAAAH9z31Q=")</f>
        <v>#VALUE!</v>
      </c>
      <c r="CH16" t="e">
        <f>AND(Answers!M32,"AAAAAH9z31U=")</f>
        <v>#VALUE!</v>
      </c>
      <c r="CI16" t="e">
        <f>AND(Answers!N32,"AAAAAH9z31Y=")</f>
        <v>#VALUE!</v>
      </c>
      <c r="CJ16" t="e">
        <f>AND(Answers!O32,"AAAAAH9z31c=")</f>
        <v>#VALUE!</v>
      </c>
      <c r="CK16" t="e">
        <f>AND(Answers!P32,"AAAAAH9z31g=")</f>
        <v>#VALUE!</v>
      </c>
      <c r="CL16" t="e">
        <f>AND(Answers!Q32,"AAAAAH9z31k=")</f>
        <v>#VALUE!</v>
      </c>
      <c r="CM16" t="e">
        <f>AND(Answers!R32,"AAAAAH9z31o=")</f>
        <v>#VALUE!</v>
      </c>
      <c r="CN16" t="e">
        <f>AND(Answers!S32,"AAAAAH9z31s=")</f>
        <v>#VALUE!</v>
      </c>
      <c r="CO16" t="e">
        <f>AND(Answers!T32,"AAAAAH9z31w=")</f>
        <v>#VALUE!</v>
      </c>
      <c r="CP16" t="e">
        <f>AND(Answers!U32,"AAAAAH9z310=")</f>
        <v>#VALUE!</v>
      </c>
      <c r="CQ16" t="e">
        <f>AND(Answers!V32,"AAAAAH9z314=")</f>
        <v>#VALUE!</v>
      </c>
      <c r="CR16" t="e">
        <f>AND(Answers!X32,"AAAAAH9z318=")</f>
        <v>#VALUE!</v>
      </c>
      <c r="CS16" t="e">
        <f>AND(Answers!Y32,"AAAAAH9z32A=")</f>
        <v>#VALUE!</v>
      </c>
      <c r="CT16" t="e">
        <f>AND(Answers!Z32,"AAAAAH9z32E=")</f>
        <v>#VALUE!</v>
      </c>
      <c r="CU16" t="e">
        <f>AND(Answers!AA32,"AAAAAH9z32I=")</f>
        <v>#VALUE!</v>
      </c>
      <c r="CV16" t="e">
        <f>AND(Answers!AB32,"AAAAAH9z32M=")</f>
        <v>#VALUE!</v>
      </c>
      <c r="CW16" t="e">
        <f>AND(Answers!AC32,"AAAAAH9z32Q=")</f>
        <v>#VALUE!</v>
      </c>
      <c r="CX16" t="e">
        <f>AND(Answers!AD32,"AAAAAH9z32U=")</f>
        <v>#VALUE!</v>
      </c>
      <c r="CY16" t="e">
        <f>AND(Answers!AE32,"AAAAAH9z32Y=")</f>
        <v>#VALUE!</v>
      </c>
      <c r="CZ16" t="e">
        <f>AND(Answers!AF32,"AAAAAH9z32c=")</f>
        <v>#VALUE!</v>
      </c>
      <c r="DA16" t="e">
        <f>AND(Answers!AH32,"AAAAAH9z32g=")</f>
        <v>#VALUE!</v>
      </c>
      <c r="DB16" t="e">
        <f>AND(Answers!AI32,"AAAAAH9z32k=")</f>
        <v>#VALUE!</v>
      </c>
      <c r="DC16" t="e">
        <f>AND(Answers!AK32,"AAAAAH9z32o=")</f>
        <v>#VALUE!</v>
      </c>
      <c r="DD16" t="e">
        <f>AND(Answers!#REF!,"AAAAAH9z32s=")</f>
        <v>#REF!</v>
      </c>
      <c r="DE16" t="e">
        <f>AND(Answers!AR32,"AAAAAH9z32w=")</f>
        <v>#VALUE!</v>
      </c>
      <c r="DF16" t="e">
        <f>AND(Answers!AS32,"AAAAAH9z320=")</f>
        <v>#VALUE!</v>
      </c>
      <c r="DG16" t="e">
        <f>AND(Answers!AT32,"AAAAAH9z324=")</f>
        <v>#VALUE!</v>
      </c>
      <c r="DH16" t="e">
        <f>AND(Answers!AU32,"AAAAAH9z328=")</f>
        <v>#VALUE!</v>
      </c>
      <c r="DI16" t="e">
        <f>AND(Answers!AW32,"AAAAAH9z33A=")</f>
        <v>#VALUE!</v>
      </c>
      <c r="DJ16" t="e">
        <f>AND(Answers!AX32,"AAAAAH9z33E=")</f>
        <v>#VALUE!</v>
      </c>
      <c r="DK16" t="e">
        <f>AND(Answers!AY32,"AAAAAH9z33I=")</f>
        <v>#VALUE!</v>
      </c>
      <c r="DL16" t="e">
        <f>AND(Answers!AZ32,"AAAAAH9z33M=")</f>
        <v>#VALUE!</v>
      </c>
      <c r="DM16" t="e">
        <f>AND(Answers!BA32,"AAAAAH9z33Q=")</f>
        <v>#VALUE!</v>
      </c>
      <c r="DN16" t="e">
        <f>AND(Answers!BB32,"AAAAAH9z33U=")</f>
        <v>#VALUE!</v>
      </c>
      <c r="DO16" t="e">
        <f>AND(Answers!BC32,"AAAAAH9z33Y=")</f>
        <v>#VALUE!</v>
      </c>
      <c r="DP16" t="e">
        <f>AND(Answers!BD32,"AAAAAH9z33c=")</f>
        <v>#VALUE!</v>
      </c>
      <c r="DQ16" t="e">
        <f>AND(Answers!BE32,"AAAAAH9z33g=")</f>
        <v>#VALUE!</v>
      </c>
      <c r="DR16" t="e">
        <f>AND(Answers!BF32,"AAAAAH9z33k=")</f>
        <v>#VALUE!</v>
      </c>
      <c r="DS16" t="e">
        <f>AND(Answers!BG32,"AAAAAH9z33o=")</f>
        <v>#VALUE!</v>
      </c>
      <c r="DT16" t="e">
        <f>AND(Answers!BH32,"AAAAAH9z33s=")</f>
        <v>#VALUE!</v>
      </c>
      <c r="DU16" t="e">
        <f>AND(Answers!BI32,"AAAAAH9z33w=")</f>
        <v>#VALUE!</v>
      </c>
      <c r="DV16" t="e">
        <f>AND(Answers!BK32,"AAAAAH9z330=")</f>
        <v>#VALUE!</v>
      </c>
      <c r="DW16" t="e">
        <f>AND(Answers!BL32,"AAAAAH9z334=")</f>
        <v>#VALUE!</v>
      </c>
      <c r="DX16" t="e">
        <f>AND(Answers!BM32,"AAAAAH9z338=")</f>
        <v>#VALUE!</v>
      </c>
      <c r="DY16" t="e">
        <f>AND(Answers!BN32,"AAAAAH9z34A=")</f>
        <v>#VALUE!</v>
      </c>
      <c r="DZ16" t="e">
        <f>AND(Answers!BO32,"AAAAAH9z34E=")</f>
        <v>#VALUE!</v>
      </c>
      <c r="EA16" t="e">
        <f>AND(Answers!BP32,"AAAAAH9z34I=")</f>
        <v>#VALUE!</v>
      </c>
      <c r="EB16" t="e">
        <f>AND(Answers!BQ32,"AAAAAH9z34M=")</f>
        <v>#VALUE!</v>
      </c>
      <c r="EC16" t="e">
        <f>AND(Answers!BR32,"AAAAAH9z34Q=")</f>
        <v>#VALUE!</v>
      </c>
      <c r="ED16" t="e">
        <f>AND(Answers!BS32,"AAAAAH9z34U=")</f>
        <v>#VALUE!</v>
      </c>
      <c r="EE16" t="e">
        <f>AND(Answers!BU32,"AAAAAH9z34Y=")</f>
        <v>#VALUE!</v>
      </c>
      <c r="EF16" t="e">
        <f>AND(Answers!BV32,"AAAAAH9z34c=")</f>
        <v>#VALUE!</v>
      </c>
      <c r="EG16" t="e">
        <f>AND(Answers!#REF!,"AAAAAH9z34g=")</f>
        <v>#REF!</v>
      </c>
      <c r="EH16" t="e">
        <f>AND(Answers!BW32,"AAAAAH9z34k=")</f>
        <v>#VALUE!</v>
      </c>
      <c r="EI16" t="e">
        <f>AND(Answers!BX32,"AAAAAH9z34o=")</f>
        <v>#VALUE!</v>
      </c>
      <c r="EJ16" t="e">
        <f>AND(Answers!BY32,"AAAAAH9z34s=")</f>
        <v>#VALUE!</v>
      </c>
      <c r="EK16" t="e">
        <f>AND(Answers!BZ32,"AAAAAH9z34w=")</f>
        <v>#VALUE!</v>
      </c>
      <c r="EL16">
        <f>IF(Answers!33:33,"AAAAAH9z340=",0)</f>
        <v>0</v>
      </c>
      <c r="EM16" t="e">
        <f>AND(Answers!A33,"AAAAAH9z344=")</f>
        <v>#VALUE!</v>
      </c>
      <c r="EN16" t="e">
        <f>AND(Answers!B33,"AAAAAH9z348=")</f>
        <v>#VALUE!</v>
      </c>
      <c r="EO16" t="e">
        <f>AND(Answers!C33,"AAAAAH9z35A=")</f>
        <v>#VALUE!</v>
      </c>
      <c r="EP16" t="e">
        <f>AND(Answers!D33,"AAAAAH9z35E=")</f>
        <v>#VALUE!</v>
      </c>
      <c r="EQ16" t="e">
        <f>AND(Answers!E33,"AAAAAH9z35I=")</f>
        <v>#VALUE!</v>
      </c>
      <c r="ER16" t="e">
        <f>AND(Answers!F33,"AAAAAH9z35M=")</f>
        <v>#VALUE!</v>
      </c>
      <c r="ES16" t="e">
        <f>AND(Answers!G33,"AAAAAH9z35Q=")</f>
        <v>#VALUE!</v>
      </c>
      <c r="ET16" t="e">
        <f>AND(Answers!H33,"AAAAAH9z35U=")</f>
        <v>#VALUE!</v>
      </c>
      <c r="EU16" t="e">
        <f>AND(Answers!J33,"AAAAAH9z35Y=")</f>
        <v>#VALUE!</v>
      </c>
      <c r="EV16" t="e">
        <f>AND(Answers!K33,"AAAAAH9z35c=")</f>
        <v>#VALUE!</v>
      </c>
      <c r="EW16" t="e">
        <f>AND(Answers!L33,"AAAAAH9z35g=")</f>
        <v>#VALUE!</v>
      </c>
      <c r="EX16" t="e">
        <f>AND(Answers!M33,"AAAAAH9z35k=")</f>
        <v>#VALUE!</v>
      </c>
      <c r="EY16" t="e">
        <f>AND(Answers!N33,"AAAAAH9z35o=")</f>
        <v>#VALUE!</v>
      </c>
      <c r="EZ16" t="e">
        <f>AND(Answers!O33,"AAAAAH9z35s=")</f>
        <v>#VALUE!</v>
      </c>
      <c r="FA16" t="e">
        <f>AND(Answers!P33,"AAAAAH9z35w=")</f>
        <v>#VALUE!</v>
      </c>
      <c r="FB16" t="e">
        <f>AND(Answers!Q33,"AAAAAH9z350=")</f>
        <v>#VALUE!</v>
      </c>
      <c r="FC16" t="e">
        <f>AND(Answers!R33,"AAAAAH9z354=")</f>
        <v>#VALUE!</v>
      </c>
      <c r="FD16" t="e">
        <f>AND(Answers!S33,"AAAAAH9z358=")</f>
        <v>#VALUE!</v>
      </c>
      <c r="FE16" t="e">
        <f>AND(Answers!T33,"AAAAAH9z36A=")</f>
        <v>#VALUE!</v>
      </c>
      <c r="FF16" t="e">
        <f>AND(Answers!U33,"AAAAAH9z36E=")</f>
        <v>#VALUE!</v>
      </c>
      <c r="FG16" t="e">
        <f>AND(Answers!V33,"AAAAAH9z36I=")</f>
        <v>#VALUE!</v>
      </c>
      <c r="FH16" t="e">
        <f>AND(Answers!X33,"AAAAAH9z36M=")</f>
        <v>#VALUE!</v>
      </c>
      <c r="FI16" t="e">
        <f>AND(Answers!Y33,"AAAAAH9z36Q=")</f>
        <v>#VALUE!</v>
      </c>
      <c r="FJ16" t="e">
        <f>AND(Answers!Z33,"AAAAAH9z36U=")</f>
        <v>#VALUE!</v>
      </c>
      <c r="FK16" t="e">
        <f>AND(Answers!AA33,"AAAAAH9z36Y=")</f>
        <v>#VALUE!</v>
      </c>
      <c r="FL16" t="e">
        <f>AND(Answers!AB33,"AAAAAH9z36c=")</f>
        <v>#VALUE!</v>
      </c>
      <c r="FM16" t="e">
        <f>AND(Answers!AC33,"AAAAAH9z36g=")</f>
        <v>#VALUE!</v>
      </c>
      <c r="FN16" t="e">
        <f>AND(Answers!AD33,"AAAAAH9z36k=")</f>
        <v>#VALUE!</v>
      </c>
      <c r="FO16" t="e">
        <f>AND(Answers!AE33,"AAAAAH9z36o=")</f>
        <v>#VALUE!</v>
      </c>
      <c r="FP16" t="e">
        <f>AND(Answers!AF33,"AAAAAH9z36s=")</f>
        <v>#VALUE!</v>
      </c>
      <c r="FQ16" t="e">
        <f>AND(Answers!AH33,"AAAAAH9z36w=")</f>
        <v>#VALUE!</v>
      </c>
      <c r="FR16" t="e">
        <f>AND(Answers!AI33,"AAAAAH9z360=")</f>
        <v>#VALUE!</v>
      </c>
      <c r="FS16" t="e">
        <f>AND(Answers!AK33,"AAAAAH9z364=")</f>
        <v>#VALUE!</v>
      </c>
      <c r="FT16" t="e">
        <f>AND(Answers!#REF!,"AAAAAH9z368=")</f>
        <v>#REF!</v>
      </c>
      <c r="FU16" t="e">
        <f>AND(Answers!AR33,"AAAAAH9z37A=")</f>
        <v>#VALUE!</v>
      </c>
      <c r="FV16" t="e">
        <f>AND(Answers!AS33,"AAAAAH9z37E=")</f>
        <v>#VALUE!</v>
      </c>
      <c r="FW16" t="e">
        <f>AND(Answers!AT33,"AAAAAH9z37I=")</f>
        <v>#VALUE!</v>
      </c>
      <c r="FX16" t="e">
        <f>AND(Answers!AU33,"AAAAAH9z37M=")</f>
        <v>#VALUE!</v>
      </c>
      <c r="FY16" t="e">
        <f>AND(Answers!AW33,"AAAAAH9z37Q=")</f>
        <v>#VALUE!</v>
      </c>
      <c r="FZ16" t="e">
        <f>AND(Answers!AX33,"AAAAAH9z37U=")</f>
        <v>#VALUE!</v>
      </c>
      <c r="GA16" t="e">
        <f>AND(Answers!AY33,"AAAAAH9z37Y=")</f>
        <v>#VALUE!</v>
      </c>
      <c r="GB16" t="e">
        <f>AND(Answers!AZ33,"AAAAAH9z37c=")</f>
        <v>#VALUE!</v>
      </c>
      <c r="GC16" t="e">
        <f>AND(Answers!BA33,"AAAAAH9z37g=")</f>
        <v>#VALUE!</v>
      </c>
      <c r="GD16" t="e">
        <f>AND(Answers!BB33,"AAAAAH9z37k=")</f>
        <v>#VALUE!</v>
      </c>
      <c r="GE16" t="e">
        <f>AND(Answers!BC33,"AAAAAH9z37o=")</f>
        <v>#VALUE!</v>
      </c>
      <c r="GF16" t="e">
        <f>AND(Answers!BD33,"AAAAAH9z37s=")</f>
        <v>#VALUE!</v>
      </c>
      <c r="GG16" t="e">
        <f>AND(Answers!BE33,"AAAAAH9z37w=")</f>
        <v>#VALUE!</v>
      </c>
      <c r="GH16" t="e">
        <f>AND(Answers!BF33,"AAAAAH9z370=")</f>
        <v>#VALUE!</v>
      </c>
      <c r="GI16" t="e">
        <f>AND(Answers!BG33,"AAAAAH9z374=")</f>
        <v>#VALUE!</v>
      </c>
      <c r="GJ16" t="e">
        <f>AND(Answers!BH33,"AAAAAH9z378=")</f>
        <v>#VALUE!</v>
      </c>
      <c r="GK16" t="e">
        <f>AND(Answers!BI33,"AAAAAH9z38A=")</f>
        <v>#VALUE!</v>
      </c>
      <c r="GL16" t="e">
        <f>AND(Answers!BK33,"AAAAAH9z38E=")</f>
        <v>#VALUE!</v>
      </c>
      <c r="GM16" t="e">
        <f>AND(Answers!BL33,"AAAAAH9z38I=")</f>
        <v>#VALUE!</v>
      </c>
      <c r="GN16" t="e">
        <f>AND(Answers!BM33,"AAAAAH9z38M=")</f>
        <v>#VALUE!</v>
      </c>
      <c r="GO16" t="e">
        <f>AND(Answers!BN33,"AAAAAH9z38Q=")</f>
        <v>#VALUE!</v>
      </c>
      <c r="GP16" t="e">
        <f>AND(Answers!BO33,"AAAAAH9z38U=")</f>
        <v>#VALUE!</v>
      </c>
      <c r="GQ16" t="e">
        <f>AND(Answers!BP33,"AAAAAH9z38Y=")</f>
        <v>#VALUE!</v>
      </c>
      <c r="GR16" t="e">
        <f>AND(Answers!BQ33,"AAAAAH9z38c=")</f>
        <v>#VALUE!</v>
      </c>
      <c r="GS16" t="e">
        <f>AND(Answers!BR33,"AAAAAH9z38g=")</f>
        <v>#VALUE!</v>
      </c>
      <c r="GT16" t="e">
        <f>AND(Answers!BS33,"AAAAAH9z38k=")</f>
        <v>#VALUE!</v>
      </c>
      <c r="GU16" t="e">
        <f>AND(Answers!BU33,"AAAAAH9z38o=")</f>
        <v>#VALUE!</v>
      </c>
      <c r="GV16" t="e">
        <f>AND(Answers!BV33,"AAAAAH9z38s=")</f>
        <v>#VALUE!</v>
      </c>
      <c r="GW16" t="e">
        <f>AND(Answers!#REF!,"AAAAAH9z38w=")</f>
        <v>#REF!</v>
      </c>
      <c r="GX16" t="e">
        <f>AND(Answers!BW33,"AAAAAH9z380=")</f>
        <v>#VALUE!</v>
      </c>
      <c r="GY16" t="e">
        <f>AND(Answers!BX33,"AAAAAH9z384=")</f>
        <v>#VALUE!</v>
      </c>
      <c r="GZ16" t="e">
        <f>AND(Answers!BY33,"AAAAAH9z388=")</f>
        <v>#VALUE!</v>
      </c>
      <c r="HA16" t="e">
        <f>AND(Answers!BZ33,"AAAAAH9z39A=")</f>
        <v>#VALUE!</v>
      </c>
      <c r="HB16">
        <f>IF(Answers!34:34,"AAAAAH9z39E=",0)</f>
        <v>0</v>
      </c>
      <c r="HC16" t="e">
        <f>AND(Answers!A34,"AAAAAH9z39I=")</f>
        <v>#VALUE!</v>
      </c>
      <c r="HD16" t="e">
        <f>AND(Answers!B34,"AAAAAH9z39M=")</f>
        <v>#VALUE!</v>
      </c>
      <c r="HE16" t="e">
        <f>AND(Answers!C34,"AAAAAH9z39Q=")</f>
        <v>#VALUE!</v>
      </c>
      <c r="HF16" t="e">
        <f>AND(Answers!D34,"AAAAAH9z39U=")</f>
        <v>#VALUE!</v>
      </c>
      <c r="HG16" t="e">
        <f>AND(Answers!E34,"AAAAAH9z39Y=")</f>
        <v>#VALUE!</v>
      </c>
      <c r="HH16" t="e">
        <f>AND(Answers!F34,"AAAAAH9z39c=")</f>
        <v>#VALUE!</v>
      </c>
      <c r="HI16" t="e">
        <f>AND(Answers!G34,"AAAAAH9z39g=")</f>
        <v>#VALUE!</v>
      </c>
      <c r="HJ16" t="e">
        <f>AND(Answers!H34,"AAAAAH9z39k=")</f>
        <v>#VALUE!</v>
      </c>
      <c r="HK16" t="e">
        <f>AND(Answers!J34,"AAAAAH9z39o=")</f>
        <v>#VALUE!</v>
      </c>
      <c r="HL16" t="e">
        <f>AND(Answers!K34,"AAAAAH9z39s=")</f>
        <v>#VALUE!</v>
      </c>
      <c r="HM16" t="e">
        <f>AND(Answers!L34,"AAAAAH9z39w=")</f>
        <v>#VALUE!</v>
      </c>
      <c r="HN16" t="e">
        <f>AND(Answers!M34,"AAAAAH9z390=")</f>
        <v>#VALUE!</v>
      </c>
      <c r="HO16" t="e">
        <f>AND(Answers!N34,"AAAAAH9z394=")</f>
        <v>#VALUE!</v>
      </c>
      <c r="HP16" t="e">
        <f>AND(Answers!O34,"AAAAAH9z398=")</f>
        <v>#VALUE!</v>
      </c>
      <c r="HQ16" t="e">
        <f>AND(Answers!P34,"AAAAAH9z3+A=")</f>
        <v>#VALUE!</v>
      </c>
      <c r="HR16" t="e">
        <f>AND(Answers!Q34,"AAAAAH9z3+E=")</f>
        <v>#VALUE!</v>
      </c>
      <c r="HS16" t="e">
        <f>AND(Answers!R34,"AAAAAH9z3+I=")</f>
        <v>#VALUE!</v>
      </c>
      <c r="HT16" t="e">
        <f>AND(Answers!S34,"AAAAAH9z3+M=")</f>
        <v>#VALUE!</v>
      </c>
      <c r="HU16" t="e">
        <f>AND(Answers!T34,"AAAAAH9z3+Q=")</f>
        <v>#VALUE!</v>
      </c>
      <c r="HV16" t="e">
        <f>AND(Answers!U34,"AAAAAH9z3+U=")</f>
        <v>#VALUE!</v>
      </c>
      <c r="HW16" t="e">
        <f>AND(Answers!V34,"AAAAAH9z3+Y=")</f>
        <v>#VALUE!</v>
      </c>
      <c r="HX16" t="e">
        <f>AND(Answers!X34,"AAAAAH9z3+c=")</f>
        <v>#VALUE!</v>
      </c>
      <c r="HY16" t="e">
        <f>AND(Answers!Y34,"AAAAAH9z3+g=")</f>
        <v>#VALUE!</v>
      </c>
      <c r="HZ16" t="e">
        <f>AND(Answers!Z34,"AAAAAH9z3+k=")</f>
        <v>#VALUE!</v>
      </c>
      <c r="IA16" t="e">
        <f>AND(Answers!AA34,"AAAAAH9z3+o=")</f>
        <v>#VALUE!</v>
      </c>
      <c r="IB16" t="e">
        <f>AND(Answers!AB34,"AAAAAH9z3+s=")</f>
        <v>#VALUE!</v>
      </c>
      <c r="IC16" t="e">
        <f>AND(Answers!AC34,"AAAAAH9z3+w=")</f>
        <v>#VALUE!</v>
      </c>
      <c r="ID16" t="e">
        <f>AND(Answers!AD34,"AAAAAH9z3+0=")</f>
        <v>#VALUE!</v>
      </c>
      <c r="IE16" t="e">
        <f>AND(Answers!AE34,"AAAAAH9z3+4=")</f>
        <v>#VALUE!</v>
      </c>
      <c r="IF16" t="e">
        <f>AND(Answers!AF34,"AAAAAH9z3+8=")</f>
        <v>#VALUE!</v>
      </c>
      <c r="IG16" t="e">
        <f>AND(Answers!AH34,"AAAAAH9z3/A=")</f>
        <v>#VALUE!</v>
      </c>
      <c r="IH16" t="e">
        <f>AND(Answers!AI34,"AAAAAH9z3/E=")</f>
        <v>#VALUE!</v>
      </c>
      <c r="II16" t="e">
        <f>AND(Answers!AK34,"AAAAAH9z3/I=")</f>
        <v>#VALUE!</v>
      </c>
      <c r="IJ16" t="e">
        <f>AND(Answers!#REF!,"AAAAAH9z3/M=")</f>
        <v>#REF!</v>
      </c>
      <c r="IK16" t="e">
        <f>AND(Answers!AR34,"AAAAAH9z3/Q=")</f>
        <v>#VALUE!</v>
      </c>
      <c r="IL16" t="e">
        <f>AND(Answers!AS34,"AAAAAH9z3/U=")</f>
        <v>#VALUE!</v>
      </c>
      <c r="IM16" t="e">
        <f>AND(Answers!AT34,"AAAAAH9z3/Y=")</f>
        <v>#VALUE!</v>
      </c>
      <c r="IN16" t="e">
        <f>AND(Answers!AU34,"AAAAAH9z3/c=")</f>
        <v>#VALUE!</v>
      </c>
      <c r="IO16" t="e">
        <f>AND(Answers!AW34,"AAAAAH9z3/g=")</f>
        <v>#VALUE!</v>
      </c>
      <c r="IP16" t="e">
        <f>AND(Answers!AX34,"AAAAAH9z3/k=")</f>
        <v>#VALUE!</v>
      </c>
      <c r="IQ16" t="e">
        <f>AND(Answers!AY34,"AAAAAH9z3/o=")</f>
        <v>#VALUE!</v>
      </c>
      <c r="IR16" t="e">
        <f>AND(Answers!AZ34,"AAAAAH9z3/s=")</f>
        <v>#VALUE!</v>
      </c>
      <c r="IS16" t="e">
        <f>AND(Answers!BA34,"AAAAAH9z3/w=")</f>
        <v>#VALUE!</v>
      </c>
      <c r="IT16" t="e">
        <f>AND(Answers!BB34,"AAAAAH9z3/0=")</f>
        <v>#VALUE!</v>
      </c>
      <c r="IU16" t="e">
        <f>AND(Answers!BC34,"AAAAAH9z3/4=")</f>
        <v>#VALUE!</v>
      </c>
      <c r="IV16" t="e">
        <f>AND(Answers!BD34,"AAAAAH9z3/8=")</f>
        <v>#VALUE!</v>
      </c>
    </row>
    <row r="17" spans="1:256" x14ac:dyDescent="0.15">
      <c r="A17" t="e">
        <f>AND(Answers!BE34,"AAAAAH+R+wA=")</f>
        <v>#VALUE!</v>
      </c>
      <c r="B17" t="e">
        <f>AND(Answers!BF34,"AAAAAH+R+wE=")</f>
        <v>#VALUE!</v>
      </c>
      <c r="C17" t="e">
        <f>AND(Answers!BG34,"AAAAAH+R+wI=")</f>
        <v>#VALUE!</v>
      </c>
      <c r="D17" t="e">
        <f>AND(Answers!BH34,"AAAAAH+R+wM=")</f>
        <v>#VALUE!</v>
      </c>
      <c r="E17" t="e">
        <f>AND(Answers!BI34,"AAAAAH+R+wQ=")</f>
        <v>#VALUE!</v>
      </c>
      <c r="F17" t="e">
        <f>AND(Answers!BK34,"AAAAAH+R+wU=")</f>
        <v>#VALUE!</v>
      </c>
      <c r="G17" t="e">
        <f>AND(Answers!BL34,"AAAAAH+R+wY=")</f>
        <v>#VALUE!</v>
      </c>
      <c r="H17" t="e">
        <f>AND(Answers!BM34,"AAAAAH+R+wc=")</f>
        <v>#VALUE!</v>
      </c>
      <c r="I17" t="e">
        <f>AND(Answers!BN34,"AAAAAH+R+wg=")</f>
        <v>#VALUE!</v>
      </c>
      <c r="J17" t="e">
        <f>AND(Answers!BO34,"AAAAAH+R+wk=")</f>
        <v>#VALUE!</v>
      </c>
      <c r="K17" t="e">
        <f>AND(Answers!BP34,"AAAAAH+R+wo=")</f>
        <v>#VALUE!</v>
      </c>
      <c r="L17" t="e">
        <f>AND(Answers!BQ34,"AAAAAH+R+ws=")</f>
        <v>#VALUE!</v>
      </c>
      <c r="M17" t="e">
        <f>AND(Answers!BR34,"AAAAAH+R+ww=")</f>
        <v>#VALUE!</v>
      </c>
      <c r="N17" t="e">
        <f>AND(Answers!BS34,"AAAAAH+R+w0=")</f>
        <v>#VALUE!</v>
      </c>
      <c r="O17" t="e">
        <f>AND(Answers!BU34,"AAAAAH+R+w4=")</f>
        <v>#VALUE!</v>
      </c>
      <c r="P17" t="e">
        <f>AND(Answers!BV34,"AAAAAH+R+w8=")</f>
        <v>#VALUE!</v>
      </c>
      <c r="Q17" t="e">
        <f>AND(Answers!#REF!,"AAAAAH+R+xA=")</f>
        <v>#REF!</v>
      </c>
      <c r="R17" t="e">
        <f>AND(Answers!BW34,"AAAAAH+R+xE=")</f>
        <v>#VALUE!</v>
      </c>
      <c r="S17" t="e">
        <f>AND(Answers!BX34,"AAAAAH+R+xI=")</f>
        <v>#VALUE!</v>
      </c>
      <c r="T17" t="e">
        <f>AND(Answers!BY34,"AAAAAH+R+xM=")</f>
        <v>#VALUE!</v>
      </c>
      <c r="U17" t="e">
        <f>AND(Answers!BZ34,"AAAAAH+R+xQ=")</f>
        <v>#VALUE!</v>
      </c>
      <c r="V17">
        <f>IF(Answers!35:35,"AAAAAH+R+xU=",0)</f>
        <v>0</v>
      </c>
      <c r="W17" t="e">
        <f>AND(Answers!A35,"AAAAAH+R+xY=")</f>
        <v>#VALUE!</v>
      </c>
      <c r="X17" t="e">
        <f>AND(Answers!B35,"AAAAAH+R+xc=")</f>
        <v>#VALUE!</v>
      </c>
      <c r="Y17" t="e">
        <f>AND(Answers!C35,"AAAAAH+R+xg=")</f>
        <v>#VALUE!</v>
      </c>
      <c r="Z17" t="e">
        <f>AND(Answers!D35,"AAAAAH+R+xk=")</f>
        <v>#VALUE!</v>
      </c>
      <c r="AA17" t="e">
        <f>AND(Answers!E35,"AAAAAH+R+xo=")</f>
        <v>#VALUE!</v>
      </c>
      <c r="AB17" t="e">
        <f>AND(Answers!F35,"AAAAAH+R+xs=")</f>
        <v>#VALUE!</v>
      </c>
      <c r="AC17" t="e">
        <f>AND(Answers!G35,"AAAAAH+R+xw=")</f>
        <v>#VALUE!</v>
      </c>
      <c r="AD17" t="e">
        <f>AND(Answers!H35,"AAAAAH+R+x0=")</f>
        <v>#VALUE!</v>
      </c>
      <c r="AE17" t="e">
        <f>AND(Answers!J35,"AAAAAH+R+x4=")</f>
        <v>#VALUE!</v>
      </c>
      <c r="AF17" t="e">
        <f>AND(Answers!K35,"AAAAAH+R+x8=")</f>
        <v>#VALUE!</v>
      </c>
      <c r="AG17" t="e">
        <f>AND(Answers!L35,"AAAAAH+R+yA=")</f>
        <v>#VALUE!</v>
      </c>
      <c r="AH17" t="e">
        <f>AND(Answers!M35,"AAAAAH+R+yE=")</f>
        <v>#VALUE!</v>
      </c>
      <c r="AI17" t="e">
        <f>AND(Answers!N35,"AAAAAH+R+yI=")</f>
        <v>#VALUE!</v>
      </c>
      <c r="AJ17" t="e">
        <f>AND(Answers!O35,"AAAAAH+R+yM=")</f>
        <v>#VALUE!</v>
      </c>
      <c r="AK17" t="e">
        <f>AND(Answers!P35,"AAAAAH+R+yQ=")</f>
        <v>#VALUE!</v>
      </c>
      <c r="AL17" t="e">
        <f>AND(Answers!Q35,"AAAAAH+R+yU=")</f>
        <v>#VALUE!</v>
      </c>
      <c r="AM17" t="e">
        <f>AND(Answers!R35,"AAAAAH+R+yY=")</f>
        <v>#VALUE!</v>
      </c>
      <c r="AN17" t="e">
        <f>AND(Answers!S35,"AAAAAH+R+yc=")</f>
        <v>#VALUE!</v>
      </c>
      <c r="AO17" t="e">
        <f>AND(Answers!T35,"AAAAAH+R+yg=")</f>
        <v>#VALUE!</v>
      </c>
      <c r="AP17" t="e">
        <f>AND(Answers!U35,"AAAAAH+R+yk=")</f>
        <v>#VALUE!</v>
      </c>
      <c r="AQ17" t="e">
        <f>AND(Answers!V35,"AAAAAH+R+yo=")</f>
        <v>#VALUE!</v>
      </c>
      <c r="AR17" t="e">
        <f>AND(Answers!X35,"AAAAAH+R+ys=")</f>
        <v>#VALUE!</v>
      </c>
      <c r="AS17" t="e">
        <f>AND(Answers!Y35,"AAAAAH+R+yw=")</f>
        <v>#VALUE!</v>
      </c>
      <c r="AT17" t="e">
        <f>AND(Answers!Z35,"AAAAAH+R+y0=")</f>
        <v>#VALUE!</v>
      </c>
      <c r="AU17" t="e">
        <f>AND(Answers!AA35,"AAAAAH+R+y4=")</f>
        <v>#VALUE!</v>
      </c>
      <c r="AV17" t="e">
        <f>AND(Answers!AB35,"AAAAAH+R+y8=")</f>
        <v>#VALUE!</v>
      </c>
      <c r="AW17" t="e">
        <f>AND(Answers!AC35,"AAAAAH+R+zA=")</f>
        <v>#VALUE!</v>
      </c>
      <c r="AX17" t="e">
        <f>AND(Answers!AD35,"AAAAAH+R+zE=")</f>
        <v>#VALUE!</v>
      </c>
      <c r="AY17" t="e">
        <f>AND(Answers!AE35,"AAAAAH+R+zI=")</f>
        <v>#VALUE!</v>
      </c>
      <c r="AZ17" t="e">
        <f>AND(Answers!AF35,"AAAAAH+R+zM=")</f>
        <v>#VALUE!</v>
      </c>
      <c r="BA17" t="e">
        <f>AND(Answers!AH35,"AAAAAH+R+zQ=")</f>
        <v>#VALUE!</v>
      </c>
      <c r="BB17" t="e">
        <f>AND(Answers!AI35,"AAAAAH+R+zU=")</f>
        <v>#VALUE!</v>
      </c>
      <c r="BC17" t="e">
        <f>AND(Answers!AK35,"AAAAAH+R+zY=")</f>
        <v>#VALUE!</v>
      </c>
      <c r="BD17" t="e">
        <f>AND(Answers!#REF!,"AAAAAH+R+zc=")</f>
        <v>#REF!</v>
      </c>
      <c r="BE17" t="e">
        <f>AND(Answers!AR35,"AAAAAH+R+zg=")</f>
        <v>#VALUE!</v>
      </c>
      <c r="BF17" t="e">
        <f>AND(Answers!AS35,"AAAAAH+R+zk=")</f>
        <v>#VALUE!</v>
      </c>
      <c r="BG17" t="e">
        <f>AND(Answers!AT35,"AAAAAH+R+zo=")</f>
        <v>#VALUE!</v>
      </c>
      <c r="BH17" t="e">
        <f>AND(Answers!AU35,"AAAAAH+R+zs=")</f>
        <v>#VALUE!</v>
      </c>
      <c r="BI17" t="e">
        <f>AND(Answers!AW35,"AAAAAH+R+zw=")</f>
        <v>#VALUE!</v>
      </c>
      <c r="BJ17" t="e">
        <f>AND(Answers!AX35,"AAAAAH+R+z0=")</f>
        <v>#VALUE!</v>
      </c>
      <c r="BK17" t="e">
        <f>AND(Answers!AY35,"AAAAAH+R+z4=")</f>
        <v>#VALUE!</v>
      </c>
      <c r="BL17" t="e">
        <f>AND(Answers!AZ35,"AAAAAH+R+z8=")</f>
        <v>#VALUE!</v>
      </c>
      <c r="BM17" t="e">
        <f>AND(Answers!BA35,"AAAAAH+R+0A=")</f>
        <v>#VALUE!</v>
      </c>
      <c r="BN17" t="e">
        <f>AND(Answers!BB35,"AAAAAH+R+0E=")</f>
        <v>#VALUE!</v>
      </c>
      <c r="BO17" t="e">
        <f>AND(Answers!BC35,"AAAAAH+R+0I=")</f>
        <v>#VALUE!</v>
      </c>
      <c r="BP17" t="e">
        <f>AND(Answers!BD35,"AAAAAH+R+0M=")</f>
        <v>#VALUE!</v>
      </c>
      <c r="BQ17" t="e">
        <f>AND(Answers!BE35,"AAAAAH+R+0Q=")</f>
        <v>#VALUE!</v>
      </c>
      <c r="BR17" t="e">
        <f>AND(Answers!BF35,"AAAAAH+R+0U=")</f>
        <v>#VALUE!</v>
      </c>
      <c r="BS17" t="e">
        <f>AND(Answers!BG35,"AAAAAH+R+0Y=")</f>
        <v>#VALUE!</v>
      </c>
      <c r="BT17" t="e">
        <f>AND(Answers!BH35,"AAAAAH+R+0c=")</f>
        <v>#VALUE!</v>
      </c>
      <c r="BU17" t="e">
        <f>AND(Answers!BI35,"AAAAAH+R+0g=")</f>
        <v>#VALUE!</v>
      </c>
      <c r="BV17" t="e">
        <f>AND(Answers!BK35,"AAAAAH+R+0k=")</f>
        <v>#VALUE!</v>
      </c>
      <c r="BW17" t="e">
        <f>AND(Answers!BL35,"AAAAAH+R+0o=")</f>
        <v>#VALUE!</v>
      </c>
      <c r="BX17" t="e">
        <f>AND(Answers!BM35,"AAAAAH+R+0s=")</f>
        <v>#VALUE!</v>
      </c>
      <c r="BY17" t="e">
        <f>AND(Answers!BN35,"AAAAAH+R+0w=")</f>
        <v>#VALUE!</v>
      </c>
      <c r="BZ17" t="e">
        <f>AND(Answers!BO35,"AAAAAH+R+00=")</f>
        <v>#VALUE!</v>
      </c>
      <c r="CA17" t="e">
        <f>AND(Answers!BP35,"AAAAAH+R+04=")</f>
        <v>#VALUE!</v>
      </c>
      <c r="CB17" t="e">
        <f>AND(Answers!BQ35,"AAAAAH+R+08=")</f>
        <v>#VALUE!</v>
      </c>
      <c r="CC17" t="e">
        <f>AND(Answers!BR35,"AAAAAH+R+1A=")</f>
        <v>#VALUE!</v>
      </c>
      <c r="CD17" t="e">
        <f>AND(Answers!BS35,"AAAAAH+R+1E=")</f>
        <v>#VALUE!</v>
      </c>
      <c r="CE17" t="e">
        <f>AND(Answers!BU35,"AAAAAH+R+1I=")</f>
        <v>#VALUE!</v>
      </c>
      <c r="CF17" t="e">
        <f>AND(Answers!BV35,"AAAAAH+R+1M=")</f>
        <v>#VALUE!</v>
      </c>
      <c r="CG17" t="e">
        <f>AND(Answers!#REF!,"AAAAAH+R+1Q=")</f>
        <v>#REF!</v>
      </c>
      <c r="CH17" t="e">
        <f>AND(Answers!BW35,"AAAAAH+R+1U=")</f>
        <v>#VALUE!</v>
      </c>
      <c r="CI17" t="e">
        <f>AND(Answers!BX35,"AAAAAH+R+1Y=")</f>
        <v>#VALUE!</v>
      </c>
      <c r="CJ17" t="e">
        <f>AND(Answers!BY35,"AAAAAH+R+1c=")</f>
        <v>#VALUE!</v>
      </c>
      <c r="CK17" t="e">
        <f>AND(Answers!BZ35,"AAAAAH+R+1g=")</f>
        <v>#VALUE!</v>
      </c>
      <c r="CL17">
        <f>IF(Answers!36:36,"AAAAAH+R+1k=",0)</f>
        <v>0</v>
      </c>
      <c r="CM17" t="e">
        <f>AND(Answers!A36,"AAAAAH+R+1o=")</f>
        <v>#VALUE!</v>
      </c>
      <c r="CN17" t="e">
        <f>AND(Answers!B36,"AAAAAH+R+1s=")</f>
        <v>#VALUE!</v>
      </c>
      <c r="CO17" t="e">
        <f>AND(Answers!C36,"AAAAAH+R+1w=")</f>
        <v>#VALUE!</v>
      </c>
      <c r="CP17" t="e">
        <f>AND(Answers!D36,"AAAAAH+R+10=")</f>
        <v>#VALUE!</v>
      </c>
      <c r="CQ17" t="e">
        <f>AND(Answers!E36,"AAAAAH+R+14=")</f>
        <v>#VALUE!</v>
      </c>
      <c r="CR17" t="e">
        <f>AND(Answers!F36,"AAAAAH+R+18=")</f>
        <v>#VALUE!</v>
      </c>
      <c r="CS17" t="e">
        <f>AND(Answers!G36,"AAAAAH+R+2A=")</f>
        <v>#VALUE!</v>
      </c>
      <c r="CT17" t="e">
        <f>AND(Answers!H36,"AAAAAH+R+2E=")</f>
        <v>#VALUE!</v>
      </c>
      <c r="CU17" t="e">
        <f>AND(Answers!J36,"AAAAAH+R+2I=")</f>
        <v>#VALUE!</v>
      </c>
      <c r="CV17" t="e">
        <f>AND(Answers!K36,"AAAAAH+R+2M=")</f>
        <v>#VALUE!</v>
      </c>
      <c r="CW17" t="e">
        <f>AND(Answers!L36,"AAAAAH+R+2Q=")</f>
        <v>#VALUE!</v>
      </c>
      <c r="CX17" t="e">
        <f>AND(Answers!M36,"AAAAAH+R+2U=")</f>
        <v>#VALUE!</v>
      </c>
      <c r="CY17" t="e">
        <f>AND(Answers!N36,"AAAAAH+R+2Y=")</f>
        <v>#VALUE!</v>
      </c>
      <c r="CZ17" t="e">
        <f>AND(Answers!O36,"AAAAAH+R+2c=")</f>
        <v>#VALUE!</v>
      </c>
      <c r="DA17" t="e">
        <f>AND(Answers!P36,"AAAAAH+R+2g=")</f>
        <v>#VALUE!</v>
      </c>
      <c r="DB17" t="e">
        <f>AND(Answers!Q36,"AAAAAH+R+2k=")</f>
        <v>#VALUE!</v>
      </c>
      <c r="DC17" t="e">
        <f>AND(Answers!R36,"AAAAAH+R+2o=")</f>
        <v>#VALUE!</v>
      </c>
      <c r="DD17" t="e">
        <f>AND(Answers!S36,"AAAAAH+R+2s=")</f>
        <v>#VALUE!</v>
      </c>
      <c r="DE17" t="e">
        <f>AND(Answers!T36,"AAAAAH+R+2w=")</f>
        <v>#VALUE!</v>
      </c>
      <c r="DF17" t="e">
        <f>AND(Answers!U36,"AAAAAH+R+20=")</f>
        <v>#VALUE!</v>
      </c>
      <c r="DG17" t="e">
        <f>AND(Answers!V36,"AAAAAH+R+24=")</f>
        <v>#VALUE!</v>
      </c>
      <c r="DH17" t="e">
        <f>AND(Answers!X36,"AAAAAH+R+28=")</f>
        <v>#VALUE!</v>
      </c>
      <c r="DI17" t="e">
        <f>AND(Answers!Y36,"AAAAAH+R+3A=")</f>
        <v>#VALUE!</v>
      </c>
      <c r="DJ17" t="e">
        <f>AND(Answers!Z36,"AAAAAH+R+3E=")</f>
        <v>#VALUE!</v>
      </c>
      <c r="DK17" t="e">
        <f>AND(Answers!AA36,"AAAAAH+R+3I=")</f>
        <v>#VALUE!</v>
      </c>
      <c r="DL17" t="e">
        <f>AND(Answers!AB36,"AAAAAH+R+3M=")</f>
        <v>#VALUE!</v>
      </c>
      <c r="DM17" t="e">
        <f>AND(Answers!AC36,"AAAAAH+R+3Q=")</f>
        <v>#VALUE!</v>
      </c>
      <c r="DN17" t="e">
        <f>AND(Answers!AD36,"AAAAAH+R+3U=")</f>
        <v>#VALUE!</v>
      </c>
      <c r="DO17" t="e">
        <f>AND(Answers!AE36,"AAAAAH+R+3Y=")</f>
        <v>#VALUE!</v>
      </c>
      <c r="DP17" t="e">
        <f>AND(Answers!AF36,"AAAAAH+R+3c=")</f>
        <v>#VALUE!</v>
      </c>
      <c r="DQ17" t="e">
        <f>AND(Answers!AH36,"AAAAAH+R+3g=")</f>
        <v>#VALUE!</v>
      </c>
      <c r="DR17" t="e">
        <f>AND(Answers!AI36,"AAAAAH+R+3k=")</f>
        <v>#VALUE!</v>
      </c>
      <c r="DS17" t="e">
        <f>AND(Answers!AK36,"AAAAAH+R+3o=")</f>
        <v>#VALUE!</v>
      </c>
      <c r="DT17" t="e">
        <f>AND(Answers!#REF!,"AAAAAH+R+3s=")</f>
        <v>#REF!</v>
      </c>
      <c r="DU17" t="e">
        <f>AND(Answers!AR36,"AAAAAH+R+3w=")</f>
        <v>#VALUE!</v>
      </c>
      <c r="DV17" t="e">
        <f>AND(Answers!AS36,"AAAAAH+R+30=")</f>
        <v>#VALUE!</v>
      </c>
      <c r="DW17" t="e">
        <f>AND(Answers!AT36,"AAAAAH+R+34=")</f>
        <v>#VALUE!</v>
      </c>
      <c r="DX17" t="e">
        <f>AND(Answers!AU36,"AAAAAH+R+38=")</f>
        <v>#VALUE!</v>
      </c>
      <c r="DY17" t="e">
        <f>AND(Answers!AW36,"AAAAAH+R+4A=")</f>
        <v>#VALUE!</v>
      </c>
      <c r="DZ17" t="e">
        <f>AND(Answers!AX36,"AAAAAH+R+4E=")</f>
        <v>#VALUE!</v>
      </c>
      <c r="EA17" t="e">
        <f>AND(Answers!AY36,"AAAAAH+R+4I=")</f>
        <v>#VALUE!</v>
      </c>
      <c r="EB17" t="e">
        <f>AND(Answers!AZ36,"AAAAAH+R+4M=")</f>
        <v>#VALUE!</v>
      </c>
      <c r="EC17" t="e">
        <f>AND(Answers!BA36,"AAAAAH+R+4Q=")</f>
        <v>#VALUE!</v>
      </c>
      <c r="ED17" t="e">
        <f>AND(Answers!BB36,"AAAAAH+R+4U=")</f>
        <v>#VALUE!</v>
      </c>
      <c r="EE17" t="e">
        <f>AND(Answers!BC36,"AAAAAH+R+4Y=")</f>
        <v>#VALUE!</v>
      </c>
      <c r="EF17" t="e">
        <f>AND(Answers!BD36,"AAAAAH+R+4c=")</f>
        <v>#VALUE!</v>
      </c>
      <c r="EG17" t="e">
        <f>AND(Answers!BE36,"AAAAAH+R+4g=")</f>
        <v>#VALUE!</v>
      </c>
      <c r="EH17" t="e">
        <f>AND(Answers!BF36,"AAAAAH+R+4k=")</f>
        <v>#VALUE!</v>
      </c>
      <c r="EI17" t="e">
        <f>AND(Answers!BG36,"AAAAAH+R+4o=")</f>
        <v>#VALUE!</v>
      </c>
      <c r="EJ17" t="e">
        <f>AND(Answers!BH36,"AAAAAH+R+4s=")</f>
        <v>#VALUE!</v>
      </c>
      <c r="EK17" t="e">
        <f>AND(Answers!BI36,"AAAAAH+R+4w=")</f>
        <v>#VALUE!</v>
      </c>
      <c r="EL17" t="e">
        <f>AND(Answers!BK36,"AAAAAH+R+40=")</f>
        <v>#VALUE!</v>
      </c>
      <c r="EM17" t="e">
        <f>AND(Answers!BL36,"AAAAAH+R+44=")</f>
        <v>#VALUE!</v>
      </c>
      <c r="EN17" t="e">
        <f>AND(Answers!BM36,"AAAAAH+R+48=")</f>
        <v>#VALUE!</v>
      </c>
      <c r="EO17" t="e">
        <f>AND(Answers!BN36,"AAAAAH+R+5A=")</f>
        <v>#VALUE!</v>
      </c>
      <c r="EP17" t="e">
        <f>AND(Answers!BO36,"AAAAAH+R+5E=")</f>
        <v>#VALUE!</v>
      </c>
      <c r="EQ17" t="e">
        <f>AND(Answers!BP36,"AAAAAH+R+5I=")</f>
        <v>#VALUE!</v>
      </c>
      <c r="ER17" t="e">
        <f>AND(Answers!BQ36,"AAAAAH+R+5M=")</f>
        <v>#VALUE!</v>
      </c>
      <c r="ES17" t="e">
        <f>AND(Answers!BR36,"AAAAAH+R+5Q=")</f>
        <v>#VALUE!</v>
      </c>
      <c r="ET17" t="e">
        <f>AND(Answers!BS36,"AAAAAH+R+5U=")</f>
        <v>#VALUE!</v>
      </c>
      <c r="EU17" t="e">
        <f>AND(Answers!BU36,"AAAAAH+R+5Y=")</f>
        <v>#VALUE!</v>
      </c>
      <c r="EV17" t="e">
        <f>AND(Answers!BV36,"AAAAAH+R+5c=")</f>
        <v>#VALUE!</v>
      </c>
      <c r="EW17" t="e">
        <f>AND(Answers!#REF!,"AAAAAH+R+5g=")</f>
        <v>#REF!</v>
      </c>
      <c r="EX17" t="e">
        <f>AND(Answers!BW36,"AAAAAH+R+5k=")</f>
        <v>#VALUE!</v>
      </c>
      <c r="EY17" t="e">
        <f>AND(Answers!BX36,"AAAAAH+R+5o=")</f>
        <v>#VALUE!</v>
      </c>
      <c r="EZ17" t="e">
        <f>AND(Answers!BY36,"AAAAAH+R+5s=")</f>
        <v>#VALUE!</v>
      </c>
      <c r="FA17" t="e">
        <f>AND(Answers!BZ36,"AAAAAH+R+5w=")</f>
        <v>#VALUE!</v>
      </c>
      <c r="FB17">
        <f>IF(Answers!37:37,"AAAAAH+R+50=",0)</f>
        <v>0</v>
      </c>
      <c r="FC17" t="e">
        <f>AND(Answers!A37,"AAAAAH+R+54=")</f>
        <v>#VALUE!</v>
      </c>
      <c r="FD17" t="e">
        <f>AND(Answers!B37,"AAAAAH+R+58=")</f>
        <v>#VALUE!</v>
      </c>
      <c r="FE17" t="e">
        <f>AND(Answers!C37,"AAAAAH+R+6A=")</f>
        <v>#VALUE!</v>
      </c>
      <c r="FF17" t="e">
        <f>AND(Answers!D37,"AAAAAH+R+6E=")</f>
        <v>#VALUE!</v>
      </c>
      <c r="FG17" t="e">
        <f>AND(Answers!E37,"AAAAAH+R+6I=")</f>
        <v>#VALUE!</v>
      </c>
      <c r="FH17" t="e">
        <f>AND(Answers!F37,"AAAAAH+R+6M=")</f>
        <v>#VALUE!</v>
      </c>
      <c r="FI17" t="e">
        <f>AND(Answers!G37,"AAAAAH+R+6Q=")</f>
        <v>#VALUE!</v>
      </c>
      <c r="FJ17" t="e">
        <f>AND(Answers!H37,"AAAAAH+R+6U=")</f>
        <v>#VALUE!</v>
      </c>
      <c r="FK17" t="e">
        <f>AND(Answers!J37,"AAAAAH+R+6Y=")</f>
        <v>#VALUE!</v>
      </c>
      <c r="FL17" t="e">
        <f>AND(Answers!K37,"AAAAAH+R+6c=")</f>
        <v>#VALUE!</v>
      </c>
      <c r="FM17" t="e">
        <f>AND(Answers!L37,"AAAAAH+R+6g=")</f>
        <v>#VALUE!</v>
      </c>
      <c r="FN17" t="e">
        <f>AND(Answers!M37,"AAAAAH+R+6k=")</f>
        <v>#VALUE!</v>
      </c>
      <c r="FO17" t="e">
        <f>AND(Answers!N37,"AAAAAH+R+6o=")</f>
        <v>#VALUE!</v>
      </c>
      <c r="FP17" t="e">
        <f>AND(Answers!O37,"AAAAAH+R+6s=")</f>
        <v>#VALUE!</v>
      </c>
      <c r="FQ17" t="e">
        <f>AND(Answers!P37,"AAAAAH+R+6w=")</f>
        <v>#VALUE!</v>
      </c>
      <c r="FR17" t="e">
        <f>AND(Answers!Q37,"AAAAAH+R+60=")</f>
        <v>#VALUE!</v>
      </c>
      <c r="FS17" t="e">
        <f>AND(Answers!R37,"AAAAAH+R+64=")</f>
        <v>#VALUE!</v>
      </c>
      <c r="FT17" t="e">
        <f>AND(Answers!S37,"AAAAAH+R+68=")</f>
        <v>#VALUE!</v>
      </c>
      <c r="FU17" t="e">
        <f>AND(Answers!T37,"AAAAAH+R+7A=")</f>
        <v>#VALUE!</v>
      </c>
      <c r="FV17" t="e">
        <f>AND(Answers!U37,"AAAAAH+R+7E=")</f>
        <v>#VALUE!</v>
      </c>
      <c r="FW17" t="e">
        <f>AND(Answers!V37,"AAAAAH+R+7I=")</f>
        <v>#VALUE!</v>
      </c>
      <c r="FX17" t="e">
        <f>AND(Answers!X37,"AAAAAH+R+7M=")</f>
        <v>#VALUE!</v>
      </c>
      <c r="FY17" t="e">
        <f>AND(Answers!Y37,"AAAAAH+R+7Q=")</f>
        <v>#VALUE!</v>
      </c>
      <c r="FZ17" t="e">
        <f>AND(Answers!Z37,"AAAAAH+R+7U=")</f>
        <v>#VALUE!</v>
      </c>
      <c r="GA17" t="e">
        <f>AND(Answers!AA37,"AAAAAH+R+7Y=")</f>
        <v>#VALUE!</v>
      </c>
      <c r="GB17" t="e">
        <f>AND(Answers!AB37,"AAAAAH+R+7c=")</f>
        <v>#VALUE!</v>
      </c>
      <c r="GC17" t="e">
        <f>AND(Answers!AC37,"AAAAAH+R+7g=")</f>
        <v>#VALUE!</v>
      </c>
      <c r="GD17" t="e">
        <f>AND(Answers!AD37,"AAAAAH+R+7k=")</f>
        <v>#VALUE!</v>
      </c>
      <c r="GE17" t="e">
        <f>AND(Answers!AE37,"AAAAAH+R+7o=")</f>
        <v>#VALUE!</v>
      </c>
      <c r="GF17" t="e">
        <f>AND(Answers!AF37,"AAAAAH+R+7s=")</f>
        <v>#VALUE!</v>
      </c>
      <c r="GG17" t="e">
        <f>AND(Answers!AH37,"AAAAAH+R+7w=")</f>
        <v>#VALUE!</v>
      </c>
      <c r="GH17" t="e">
        <f>AND(Answers!AI37,"AAAAAH+R+70=")</f>
        <v>#VALUE!</v>
      </c>
      <c r="GI17" t="e">
        <f>AND(Answers!AK37,"AAAAAH+R+74=")</f>
        <v>#VALUE!</v>
      </c>
      <c r="GJ17" t="e">
        <f>AND(Answers!#REF!,"AAAAAH+R+78=")</f>
        <v>#REF!</v>
      </c>
      <c r="GK17" t="e">
        <f>AND(Answers!AR37,"AAAAAH+R+8A=")</f>
        <v>#VALUE!</v>
      </c>
      <c r="GL17" t="e">
        <f>AND(Answers!AS37,"AAAAAH+R+8E=")</f>
        <v>#VALUE!</v>
      </c>
      <c r="GM17" t="e">
        <f>AND(Answers!AT37,"AAAAAH+R+8I=")</f>
        <v>#VALUE!</v>
      </c>
      <c r="GN17" t="e">
        <f>AND(Answers!AU37,"AAAAAH+R+8M=")</f>
        <v>#VALUE!</v>
      </c>
      <c r="GO17" t="e">
        <f>AND(Answers!AW37,"AAAAAH+R+8Q=")</f>
        <v>#VALUE!</v>
      </c>
      <c r="GP17" t="e">
        <f>AND(Answers!AX37,"AAAAAH+R+8U=")</f>
        <v>#VALUE!</v>
      </c>
      <c r="GQ17" t="e">
        <f>AND(Answers!AY37,"AAAAAH+R+8Y=")</f>
        <v>#VALUE!</v>
      </c>
      <c r="GR17" t="e">
        <f>AND(Answers!AZ37,"AAAAAH+R+8c=")</f>
        <v>#VALUE!</v>
      </c>
      <c r="GS17" t="e">
        <f>AND(Answers!BA37,"AAAAAH+R+8g=")</f>
        <v>#VALUE!</v>
      </c>
      <c r="GT17" t="e">
        <f>AND(Answers!BB37,"AAAAAH+R+8k=")</f>
        <v>#VALUE!</v>
      </c>
      <c r="GU17" t="e">
        <f>AND(Answers!BC37,"AAAAAH+R+8o=")</f>
        <v>#VALUE!</v>
      </c>
      <c r="GV17" t="e">
        <f>AND(Answers!BD37,"AAAAAH+R+8s=")</f>
        <v>#VALUE!</v>
      </c>
      <c r="GW17" t="e">
        <f>AND(Answers!BE37,"AAAAAH+R+8w=")</f>
        <v>#VALUE!</v>
      </c>
      <c r="GX17" t="e">
        <f>AND(Answers!BF37,"AAAAAH+R+80=")</f>
        <v>#VALUE!</v>
      </c>
      <c r="GY17" t="e">
        <f>AND(Answers!BG37,"AAAAAH+R+84=")</f>
        <v>#VALUE!</v>
      </c>
      <c r="GZ17" t="e">
        <f>AND(Answers!BH37,"AAAAAH+R+88=")</f>
        <v>#VALUE!</v>
      </c>
      <c r="HA17" t="e">
        <f>AND(Answers!BI37,"AAAAAH+R+9A=")</f>
        <v>#VALUE!</v>
      </c>
      <c r="HB17" t="e">
        <f>AND(Answers!BK37,"AAAAAH+R+9E=")</f>
        <v>#VALUE!</v>
      </c>
      <c r="HC17" t="e">
        <f>AND(Answers!BL37,"AAAAAH+R+9I=")</f>
        <v>#VALUE!</v>
      </c>
      <c r="HD17" t="e">
        <f>AND(Answers!BM37,"AAAAAH+R+9M=")</f>
        <v>#VALUE!</v>
      </c>
      <c r="HE17" t="e">
        <f>AND(Answers!BN37,"AAAAAH+R+9Q=")</f>
        <v>#VALUE!</v>
      </c>
      <c r="HF17" t="e">
        <f>AND(Answers!BO37,"AAAAAH+R+9U=")</f>
        <v>#VALUE!</v>
      </c>
      <c r="HG17" t="e">
        <f>AND(Answers!BP37,"AAAAAH+R+9Y=")</f>
        <v>#VALUE!</v>
      </c>
      <c r="HH17" t="e">
        <f>AND(Answers!BQ37,"AAAAAH+R+9c=")</f>
        <v>#VALUE!</v>
      </c>
      <c r="HI17" t="e">
        <f>AND(Answers!BR37,"AAAAAH+R+9g=")</f>
        <v>#VALUE!</v>
      </c>
      <c r="HJ17" t="e">
        <f>AND(Answers!BS37,"AAAAAH+R+9k=")</f>
        <v>#VALUE!</v>
      </c>
      <c r="HK17" t="e">
        <f>AND(Answers!BU37,"AAAAAH+R+9o=")</f>
        <v>#VALUE!</v>
      </c>
      <c r="HL17" t="e">
        <f>AND(Answers!BV37,"AAAAAH+R+9s=")</f>
        <v>#VALUE!</v>
      </c>
      <c r="HM17" t="e">
        <f>AND(Answers!#REF!,"AAAAAH+R+9w=")</f>
        <v>#REF!</v>
      </c>
      <c r="HN17" t="e">
        <f>AND(Answers!BW37,"AAAAAH+R+90=")</f>
        <v>#VALUE!</v>
      </c>
      <c r="HO17" t="e">
        <f>AND(Answers!BX37,"AAAAAH+R+94=")</f>
        <v>#VALUE!</v>
      </c>
      <c r="HP17" t="e">
        <f>AND(Answers!BY37,"AAAAAH+R+98=")</f>
        <v>#VALUE!</v>
      </c>
      <c r="HQ17" t="e">
        <f>AND(Answers!BZ37,"AAAAAH+R++A=")</f>
        <v>#VALUE!</v>
      </c>
      <c r="HR17">
        <f>IF(Answers!38:38,"AAAAAH+R++E=",0)</f>
        <v>0</v>
      </c>
      <c r="HS17" t="e">
        <f>AND(Answers!A38,"AAAAAH+R++I=")</f>
        <v>#VALUE!</v>
      </c>
      <c r="HT17" t="e">
        <f>AND(Answers!B38,"AAAAAH+R++M=")</f>
        <v>#VALUE!</v>
      </c>
      <c r="HU17" t="e">
        <f>AND(Answers!C38,"AAAAAH+R++Q=")</f>
        <v>#VALUE!</v>
      </c>
      <c r="HV17" t="e">
        <f>AND(Answers!D38,"AAAAAH+R++U=")</f>
        <v>#VALUE!</v>
      </c>
      <c r="HW17" t="e">
        <f>AND(Answers!E38,"AAAAAH+R++Y=")</f>
        <v>#VALUE!</v>
      </c>
      <c r="HX17" t="e">
        <f>AND(Answers!F38,"AAAAAH+R++c=")</f>
        <v>#VALUE!</v>
      </c>
      <c r="HY17" t="e">
        <f>AND(Answers!G38,"AAAAAH+R++g=")</f>
        <v>#VALUE!</v>
      </c>
      <c r="HZ17" t="e">
        <f>AND(Answers!H38,"AAAAAH+R++k=")</f>
        <v>#VALUE!</v>
      </c>
      <c r="IA17" t="e">
        <f>AND(Answers!J38,"AAAAAH+R++o=")</f>
        <v>#VALUE!</v>
      </c>
      <c r="IB17" t="e">
        <f>AND(Answers!K38,"AAAAAH+R++s=")</f>
        <v>#VALUE!</v>
      </c>
      <c r="IC17" t="e">
        <f>AND(Answers!L38,"AAAAAH+R++w=")</f>
        <v>#VALUE!</v>
      </c>
      <c r="ID17" t="e">
        <f>AND(Answers!M38,"AAAAAH+R++0=")</f>
        <v>#VALUE!</v>
      </c>
      <c r="IE17" t="e">
        <f>AND(Answers!N38,"AAAAAH+R++4=")</f>
        <v>#VALUE!</v>
      </c>
      <c r="IF17" t="e">
        <f>AND(Answers!O38,"AAAAAH+R++8=")</f>
        <v>#VALUE!</v>
      </c>
      <c r="IG17" t="e">
        <f>AND(Answers!P38,"AAAAAH+R+/A=")</f>
        <v>#VALUE!</v>
      </c>
      <c r="IH17" t="e">
        <f>AND(Answers!Q38,"AAAAAH+R+/E=")</f>
        <v>#VALUE!</v>
      </c>
      <c r="II17" t="e">
        <f>AND(Answers!R38,"AAAAAH+R+/I=")</f>
        <v>#VALUE!</v>
      </c>
      <c r="IJ17" t="e">
        <f>AND(Answers!S38,"AAAAAH+R+/M=")</f>
        <v>#VALUE!</v>
      </c>
      <c r="IK17" t="e">
        <f>AND(Answers!T38,"AAAAAH+R+/Q=")</f>
        <v>#VALUE!</v>
      </c>
      <c r="IL17" t="e">
        <f>AND(Answers!U38,"AAAAAH+R+/U=")</f>
        <v>#VALUE!</v>
      </c>
      <c r="IM17" t="e">
        <f>AND(Answers!V38,"AAAAAH+R+/Y=")</f>
        <v>#VALUE!</v>
      </c>
      <c r="IN17" t="e">
        <f>AND(Answers!X38,"AAAAAH+R+/c=")</f>
        <v>#VALUE!</v>
      </c>
      <c r="IO17" t="e">
        <f>AND(Answers!Y38,"AAAAAH+R+/g=")</f>
        <v>#VALUE!</v>
      </c>
      <c r="IP17" t="e">
        <f>AND(Answers!Z38,"AAAAAH+R+/k=")</f>
        <v>#VALUE!</v>
      </c>
      <c r="IQ17" t="e">
        <f>AND(Answers!AA38,"AAAAAH+R+/o=")</f>
        <v>#VALUE!</v>
      </c>
      <c r="IR17" t="e">
        <f>AND(Answers!AB38,"AAAAAH+R+/s=")</f>
        <v>#VALUE!</v>
      </c>
      <c r="IS17" t="e">
        <f>AND(Answers!AC38,"AAAAAH+R+/w=")</f>
        <v>#VALUE!</v>
      </c>
      <c r="IT17" t="e">
        <f>AND(Answers!AD38,"AAAAAH+R+/0=")</f>
        <v>#VALUE!</v>
      </c>
      <c r="IU17" t="e">
        <f>AND(Answers!AE38,"AAAAAH+R+/4=")</f>
        <v>#VALUE!</v>
      </c>
      <c r="IV17" t="e">
        <f>AND(Answers!AF38,"AAAAAH+R+/8=")</f>
        <v>#VALUE!</v>
      </c>
    </row>
    <row r="18" spans="1:256" x14ac:dyDescent="0.15">
      <c r="A18" t="e">
        <f>AND(Answers!AH38,"AAAAAH6f8wA=")</f>
        <v>#VALUE!</v>
      </c>
      <c r="B18" t="e">
        <f>AND(Answers!AI38,"AAAAAH6f8wE=")</f>
        <v>#VALUE!</v>
      </c>
      <c r="C18" t="e">
        <f>AND(Answers!AK38,"AAAAAH6f8wI=")</f>
        <v>#VALUE!</v>
      </c>
      <c r="D18" t="e">
        <f>AND(Answers!#REF!,"AAAAAH6f8wM=")</f>
        <v>#REF!</v>
      </c>
      <c r="E18" t="e">
        <f>AND(Answers!AR38,"AAAAAH6f8wQ=")</f>
        <v>#VALUE!</v>
      </c>
      <c r="F18" t="e">
        <f>AND(Answers!AS38,"AAAAAH6f8wU=")</f>
        <v>#VALUE!</v>
      </c>
      <c r="G18" t="e">
        <f>AND(Answers!AT38,"AAAAAH6f8wY=")</f>
        <v>#VALUE!</v>
      </c>
      <c r="H18" t="e">
        <f>AND(Answers!AU38,"AAAAAH6f8wc=")</f>
        <v>#VALUE!</v>
      </c>
      <c r="I18" t="e">
        <f>AND(Answers!AW38,"AAAAAH6f8wg=")</f>
        <v>#VALUE!</v>
      </c>
      <c r="J18" t="e">
        <f>AND(Answers!AX38,"AAAAAH6f8wk=")</f>
        <v>#VALUE!</v>
      </c>
      <c r="K18" t="e">
        <f>AND(Answers!AY38,"AAAAAH6f8wo=")</f>
        <v>#VALUE!</v>
      </c>
      <c r="L18" t="e">
        <f>AND(Answers!AZ38,"AAAAAH6f8ws=")</f>
        <v>#VALUE!</v>
      </c>
      <c r="M18" t="e">
        <f>AND(Answers!BA38,"AAAAAH6f8ww=")</f>
        <v>#VALUE!</v>
      </c>
      <c r="N18" t="e">
        <f>AND(Answers!BB38,"AAAAAH6f8w0=")</f>
        <v>#VALUE!</v>
      </c>
      <c r="O18" t="e">
        <f>AND(Answers!BC38,"AAAAAH6f8w4=")</f>
        <v>#VALUE!</v>
      </c>
      <c r="P18" t="e">
        <f>AND(Answers!BD38,"AAAAAH6f8w8=")</f>
        <v>#VALUE!</v>
      </c>
      <c r="Q18" t="e">
        <f>AND(Answers!BE38,"AAAAAH6f8xA=")</f>
        <v>#VALUE!</v>
      </c>
      <c r="R18" t="e">
        <f>AND(Answers!BF38,"AAAAAH6f8xE=")</f>
        <v>#VALUE!</v>
      </c>
      <c r="S18" t="e">
        <f>AND(Answers!BG38,"AAAAAH6f8xI=")</f>
        <v>#VALUE!</v>
      </c>
      <c r="T18" t="e">
        <f>AND(Answers!BH38,"AAAAAH6f8xM=")</f>
        <v>#VALUE!</v>
      </c>
      <c r="U18" t="e">
        <f>AND(Answers!BI38,"AAAAAH6f8xQ=")</f>
        <v>#VALUE!</v>
      </c>
      <c r="V18" t="e">
        <f>AND(Answers!BK38,"AAAAAH6f8xU=")</f>
        <v>#VALUE!</v>
      </c>
      <c r="W18" t="e">
        <f>AND(Answers!BL38,"AAAAAH6f8xY=")</f>
        <v>#VALUE!</v>
      </c>
      <c r="X18" t="e">
        <f>AND(Answers!BM38,"AAAAAH6f8xc=")</f>
        <v>#VALUE!</v>
      </c>
      <c r="Y18" t="e">
        <f>AND(Answers!BN38,"AAAAAH6f8xg=")</f>
        <v>#VALUE!</v>
      </c>
      <c r="Z18" t="e">
        <f>AND(Answers!BO38,"AAAAAH6f8xk=")</f>
        <v>#VALUE!</v>
      </c>
      <c r="AA18" t="e">
        <f>AND(Answers!BP38,"AAAAAH6f8xo=")</f>
        <v>#VALUE!</v>
      </c>
      <c r="AB18" t="e">
        <f>AND(Answers!BQ38,"AAAAAH6f8xs=")</f>
        <v>#VALUE!</v>
      </c>
      <c r="AC18" t="e">
        <f>AND(Answers!BR38,"AAAAAH6f8xw=")</f>
        <v>#VALUE!</v>
      </c>
      <c r="AD18" t="e">
        <f>AND(Answers!BS38,"AAAAAH6f8x0=")</f>
        <v>#VALUE!</v>
      </c>
      <c r="AE18" t="e">
        <f>AND(Answers!BU38,"AAAAAH6f8x4=")</f>
        <v>#VALUE!</v>
      </c>
      <c r="AF18" t="e">
        <f>AND(Answers!BV38,"AAAAAH6f8x8=")</f>
        <v>#VALUE!</v>
      </c>
      <c r="AG18" t="e">
        <f>AND(Answers!#REF!,"AAAAAH6f8yA=")</f>
        <v>#REF!</v>
      </c>
      <c r="AH18" t="e">
        <f>AND(Answers!BW38,"AAAAAH6f8yE=")</f>
        <v>#VALUE!</v>
      </c>
      <c r="AI18" t="e">
        <f>AND(Answers!BX38,"AAAAAH6f8yI=")</f>
        <v>#VALUE!</v>
      </c>
      <c r="AJ18" t="e">
        <f>AND(Answers!BY38,"AAAAAH6f8yM=")</f>
        <v>#VALUE!</v>
      </c>
      <c r="AK18" t="e">
        <f>AND(Answers!BZ38,"AAAAAH6f8yQ=")</f>
        <v>#VALUE!</v>
      </c>
      <c r="AL18">
        <f>IF(Answers!39:39,"AAAAAH6f8yU=",0)</f>
        <v>0</v>
      </c>
      <c r="AM18" t="e">
        <f>AND(Answers!A39,"AAAAAH6f8yY=")</f>
        <v>#VALUE!</v>
      </c>
      <c r="AN18" t="e">
        <f>AND(Answers!B39,"AAAAAH6f8yc=")</f>
        <v>#VALUE!</v>
      </c>
      <c r="AO18" t="e">
        <f>AND(Answers!C39,"AAAAAH6f8yg=")</f>
        <v>#VALUE!</v>
      </c>
      <c r="AP18" t="e">
        <f>AND(Answers!D39,"AAAAAH6f8yk=")</f>
        <v>#VALUE!</v>
      </c>
      <c r="AQ18" t="e">
        <f>AND(Answers!E39,"AAAAAH6f8yo=")</f>
        <v>#VALUE!</v>
      </c>
      <c r="AR18" t="e">
        <f>AND(Answers!F39,"AAAAAH6f8ys=")</f>
        <v>#VALUE!</v>
      </c>
      <c r="AS18" t="e">
        <f>AND(Answers!G39,"AAAAAH6f8yw=")</f>
        <v>#VALUE!</v>
      </c>
      <c r="AT18" t="e">
        <f>AND(Answers!H39,"AAAAAH6f8y0=")</f>
        <v>#VALUE!</v>
      </c>
      <c r="AU18" t="e">
        <f>AND(Answers!J39,"AAAAAH6f8y4=")</f>
        <v>#VALUE!</v>
      </c>
      <c r="AV18" t="e">
        <f>AND(Answers!K39,"AAAAAH6f8y8=")</f>
        <v>#VALUE!</v>
      </c>
      <c r="AW18" t="e">
        <f>AND(Answers!L39,"AAAAAH6f8zA=")</f>
        <v>#VALUE!</v>
      </c>
      <c r="AX18" t="e">
        <f>AND(Answers!M39,"AAAAAH6f8zE=")</f>
        <v>#VALUE!</v>
      </c>
      <c r="AY18" t="e">
        <f>AND(Answers!N39,"AAAAAH6f8zI=")</f>
        <v>#VALUE!</v>
      </c>
      <c r="AZ18" t="e">
        <f>AND(Answers!O39,"AAAAAH6f8zM=")</f>
        <v>#VALUE!</v>
      </c>
      <c r="BA18" t="e">
        <f>AND(Answers!P39,"AAAAAH6f8zQ=")</f>
        <v>#VALUE!</v>
      </c>
      <c r="BB18" t="e">
        <f>AND(Answers!Q39,"AAAAAH6f8zU=")</f>
        <v>#VALUE!</v>
      </c>
      <c r="BC18" t="e">
        <f>AND(Answers!R39,"AAAAAH6f8zY=")</f>
        <v>#VALUE!</v>
      </c>
      <c r="BD18" t="e">
        <f>AND(Answers!S39,"AAAAAH6f8zc=")</f>
        <v>#VALUE!</v>
      </c>
      <c r="BE18" t="e">
        <f>AND(Answers!T39,"AAAAAH6f8zg=")</f>
        <v>#VALUE!</v>
      </c>
      <c r="BF18" t="e">
        <f>AND(Answers!U39,"AAAAAH6f8zk=")</f>
        <v>#VALUE!</v>
      </c>
      <c r="BG18" t="e">
        <f>AND(Answers!V39,"AAAAAH6f8zo=")</f>
        <v>#VALUE!</v>
      </c>
      <c r="BH18" t="e">
        <f>AND(Answers!X39,"AAAAAH6f8zs=")</f>
        <v>#VALUE!</v>
      </c>
      <c r="BI18" t="e">
        <f>AND(Answers!Y39,"AAAAAH6f8zw=")</f>
        <v>#VALUE!</v>
      </c>
      <c r="BJ18" t="e">
        <f>AND(Answers!Z39,"AAAAAH6f8z0=")</f>
        <v>#VALUE!</v>
      </c>
      <c r="BK18" t="e">
        <f>AND(Answers!AA39,"AAAAAH6f8z4=")</f>
        <v>#VALUE!</v>
      </c>
      <c r="BL18" t="e">
        <f>AND(Answers!AB39,"AAAAAH6f8z8=")</f>
        <v>#VALUE!</v>
      </c>
      <c r="BM18" t="e">
        <f>AND(Answers!AC39,"AAAAAH6f80A=")</f>
        <v>#VALUE!</v>
      </c>
      <c r="BN18" t="e">
        <f>AND(Answers!AD39,"AAAAAH6f80E=")</f>
        <v>#VALUE!</v>
      </c>
      <c r="BO18" t="e">
        <f>AND(Answers!AE39,"AAAAAH6f80I=")</f>
        <v>#VALUE!</v>
      </c>
      <c r="BP18" t="e">
        <f>AND(Answers!AF39,"AAAAAH6f80M=")</f>
        <v>#VALUE!</v>
      </c>
      <c r="BQ18" t="e">
        <f>AND(Answers!AH39,"AAAAAH6f80Q=")</f>
        <v>#VALUE!</v>
      </c>
      <c r="BR18" t="e">
        <f>AND(Answers!AI39,"AAAAAH6f80U=")</f>
        <v>#VALUE!</v>
      </c>
      <c r="BS18" t="e">
        <f>AND(Answers!AK39,"AAAAAH6f80Y=")</f>
        <v>#VALUE!</v>
      </c>
      <c r="BT18" t="e">
        <f>AND(Answers!#REF!,"AAAAAH6f80c=")</f>
        <v>#REF!</v>
      </c>
      <c r="BU18" t="e">
        <f>AND(Answers!AR39,"AAAAAH6f80g=")</f>
        <v>#VALUE!</v>
      </c>
      <c r="BV18" t="e">
        <f>AND(Answers!AS39,"AAAAAH6f80k=")</f>
        <v>#VALUE!</v>
      </c>
      <c r="BW18" t="e">
        <f>AND(Answers!AT39,"AAAAAH6f80o=")</f>
        <v>#VALUE!</v>
      </c>
      <c r="BX18" t="e">
        <f>AND(Answers!AU39,"AAAAAH6f80s=")</f>
        <v>#VALUE!</v>
      </c>
      <c r="BY18" t="e">
        <f>AND(Answers!AW39,"AAAAAH6f80w=")</f>
        <v>#VALUE!</v>
      </c>
      <c r="BZ18" t="e">
        <f>AND(Answers!AX39,"AAAAAH6f800=")</f>
        <v>#VALUE!</v>
      </c>
      <c r="CA18" t="e">
        <f>AND(Answers!AY39,"AAAAAH6f804=")</f>
        <v>#VALUE!</v>
      </c>
      <c r="CB18" t="e">
        <f>AND(Answers!AZ39,"AAAAAH6f808=")</f>
        <v>#VALUE!</v>
      </c>
      <c r="CC18" t="e">
        <f>AND(Answers!BA39,"AAAAAH6f81A=")</f>
        <v>#VALUE!</v>
      </c>
      <c r="CD18" t="e">
        <f>AND(Answers!BB39,"AAAAAH6f81E=")</f>
        <v>#VALUE!</v>
      </c>
      <c r="CE18" t="e">
        <f>AND(Answers!BC39,"AAAAAH6f81I=")</f>
        <v>#VALUE!</v>
      </c>
      <c r="CF18" t="e">
        <f>AND(Answers!BD39,"AAAAAH6f81M=")</f>
        <v>#VALUE!</v>
      </c>
      <c r="CG18" t="e">
        <f>AND(Answers!BE39,"AAAAAH6f81Q=")</f>
        <v>#VALUE!</v>
      </c>
      <c r="CH18" t="e">
        <f>AND(Answers!BF39,"AAAAAH6f81U=")</f>
        <v>#VALUE!</v>
      </c>
      <c r="CI18" t="e">
        <f>AND(Answers!BG39,"AAAAAH6f81Y=")</f>
        <v>#VALUE!</v>
      </c>
      <c r="CJ18" t="e">
        <f>AND(Answers!BH39,"AAAAAH6f81c=")</f>
        <v>#VALUE!</v>
      </c>
      <c r="CK18" t="e">
        <f>AND(Answers!BI39,"AAAAAH6f81g=")</f>
        <v>#VALUE!</v>
      </c>
      <c r="CL18" t="e">
        <f>AND(Answers!BK39,"AAAAAH6f81k=")</f>
        <v>#VALUE!</v>
      </c>
      <c r="CM18" t="e">
        <f>AND(Answers!BL39,"AAAAAH6f81o=")</f>
        <v>#VALUE!</v>
      </c>
      <c r="CN18" t="e">
        <f>AND(Answers!BM39,"AAAAAH6f81s=")</f>
        <v>#VALUE!</v>
      </c>
      <c r="CO18" t="e">
        <f>AND(Answers!BN39,"AAAAAH6f81w=")</f>
        <v>#VALUE!</v>
      </c>
      <c r="CP18" t="e">
        <f>AND(Answers!BO39,"AAAAAH6f810=")</f>
        <v>#VALUE!</v>
      </c>
      <c r="CQ18" t="e">
        <f>AND(Answers!BP39,"AAAAAH6f814=")</f>
        <v>#VALUE!</v>
      </c>
      <c r="CR18" t="e">
        <f>AND(Answers!BQ39,"AAAAAH6f818=")</f>
        <v>#VALUE!</v>
      </c>
      <c r="CS18" t="e">
        <f>AND(Answers!BR39,"AAAAAH6f82A=")</f>
        <v>#VALUE!</v>
      </c>
      <c r="CT18" t="e">
        <f>AND(Answers!BS39,"AAAAAH6f82E=")</f>
        <v>#VALUE!</v>
      </c>
      <c r="CU18" t="e">
        <f>AND(Answers!BU39,"AAAAAH6f82I=")</f>
        <v>#VALUE!</v>
      </c>
      <c r="CV18" t="e">
        <f>AND(Answers!BV39,"AAAAAH6f82M=")</f>
        <v>#VALUE!</v>
      </c>
      <c r="CW18" t="e">
        <f>AND(Answers!#REF!,"AAAAAH6f82Q=")</f>
        <v>#REF!</v>
      </c>
      <c r="CX18" t="e">
        <f>AND(Answers!BW39,"AAAAAH6f82U=")</f>
        <v>#VALUE!</v>
      </c>
      <c r="CY18" t="e">
        <f>AND(Answers!BX39,"AAAAAH6f82Y=")</f>
        <v>#VALUE!</v>
      </c>
      <c r="CZ18" t="e">
        <f>AND(Answers!BY39,"AAAAAH6f82c=")</f>
        <v>#VALUE!</v>
      </c>
      <c r="DA18" t="e">
        <f>AND(Answers!BZ39,"AAAAAH6f82g=")</f>
        <v>#VALUE!</v>
      </c>
      <c r="DB18">
        <f>IF(Answers!40:40,"AAAAAH6f82k=",0)</f>
        <v>0</v>
      </c>
      <c r="DC18" t="e">
        <f>AND(Answers!A40,"AAAAAH6f82o=")</f>
        <v>#VALUE!</v>
      </c>
      <c r="DD18" t="e">
        <f>AND(Answers!B40,"AAAAAH6f82s=")</f>
        <v>#VALUE!</v>
      </c>
      <c r="DE18" t="e">
        <f>AND(Answers!C40,"AAAAAH6f82w=")</f>
        <v>#VALUE!</v>
      </c>
      <c r="DF18" t="e">
        <f>AND(Answers!D40,"AAAAAH6f820=")</f>
        <v>#VALUE!</v>
      </c>
      <c r="DG18" t="e">
        <f>AND(Answers!E40,"AAAAAH6f824=")</f>
        <v>#VALUE!</v>
      </c>
      <c r="DH18" t="e">
        <f>AND(Answers!F40,"AAAAAH6f828=")</f>
        <v>#VALUE!</v>
      </c>
      <c r="DI18" t="e">
        <f>AND(Answers!G40,"AAAAAH6f83A=")</f>
        <v>#VALUE!</v>
      </c>
      <c r="DJ18" t="e">
        <f>AND(Answers!H40,"AAAAAH6f83E=")</f>
        <v>#VALUE!</v>
      </c>
      <c r="DK18" t="e">
        <f>AND(Answers!J40,"AAAAAH6f83I=")</f>
        <v>#VALUE!</v>
      </c>
      <c r="DL18" t="e">
        <f>AND(Answers!K40,"AAAAAH6f83M=")</f>
        <v>#VALUE!</v>
      </c>
      <c r="DM18" t="e">
        <f>AND(Answers!L40,"AAAAAH6f83Q=")</f>
        <v>#VALUE!</v>
      </c>
      <c r="DN18" t="e">
        <f>AND(Answers!M40,"AAAAAH6f83U=")</f>
        <v>#VALUE!</v>
      </c>
      <c r="DO18" t="e">
        <f>AND(Answers!N40,"AAAAAH6f83Y=")</f>
        <v>#VALUE!</v>
      </c>
      <c r="DP18" t="e">
        <f>AND(Answers!O40,"AAAAAH6f83c=")</f>
        <v>#VALUE!</v>
      </c>
      <c r="DQ18" t="e">
        <f>AND(Answers!P40,"AAAAAH6f83g=")</f>
        <v>#VALUE!</v>
      </c>
      <c r="DR18" t="e">
        <f>AND(Answers!Q40,"AAAAAH6f83k=")</f>
        <v>#VALUE!</v>
      </c>
      <c r="DS18" t="e">
        <f>AND(Answers!R40,"AAAAAH6f83o=")</f>
        <v>#VALUE!</v>
      </c>
      <c r="DT18" t="e">
        <f>AND(Answers!S40,"AAAAAH6f83s=")</f>
        <v>#VALUE!</v>
      </c>
      <c r="DU18" t="e">
        <f>AND(Answers!T40,"AAAAAH6f83w=")</f>
        <v>#VALUE!</v>
      </c>
      <c r="DV18" t="e">
        <f>AND(Answers!U40,"AAAAAH6f830=")</f>
        <v>#VALUE!</v>
      </c>
      <c r="DW18" t="e">
        <f>AND(Answers!V40,"AAAAAH6f834=")</f>
        <v>#VALUE!</v>
      </c>
      <c r="DX18" t="e">
        <f>AND(Answers!X40,"AAAAAH6f838=")</f>
        <v>#VALUE!</v>
      </c>
      <c r="DY18" t="e">
        <f>AND(Answers!Y40,"AAAAAH6f84A=")</f>
        <v>#VALUE!</v>
      </c>
      <c r="DZ18" t="e">
        <f>AND(Answers!Z40,"AAAAAH6f84E=")</f>
        <v>#VALUE!</v>
      </c>
      <c r="EA18" t="e">
        <f>AND(Answers!AA40,"AAAAAH6f84I=")</f>
        <v>#VALUE!</v>
      </c>
      <c r="EB18" t="e">
        <f>AND(Answers!AB40,"AAAAAH6f84M=")</f>
        <v>#VALUE!</v>
      </c>
      <c r="EC18" t="e">
        <f>AND(Answers!AC40,"AAAAAH6f84Q=")</f>
        <v>#VALUE!</v>
      </c>
      <c r="ED18" t="e">
        <f>AND(Answers!AD40,"AAAAAH6f84U=")</f>
        <v>#VALUE!</v>
      </c>
      <c r="EE18" t="e">
        <f>AND(Answers!AE40,"AAAAAH6f84Y=")</f>
        <v>#VALUE!</v>
      </c>
      <c r="EF18" t="e">
        <f>AND(Answers!AF40,"AAAAAH6f84c=")</f>
        <v>#VALUE!</v>
      </c>
      <c r="EG18" t="e">
        <f>AND(Answers!AH40,"AAAAAH6f84g=")</f>
        <v>#VALUE!</v>
      </c>
      <c r="EH18" t="e">
        <f>AND(Answers!AI40,"AAAAAH6f84k=")</f>
        <v>#VALUE!</v>
      </c>
      <c r="EI18" t="e">
        <f>AND(Answers!AK40,"AAAAAH6f84o=")</f>
        <v>#VALUE!</v>
      </c>
      <c r="EJ18" t="e">
        <f>AND(Answers!#REF!,"AAAAAH6f84s=")</f>
        <v>#REF!</v>
      </c>
      <c r="EK18" t="e">
        <f>AND(Answers!AR40,"AAAAAH6f84w=")</f>
        <v>#VALUE!</v>
      </c>
      <c r="EL18" t="e">
        <f>AND(Answers!AS40,"AAAAAH6f840=")</f>
        <v>#VALUE!</v>
      </c>
      <c r="EM18" t="e">
        <f>AND(Answers!AT40,"AAAAAH6f844=")</f>
        <v>#VALUE!</v>
      </c>
      <c r="EN18" t="e">
        <f>AND(Answers!AU40,"AAAAAH6f848=")</f>
        <v>#VALUE!</v>
      </c>
      <c r="EO18" t="e">
        <f>AND(Answers!AW40,"AAAAAH6f85A=")</f>
        <v>#VALUE!</v>
      </c>
      <c r="EP18" t="e">
        <f>AND(Answers!AX40,"AAAAAH6f85E=")</f>
        <v>#VALUE!</v>
      </c>
      <c r="EQ18" t="e">
        <f>AND(Answers!AY40,"AAAAAH6f85I=")</f>
        <v>#VALUE!</v>
      </c>
      <c r="ER18" t="e">
        <f>AND(Answers!AZ40,"AAAAAH6f85M=")</f>
        <v>#VALUE!</v>
      </c>
      <c r="ES18" t="e">
        <f>AND(Answers!BA40,"AAAAAH6f85Q=")</f>
        <v>#VALUE!</v>
      </c>
      <c r="ET18" t="e">
        <f>AND(Answers!BB40,"AAAAAH6f85U=")</f>
        <v>#VALUE!</v>
      </c>
      <c r="EU18" t="e">
        <f>AND(Answers!BC40,"AAAAAH6f85Y=")</f>
        <v>#VALUE!</v>
      </c>
      <c r="EV18" t="e">
        <f>AND(Answers!BD40,"AAAAAH6f85c=")</f>
        <v>#VALUE!</v>
      </c>
      <c r="EW18" t="e">
        <f>AND(Answers!BE40,"AAAAAH6f85g=")</f>
        <v>#VALUE!</v>
      </c>
      <c r="EX18" t="e">
        <f>AND(Answers!BF40,"AAAAAH6f85k=")</f>
        <v>#VALUE!</v>
      </c>
      <c r="EY18" t="e">
        <f>AND(Answers!BG40,"AAAAAH6f85o=")</f>
        <v>#VALUE!</v>
      </c>
      <c r="EZ18" t="e">
        <f>AND(Answers!BH40,"AAAAAH6f85s=")</f>
        <v>#VALUE!</v>
      </c>
      <c r="FA18" t="e">
        <f>AND(Answers!BI40,"AAAAAH6f85w=")</f>
        <v>#VALUE!</v>
      </c>
      <c r="FB18" t="e">
        <f>AND(Answers!BK40,"AAAAAH6f850=")</f>
        <v>#VALUE!</v>
      </c>
      <c r="FC18" t="e">
        <f>AND(Answers!BL40,"AAAAAH6f854=")</f>
        <v>#VALUE!</v>
      </c>
      <c r="FD18" t="e">
        <f>AND(Answers!BM40,"AAAAAH6f858=")</f>
        <v>#VALUE!</v>
      </c>
      <c r="FE18" t="e">
        <f>AND(Answers!BN40,"AAAAAH6f86A=")</f>
        <v>#VALUE!</v>
      </c>
      <c r="FF18" t="e">
        <f>AND(Answers!BO40,"AAAAAH6f86E=")</f>
        <v>#VALUE!</v>
      </c>
      <c r="FG18" t="e">
        <f>AND(Answers!BP40,"AAAAAH6f86I=")</f>
        <v>#VALUE!</v>
      </c>
      <c r="FH18" t="e">
        <f>AND(Answers!BQ40,"AAAAAH6f86M=")</f>
        <v>#VALUE!</v>
      </c>
      <c r="FI18" t="e">
        <f>AND(Answers!BR40,"AAAAAH6f86Q=")</f>
        <v>#VALUE!</v>
      </c>
      <c r="FJ18" t="e">
        <f>AND(Answers!BS40,"AAAAAH6f86U=")</f>
        <v>#VALUE!</v>
      </c>
      <c r="FK18" t="e">
        <f>AND(Answers!BU40,"AAAAAH6f86Y=")</f>
        <v>#VALUE!</v>
      </c>
      <c r="FL18" t="e">
        <f>AND(Answers!BV40,"AAAAAH6f86c=")</f>
        <v>#VALUE!</v>
      </c>
      <c r="FM18" t="e">
        <f>AND(Answers!#REF!,"AAAAAH6f86g=")</f>
        <v>#REF!</v>
      </c>
      <c r="FN18" t="e">
        <f>AND(Answers!BW40,"AAAAAH6f86k=")</f>
        <v>#VALUE!</v>
      </c>
      <c r="FO18" t="e">
        <f>AND(Answers!BX40,"AAAAAH6f86o=")</f>
        <v>#VALUE!</v>
      </c>
      <c r="FP18" t="e">
        <f>AND(Answers!BY40,"AAAAAH6f86s=")</f>
        <v>#VALUE!</v>
      </c>
      <c r="FQ18" t="e">
        <f>AND(Answers!BZ40,"AAAAAH6f86w=")</f>
        <v>#VALUE!</v>
      </c>
      <c r="FR18">
        <f>IF(Answers!41:41,"AAAAAH6f860=",0)</f>
        <v>0</v>
      </c>
      <c r="FS18" t="e">
        <f>AND(Answers!A41,"AAAAAH6f864=")</f>
        <v>#VALUE!</v>
      </c>
      <c r="FT18" t="e">
        <f>AND(Answers!B41,"AAAAAH6f868=")</f>
        <v>#VALUE!</v>
      </c>
      <c r="FU18" t="e">
        <f>AND(Answers!C41,"AAAAAH6f87A=")</f>
        <v>#VALUE!</v>
      </c>
      <c r="FV18" t="e">
        <f>AND(Answers!D41,"AAAAAH6f87E=")</f>
        <v>#VALUE!</v>
      </c>
      <c r="FW18" t="e">
        <f>AND(Answers!E41,"AAAAAH6f87I=")</f>
        <v>#VALUE!</v>
      </c>
      <c r="FX18" t="e">
        <f>AND(Answers!F41,"AAAAAH6f87M=")</f>
        <v>#VALUE!</v>
      </c>
      <c r="FY18" t="e">
        <f>AND(Answers!G41,"AAAAAH6f87Q=")</f>
        <v>#VALUE!</v>
      </c>
      <c r="FZ18" t="e">
        <f>AND(Answers!H41,"AAAAAH6f87U=")</f>
        <v>#VALUE!</v>
      </c>
      <c r="GA18" t="e">
        <f>AND(Answers!J41,"AAAAAH6f87Y=")</f>
        <v>#VALUE!</v>
      </c>
      <c r="GB18" t="e">
        <f>AND(Answers!K41,"AAAAAH6f87c=")</f>
        <v>#VALUE!</v>
      </c>
      <c r="GC18" t="e">
        <f>AND(Answers!L41,"AAAAAH6f87g=")</f>
        <v>#VALUE!</v>
      </c>
      <c r="GD18" t="e">
        <f>AND(Answers!M41,"AAAAAH6f87k=")</f>
        <v>#VALUE!</v>
      </c>
      <c r="GE18" t="e">
        <f>AND(Answers!N41,"AAAAAH6f87o=")</f>
        <v>#VALUE!</v>
      </c>
      <c r="GF18" t="e">
        <f>AND(Answers!O41,"AAAAAH6f87s=")</f>
        <v>#VALUE!</v>
      </c>
      <c r="GG18" t="e">
        <f>AND(Answers!P41,"AAAAAH6f87w=")</f>
        <v>#VALUE!</v>
      </c>
      <c r="GH18" t="e">
        <f>AND(Answers!Q41,"AAAAAH6f870=")</f>
        <v>#VALUE!</v>
      </c>
      <c r="GI18" t="e">
        <f>AND(Answers!R41,"AAAAAH6f874=")</f>
        <v>#VALUE!</v>
      </c>
      <c r="GJ18" t="e">
        <f>AND(Answers!S41,"AAAAAH6f878=")</f>
        <v>#VALUE!</v>
      </c>
      <c r="GK18" t="e">
        <f>AND(Answers!T41,"AAAAAH6f88A=")</f>
        <v>#VALUE!</v>
      </c>
      <c r="GL18" t="e">
        <f>AND(Answers!U41,"AAAAAH6f88E=")</f>
        <v>#VALUE!</v>
      </c>
      <c r="GM18" t="e">
        <f>AND(Answers!V41,"AAAAAH6f88I=")</f>
        <v>#VALUE!</v>
      </c>
      <c r="GN18" t="e">
        <f>AND(Answers!X41,"AAAAAH6f88M=")</f>
        <v>#VALUE!</v>
      </c>
      <c r="GO18" t="e">
        <f>AND(Answers!Y41,"AAAAAH6f88Q=")</f>
        <v>#VALUE!</v>
      </c>
      <c r="GP18" t="e">
        <f>AND(Answers!Z41,"AAAAAH6f88U=")</f>
        <v>#VALUE!</v>
      </c>
      <c r="GQ18" t="e">
        <f>AND(Answers!AA41,"AAAAAH6f88Y=")</f>
        <v>#VALUE!</v>
      </c>
      <c r="GR18" t="e">
        <f>AND(Answers!AB41,"AAAAAH6f88c=")</f>
        <v>#VALUE!</v>
      </c>
      <c r="GS18" t="e">
        <f>AND(Answers!AC41,"AAAAAH6f88g=")</f>
        <v>#VALUE!</v>
      </c>
      <c r="GT18" t="e">
        <f>AND(Answers!AD41,"AAAAAH6f88k=")</f>
        <v>#VALUE!</v>
      </c>
      <c r="GU18" t="e">
        <f>AND(Answers!AE41,"AAAAAH6f88o=")</f>
        <v>#VALUE!</v>
      </c>
      <c r="GV18" t="e">
        <f>AND(Answers!AF41,"AAAAAH6f88s=")</f>
        <v>#VALUE!</v>
      </c>
      <c r="GW18" t="e">
        <f>AND(Answers!AH41,"AAAAAH6f88w=")</f>
        <v>#VALUE!</v>
      </c>
      <c r="GX18" t="e">
        <f>AND(Answers!AI41,"AAAAAH6f880=")</f>
        <v>#VALUE!</v>
      </c>
      <c r="GY18" t="e">
        <f>AND(Answers!AK41,"AAAAAH6f884=")</f>
        <v>#VALUE!</v>
      </c>
      <c r="GZ18" t="e">
        <f>AND(Answers!#REF!,"AAAAAH6f888=")</f>
        <v>#REF!</v>
      </c>
      <c r="HA18" t="e">
        <f>AND(Answers!AR41,"AAAAAH6f89A=")</f>
        <v>#VALUE!</v>
      </c>
      <c r="HB18" t="e">
        <f>AND(Answers!AS41,"AAAAAH6f89E=")</f>
        <v>#VALUE!</v>
      </c>
      <c r="HC18" t="e">
        <f>AND(Answers!AT41,"AAAAAH6f89I=")</f>
        <v>#VALUE!</v>
      </c>
      <c r="HD18" t="e">
        <f>AND(Answers!AU41,"AAAAAH6f89M=")</f>
        <v>#VALUE!</v>
      </c>
      <c r="HE18" t="e">
        <f>AND(Answers!AW41,"AAAAAH6f89Q=")</f>
        <v>#VALUE!</v>
      </c>
      <c r="HF18" t="e">
        <f>AND(Answers!AX41,"AAAAAH6f89U=")</f>
        <v>#VALUE!</v>
      </c>
      <c r="HG18" t="e">
        <f>AND(Answers!AY41,"AAAAAH6f89Y=")</f>
        <v>#VALUE!</v>
      </c>
      <c r="HH18" t="e">
        <f>AND(Answers!AZ41,"AAAAAH6f89c=")</f>
        <v>#VALUE!</v>
      </c>
      <c r="HI18" t="e">
        <f>AND(Answers!BA41,"AAAAAH6f89g=")</f>
        <v>#VALUE!</v>
      </c>
      <c r="HJ18" t="e">
        <f>AND(Answers!BB41,"AAAAAH6f89k=")</f>
        <v>#VALUE!</v>
      </c>
      <c r="HK18" t="e">
        <f>AND(Answers!BC41,"AAAAAH6f89o=")</f>
        <v>#VALUE!</v>
      </c>
      <c r="HL18" t="e">
        <f>AND(Answers!BD41,"AAAAAH6f89s=")</f>
        <v>#VALUE!</v>
      </c>
      <c r="HM18" t="e">
        <f>AND(Answers!BE41,"AAAAAH6f89w=")</f>
        <v>#VALUE!</v>
      </c>
      <c r="HN18" t="e">
        <f>AND(Answers!BF41,"AAAAAH6f890=")</f>
        <v>#VALUE!</v>
      </c>
      <c r="HO18" t="e">
        <f>AND(Answers!BG41,"AAAAAH6f894=")</f>
        <v>#VALUE!</v>
      </c>
      <c r="HP18" t="e">
        <f>AND(Answers!BH41,"AAAAAH6f898=")</f>
        <v>#VALUE!</v>
      </c>
      <c r="HQ18" t="e">
        <f>AND(Answers!BI41,"AAAAAH6f8+A=")</f>
        <v>#VALUE!</v>
      </c>
      <c r="HR18" t="e">
        <f>AND(Answers!BK41,"AAAAAH6f8+E=")</f>
        <v>#VALUE!</v>
      </c>
      <c r="HS18" t="e">
        <f>AND(Answers!BL41,"AAAAAH6f8+I=")</f>
        <v>#VALUE!</v>
      </c>
      <c r="HT18" t="e">
        <f>AND(Answers!BM41,"AAAAAH6f8+M=")</f>
        <v>#VALUE!</v>
      </c>
      <c r="HU18" t="e">
        <f>AND(Answers!BN41,"AAAAAH6f8+Q=")</f>
        <v>#VALUE!</v>
      </c>
      <c r="HV18" t="e">
        <f>AND(Answers!BO41,"AAAAAH6f8+U=")</f>
        <v>#VALUE!</v>
      </c>
      <c r="HW18" t="e">
        <f>AND(Answers!BP41,"AAAAAH6f8+Y=")</f>
        <v>#VALUE!</v>
      </c>
      <c r="HX18" t="e">
        <f>AND(Answers!BQ41,"AAAAAH6f8+c=")</f>
        <v>#VALUE!</v>
      </c>
      <c r="HY18" t="e">
        <f>AND(Answers!BR41,"AAAAAH6f8+g=")</f>
        <v>#VALUE!</v>
      </c>
      <c r="HZ18" t="e">
        <f>AND(Answers!BS41,"AAAAAH6f8+k=")</f>
        <v>#VALUE!</v>
      </c>
      <c r="IA18" t="e">
        <f>AND(Answers!BU41,"AAAAAH6f8+o=")</f>
        <v>#VALUE!</v>
      </c>
      <c r="IB18" t="e">
        <f>AND(Answers!BV41,"AAAAAH6f8+s=")</f>
        <v>#VALUE!</v>
      </c>
      <c r="IC18" t="e">
        <f>AND(Answers!#REF!,"AAAAAH6f8+w=")</f>
        <v>#REF!</v>
      </c>
      <c r="ID18" t="e">
        <f>AND(Answers!BW41,"AAAAAH6f8+0=")</f>
        <v>#VALUE!</v>
      </c>
      <c r="IE18" t="e">
        <f>AND(Answers!BX41,"AAAAAH6f8+4=")</f>
        <v>#VALUE!</v>
      </c>
      <c r="IF18" t="e">
        <f>AND(Answers!BY41,"AAAAAH6f8+8=")</f>
        <v>#VALUE!</v>
      </c>
      <c r="IG18" t="e">
        <f>AND(Answers!BZ41,"AAAAAH6f8/A=")</f>
        <v>#VALUE!</v>
      </c>
      <c r="IH18">
        <f>IF(Answers!42:42,"AAAAAH6f8/E=",0)</f>
        <v>0</v>
      </c>
      <c r="II18" t="e">
        <f>AND(Answers!A42,"AAAAAH6f8/I=")</f>
        <v>#VALUE!</v>
      </c>
      <c r="IJ18" t="e">
        <f>AND(Answers!B42,"AAAAAH6f8/M=")</f>
        <v>#VALUE!</v>
      </c>
      <c r="IK18" t="e">
        <f>AND(Answers!C42,"AAAAAH6f8/Q=")</f>
        <v>#VALUE!</v>
      </c>
      <c r="IL18" t="e">
        <f>AND(Answers!D42,"AAAAAH6f8/U=")</f>
        <v>#VALUE!</v>
      </c>
      <c r="IM18" t="e">
        <f>AND(Answers!E42,"AAAAAH6f8/Y=")</f>
        <v>#VALUE!</v>
      </c>
      <c r="IN18" t="e">
        <f>AND(Answers!F42,"AAAAAH6f8/c=")</f>
        <v>#VALUE!</v>
      </c>
      <c r="IO18" t="e">
        <f>AND(Answers!G42,"AAAAAH6f8/g=")</f>
        <v>#VALUE!</v>
      </c>
      <c r="IP18" t="e">
        <f>AND(Answers!H42,"AAAAAH6f8/k=")</f>
        <v>#VALUE!</v>
      </c>
      <c r="IQ18" t="e">
        <f>AND(Answers!J42,"AAAAAH6f8/o=")</f>
        <v>#VALUE!</v>
      </c>
      <c r="IR18" t="e">
        <f>AND(Answers!K42,"AAAAAH6f8/s=")</f>
        <v>#VALUE!</v>
      </c>
      <c r="IS18" t="e">
        <f>AND(Answers!L42,"AAAAAH6f8/w=")</f>
        <v>#VALUE!</v>
      </c>
      <c r="IT18" t="e">
        <f>AND(Answers!M42,"AAAAAH6f8/0=")</f>
        <v>#VALUE!</v>
      </c>
      <c r="IU18" t="e">
        <f>AND(Answers!N42,"AAAAAH6f8/4=")</f>
        <v>#VALUE!</v>
      </c>
      <c r="IV18" t="e">
        <f>AND(Answers!O42,"AAAAAH6f8/8=")</f>
        <v>#VALUE!</v>
      </c>
    </row>
    <row r="19" spans="1:256" x14ac:dyDescent="0.15">
      <c r="A19" t="e">
        <f>AND(Answers!P42,"AAAAADe9+wA=")</f>
        <v>#VALUE!</v>
      </c>
      <c r="B19" t="e">
        <f>AND(Answers!Q42,"AAAAADe9+wE=")</f>
        <v>#VALUE!</v>
      </c>
      <c r="C19" t="e">
        <f>AND(Answers!R42,"AAAAADe9+wI=")</f>
        <v>#VALUE!</v>
      </c>
      <c r="D19" t="e">
        <f>AND(Answers!S42,"AAAAADe9+wM=")</f>
        <v>#VALUE!</v>
      </c>
      <c r="E19" t="e">
        <f>AND(Answers!T42,"AAAAADe9+wQ=")</f>
        <v>#VALUE!</v>
      </c>
      <c r="F19" t="e">
        <f>AND(Answers!U42,"AAAAADe9+wU=")</f>
        <v>#VALUE!</v>
      </c>
      <c r="G19" t="e">
        <f>AND(Answers!V42,"AAAAADe9+wY=")</f>
        <v>#VALUE!</v>
      </c>
      <c r="H19" t="e">
        <f>AND(Answers!X42,"AAAAADe9+wc=")</f>
        <v>#VALUE!</v>
      </c>
      <c r="I19" t="e">
        <f>AND(Answers!Y42,"AAAAADe9+wg=")</f>
        <v>#VALUE!</v>
      </c>
      <c r="J19" t="e">
        <f>AND(Answers!Z42,"AAAAADe9+wk=")</f>
        <v>#VALUE!</v>
      </c>
      <c r="K19" t="e">
        <f>AND(Answers!AA42,"AAAAADe9+wo=")</f>
        <v>#VALUE!</v>
      </c>
      <c r="L19" t="e">
        <f>AND(Answers!AB42,"AAAAADe9+ws=")</f>
        <v>#VALUE!</v>
      </c>
      <c r="M19" t="e">
        <f>AND(Answers!AC42,"AAAAADe9+ww=")</f>
        <v>#VALUE!</v>
      </c>
      <c r="N19" t="e">
        <f>AND(Answers!AD42,"AAAAADe9+w0=")</f>
        <v>#VALUE!</v>
      </c>
      <c r="O19" t="e">
        <f>AND(Answers!AE42,"AAAAADe9+w4=")</f>
        <v>#VALUE!</v>
      </c>
      <c r="P19" t="e">
        <f>AND(Answers!AF42,"AAAAADe9+w8=")</f>
        <v>#VALUE!</v>
      </c>
      <c r="Q19" t="e">
        <f>AND(Answers!AH42,"AAAAADe9+xA=")</f>
        <v>#VALUE!</v>
      </c>
      <c r="R19" t="e">
        <f>AND(Answers!AI42,"AAAAADe9+xE=")</f>
        <v>#VALUE!</v>
      </c>
      <c r="S19" t="e">
        <f>AND(Answers!AK42,"AAAAADe9+xI=")</f>
        <v>#VALUE!</v>
      </c>
      <c r="T19" t="e">
        <f>AND(Answers!#REF!,"AAAAADe9+xM=")</f>
        <v>#REF!</v>
      </c>
      <c r="U19" t="e">
        <f>AND(Answers!AR42,"AAAAADe9+xQ=")</f>
        <v>#VALUE!</v>
      </c>
      <c r="V19" t="e">
        <f>AND(Answers!AS42,"AAAAADe9+xU=")</f>
        <v>#VALUE!</v>
      </c>
      <c r="W19" t="e">
        <f>AND(Answers!AT42,"AAAAADe9+xY=")</f>
        <v>#VALUE!</v>
      </c>
      <c r="X19" t="e">
        <f>AND(Answers!AU42,"AAAAADe9+xc=")</f>
        <v>#VALUE!</v>
      </c>
      <c r="Y19" t="e">
        <f>AND(Answers!AW42,"AAAAADe9+xg=")</f>
        <v>#VALUE!</v>
      </c>
      <c r="Z19" t="e">
        <f>AND(Answers!AX42,"AAAAADe9+xk=")</f>
        <v>#VALUE!</v>
      </c>
      <c r="AA19" t="e">
        <f>AND(Answers!AY42,"AAAAADe9+xo=")</f>
        <v>#VALUE!</v>
      </c>
      <c r="AB19" t="e">
        <f>AND(Answers!AZ42,"AAAAADe9+xs=")</f>
        <v>#VALUE!</v>
      </c>
      <c r="AC19" t="e">
        <f>AND(Answers!BA42,"AAAAADe9+xw=")</f>
        <v>#VALUE!</v>
      </c>
      <c r="AD19" t="e">
        <f>AND(Answers!BB42,"AAAAADe9+x0=")</f>
        <v>#VALUE!</v>
      </c>
      <c r="AE19" t="e">
        <f>AND(Answers!BC42,"AAAAADe9+x4=")</f>
        <v>#VALUE!</v>
      </c>
      <c r="AF19" t="e">
        <f>AND(Answers!BD42,"AAAAADe9+x8=")</f>
        <v>#VALUE!</v>
      </c>
      <c r="AG19" t="e">
        <f>AND(Answers!BE42,"AAAAADe9+yA=")</f>
        <v>#VALUE!</v>
      </c>
      <c r="AH19" t="e">
        <f>AND(Answers!BF42,"AAAAADe9+yE=")</f>
        <v>#VALUE!</v>
      </c>
      <c r="AI19" t="e">
        <f>AND(Answers!BG42,"AAAAADe9+yI=")</f>
        <v>#VALUE!</v>
      </c>
      <c r="AJ19" t="e">
        <f>AND(Answers!BH42,"AAAAADe9+yM=")</f>
        <v>#VALUE!</v>
      </c>
      <c r="AK19" t="e">
        <f>AND(Answers!BI42,"AAAAADe9+yQ=")</f>
        <v>#VALUE!</v>
      </c>
      <c r="AL19" t="e">
        <f>AND(Answers!BK42,"AAAAADe9+yU=")</f>
        <v>#VALUE!</v>
      </c>
      <c r="AM19" t="e">
        <f>AND(Answers!BL42,"AAAAADe9+yY=")</f>
        <v>#VALUE!</v>
      </c>
      <c r="AN19" t="e">
        <f>AND(Answers!BM42,"AAAAADe9+yc=")</f>
        <v>#VALUE!</v>
      </c>
      <c r="AO19" t="e">
        <f>AND(Answers!BN42,"AAAAADe9+yg=")</f>
        <v>#VALUE!</v>
      </c>
      <c r="AP19" t="e">
        <f>AND(Answers!BO42,"AAAAADe9+yk=")</f>
        <v>#VALUE!</v>
      </c>
      <c r="AQ19" t="e">
        <f>AND(Answers!BP42,"AAAAADe9+yo=")</f>
        <v>#VALUE!</v>
      </c>
      <c r="AR19" t="e">
        <f>AND(Answers!BQ42,"AAAAADe9+ys=")</f>
        <v>#VALUE!</v>
      </c>
      <c r="AS19" t="e">
        <f>AND(Answers!BR42,"AAAAADe9+yw=")</f>
        <v>#VALUE!</v>
      </c>
      <c r="AT19" t="e">
        <f>AND(Answers!BS42,"AAAAADe9+y0=")</f>
        <v>#VALUE!</v>
      </c>
      <c r="AU19" t="e">
        <f>AND(Answers!BU42,"AAAAADe9+y4=")</f>
        <v>#VALUE!</v>
      </c>
      <c r="AV19" t="e">
        <f>AND(Answers!BV42,"AAAAADe9+y8=")</f>
        <v>#VALUE!</v>
      </c>
      <c r="AW19" t="e">
        <f>AND(Answers!#REF!,"AAAAADe9+zA=")</f>
        <v>#REF!</v>
      </c>
      <c r="AX19" t="e">
        <f>AND(Answers!BW42,"AAAAADe9+zE=")</f>
        <v>#VALUE!</v>
      </c>
      <c r="AY19" t="e">
        <f>AND(Answers!BX42,"AAAAADe9+zI=")</f>
        <v>#VALUE!</v>
      </c>
      <c r="AZ19" t="e">
        <f>AND(Answers!BY42,"AAAAADe9+zM=")</f>
        <v>#VALUE!</v>
      </c>
      <c r="BA19" t="e">
        <f>AND(Answers!BZ42,"AAAAADe9+zQ=")</f>
        <v>#VALUE!</v>
      </c>
      <c r="BB19" t="str">
        <f>IF(Answers!43:43,"AAAAADe9+zU=",0)</f>
        <v>AAAAADe9+zU=</v>
      </c>
      <c r="BC19" t="e">
        <f>AND(Answers!A43,"AAAAADe9+zY=")</f>
        <v>#VALUE!</v>
      </c>
      <c r="BD19" t="e">
        <f>AND(Answers!B43,"AAAAADe9+zc=")</f>
        <v>#VALUE!</v>
      </c>
      <c r="BE19" t="e">
        <f>AND(Answers!C43,"AAAAADe9+zg=")</f>
        <v>#VALUE!</v>
      </c>
      <c r="BF19" t="e">
        <f>AND(Answers!D43,"AAAAADe9+zk=")</f>
        <v>#VALUE!</v>
      </c>
      <c r="BG19" t="e">
        <f>AND(Answers!E43,"AAAAADe9+zo=")</f>
        <v>#VALUE!</v>
      </c>
      <c r="BH19" t="e">
        <f>AND(Answers!F43,"AAAAADe9+zs=")</f>
        <v>#VALUE!</v>
      </c>
      <c r="BI19" t="e">
        <f>AND(Answers!G43,"AAAAADe9+zw=")</f>
        <v>#VALUE!</v>
      </c>
      <c r="BJ19" t="e">
        <f>AND(Answers!H43,"AAAAADe9+z0=")</f>
        <v>#VALUE!</v>
      </c>
      <c r="BK19" t="e">
        <f>AND(Answers!J43,"AAAAADe9+z4=")</f>
        <v>#VALUE!</v>
      </c>
      <c r="BL19" t="e">
        <f>AND(Answers!K43,"AAAAADe9+z8=")</f>
        <v>#VALUE!</v>
      </c>
      <c r="BM19" t="e">
        <f>AND(Answers!L43,"AAAAADe9+0A=")</f>
        <v>#VALUE!</v>
      </c>
      <c r="BN19" t="e">
        <f>AND(Answers!M43,"AAAAADe9+0E=")</f>
        <v>#VALUE!</v>
      </c>
      <c r="BO19" t="e">
        <f>AND(Answers!N43,"AAAAADe9+0I=")</f>
        <v>#VALUE!</v>
      </c>
      <c r="BP19" t="e">
        <f>AND(Answers!O43,"AAAAADe9+0M=")</f>
        <v>#VALUE!</v>
      </c>
      <c r="BQ19" t="e">
        <f>AND(Answers!P43,"AAAAADe9+0Q=")</f>
        <v>#VALUE!</v>
      </c>
      <c r="BR19" t="e">
        <f>AND(Answers!Q43,"AAAAADe9+0U=")</f>
        <v>#VALUE!</v>
      </c>
      <c r="BS19" t="e">
        <f>AND(Answers!R43,"AAAAADe9+0Y=")</f>
        <v>#VALUE!</v>
      </c>
      <c r="BT19" t="e">
        <f>AND(Answers!S43,"AAAAADe9+0c=")</f>
        <v>#VALUE!</v>
      </c>
      <c r="BU19" t="e">
        <f>AND(Answers!T43,"AAAAADe9+0g=")</f>
        <v>#VALUE!</v>
      </c>
      <c r="BV19" t="e">
        <f>AND(Answers!U43,"AAAAADe9+0k=")</f>
        <v>#VALUE!</v>
      </c>
      <c r="BW19" t="e">
        <f>AND(Answers!V43,"AAAAADe9+0o=")</f>
        <v>#VALUE!</v>
      </c>
      <c r="BX19" t="e">
        <f>AND(Answers!X43,"AAAAADe9+0s=")</f>
        <v>#VALUE!</v>
      </c>
      <c r="BY19" t="e">
        <f>AND(Answers!Y43,"AAAAADe9+0w=")</f>
        <v>#VALUE!</v>
      </c>
      <c r="BZ19" t="e">
        <f>AND(Answers!Z43,"AAAAADe9+00=")</f>
        <v>#VALUE!</v>
      </c>
      <c r="CA19" t="e">
        <f>AND(Answers!AA43,"AAAAADe9+04=")</f>
        <v>#VALUE!</v>
      </c>
      <c r="CB19" t="e">
        <f>AND(Answers!AB43,"AAAAADe9+08=")</f>
        <v>#VALUE!</v>
      </c>
      <c r="CC19" t="e">
        <f>AND(Answers!AC43,"AAAAADe9+1A=")</f>
        <v>#VALUE!</v>
      </c>
      <c r="CD19" t="e">
        <f>AND(Answers!AD43,"AAAAADe9+1E=")</f>
        <v>#VALUE!</v>
      </c>
      <c r="CE19" t="e">
        <f>AND(Answers!AE43,"AAAAADe9+1I=")</f>
        <v>#VALUE!</v>
      </c>
      <c r="CF19" t="e">
        <f>AND(Answers!AF43,"AAAAADe9+1M=")</f>
        <v>#VALUE!</v>
      </c>
      <c r="CG19" t="e">
        <f>AND(Answers!AH43,"AAAAADe9+1Q=")</f>
        <v>#VALUE!</v>
      </c>
      <c r="CH19" t="e">
        <f>AND(Answers!AI43,"AAAAADe9+1U=")</f>
        <v>#VALUE!</v>
      </c>
      <c r="CI19" t="e">
        <f>AND(Answers!AK43,"AAAAADe9+1Y=")</f>
        <v>#VALUE!</v>
      </c>
      <c r="CJ19" t="e">
        <f>AND(Answers!#REF!,"AAAAADe9+1c=")</f>
        <v>#REF!</v>
      </c>
      <c r="CK19" t="e">
        <f>AND(Answers!AR43,"AAAAADe9+1g=")</f>
        <v>#VALUE!</v>
      </c>
      <c r="CL19" t="e">
        <f>AND(Answers!AS43,"AAAAADe9+1k=")</f>
        <v>#VALUE!</v>
      </c>
      <c r="CM19" t="e">
        <f>AND(Answers!AT43,"AAAAADe9+1o=")</f>
        <v>#VALUE!</v>
      </c>
      <c r="CN19" t="e">
        <f>AND(Answers!AU43,"AAAAADe9+1s=")</f>
        <v>#VALUE!</v>
      </c>
      <c r="CO19" t="e">
        <f>AND(Answers!AW43,"AAAAADe9+1w=")</f>
        <v>#VALUE!</v>
      </c>
      <c r="CP19" t="e">
        <f>AND(Answers!AX43,"AAAAADe9+10=")</f>
        <v>#VALUE!</v>
      </c>
      <c r="CQ19" t="e">
        <f>AND(Answers!AY43,"AAAAADe9+14=")</f>
        <v>#VALUE!</v>
      </c>
      <c r="CR19" t="e">
        <f>AND(Answers!AZ43,"AAAAADe9+18=")</f>
        <v>#VALUE!</v>
      </c>
      <c r="CS19" t="e">
        <f>AND(Answers!BA43,"AAAAADe9+2A=")</f>
        <v>#VALUE!</v>
      </c>
      <c r="CT19" t="e">
        <f>AND(Answers!BB43,"AAAAADe9+2E=")</f>
        <v>#VALUE!</v>
      </c>
      <c r="CU19" t="e">
        <f>AND(Answers!BC43,"AAAAADe9+2I=")</f>
        <v>#VALUE!</v>
      </c>
      <c r="CV19" t="e">
        <f>AND(Answers!BD43,"AAAAADe9+2M=")</f>
        <v>#VALUE!</v>
      </c>
      <c r="CW19" t="e">
        <f>AND(Answers!BE43,"AAAAADe9+2Q=")</f>
        <v>#VALUE!</v>
      </c>
      <c r="CX19" t="e">
        <f>AND(Answers!BF43,"AAAAADe9+2U=")</f>
        <v>#VALUE!</v>
      </c>
      <c r="CY19" t="e">
        <f>AND(Answers!BG43,"AAAAADe9+2Y=")</f>
        <v>#VALUE!</v>
      </c>
      <c r="CZ19" t="e">
        <f>AND(Answers!BH43,"AAAAADe9+2c=")</f>
        <v>#VALUE!</v>
      </c>
      <c r="DA19" t="e">
        <f>AND(Answers!BI43,"AAAAADe9+2g=")</f>
        <v>#VALUE!</v>
      </c>
      <c r="DB19" t="e">
        <f>AND(Answers!BK43,"AAAAADe9+2k=")</f>
        <v>#VALUE!</v>
      </c>
      <c r="DC19" t="e">
        <f>AND(Answers!BL43,"AAAAADe9+2o=")</f>
        <v>#VALUE!</v>
      </c>
      <c r="DD19" t="e">
        <f>AND(Answers!BM43,"AAAAADe9+2s=")</f>
        <v>#VALUE!</v>
      </c>
      <c r="DE19" t="e">
        <f>AND(Answers!BN43,"AAAAADe9+2w=")</f>
        <v>#VALUE!</v>
      </c>
      <c r="DF19" t="e">
        <f>AND(Answers!BO43,"AAAAADe9+20=")</f>
        <v>#VALUE!</v>
      </c>
      <c r="DG19" t="e">
        <f>AND(Answers!BP43,"AAAAADe9+24=")</f>
        <v>#VALUE!</v>
      </c>
      <c r="DH19" t="e">
        <f>AND(Answers!BQ43,"AAAAADe9+28=")</f>
        <v>#VALUE!</v>
      </c>
      <c r="DI19" t="e">
        <f>AND(Answers!BR43,"AAAAADe9+3A=")</f>
        <v>#VALUE!</v>
      </c>
      <c r="DJ19" t="e">
        <f>AND(Answers!BS43,"AAAAADe9+3E=")</f>
        <v>#VALUE!</v>
      </c>
      <c r="DK19" t="e">
        <f>AND(Answers!BU43,"AAAAADe9+3I=")</f>
        <v>#VALUE!</v>
      </c>
      <c r="DL19" t="e">
        <f>AND(Answers!BV43,"AAAAADe9+3M=")</f>
        <v>#VALUE!</v>
      </c>
      <c r="DM19" t="e">
        <f>AND(Answers!#REF!,"AAAAADe9+3Q=")</f>
        <v>#REF!</v>
      </c>
      <c r="DN19" t="e">
        <f>AND(Answers!BW43,"AAAAADe9+3U=")</f>
        <v>#VALUE!</v>
      </c>
      <c r="DO19" t="e">
        <f>AND(Answers!BX43,"AAAAADe9+3Y=")</f>
        <v>#VALUE!</v>
      </c>
      <c r="DP19" t="e">
        <f>AND(Answers!BY43,"AAAAADe9+3c=")</f>
        <v>#VALUE!</v>
      </c>
      <c r="DQ19" t="e">
        <f>AND(Answers!BZ43,"AAAAADe9+3g=")</f>
        <v>#VALUE!</v>
      </c>
      <c r="DR19">
        <f>IF(Answers!44:44,"AAAAADe9+3k=",0)</f>
        <v>0</v>
      </c>
      <c r="DS19" t="e">
        <f>AND(Answers!A44,"AAAAADe9+3o=")</f>
        <v>#VALUE!</v>
      </c>
      <c r="DT19" t="e">
        <f>AND(Answers!B44,"AAAAADe9+3s=")</f>
        <v>#VALUE!</v>
      </c>
      <c r="DU19" t="e">
        <f>AND(Answers!C44,"AAAAADe9+3w=")</f>
        <v>#VALUE!</v>
      </c>
      <c r="DV19" t="e">
        <f>AND(Answers!D44,"AAAAADe9+30=")</f>
        <v>#VALUE!</v>
      </c>
      <c r="DW19" t="e">
        <f>AND(Answers!E44,"AAAAADe9+34=")</f>
        <v>#VALUE!</v>
      </c>
      <c r="DX19" t="e">
        <f>AND(Answers!F44,"AAAAADe9+38=")</f>
        <v>#VALUE!</v>
      </c>
      <c r="DY19" t="e">
        <f>AND(Answers!G44,"AAAAADe9+4A=")</f>
        <v>#VALUE!</v>
      </c>
      <c r="DZ19" t="e">
        <f>AND(Answers!H44,"AAAAADe9+4E=")</f>
        <v>#VALUE!</v>
      </c>
      <c r="EA19" t="e">
        <f>AND(Answers!J44,"AAAAADe9+4I=")</f>
        <v>#VALUE!</v>
      </c>
      <c r="EB19" t="e">
        <f>AND(Answers!K44,"AAAAADe9+4M=")</f>
        <v>#VALUE!</v>
      </c>
      <c r="EC19" t="e">
        <f>AND(Answers!L44,"AAAAADe9+4Q=")</f>
        <v>#VALUE!</v>
      </c>
      <c r="ED19" t="e">
        <f>AND(Answers!M44,"AAAAADe9+4U=")</f>
        <v>#VALUE!</v>
      </c>
      <c r="EE19" t="e">
        <f>AND(Answers!N44,"AAAAADe9+4Y=")</f>
        <v>#VALUE!</v>
      </c>
      <c r="EF19" t="e">
        <f>AND(Answers!O44,"AAAAADe9+4c=")</f>
        <v>#VALUE!</v>
      </c>
      <c r="EG19" t="e">
        <f>AND(Answers!P44,"AAAAADe9+4g=")</f>
        <v>#VALUE!</v>
      </c>
      <c r="EH19" t="e">
        <f>AND(Answers!Q44,"AAAAADe9+4k=")</f>
        <v>#VALUE!</v>
      </c>
      <c r="EI19" t="e">
        <f>AND(Answers!R44,"AAAAADe9+4o=")</f>
        <v>#VALUE!</v>
      </c>
      <c r="EJ19" t="e">
        <f>AND(Answers!S44,"AAAAADe9+4s=")</f>
        <v>#VALUE!</v>
      </c>
      <c r="EK19" t="e">
        <f>AND(Answers!T44,"AAAAADe9+4w=")</f>
        <v>#VALUE!</v>
      </c>
      <c r="EL19" t="e">
        <f>AND(Answers!U44,"AAAAADe9+40=")</f>
        <v>#VALUE!</v>
      </c>
      <c r="EM19" t="e">
        <f>AND(Answers!V44,"AAAAADe9+44=")</f>
        <v>#VALUE!</v>
      </c>
      <c r="EN19" t="e">
        <f>AND(Answers!X44,"AAAAADe9+48=")</f>
        <v>#VALUE!</v>
      </c>
      <c r="EO19" t="e">
        <f>AND(Answers!Y44,"AAAAADe9+5A=")</f>
        <v>#VALUE!</v>
      </c>
      <c r="EP19" t="e">
        <f>AND(Answers!Z44,"AAAAADe9+5E=")</f>
        <v>#VALUE!</v>
      </c>
      <c r="EQ19" t="e">
        <f>AND(Answers!AA44,"AAAAADe9+5I=")</f>
        <v>#VALUE!</v>
      </c>
      <c r="ER19" t="e">
        <f>AND(Answers!AB44,"AAAAADe9+5M=")</f>
        <v>#VALUE!</v>
      </c>
      <c r="ES19" t="e">
        <f>AND(Answers!AC44,"AAAAADe9+5Q=")</f>
        <v>#VALUE!</v>
      </c>
      <c r="ET19" t="e">
        <f>AND(Answers!AD44,"AAAAADe9+5U=")</f>
        <v>#VALUE!</v>
      </c>
      <c r="EU19" t="e">
        <f>AND(Answers!AE44,"AAAAADe9+5Y=")</f>
        <v>#VALUE!</v>
      </c>
      <c r="EV19" t="e">
        <f>AND(Answers!AF44,"AAAAADe9+5c=")</f>
        <v>#VALUE!</v>
      </c>
      <c r="EW19" t="e">
        <f>AND(Answers!AH44,"AAAAADe9+5g=")</f>
        <v>#VALUE!</v>
      </c>
      <c r="EX19" t="e">
        <f>AND(Answers!AI44,"AAAAADe9+5k=")</f>
        <v>#VALUE!</v>
      </c>
      <c r="EY19" t="e">
        <f>AND(Answers!AK44,"AAAAADe9+5o=")</f>
        <v>#VALUE!</v>
      </c>
      <c r="EZ19" t="e">
        <f>AND(Answers!#REF!,"AAAAADe9+5s=")</f>
        <v>#REF!</v>
      </c>
      <c r="FA19" t="e">
        <f>AND(Answers!AR44,"AAAAADe9+5w=")</f>
        <v>#VALUE!</v>
      </c>
      <c r="FB19" t="e">
        <f>AND(Answers!AS44,"AAAAADe9+50=")</f>
        <v>#VALUE!</v>
      </c>
      <c r="FC19" t="e">
        <f>AND(Answers!AT44,"AAAAADe9+54=")</f>
        <v>#VALUE!</v>
      </c>
      <c r="FD19" t="e">
        <f>AND(Answers!AU44,"AAAAADe9+58=")</f>
        <v>#VALUE!</v>
      </c>
      <c r="FE19" t="e">
        <f>AND(Answers!AW44,"AAAAADe9+6A=")</f>
        <v>#VALUE!</v>
      </c>
      <c r="FF19" t="e">
        <f>AND(Answers!AX44,"AAAAADe9+6E=")</f>
        <v>#VALUE!</v>
      </c>
      <c r="FG19" t="e">
        <f>AND(Answers!AY44,"AAAAADe9+6I=")</f>
        <v>#VALUE!</v>
      </c>
      <c r="FH19" t="e">
        <f>AND(Answers!AZ44,"AAAAADe9+6M=")</f>
        <v>#VALUE!</v>
      </c>
      <c r="FI19" t="e">
        <f>AND(Answers!BA44,"AAAAADe9+6Q=")</f>
        <v>#VALUE!</v>
      </c>
      <c r="FJ19" t="e">
        <f>AND(Answers!BB44,"AAAAADe9+6U=")</f>
        <v>#VALUE!</v>
      </c>
      <c r="FK19" t="e">
        <f>AND(Answers!BC44,"AAAAADe9+6Y=")</f>
        <v>#VALUE!</v>
      </c>
      <c r="FL19" t="e">
        <f>AND(Answers!BD44,"AAAAADe9+6c=")</f>
        <v>#VALUE!</v>
      </c>
      <c r="FM19" t="e">
        <f>AND(Answers!BE44,"AAAAADe9+6g=")</f>
        <v>#VALUE!</v>
      </c>
      <c r="FN19" t="e">
        <f>AND(Answers!BF44,"AAAAADe9+6k=")</f>
        <v>#VALUE!</v>
      </c>
      <c r="FO19" t="e">
        <f>AND(Answers!BG44,"AAAAADe9+6o=")</f>
        <v>#VALUE!</v>
      </c>
      <c r="FP19" t="e">
        <f>AND(Answers!BH44,"AAAAADe9+6s=")</f>
        <v>#VALUE!</v>
      </c>
      <c r="FQ19" t="e">
        <f>AND(Answers!BI44,"AAAAADe9+6w=")</f>
        <v>#VALUE!</v>
      </c>
      <c r="FR19" t="e">
        <f>AND(Answers!BK44,"AAAAADe9+60=")</f>
        <v>#VALUE!</v>
      </c>
      <c r="FS19" t="e">
        <f>AND(Answers!BL44,"AAAAADe9+64=")</f>
        <v>#VALUE!</v>
      </c>
      <c r="FT19" t="e">
        <f>AND(Answers!BM44,"AAAAADe9+68=")</f>
        <v>#VALUE!</v>
      </c>
      <c r="FU19" t="e">
        <f>AND(Answers!BN44,"AAAAADe9+7A=")</f>
        <v>#VALUE!</v>
      </c>
      <c r="FV19" t="e">
        <f>AND(Answers!BO44,"AAAAADe9+7E=")</f>
        <v>#VALUE!</v>
      </c>
      <c r="FW19" t="e">
        <f>AND(Answers!BP44,"AAAAADe9+7I=")</f>
        <v>#VALUE!</v>
      </c>
      <c r="FX19" t="e">
        <f>AND(Answers!BQ44,"AAAAADe9+7M=")</f>
        <v>#VALUE!</v>
      </c>
      <c r="FY19" t="e">
        <f>AND(Answers!BR44,"AAAAADe9+7Q=")</f>
        <v>#VALUE!</v>
      </c>
      <c r="FZ19" t="e">
        <f>AND(Answers!BS44,"AAAAADe9+7U=")</f>
        <v>#VALUE!</v>
      </c>
      <c r="GA19" t="e">
        <f>AND(Answers!BU44,"AAAAADe9+7Y=")</f>
        <v>#VALUE!</v>
      </c>
      <c r="GB19" t="e">
        <f>AND(Answers!BV44,"AAAAADe9+7c=")</f>
        <v>#VALUE!</v>
      </c>
      <c r="GC19" t="e">
        <f>AND(Answers!#REF!,"AAAAADe9+7g=")</f>
        <v>#REF!</v>
      </c>
      <c r="GD19" t="e">
        <f>AND(Answers!BW44,"AAAAADe9+7k=")</f>
        <v>#VALUE!</v>
      </c>
      <c r="GE19" t="e">
        <f>AND(Answers!BX44,"AAAAADe9+7o=")</f>
        <v>#VALUE!</v>
      </c>
      <c r="GF19" t="e">
        <f>AND(Answers!BY44,"AAAAADe9+7s=")</f>
        <v>#VALUE!</v>
      </c>
      <c r="GG19" t="e">
        <f>AND(Answers!BZ44,"AAAAADe9+7w=")</f>
        <v>#VALUE!</v>
      </c>
      <c r="GH19">
        <f>IF(Answers!45:45,"AAAAADe9+70=",0)</f>
        <v>0</v>
      </c>
      <c r="GI19" t="e">
        <f>AND(Answers!A45,"AAAAADe9+74=")</f>
        <v>#VALUE!</v>
      </c>
      <c r="GJ19" t="e">
        <f>AND(Answers!B45,"AAAAADe9+78=")</f>
        <v>#VALUE!</v>
      </c>
      <c r="GK19" t="e">
        <f>AND(Answers!C45,"AAAAADe9+8A=")</f>
        <v>#VALUE!</v>
      </c>
      <c r="GL19" t="e">
        <f>AND(Answers!D45,"AAAAADe9+8E=")</f>
        <v>#VALUE!</v>
      </c>
      <c r="GM19" t="e">
        <f>AND(Answers!E45,"AAAAADe9+8I=")</f>
        <v>#VALUE!</v>
      </c>
      <c r="GN19" t="e">
        <f>AND(Answers!F45,"AAAAADe9+8M=")</f>
        <v>#VALUE!</v>
      </c>
      <c r="GO19" t="e">
        <f>AND(Answers!G45,"AAAAADe9+8Q=")</f>
        <v>#VALUE!</v>
      </c>
      <c r="GP19" t="e">
        <f>AND(Answers!H45,"AAAAADe9+8U=")</f>
        <v>#VALUE!</v>
      </c>
      <c r="GQ19" t="e">
        <f>AND(Answers!J45,"AAAAADe9+8Y=")</f>
        <v>#VALUE!</v>
      </c>
      <c r="GR19" t="e">
        <f>AND(Answers!K45,"AAAAADe9+8c=")</f>
        <v>#VALUE!</v>
      </c>
      <c r="GS19" t="e">
        <f>AND(Answers!L45,"AAAAADe9+8g=")</f>
        <v>#VALUE!</v>
      </c>
      <c r="GT19" t="e">
        <f>AND(Answers!M45,"AAAAADe9+8k=")</f>
        <v>#VALUE!</v>
      </c>
      <c r="GU19" t="e">
        <f>AND(Answers!N45,"AAAAADe9+8o=")</f>
        <v>#VALUE!</v>
      </c>
      <c r="GV19" t="e">
        <f>AND(Answers!O45,"AAAAADe9+8s=")</f>
        <v>#VALUE!</v>
      </c>
      <c r="GW19" t="e">
        <f>AND(Answers!P45,"AAAAADe9+8w=")</f>
        <v>#VALUE!</v>
      </c>
      <c r="GX19" t="e">
        <f>AND(Answers!Q45,"AAAAADe9+80=")</f>
        <v>#VALUE!</v>
      </c>
      <c r="GY19" t="e">
        <f>AND(Answers!R45,"AAAAADe9+84=")</f>
        <v>#VALUE!</v>
      </c>
      <c r="GZ19" t="e">
        <f>AND(Answers!S45,"AAAAADe9+88=")</f>
        <v>#VALUE!</v>
      </c>
      <c r="HA19" t="e">
        <f>AND(Answers!T45,"AAAAADe9+9A=")</f>
        <v>#VALUE!</v>
      </c>
      <c r="HB19" t="e">
        <f>AND(Answers!U45,"AAAAADe9+9E=")</f>
        <v>#VALUE!</v>
      </c>
      <c r="HC19" t="e">
        <f>AND(Answers!V45,"AAAAADe9+9I=")</f>
        <v>#VALUE!</v>
      </c>
      <c r="HD19" t="e">
        <f>AND(Answers!X45,"AAAAADe9+9M=")</f>
        <v>#VALUE!</v>
      </c>
      <c r="HE19" t="e">
        <f>AND(Answers!Y45,"AAAAADe9+9Q=")</f>
        <v>#VALUE!</v>
      </c>
      <c r="HF19" t="e">
        <f>AND(Answers!Z45,"AAAAADe9+9U=")</f>
        <v>#VALUE!</v>
      </c>
      <c r="HG19" t="e">
        <f>AND(Answers!AA45,"AAAAADe9+9Y=")</f>
        <v>#VALUE!</v>
      </c>
      <c r="HH19" t="e">
        <f>AND(Answers!AB45,"AAAAADe9+9c=")</f>
        <v>#VALUE!</v>
      </c>
      <c r="HI19" t="e">
        <f>AND(Answers!AC45,"AAAAADe9+9g=")</f>
        <v>#VALUE!</v>
      </c>
      <c r="HJ19" t="e">
        <f>AND(Answers!AD45,"AAAAADe9+9k=")</f>
        <v>#VALUE!</v>
      </c>
      <c r="HK19" t="e">
        <f>AND(Answers!AE45,"AAAAADe9+9o=")</f>
        <v>#VALUE!</v>
      </c>
      <c r="HL19" t="e">
        <f>AND(Answers!AF45,"AAAAADe9+9s=")</f>
        <v>#VALUE!</v>
      </c>
      <c r="HM19" t="e">
        <f>AND(Answers!AH45,"AAAAADe9+9w=")</f>
        <v>#VALUE!</v>
      </c>
      <c r="HN19" t="e">
        <f>AND(Answers!AI45,"AAAAADe9+90=")</f>
        <v>#VALUE!</v>
      </c>
      <c r="HO19" t="e">
        <f>AND(Answers!AK45,"AAAAADe9+94=")</f>
        <v>#VALUE!</v>
      </c>
      <c r="HP19" t="e">
        <f>AND(Answers!#REF!,"AAAAADe9+98=")</f>
        <v>#REF!</v>
      </c>
      <c r="HQ19" t="e">
        <f>AND(Answers!AR45,"AAAAADe9++A=")</f>
        <v>#VALUE!</v>
      </c>
      <c r="HR19" t="e">
        <f>AND(Answers!AS45,"AAAAADe9++E=")</f>
        <v>#VALUE!</v>
      </c>
      <c r="HS19" t="e">
        <f>AND(Answers!AT45,"AAAAADe9++I=")</f>
        <v>#VALUE!</v>
      </c>
      <c r="HT19" t="e">
        <f>AND(Answers!AU45,"AAAAADe9++M=")</f>
        <v>#VALUE!</v>
      </c>
      <c r="HU19" t="e">
        <f>AND(Answers!AW45,"AAAAADe9++Q=")</f>
        <v>#VALUE!</v>
      </c>
      <c r="HV19" t="e">
        <f>AND(Answers!AX45,"AAAAADe9++U=")</f>
        <v>#VALUE!</v>
      </c>
      <c r="HW19" t="e">
        <f>AND(Answers!AY45,"AAAAADe9++Y=")</f>
        <v>#VALUE!</v>
      </c>
      <c r="HX19" t="e">
        <f>AND(Answers!AZ45,"AAAAADe9++c=")</f>
        <v>#VALUE!</v>
      </c>
      <c r="HY19" t="e">
        <f>AND(Answers!BA45,"AAAAADe9++g=")</f>
        <v>#VALUE!</v>
      </c>
      <c r="HZ19" t="e">
        <f>AND(Answers!BB45,"AAAAADe9++k=")</f>
        <v>#VALUE!</v>
      </c>
      <c r="IA19" t="e">
        <f>AND(Answers!BC45,"AAAAADe9++o=")</f>
        <v>#VALUE!</v>
      </c>
      <c r="IB19" t="e">
        <f>AND(Answers!BD45,"AAAAADe9++s=")</f>
        <v>#VALUE!</v>
      </c>
      <c r="IC19" t="e">
        <f>AND(Answers!BE45,"AAAAADe9++w=")</f>
        <v>#VALUE!</v>
      </c>
      <c r="ID19" t="e">
        <f>AND(Answers!BF45,"AAAAADe9++0=")</f>
        <v>#VALUE!</v>
      </c>
      <c r="IE19" t="e">
        <f>AND(Answers!BG45,"AAAAADe9++4=")</f>
        <v>#VALUE!</v>
      </c>
      <c r="IF19" t="e">
        <f>AND(Answers!BH45,"AAAAADe9++8=")</f>
        <v>#VALUE!</v>
      </c>
      <c r="IG19" t="e">
        <f>AND(Answers!BI45,"AAAAADe9+/A=")</f>
        <v>#VALUE!</v>
      </c>
      <c r="IH19" t="e">
        <f>AND(Answers!BK45,"AAAAADe9+/E=")</f>
        <v>#VALUE!</v>
      </c>
      <c r="II19" t="e">
        <f>AND(Answers!BL45,"AAAAADe9+/I=")</f>
        <v>#VALUE!</v>
      </c>
      <c r="IJ19" t="e">
        <f>AND(Answers!BM45,"AAAAADe9+/M=")</f>
        <v>#VALUE!</v>
      </c>
      <c r="IK19" t="e">
        <f>AND(Answers!BN45,"AAAAADe9+/Q=")</f>
        <v>#VALUE!</v>
      </c>
      <c r="IL19" t="e">
        <f>AND(Answers!BO45,"AAAAADe9+/U=")</f>
        <v>#VALUE!</v>
      </c>
      <c r="IM19" t="e">
        <f>AND(Answers!BP45,"AAAAADe9+/Y=")</f>
        <v>#VALUE!</v>
      </c>
      <c r="IN19" t="e">
        <f>AND(Answers!BQ45,"AAAAADe9+/c=")</f>
        <v>#VALUE!</v>
      </c>
      <c r="IO19" t="e">
        <f>AND(Answers!BR45,"AAAAADe9+/g=")</f>
        <v>#VALUE!</v>
      </c>
      <c r="IP19" t="e">
        <f>AND(Answers!BS45,"AAAAADe9+/k=")</f>
        <v>#VALUE!</v>
      </c>
      <c r="IQ19" t="e">
        <f>AND(Answers!BU45,"AAAAADe9+/o=")</f>
        <v>#VALUE!</v>
      </c>
      <c r="IR19" t="e">
        <f>AND(Answers!BV45,"AAAAADe9+/s=")</f>
        <v>#VALUE!</v>
      </c>
      <c r="IS19" t="e">
        <f>AND(Answers!#REF!,"AAAAADe9+/w=")</f>
        <v>#REF!</v>
      </c>
      <c r="IT19" t="e">
        <f>AND(Answers!BW45,"AAAAADe9+/0=")</f>
        <v>#VALUE!</v>
      </c>
      <c r="IU19" t="e">
        <f>AND(Answers!BX45,"AAAAADe9+/4=")</f>
        <v>#VALUE!</v>
      </c>
      <c r="IV19" t="e">
        <f>AND(Answers!BY45,"AAAAADe9+/8=")</f>
        <v>#VALUE!</v>
      </c>
    </row>
    <row r="20" spans="1:256" x14ac:dyDescent="0.15">
      <c r="A20" t="e">
        <f>AND(Answers!BZ45,"AAAAACz+9wA=")</f>
        <v>#VALUE!</v>
      </c>
      <c r="B20" t="str">
        <f>IF(Answers!46:46,"AAAAACz+9wE=",0)</f>
        <v>AAAAACz+9wE=</v>
      </c>
      <c r="C20" t="e">
        <f>AND(Answers!A46,"AAAAACz+9wI=")</f>
        <v>#VALUE!</v>
      </c>
      <c r="D20" t="e">
        <f>AND(Answers!B46,"AAAAACz+9wM=")</f>
        <v>#VALUE!</v>
      </c>
      <c r="E20" t="e">
        <f>AND(Answers!C46,"AAAAACz+9wQ=")</f>
        <v>#VALUE!</v>
      </c>
      <c r="F20" t="e">
        <f>AND(Answers!D46,"AAAAACz+9wU=")</f>
        <v>#VALUE!</v>
      </c>
      <c r="G20" t="e">
        <f>AND(Answers!E46,"AAAAACz+9wY=")</f>
        <v>#VALUE!</v>
      </c>
      <c r="H20" t="e">
        <f>AND(Answers!F46,"AAAAACz+9wc=")</f>
        <v>#VALUE!</v>
      </c>
      <c r="I20" t="e">
        <f>AND(Answers!G46,"AAAAACz+9wg=")</f>
        <v>#VALUE!</v>
      </c>
      <c r="J20" t="e">
        <f>AND(Answers!H46,"AAAAACz+9wk=")</f>
        <v>#VALUE!</v>
      </c>
      <c r="K20" t="e">
        <f>AND(Answers!J46,"AAAAACz+9wo=")</f>
        <v>#VALUE!</v>
      </c>
      <c r="L20" t="e">
        <f>AND(Answers!K46,"AAAAACz+9ws=")</f>
        <v>#VALUE!</v>
      </c>
      <c r="M20" t="e">
        <f>AND(Answers!L46,"AAAAACz+9ww=")</f>
        <v>#VALUE!</v>
      </c>
      <c r="N20" t="e">
        <f>AND(Answers!M46,"AAAAACz+9w0=")</f>
        <v>#VALUE!</v>
      </c>
      <c r="O20" t="e">
        <f>AND(Answers!N46,"AAAAACz+9w4=")</f>
        <v>#VALUE!</v>
      </c>
      <c r="P20" t="e">
        <f>AND(Answers!O46,"AAAAACz+9w8=")</f>
        <v>#VALUE!</v>
      </c>
      <c r="Q20" t="e">
        <f>AND(Answers!P46,"AAAAACz+9xA=")</f>
        <v>#VALUE!</v>
      </c>
      <c r="R20" t="e">
        <f>AND(Answers!Q46,"AAAAACz+9xE=")</f>
        <v>#VALUE!</v>
      </c>
      <c r="S20" t="e">
        <f>AND(Answers!R46,"AAAAACz+9xI=")</f>
        <v>#VALUE!</v>
      </c>
      <c r="T20" t="e">
        <f>AND(Answers!S46,"AAAAACz+9xM=")</f>
        <v>#VALUE!</v>
      </c>
      <c r="U20" t="e">
        <f>AND(Answers!T46,"AAAAACz+9xQ=")</f>
        <v>#VALUE!</v>
      </c>
      <c r="V20" t="e">
        <f>AND(Answers!U46,"AAAAACz+9xU=")</f>
        <v>#VALUE!</v>
      </c>
      <c r="W20" t="e">
        <f>AND(Answers!V46,"AAAAACz+9xY=")</f>
        <v>#VALUE!</v>
      </c>
      <c r="X20" t="e">
        <f>AND(Answers!X46,"AAAAACz+9xc=")</f>
        <v>#VALUE!</v>
      </c>
      <c r="Y20" t="e">
        <f>AND(Answers!Y46,"AAAAACz+9xg=")</f>
        <v>#VALUE!</v>
      </c>
      <c r="Z20" t="e">
        <f>AND(Answers!Z46,"AAAAACz+9xk=")</f>
        <v>#VALUE!</v>
      </c>
      <c r="AA20" t="e">
        <f>AND(Answers!AA46,"AAAAACz+9xo=")</f>
        <v>#VALUE!</v>
      </c>
      <c r="AB20" t="e">
        <f>AND(Answers!AB46,"AAAAACz+9xs=")</f>
        <v>#VALUE!</v>
      </c>
      <c r="AC20" t="e">
        <f>AND(Answers!AC46,"AAAAACz+9xw=")</f>
        <v>#VALUE!</v>
      </c>
      <c r="AD20" t="e">
        <f>AND(Answers!AD46,"AAAAACz+9x0=")</f>
        <v>#VALUE!</v>
      </c>
      <c r="AE20" t="e">
        <f>AND(Answers!AE46,"AAAAACz+9x4=")</f>
        <v>#VALUE!</v>
      </c>
      <c r="AF20" t="e">
        <f>AND(Answers!AF46,"AAAAACz+9x8=")</f>
        <v>#VALUE!</v>
      </c>
      <c r="AG20" t="e">
        <f>AND(Answers!AH46,"AAAAACz+9yA=")</f>
        <v>#VALUE!</v>
      </c>
      <c r="AH20" t="e">
        <f>AND(Answers!AI46,"AAAAACz+9yE=")</f>
        <v>#VALUE!</v>
      </c>
      <c r="AI20" t="e">
        <f>AND(Answers!AK46,"AAAAACz+9yI=")</f>
        <v>#VALUE!</v>
      </c>
      <c r="AJ20" t="e">
        <f>AND(Answers!#REF!,"AAAAACz+9yM=")</f>
        <v>#REF!</v>
      </c>
      <c r="AK20" t="e">
        <f>AND(Answers!AR46,"AAAAACz+9yQ=")</f>
        <v>#VALUE!</v>
      </c>
      <c r="AL20" t="e">
        <f>AND(Answers!AS46,"AAAAACz+9yU=")</f>
        <v>#VALUE!</v>
      </c>
      <c r="AM20" t="e">
        <f>AND(Answers!AT46,"AAAAACz+9yY=")</f>
        <v>#VALUE!</v>
      </c>
      <c r="AN20" t="e">
        <f>AND(Answers!AU46,"AAAAACz+9yc=")</f>
        <v>#VALUE!</v>
      </c>
      <c r="AO20" t="e">
        <f>AND(Answers!AW46,"AAAAACz+9yg=")</f>
        <v>#VALUE!</v>
      </c>
      <c r="AP20" t="e">
        <f>AND(Answers!AX46,"AAAAACz+9yk=")</f>
        <v>#VALUE!</v>
      </c>
      <c r="AQ20" t="e">
        <f>AND(Answers!AY46,"AAAAACz+9yo=")</f>
        <v>#VALUE!</v>
      </c>
      <c r="AR20" t="e">
        <f>AND(Answers!AZ46,"AAAAACz+9ys=")</f>
        <v>#VALUE!</v>
      </c>
      <c r="AS20" t="e">
        <f>AND(Answers!BA46,"AAAAACz+9yw=")</f>
        <v>#VALUE!</v>
      </c>
      <c r="AT20" t="e">
        <f>AND(Answers!BB46,"AAAAACz+9y0=")</f>
        <v>#VALUE!</v>
      </c>
      <c r="AU20" t="e">
        <f>AND(Answers!BC46,"AAAAACz+9y4=")</f>
        <v>#VALUE!</v>
      </c>
      <c r="AV20" t="e">
        <f>AND(Answers!BD46,"AAAAACz+9y8=")</f>
        <v>#VALUE!</v>
      </c>
      <c r="AW20" t="e">
        <f>AND(Answers!BE46,"AAAAACz+9zA=")</f>
        <v>#VALUE!</v>
      </c>
      <c r="AX20" t="e">
        <f>AND(Answers!BF46,"AAAAACz+9zE=")</f>
        <v>#VALUE!</v>
      </c>
      <c r="AY20" t="e">
        <f>AND(Answers!BG46,"AAAAACz+9zI=")</f>
        <v>#VALUE!</v>
      </c>
      <c r="AZ20" t="e">
        <f>AND(Answers!BH46,"AAAAACz+9zM=")</f>
        <v>#VALUE!</v>
      </c>
      <c r="BA20" t="e">
        <f>AND(Answers!BI46,"AAAAACz+9zQ=")</f>
        <v>#VALUE!</v>
      </c>
      <c r="BB20" t="e">
        <f>AND(Answers!BK46,"AAAAACz+9zU=")</f>
        <v>#VALUE!</v>
      </c>
      <c r="BC20" t="e">
        <f>AND(Answers!BL46,"AAAAACz+9zY=")</f>
        <v>#VALUE!</v>
      </c>
      <c r="BD20" t="e">
        <f>AND(Answers!BM46,"AAAAACz+9zc=")</f>
        <v>#VALUE!</v>
      </c>
      <c r="BE20" t="e">
        <f>AND(Answers!BN46,"AAAAACz+9zg=")</f>
        <v>#VALUE!</v>
      </c>
      <c r="BF20" t="e">
        <f>AND(Answers!BO46,"AAAAACz+9zk=")</f>
        <v>#VALUE!</v>
      </c>
      <c r="BG20" t="e">
        <f>AND(Answers!BP46,"AAAAACz+9zo=")</f>
        <v>#VALUE!</v>
      </c>
      <c r="BH20" t="e">
        <f>AND(Answers!BQ46,"AAAAACz+9zs=")</f>
        <v>#VALUE!</v>
      </c>
      <c r="BI20" t="e">
        <f>AND(Answers!BR46,"AAAAACz+9zw=")</f>
        <v>#VALUE!</v>
      </c>
      <c r="BJ20" t="e">
        <f>AND(Answers!BS46,"AAAAACz+9z0=")</f>
        <v>#VALUE!</v>
      </c>
      <c r="BK20" t="e">
        <f>AND(Answers!BU46,"AAAAACz+9z4=")</f>
        <v>#VALUE!</v>
      </c>
      <c r="BL20" t="e">
        <f>AND(Answers!BV46,"AAAAACz+9z8=")</f>
        <v>#VALUE!</v>
      </c>
      <c r="BM20" t="e">
        <f>AND(Answers!#REF!,"AAAAACz+90A=")</f>
        <v>#REF!</v>
      </c>
      <c r="BN20" t="e">
        <f>AND(Answers!BW46,"AAAAACz+90E=")</f>
        <v>#VALUE!</v>
      </c>
      <c r="BO20" t="e">
        <f>AND(Answers!BX46,"AAAAACz+90I=")</f>
        <v>#VALUE!</v>
      </c>
      <c r="BP20" t="e">
        <f>AND(Answers!BY46,"AAAAACz+90M=")</f>
        <v>#VALUE!</v>
      </c>
      <c r="BQ20" t="e">
        <f>AND(Answers!BZ46,"AAAAACz+90Q=")</f>
        <v>#VALUE!</v>
      </c>
      <c r="BR20" t="str">
        <f>IF(Answers!47:47,"AAAAACz+90U=",0)</f>
        <v>AAAAACz+90U=</v>
      </c>
      <c r="BS20" t="e">
        <f>AND(Answers!A47,"AAAAACz+90Y=")</f>
        <v>#VALUE!</v>
      </c>
      <c r="BT20" t="e">
        <f>AND(Answers!B47,"AAAAACz+90c=")</f>
        <v>#VALUE!</v>
      </c>
      <c r="BU20" t="e">
        <f>AND(Answers!C47,"AAAAACz+90g=")</f>
        <v>#VALUE!</v>
      </c>
      <c r="BV20" t="e">
        <f>AND(Answers!D47,"AAAAACz+90k=")</f>
        <v>#VALUE!</v>
      </c>
      <c r="BW20" t="e">
        <f>AND(Answers!E47,"AAAAACz+90o=")</f>
        <v>#VALUE!</v>
      </c>
      <c r="BX20" t="e">
        <f>AND(Answers!F47,"AAAAACz+90s=")</f>
        <v>#VALUE!</v>
      </c>
      <c r="BY20" t="e">
        <f>AND(Answers!G47,"AAAAACz+90w=")</f>
        <v>#VALUE!</v>
      </c>
      <c r="BZ20" t="e">
        <f>AND(Answers!H47,"AAAAACz+900=")</f>
        <v>#VALUE!</v>
      </c>
      <c r="CA20" t="e">
        <f>AND(Answers!J47,"AAAAACz+904=")</f>
        <v>#VALUE!</v>
      </c>
      <c r="CB20" t="e">
        <f>AND(Answers!K47,"AAAAACz+908=")</f>
        <v>#VALUE!</v>
      </c>
      <c r="CC20" t="e">
        <f>AND(Answers!L47,"AAAAACz+91A=")</f>
        <v>#VALUE!</v>
      </c>
      <c r="CD20" t="e">
        <f>AND(Answers!M47,"AAAAACz+91E=")</f>
        <v>#VALUE!</v>
      </c>
      <c r="CE20" t="e">
        <f>AND(Answers!N47,"AAAAACz+91I=")</f>
        <v>#VALUE!</v>
      </c>
      <c r="CF20" t="e">
        <f>AND(Answers!O47,"AAAAACz+91M=")</f>
        <v>#VALUE!</v>
      </c>
      <c r="CG20" t="e">
        <f>AND(Answers!P47,"AAAAACz+91Q=")</f>
        <v>#VALUE!</v>
      </c>
      <c r="CH20" t="e">
        <f>AND(Answers!Q47,"AAAAACz+91U=")</f>
        <v>#VALUE!</v>
      </c>
      <c r="CI20" t="e">
        <f>AND(Answers!R47,"AAAAACz+91Y=")</f>
        <v>#VALUE!</v>
      </c>
      <c r="CJ20" t="e">
        <f>AND(Answers!S47,"AAAAACz+91c=")</f>
        <v>#VALUE!</v>
      </c>
      <c r="CK20" t="e">
        <f>AND(Answers!T47,"AAAAACz+91g=")</f>
        <v>#VALUE!</v>
      </c>
      <c r="CL20" t="e">
        <f>AND(Answers!U47,"AAAAACz+91k=")</f>
        <v>#VALUE!</v>
      </c>
      <c r="CM20" t="e">
        <f>AND(Answers!V47,"AAAAACz+91o=")</f>
        <v>#VALUE!</v>
      </c>
      <c r="CN20" t="e">
        <f>AND(Answers!X47,"AAAAACz+91s=")</f>
        <v>#VALUE!</v>
      </c>
      <c r="CO20" t="e">
        <f>AND(Answers!Y47,"AAAAACz+91w=")</f>
        <v>#VALUE!</v>
      </c>
      <c r="CP20" t="e">
        <f>AND(Answers!Z47,"AAAAACz+910=")</f>
        <v>#VALUE!</v>
      </c>
      <c r="CQ20" t="e">
        <f>AND(Answers!AA47,"AAAAACz+914=")</f>
        <v>#VALUE!</v>
      </c>
      <c r="CR20" t="e">
        <f>AND(Answers!AB47,"AAAAACz+918=")</f>
        <v>#VALUE!</v>
      </c>
      <c r="CS20" t="e">
        <f>AND(Answers!AC47,"AAAAACz+92A=")</f>
        <v>#VALUE!</v>
      </c>
      <c r="CT20" t="e">
        <f>AND(Answers!AD47,"AAAAACz+92E=")</f>
        <v>#VALUE!</v>
      </c>
      <c r="CU20" t="e">
        <f>AND(Answers!AE47,"AAAAACz+92I=")</f>
        <v>#VALUE!</v>
      </c>
      <c r="CV20" t="e">
        <f>AND(Answers!AF47,"AAAAACz+92M=")</f>
        <v>#VALUE!</v>
      </c>
      <c r="CW20" t="e">
        <f>AND(Answers!AH47,"AAAAACz+92Q=")</f>
        <v>#VALUE!</v>
      </c>
      <c r="CX20" t="e">
        <f>AND(Answers!AI47,"AAAAACz+92U=")</f>
        <v>#VALUE!</v>
      </c>
      <c r="CY20" t="e">
        <f>AND(Answers!AK47,"AAAAACz+92Y=")</f>
        <v>#VALUE!</v>
      </c>
      <c r="CZ20" t="e">
        <f>AND(Answers!#REF!,"AAAAACz+92c=")</f>
        <v>#REF!</v>
      </c>
      <c r="DA20" t="e">
        <f>AND(Answers!AR47,"AAAAACz+92g=")</f>
        <v>#VALUE!</v>
      </c>
      <c r="DB20" t="e">
        <f>AND(Answers!AS47,"AAAAACz+92k=")</f>
        <v>#VALUE!</v>
      </c>
      <c r="DC20" t="e">
        <f>AND(Answers!AT47,"AAAAACz+92o=")</f>
        <v>#VALUE!</v>
      </c>
      <c r="DD20" t="e">
        <f>AND(Answers!AU47,"AAAAACz+92s=")</f>
        <v>#VALUE!</v>
      </c>
      <c r="DE20" t="e">
        <f>AND(Answers!AW47,"AAAAACz+92w=")</f>
        <v>#VALUE!</v>
      </c>
      <c r="DF20" t="e">
        <f>AND(Answers!AX47,"AAAAACz+920=")</f>
        <v>#VALUE!</v>
      </c>
      <c r="DG20" t="e">
        <f>AND(Answers!AY47,"AAAAACz+924=")</f>
        <v>#VALUE!</v>
      </c>
      <c r="DH20" t="e">
        <f>AND(Answers!AZ47,"AAAAACz+928=")</f>
        <v>#VALUE!</v>
      </c>
      <c r="DI20" t="e">
        <f>AND(Answers!BA47,"AAAAACz+93A=")</f>
        <v>#VALUE!</v>
      </c>
      <c r="DJ20" t="e">
        <f>AND(Answers!BB47,"AAAAACz+93E=")</f>
        <v>#VALUE!</v>
      </c>
      <c r="DK20" t="e">
        <f>AND(Answers!BC47,"AAAAACz+93I=")</f>
        <v>#VALUE!</v>
      </c>
      <c r="DL20" t="e">
        <f>AND(Answers!BD47,"AAAAACz+93M=")</f>
        <v>#VALUE!</v>
      </c>
      <c r="DM20" t="e">
        <f>AND(Answers!BE47,"AAAAACz+93Q=")</f>
        <v>#VALUE!</v>
      </c>
      <c r="DN20" t="e">
        <f>AND(Answers!BF47,"AAAAACz+93U=")</f>
        <v>#VALUE!</v>
      </c>
      <c r="DO20" t="e">
        <f>AND(Answers!BG47,"AAAAACz+93Y=")</f>
        <v>#VALUE!</v>
      </c>
      <c r="DP20" t="e">
        <f>AND(Answers!BH47,"AAAAACz+93c=")</f>
        <v>#VALUE!</v>
      </c>
      <c r="DQ20" t="e">
        <f>AND(Answers!BI47,"AAAAACz+93g=")</f>
        <v>#VALUE!</v>
      </c>
      <c r="DR20" t="e">
        <f>AND(Answers!BK47,"AAAAACz+93k=")</f>
        <v>#VALUE!</v>
      </c>
      <c r="DS20" t="e">
        <f>AND(Answers!BL47,"AAAAACz+93o=")</f>
        <v>#VALUE!</v>
      </c>
      <c r="DT20" t="e">
        <f>AND(Answers!BM47,"AAAAACz+93s=")</f>
        <v>#VALUE!</v>
      </c>
      <c r="DU20" t="e">
        <f>AND(Answers!BN47,"AAAAACz+93w=")</f>
        <v>#VALUE!</v>
      </c>
      <c r="DV20" t="e">
        <f>AND(Answers!BO47,"AAAAACz+930=")</f>
        <v>#VALUE!</v>
      </c>
      <c r="DW20" t="e">
        <f>AND(Answers!BP47,"AAAAACz+934=")</f>
        <v>#VALUE!</v>
      </c>
      <c r="DX20" t="e">
        <f>AND(Answers!BQ47,"AAAAACz+938=")</f>
        <v>#VALUE!</v>
      </c>
      <c r="DY20" t="e">
        <f>AND(Answers!BR47,"AAAAACz+94A=")</f>
        <v>#VALUE!</v>
      </c>
      <c r="DZ20" t="e">
        <f>AND(Answers!BS47,"AAAAACz+94E=")</f>
        <v>#VALUE!</v>
      </c>
      <c r="EA20" t="e">
        <f>AND(Answers!BU47,"AAAAACz+94I=")</f>
        <v>#VALUE!</v>
      </c>
      <c r="EB20" t="e">
        <f>AND(Answers!BV47,"AAAAACz+94M=")</f>
        <v>#VALUE!</v>
      </c>
      <c r="EC20" t="e">
        <f>AND(Answers!#REF!,"AAAAACz+94Q=")</f>
        <v>#REF!</v>
      </c>
      <c r="ED20" t="e">
        <f>AND(Answers!BW47,"AAAAACz+94U=")</f>
        <v>#VALUE!</v>
      </c>
      <c r="EE20" t="e">
        <f>AND(Answers!BX47,"AAAAACz+94Y=")</f>
        <v>#VALUE!</v>
      </c>
      <c r="EF20" t="e">
        <f>AND(Answers!BY47,"AAAAACz+94c=")</f>
        <v>#VALUE!</v>
      </c>
      <c r="EG20" t="e">
        <f>AND(Answers!BZ47,"AAAAACz+94g=")</f>
        <v>#VALUE!</v>
      </c>
      <c r="EH20">
        <f>IF(Answers!48:48,"AAAAACz+94k=",0)</f>
        <v>0</v>
      </c>
      <c r="EI20" t="e">
        <f>AND(Answers!A48,"AAAAACz+94o=")</f>
        <v>#VALUE!</v>
      </c>
      <c r="EJ20" t="e">
        <f>AND(Answers!B48,"AAAAACz+94s=")</f>
        <v>#VALUE!</v>
      </c>
      <c r="EK20" t="e">
        <f>AND(Answers!C48,"AAAAACz+94w=")</f>
        <v>#VALUE!</v>
      </c>
      <c r="EL20" t="e">
        <f>AND(Answers!D48,"AAAAACz+940=")</f>
        <v>#VALUE!</v>
      </c>
      <c r="EM20" t="e">
        <f>AND(Answers!E48,"AAAAACz+944=")</f>
        <v>#VALUE!</v>
      </c>
      <c r="EN20" t="e">
        <f>AND(Answers!F48,"AAAAACz+948=")</f>
        <v>#VALUE!</v>
      </c>
      <c r="EO20" t="e">
        <f>AND(Answers!G48,"AAAAACz+95A=")</f>
        <v>#VALUE!</v>
      </c>
      <c r="EP20" t="e">
        <f>AND(Answers!H48,"AAAAACz+95E=")</f>
        <v>#VALUE!</v>
      </c>
      <c r="EQ20" t="e">
        <f>AND(Answers!J48,"AAAAACz+95I=")</f>
        <v>#VALUE!</v>
      </c>
      <c r="ER20" t="e">
        <f>AND(Answers!K48,"AAAAACz+95M=")</f>
        <v>#VALUE!</v>
      </c>
      <c r="ES20" t="e">
        <f>AND(Answers!L48,"AAAAACz+95Q=")</f>
        <v>#VALUE!</v>
      </c>
      <c r="ET20" t="e">
        <f>AND(Answers!M48,"AAAAACz+95U=")</f>
        <v>#VALUE!</v>
      </c>
      <c r="EU20" t="e">
        <f>AND(Answers!N48,"AAAAACz+95Y=")</f>
        <v>#VALUE!</v>
      </c>
      <c r="EV20" t="e">
        <f>AND(Answers!O48,"AAAAACz+95c=")</f>
        <v>#VALUE!</v>
      </c>
      <c r="EW20" t="e">
        <f>AND(Answers!P48,"AAAAACz+95g=")</f>
        <v>#VALUE!</v>
      </c>
      <c r="EX20" t="e">
        <f>AND(Answers!Q48,"AAAAACz+95k=")</f>
        <v>#VALUE!</v>
      </c>
      <c r="EY20" t="e">
        <f>AND(Answers!R48,"AAAAACz+95o=")</f>
        <v>#VALUE!</v>
      </c>
      <c r="EZ20" t="e">
        <f>AND(Answers!S48,"AAAAACz+95s=")</f>
        <v>#VALUE!</v>
      </c>
      <c r="FA20" t="e">
        <f>AND(Answers!T48,"AAAAACz+95w=")</f>
        <v>#VALUE!</v>
      </c>
      <c r="FB20" t="e">
        <f>AND(Answers!U48,"AAAAACz+950=")</f>
        <v>#VALUE!</v>
      </c>
      <c r="FC20" t="e">
        <f>AND(Answers!V48,"AAAAACz+954=")</f>
        <v>#VALUE!</v>
      </c>
      <c r="FD20" t="e">
        <f>AND(Answers!X48,"AAAAACz+958=")</f>
        <v>#VALUE!</v>
      </c>
      <c r="FE20" t="e">
        <f>AND(Answers!Y48,"AAAAACz+96A=")</f>
        <v>#VALUE!</v>
      </c>
      <c r="FF20" t="e">
        <f>AND(Answers!Z48,"AAAAACz+96E=")</f>
        <v>#VALUE!</v>
      </c>
      <c r="FG20" t="e">
        <f>AND(Answers!AA48,"AAAAACz+96I=")</f>
        <v>#VALUE!</v>
      </c>
      <c r="FH20" t="e">
        <f>AND(Answers!AB48,"AAAAACz+96M=")</f>
        <v>#VALUE!</v>
      </c>
      <c r="FI20" t="e">
        <f>AND(Answers!AC48,"AAAAACz+96Q=")</f>
        <v>#VALUE!</v>
      </c>
      <c r="FJ20" t="e">
        <f>AND(Answers!AD48,"AAAAACz+96U=")</f>
        <v>#VALUE!</v>
      </c>
      <c r="FK20" t="e">
        <f>AND(Answers!AE48,"AAAAACz+96Y=")</f>
        <v>#VALUE!</v>
      </c>
      <c r="FL20" t="e">
        <f>AND(Answers!AF48,"AAAAACz+96c=")</f>
        <v>#VALUE!</v>
      </c>
      <c r="FM20" t="e">
        <f>AND(Answers!AH48,"AAAAACz+96g=")</f>
        <v>#VALUE!</v>
      </c>
      <c r="FN20" t="e">
        <f>AND(Answers!AI48,"AAAAACz+96k=")</f>
        <v>#VALUE!</v>
      </c>
      <c r="FO20" t="e">
        <f>AND(Answers!AK48,"AAAAACz+96o=")</f>
        <v>#VALUE!</v>
      </c>
      <c r="FP20" t="e">
        <f>AND(Answers!#REF!,"AAAAACz+96s=")</f>
        <v>#REF!</v>
      </c>
      <c r="FQ20" t="e">
        <f>AND(Answers!AR48,"AAAAACz+96w=")</f>
        <v>#VALUE!</v>
      </c>
      <c r="FR20" t="e">
        <f>AND(Answers!AS48,"AAAAACz+960=")</f>
        <v>#VALUE!</v>
      </c>
      <c r="FS20" t="e">
        <f>AND(Answers!AT48,"AAAAACz+964=")</f>
        <v>#VALUE!</v>
      </c>
      <c r="FT20" t="e">
        <f>AND(Answers!AU48,"AAAAACz+968=")</f>
        <v>#VALUE!</v>
      </c>
      <c r="FU20" t="e">
        <f>AND(Answers!AW48,"AAAAACz+97A=")</f>
        <v>#VALUE!</v>
      </c>
      <c r="FV20" t="e">
        <f>AND(Answers!AX48,"AAAAACz+97E=")</f>
        <v>#VALUE!</v>
      </c>
      <c r="FW20" t="e">
        <f>AND(Answers!AY48,"AAAAACz+97I=")</f>
        <v>#VALUE!</v>
      </c>
      <c r="FX20" t="e">
        <f>AND(Answers!AZ48,"AAAAACz+97M=")</f>
        <v>#VALUE!</v>
      </c>
      <c r="FY20" t="e">
        <f>AND(Answers!BA48,"AAAAACz+97Q=")</f>
        <v>#VALUE!</v>
      </c>
      <c r="FZ20" t="e">
        <f>AND(Answers!BB48,"AAAAACz+97U=")</f>
        <v>#VALUE!</v>
      </c>
      <c r="GA20" t="e">
        <f>AND(Answers!BC48,"AAAAACz+97Y=")</f>
        <v>#VALUE!</v>
      </c>
      <c r="GB20" t="e">
        <f>AND(Answers!BD48,"AAAAACz+97c=")</f>
        <v>#VALUE!</v>
      </c>
      <c r="GC20" t="e">
        <f>AND(Answers!BE48,"AAAAACz+97g=")</f>
        <v>#VALUE!</v>
      </c>
      <c r="GD20" t="e">
        <f>AND(Answers!BF48,"AAAAACz+97k=")</f>
        <v>#VALUE!</v>
      </c>
      <c r="GE20" t="e">
        <f>AND(Answers!BG48,"AAAAACz+97o=")</f>
        <v>#VALUE!</v>
      </c>
      <c r="GF20" t="e">
        <f>AND(Answers!BH48,"AAAAACz+97s=")</f>
        <v>#VALUE!</v>
      </c>
      <c r="GG20" t="e">
        <f>AND(Answers!BI48,"AAAAACz+97w=")</f>
        <v>#VALUE!</v>
      </c>
      <c r="GH20" t="e">
        <f>AND(Answers!BK48,"AAAAACz+970=")</f>
        <v>#VALUE!</v>
      </c>
      <c r="GI20" t="e">
        <f>AND(Answers!BL48,"AAAAACz+974=")</f>
        <v>#VALUE!</v>
      </c>
      <c r="GJ20" t="e">
        <f>AND(Answers!BM48,"AAAAACz+978=")</f>
        <v>#VALUE!</v>
      </c>
      <c r="GK20" t="e">
        <f>AND(Answers!BN48,"AAAAACz+98A=")</f>
        <v>#VALUE!</v>
      </c>
      <c r="GL20" t="e">
        <f>AND(Answers!BO48,"AAAAACz+98E=")</f>
        <v>#VALUE!</v>
      </c>
      <c r="GM20" t="e">
        <f>AND(Answers!BP48,"AAAAACz+98I=")</f>
        <v>#VALUE!</v>
      </c>
      <c r="GN20" t="e">
        <f>AND(Answers!BQ48,"AAAAACz+98M=")</f>
        <v>#VALUE!</v>
      </c>
      <c r="GO20" t="e">
        <f>AND(Answers!BR48,"AAAAACz+98Q=")</f>
        <v>#VALUE!</v>
      </c>
      <c r="GP20" t="e">
        <f>AND(Answers!BS48,"AAAAACz+98U=")</f>
        <v>#VALUE!</v>
      </c>
      <c r="GQ20" t="e">
        <f>AND(Answers!BU48,"AAAAACz+98Y=")</f>
        <v>#VALUE!</v>
      </c>
      <c r="GR20" t="e">
        <f>AND(Answers!BV48,"AAAAACz+98c=")</f>
        <v>#VALUE!</v>
      </c>
      <c r="GS20" t="e">
        <f>AND(Answers!#REF!,"AAAAACz+98g=")</f>
        <v>#REF!</v>
      </c>
      <c r="GT20" t="e">
        <f>AND(Answers!BW48,"AAAAACz+98k=")</f>
        <v>#VALUE!</v>
      </c>
      <c r="GU20" t="e">
        <f>AND(Answers!BX48,"AAAAACz+98o=")</f>
        <v>#VALUE!</v>
      </c>
      <c r="GV20" t="e">
        <f>AND(Answers!BY48,"AAAAACz+98s=")</f>
        <v>#VALUE!</v>
      </c>
      <c r="GW20" t="e">
        <f>AND(Answers!BZ48,"AAAAACz+98w=")</f>
        <v>#VALUE!</v>
      </c>
      <c r="GX20">
        <f>IF(Answers!49:49,"AAAAACz+980=",0)</f>
        <v>0</v>
      </c>
      <c r="GY20" t="e">
        <f>AND(Answers!A49,"AAAAACz+984=")</f>
        <v>#VALUE!</v>
      </c>
      <c r="GZ20" t="e">
        <f>AND(Answers!B49,"AAAAACz+988=")</f>
        <v>#VALUE!</v>
      </c>
      <c r="HA20" t="e">
        <f>AND(Answers!C49,"AAAAACz+99A=")</f>
        <v>#VALUE!</v>
      </c>
      <c r="HB20" t="e">
        <f>AND(Answers!D49,"AAAAACz+99E=")</f>
        <v>#VALUE!</v>
      </c>
      <c r="HC20" t="e">
        <f>AND(Answers!E49,"AAAAACz+99I=")</f>
        <v>#VALUE!</v>
      </c>
      <c r="HD20" t="e">
        <f>AND(Answers!F49,"AAAAACz+99M=")</f>
        <v>#VALUE!</v>
      </c>
      <c r="HE20" t="e">
        <f>AND(Answers!G49,"AAAAACz+99Q=")</f>
        <v>#VALUE!</v>
      </c>
      <c r="HF20" t="e">
        <f>AND(Answers!H49,"AAAAACz+99U=")</f>
        <v>#VALUE!</v>
      </c>
      <c r="HG20" t="e">
        <f>AND(Answers!J49,"AAAAACz+99Y=")</f>
        <v>#VALUE!</v>
      </c>
      <c r="HH20" t="e">
        <f>AND(Answers!K49,"AAAAACz+99c=")</f>
        <v>#VALUE!</v>
      </c>
      <c r="HI20" t="e">
        <f>AND(Answers!L49,"AAAAACz+99g=")</f>
        <v>#VALUE!</v>
      </c>
      <c r="HJ20" t="e">
        <f>AND(Answers!M49,"AAAAACz+99k=")</f>
        <v>#VALUE!</v>
      </c>
      <c r="HK20" t="e">
        <f>AND(Answers!N49,"AAAAACz+99o=")</f>
        <v>#VALUE!</v>
      </c>
      <c r="HL20" t="e">
        <f>AND(Answers!O49,"AAAAACz+99s=")</f>
        <v>#VALUE!</v>
      </c>
      <c r="HM20" t="e">
        <f>AND(Answers!P49,"AAAAACz+99w=")</f>
        <v>#VALUE!</v>
      </c>
      <c r="HN20" t="e">
        <f>AND(Answers!Q49,"AAAAACz+990=")</f>
        <v>#VALUE!</v>
      </c>
      <c r="HO20" t="e">
        <f>AND(Answers!R49,"AAAAACz+994=")</f>
        <v>#VALUE!</v>
      </c>
      <c r="HP20" t="e">
        <f>AND(Answers!S49,"AAAAACz+998=")</f>
        <v>#VALUE!</v>
      </c>
      <c r="HQ20" t="e">
        <f>AND(Answers!T49,"AAAAACz+9+A=")</f>
        <v>#VALUE!</v>
      </c>
      <c r="HR20" t="e">
        <f>AND(Answers!U49,"AAAAACz+9+E=")</f>
        <v>#VALUE!</v>
      </c>
      <c r="HS20" t="e">
        <f>AND(Answers!V49,"AAAAACz+9+I=")</f>
        <v>#VALUE!</v>
      </c>
      <c r="HT20" t="e">
        <f>AND(Answers!X49,"AAAAACz+9+M=")</f>
        <v>#VALUE!</v>
      </c>
      <c r="HU20" t="e">
        <f>AND(Answers!Y49,"AAAAACz+9+Q=")</f>
        <v>#VALUE!</v>
      </c>
      <c r="HV20" t="e">
        <f>AND(Answers!Z49,"AAAAACz+9+U=")</f>
        <v>#VALUE!</v>
      </c>
      <c r="HW20" t="e">
        <f>AND(Answers!AA49,"AAAAACz+9+Y=")</f>
        <v>#VALUE!</v>
      </c>
      <c r="HX20" t="e">
        <f>AND(Answers!AB49,"AAAAACz+9+c=")</f>
        <v>#VALUE!</v>
      </c>
      <c r="HY20" t="e">
        <f>AND(Answers!AC49,"AAAAACz+9+g=")</f>
        <v>#VALUE!</v>
      </c>
      <c r="HZ20" t="e">
        <f>AND(Answers!AD49,"AAAAACz+9+k=")</f>
        <v>#VALUE!</v>
      </c>
      <c r="IA20" t="e">
        <f>AND(Answers!AE49,"AAAAACz+9+o=")</f>
        <v>#VALUE!</v>
      </c>
      <c r="IB20" t="e">
        <f>AND(Answers!AF49,"AAAAACz+9+s=")</f>
        <v>#VALUE!</v>
      </c>
      <c r="IC20" t="e">
        <f>AND(Answers!AH49,"AAAAACz+9+w=")</f>
        <v>#VALUE!</v>
      </c>
      <c r="ID20" t="e">
        <f>AND(Answers!AI49,"AAAAACz+9+0=")</f>
        <v>#VALUE!</v>
      </c>
      <c r="IE20" t="e">
        <f>AND(Answers!AK49,"AAAAACz+9+4=")</f>
        <v>#VALUE!</v>
      </c>
      <c r="IF20" t="e">
        <f>AND(Answers!#REF!,"AAAAACz+9+8=")</f>
        <v>#REF!</v>
      </c>
      <c r="IG20" t="e">
        <f>AND(Answers!AR49,"AAAAACz+9/A=")</f>
        <v>#VALUE!</v>
      </c>
      <c r="IH20" t="e">
        <f>AND(Answers!AS49,"AAAAACz+9/E=")</f>
        <v>#VALUE!</v>
      </c>
      <c r="II20" t="e">
        <f>AND(Answers!AT49,"AAAAACz+9/I=")</f>
        <v>#VALUE!</v>
      </c>
      <c r="IJ20" t="e">
        <f>AND(Answers!AU49,"AAAAACz+9/M=")</f>
        <v>#VALUE!</v>
      </c>
      <c r="IK20" t="e">
        <f>AND(Answers!AW49,"AAAAACz+9/Q=")</f>
        <v>#VALUE!</v>
      </c>
      <c r="IL20" t="e">
        <f>AND(Answers!AX49,"AAAAACz+9/U=")</f>
        <v>#VALUE!</v>
      </c>
      <c r="IM20" t="e">
        <f>AND(Answers!AY49,"AAAAACz+9/Y=")</f>
        <v>#VALUE!</v>
      </c>
      <c r="IN20" t="e">
        <f>AND(Answers!AZ49,"AAAAACz+9/c=")</f>
        <v>#VALUE!</v>
      </c>
      <c r="IO20" t="e">
        <f>AND(Answers!BA49,"AAAAACz+9/g=")</f>
        <v>#VALUE!</v>
      </c>
      <c r="IP20" t="e">
        <f>AND(Answers!BB49,"AAAAACz+9/k=")</f>
        <v>#VALUE!</v>
      </c>
      <c r="IQ20" t="e">
        <f>AND(Answers!BC49,"AAAAACz+9/o=")</f>
        <v>#VALUE!</v>
      </c>
      <c r="IR20" t="e">
        <f>AND(Answers!BD49,"AAAAACz+9/s=")</f>
        <v>#VALUE!</v>
      </c>
      <c r="IS20" t="e">
        <f>AND(Answers!BE49,"AAAAACz+9/w=")</f>
        <v>#VALUE!</v>
      </c>
      <c r="IT20" t="e">
        <f>AND(Answers!BF49,"AAAAACz+9/0=")</f>
        <v>#VALUE!</v>
      </c>
      <c r="IU20" t="e">
        <f>AND(Answers!BG49,"AAAAACz+9/4=")</f>
        <v>#VALUE!</v>
      </c>
      <c r="IV20" t="e">
        <f>AND(Answers!BH49,"AAAAACz+9/8=")</f>
        <v>#VALUE!</v>
      </c>
    </row>
    <row r="21" spans="1:256" x14ac:dyDescent="0.15">
      <c r="A21" t="e">
        <f>AND(Answers!BI49,"AAAAAC/7/gA=")</f>
        <v>#VALUE!</v>
      </c>
      <c r="B21" t="e">
        <f>AND(Answers!BK49,"AAAAAC/7/gE=")</f>
        <v>#VALUE!</v>
      </c>
      <c r="C21" t="e">
        <f>AND(Answers!BL49,"AAAAAC/7/gI=")</f>
        <v>#VALUE!</v>
      </c>
      <c r="D21" t="e">
        <f>AND(Answers!BM49,"AAAAAC/7/gM=")</f>
        <v>#VALUE!</v>
      </c>
      <c r="E21" t="e">
        <f>AND(Answers!BN49,"AAAAAC/7/gQ=")</f>
        <v>#VALUE!</v>
      </c>
      <c r="F21" t="e">
        <f>AND(Answers!BO49,"AAAAAC/7/gU=")</f>
        <v>#VALUE!</v>
      </c>
      <c r="G21" t="e">
        <f>AND(Answers!BP49,"AAAAAC/7/gY=")</f>
        <v>#VALUE!</v>
      </c>
      <c r="H21" t="e">
        <f>AND(Answers!BQ49,"AAAAAC/7/gc=")</f>
        <v>#VALUE!</v>
      </c>
      <c r="I21" t="e">
        <f>AND(Answers!BR49,"AAAAAC/7/gg=")</f>
        <v>#VALUE!</v>
      </c>
      <c r="J21" t="e">
        <f>AND(Answers!BS49,"AAAAAC/7/gk=")</f>
        <v>#VALUE!</v>
      </c>
      <c r="K21" t="e">
        <f>AND(Answers!BU49,"AAAAAC/7/go=")</f>
        <v>#VALUE!</v>
      </c>
      <c r="L21" t="e">
        <f>AND(Answers!BV49,"AAAAAC/7/gs=")</f>
        <v>#VALUE!</v>
      </c>
      <c r="M21" t="e">
        <f>AND(Answers!#REF!,"AAAAAC/7/gw=")</f>
        <v>#REF!</v>
      </c>
      <c r="N21" t="e">
        <f>AND(Answers!BW49,"AAAAAC/7/g0=")</f>
        <v>#VALUE!</v>
      </c>
      <c r="O21" t="e">
        <f>AND(Answers!BX49,"AAAAAC/7/g4=")</f>
        <v>#VALUE!</v>
      </c>
      <c r="P21" t="e">
        <f>AND(Answers!BY49,"AAAAAC/7/g8=")</f>
        <v>#VALUE!</v>
      </c>
      <c r="Q21" t="e">
        <f>AND(Answers!BZ49,"AAAAAC/7/hA=")</f>
        <v>#VALUE!</v>
      </c>
      <c r="R21" t="e">
        <f>IF(Answers!50:50,"AAAAAC/7/hE=",0)</f>
        <v>#VALUE!</v>
      </c>
      <c r="S21" t="e">
        <f>AND(Answers!A50,"AAAAAC/7/hI=")</f>
        <v>#VALUE!</v>
      </c>
      <c r="T21" t="e">
        <f>AND(Answers!B50,"AAAAAC/7/hM=")</f>
        <v>#VALUE!</v>
      </c>
      <c r="U21" t="e">
        <f>AND(Answers!C50,"AAAAAC/7/hQ=")</f>
        <v>#VALUE!</v>
      </c>
      <c r="V21" t="e">
        <f>AND(Answers!D50,"AAAAAC/7/hU=")</f>
        <v>#VALUE!</v>
      </c>
      <c r="W21" t="e">
        <f>AND(Answers!E50,"AAAAAC/7/hY=")</f>
        <v>#VALUE!</v>
      </c>
      <c r="X21" t="e">
        <f>AND(Answers!F50,"AAAAAC/7/hc=")</f>
        <v>#VALUE!</v>
      </c>
      <c r="Y21" t="e">
        <f>AND(Answers!G50,"AAAAAC/7/hg=")</f>
        <v>#VALUE!</v>
      </c>
      <c r="Z21" t="e">
        <f>AND(Answers!H50,"AAAAAC/7/hk=")</f>
        <v>#VALUE!</v>
      </c>
      <c r="AA21" t="e">
        <f>AND(Answers!J50,"AAAAAC/7/ho=")</f>
        <v>#VALUE!</v>
      </c>
      <c r="AB21" t="e">
        <f>AND(Answers!K50,"AAAAAC/7/hs=")</f>
        <v>#VALUE!</v>
      </c>
      <c r="AC21" t="e">
        <f>AND(Answers!L50,"AAAAAC/7/hw=")</f>
        <v>#VALUE!</v>
      </c>
      <c r="AD21" t="e">
        <f>AND(Answers!M50,"AAAAAC/7/h0=")</f>
        <v>#VALUE!</v>
      </c>
      <c r="AE21" t="e">
        <f>AND(Answers!N50,"AAAAAC/7/h4=")</f>
        <v>#VALUE!</v>
      </c>
      <c r="AF21" t="e">
        <f>AND(Answers!O50,"AAAAAC/7/h8=")</f>
        <v>#VALUE!</v>
      </c>
      <c r="AG21" t="e">
        <f>AND(Answers!P50,"AAAAAC/7/iA=")</f>
        <v>#VALUE!</v>
      </c>
      <c r="AH21" t="e">
        <f>AND(Answers!Q50,"AAAAAC/7/iE=")</f>
        <v>#VALUE!</v>
      </c>
      <c r="AI21" t="e">
        <f>AND(Answers!R50,"AAAAAC/7/iI=")</f>
        <v>#VALUE!</v>
      </c>
      <c r="AJ21" t="e">
        <f>AND(Answers!S50,"AAAAAC/7/iM=")</f>
        <v>#VALUE!</v>
      </c>
      <c r="AK21" t="e">
        <f>AND(Answers!T50,"AAAAAC/7/iQ=")</f>
        <v>#VALUE!</v>
      </c>
      <c r="AL21" t="e">
        <f>AND(Answers!U50,"AAAAAC/7/iU=")</f>
        <v>#VALUE!</v>
      </c>
      <c r="AM21" t="e">
        <f>AND(Answers!V50,"AAAAAC/7/iY=")</f>
        <v>#VALUE!</v>
      </c>
      <c r="AN21" t="e">
        <f>AND(Answers!X50,"AAAAAC/7/ic=")</f>
        <v>#VALUE!</v>
      </c>
      <c r="AO21" t="e">
        <f>AND(Answers!Y50,"AAAAAC/7/ig=")</f>
        <v>#VALUE!</v>
      </c>
      <c r="AP21" t="e">
        <f>AND(Answers!Z50,"AAAAAC/7/ik=")</f>
        <v>#VALUE!</v>
      </c>
      <c r="AQ21" t="e">
        <f>AND(Answers!AA50,"AAAAAC/7/io=")</f>
        <v>#VALUE!</v>
      </c>
      <c r="AR21" t="e">
        <f>AND(Answers!AB50,"AAAAAC/7/is=")</f>
        <v>#VALUE!</v>
      </c>
      <c r="AS21" t="e">
        <f>AND(Answers!AC50,"AAAAAC/7/iw=")</f>
        <v>#VALUE!</v>
      </c>
      <c r="AT21" t="e">
        <f>AND(Answers!AD50,"AAAAAC/7/i0=")</f>
        <v>#VALUE!</v>
      </c>
      <c r="AU21" t="e">
        <f>AND(Answers!AE50,"AAAAAC/7/i4=")</f>
        <v>#VALUE!</v>
      </c>
      <c r="AV21" t="e">
        <f>AND(Answers!AF50,"AAAAAC/7/i8=")</f>
        <v>#VALUE!</v>
      </c>
      <c r="AW21" t="e">
        <f>AND(Answers!AH50,"AAAAAC/7/jA=")</f>
        <v>#VALUE!</v>
      </c>
      <c r="AX21" t="e">
        <f>AND(Answers!AI50,"AAAAAC/7/jE=")</f>
        <v>#VALUE!</v>
      </c>
      <c r="AY21" t="e">
        <f>AND(Answers!AK50,"AAAAAC/7/jI=")</f>
        <v>#VALUE!</v>
      </c>
      <c r="AZ21" t="e">
        <f>AND(Answers!#REF!,"AAAAAC/7/jM=")</f>
        <v>#REF!</v>
      </c>
      <c r="BA21" t="e">
        <f>AND(Answers!AR50,"AAAAAC/7/jQ=")</f>
        <v>#VALUE!</v>
      </c>
      <c r="BB21" t="e">
        <f>AND(Answers!AS50,"AAAAAC/7/jU=")</f>
        <v>#VALUE!</v>
      </c>
      <c r="BC21" t="e">
        <f>AND(Answers!AT50,"AAAAAC/7/jY=")</f>
        <v>#VALUE!</v>
      </c>
      <c r="BD21" t="e">
        <f>AND(Answers!AU50,"AAAAAC/7/jc=")</f>
        <v>#VALUE!</v>
      </c>
      <c r="BE21" t="e">
        <f>AND(Answers!AW50,"AAAAAC/7/jg=")</f>
        <v>#VALUE!</v>
      </c>
      <c r="BF21" t="e">
        <f>AND(Answers!AX50,"AAAAAC/7/jk=")</f>
        <v>#VALUE!</v>
      </c>
      <c r="BG21" t="e">
        <f>AND(Answers!AY50,"AAAAAC/7/jo=")</f>
        <v>#VALUE!</v>
      </c>
      <c r="BH21" t="e">
        <f>AND(Answers!AZ50,"AAAAAC/7/js=")</f>
        <v>#VALUE!</v>
      </c>
      <c r="BI21" t="e">
        <f>AND(Answers!BA50,"AAAAAC/7/jw=")</f>
        <v>#VALUE!</v>
      </c>
      <c r="BJ21" t="e">
        <f>AND(Answers!BB50,"AAAAAC/7/j0=")</f>
        <v>#VALUE!</v>
      </c>
      <c r="BK21" t="e">
        <f>AND(Answers!BC50,"AAAAAC/7/j4=")</f>
        <v>#VALUE!</v>
      </c>
      <c r="BL21" t="e">
        <f>AND(Answers!BD50,"AAAAAC/7/j8=")</f>
        <v>#VALUE!</v>
      </c>
      <c r="BM21" t="e">
        <f>AND(Answers!BE50,"AAAAAC/7/kA=")</f>
        <v>#VALUE!</v>
      </c>
      <c r="BN21" t="e">
        <f>AND(Answers!BF50,"AAAAAC/7/kE=")</f>
        <v>#VALUE!</v>
      </c>
      <c r="BO21" t="e">
        <f>AND(Answers!BG50,"AAAAAC/7/kI=")</f>
        <v>#VALUE!</v>
      </c>
      <c r="BP21" t="e">
        <f>AND(Answers!BH50,"AAAAAC/7/kM=")</f>
        <v>#VALUE!</v>
      </c>
      <c r="BQ21" t="e">
        <f>AND(Answers!BI50,"AAAAAC/7/kQ=")</f>
        <v>#VALUE!</v>
      </c>
      <c r="BR21" t="e">
        <f>AND(Answers!BK50,"AAAAAC/7/kU=")</f>
        <v>#VALUE!</v>
      </c>
      <c r="BS21" t="e">
        <f>AND(Answers!BL50,"AAAAAC/7/kY=")</f>
        <v>#VALUE!</v>
      </c>
      <c r="BT21" t="e">
        <f>AND(Answers!BM50,"AAAAAC/7/kc=")</f>
        <v>#VALUE!</v>
      </c>
      <c r="BU21" t="e">
        <f>AND(Answers!BN50,"AAAAAC/7/kg=")</f>
        <v>#VALUE!</v>
      </c>
      <c r="BV21" t="e">
        <f>AND(Answers!BO50,"AAAAAC/7/kk=")</f>
        <v>#VALUE!</v>
      </c>
      <c r="BW21" t="e">
        <f>AND(Answers!BP50,"AAAAAC/7/ko=")</f>
        <v>#VALUE!</v>
      </c>
      <c r="BX21" t="e">
        <f>AND(Answers!BQ50,"AAAAAC/7/ks=")</f>
        <v>#VALUE!</v>
      </c>
      <c r="BY21" t="e">
        <f>AND(Answers!BR50,"AAAAAC/7/kw=")</f>
        <v>#VALUE!</v>
      </c>
      <c r="BZ21" t="e">
        <f>AND(Answers!BS50,"AAAAAC/7/k0=")</f>
        <v>#VALUE!</v>
      </c>
      <c r="CA21" t="e">
        <f>AND(Answers!BU50,"AAAAAC/7/k4=")</f>
        <v>#VALUE!</v>
      </c>
      <c r="CB21" t="e">
        <f>AND(Answers!BV50,"AAAAAC/7/k8=")</f>
        <v>#VALUE!</v>
      </c>
      <c r="CC21" t="e">
        <f>AND(Answers!#REF!,"AAAAAC/7/lA=")</f>
        <v>#REF!</v>
      </c>
      <c r="CD21" t="e">
        <f>AND(Answers!BW50,"AAAAAC/7/lE=")</f>
        <v>#VALUE!</v>
      </c>
      <c r="CE21" t="e">
        <f>AND(Answers!BX50,"AAAAAC/7/lI=")</f>
        <v>#VALUE!</v>
      </c>
      <c r="CF21" t="e">
        <f>AND(Answers!BY50,"AAAAAC/7/lM=")</f>
        <v>#VALUE!</v>
      </c>
      <c r="CG21" t="e">
        <f>AND(Answers!BZ50,"AAAAAC/7/lQ=")</f>
        <v>#VALUE!</v>
      </c>
      <c r="CH21">
        <f>IF(Answers!51:51,"AAAAAC/7/lU=",0)</f>
        <v>0</v>
      </c>
      <c r="CI21" t="e">
        <f>AND(Answers!A51,"AAAAAC/7/lY=")</f>
        <v>#VALUE!</v>
      </c>
      <c r="CJ21" t="e">
        <f>AND(Answers!B51,"AAAAAC/7/lc=")</f>
        <v>#VALUE!</v>
      </c>
      <c r="CK21" t="e">
        <f>AND(Answers!C51,"AAAAAC/7/lg=")</f>
        <v>#VALUE!</v>
      </c>
      <c r="CL21" t="e">
        <f>AND(Answers!D51,"AAAAAC/7/lk=")</f>
        <v>#VALUE!</v>
      </c>
      <c r="CM21" t="e">
        <f>AND(Answers!E51,"AAAAAC/7/lo=")</f>
        <v>#VALUE!</v>
      </c>
      <c r="CN21" t="e">
        <f>AND(Answers!F51,"AAAAAC/7/ls=")</f>
        <v>#VALUE!</v>
      </c>
      <c r="CO21" t="e">
        <f>AND(Answers!G51,"AAAAAC/7/lw=")</f>
        <v>#VALUE!</v>
      </c>
      <c r="CP21" t="e">
        <f>AND(Answers!H51,"AAAAAC/7/l0=")</f>
        <v>#VALUE!</v>
      </c>
      <c r="CQ21" t="e">
        <f>AND(Answers!J51,"AAAAAC/7/l4=")</f>
        <v>#VALUE!</v>
      </c>
      <c r="CR21" t="e">
        <f>AND(Answers!K51,"AAAAAC/7/l8=")</f>
        <v>#VALUE!</v>
      </c>
      <c r="CS21" t="e">
        <f>AND(Answers!L51,"AAAAAC/7/mA=")</f>
        <v>#VALUE!</v>
      </c>
      <c r="CT21" t="e">
        <f>AND(Answers!M51,"AAAAAC/7/mE=")</f>
        <v>#VALUE!</v>
      </c>
      <c r="CU21" t="e">
        <f>AND(Answers!N51,"AAAAAC/7/mI=")</f>
        <v>#VALUE!</v>
      </c>
      <c r="CV21" t="e">
        <f>AND(Answers!O51,"AAAAAC/7/mM=")</f>
        <v>#VALUE!</v>
      </c>
      <c r="CW21" t="e">
        <f>AND(Answers!P51,"AAAAAC/7/mQ=")</f>
        <v>#VALUE!</v>
      </c>
      <c r="CX21" t="e">
        <f>AND(Answers!Q51,"AAAAAC/7/mU=")</f>
        <v>#VALUE!</v>
      </c>
      <c r="CY21" t="e">
        <f>AND(Answers!R51,"AAAAAC/7/mY=")</f>
        <v>#VALUE!</v>
      </c>
      <c r="CZ21" t="e">
        <f>AND(Answers!S51,"AAAAAC/7/mc=")</f>
        <v>#VALUE!</v>
      </c>
      <c r="DA21" t="e">
        <f>AND(Answers!T51,"AAAAAC/7/mg=")</f>
        <v>#VALUE!</v>
      </c>
      <c r="DB21" t="e">
        <f>AND(Answers!U51,"AAAAAC/7/mk=")</f>
        <v>#VALUE!</v>
      </c>
      <c r="DC21" t="e">
        <f>AND(Answers!V51,"AAAAAC/7/mo=")</f>
        <v>#VALUE!</v>
      </c>
      <c r="DD21" t="e">
        <f>AND(Answers!X51,"AAAAAC/7/ms=")</f>
        <v>#VALUE!</v>
      </c>
      <c r="DE21" t="e">
        <f>AND(Answers!Y51,"AAAAAC/7/mw=")</f>
        <v>#VALUE!</v>
      </c>
      <c r="DF21" t="e">
        <f>AND(Answers!Z51,"AAAAAC/7/m0=")</f>
        <v>#VALUE!</v>
      </c>
      <c r="DG21" t="e">
        <f>AND(Answers!AA51,"AAAAAC/7/m4=")</f>
        <v>#VALUE!</v>
      </c>
      <c r="DH21" t="e">
        <f>AND(Answers!AB51,"AAAAAC/7/m8=")</f>
        <v>#VALUE!</v>
      </c>
      <c r="DI21" t="e">
        <f>AND(Answers!AC51,"AAAAAC/7/nA=")</f>
        <v>#VALUE!</v>
      </c>
      <c r="DJ21" t="e">
        <f>AND(Answers!AD51,"AAAAAC/7/nE=")</f>
        <v>#VALUE!</v>
      </c>
      <c r="DK21" t="e">
        <f>AND(Answers!AE51,"AAAAAC/7/nI=")</f>
        <v>#VALUE!</v>
      </c>
      <c r="DL21" t="e">
        <f>AND(Answers!AF51,"AAAAAC/7/nM=")</f>
        <v>#VALUE!</v>
      </c>
      <c r="DM21" t="e">
        <f>AND(Answers!AH51,"AAAAAC/7/nQ=")</f>
        <v>#VALUE!</v>
      </c>
      <c r="DN21" t="e">
        <f>AND(Answers!AI51,"AAAAAC/7/nU=")</f>
        <v>#VALUE!</v>
      </c>
      <c r="DO21" t="e">
        <f>AND(Answers!AK51,"AAAAAC/7/nY=")</f>
        <v>#VALUE!</v>
      </c>
      <c r="DP21" t="e">
        <f>AND(Answers!#REF!,"AAAAAC/7/nc=")</f>
        <v>#REF!</v>
      </c>
      <c r="DQ21" t="e">
        <f>AND(Answers!AR51,"AAAAAC/7/ng=")</f>
        <v>#VALUE!</v>
      </c>
      <c r="DR21" t="e">
        <f>AND(Answers!AS51,"AAAAAC/7/nk=")</f>
        <v>#VALUE!</v>
      </c>
      <c r="DS21" t="e">
        <f>AND(Answers!AT51,"AAAAAC/7/no=")</f>
        <v>#VALUE!</v>
      </c>
      <c r="DT21" t="e">
        <f>AND(Answers!AU51,"AAAAAC/7/ns=")</f>
        <v>#VALUE!</v>
      </c>
      <c r="DU21" t="e">
        <f>AND(Answers!AW51,"AAAAAC/7/nw=")</f>
        <v>#VALUE!</v>
      </c>
      <c r="DV21" t="e">
        <f>AND(Answers!AX51,"AAAAAC/7/n0=")</f>
        <v>#VALUE!</v>
      </c>
      <c r="DW21" t="e">
        <f>AND(Answers!AY51,"AAAAAC/7/n4=")</f>
        <v>#VALUE!</v>
      </c>
      <c r="DX21" t="e">
        <f>AND(Answers!AZ51,"AAAAAC/7/n8=")</f>
        <v>#VALUE!</v>
      </c>
      <c r="DY21" t="e">
        <f>AND(Answers!BA51,"AAAAAC/7/oA=")</f>
        <v>#VALUE!</v>
      </c>
      <c r="DZ21" t="e">
        <f>AND(Answers!BB51,"AAAAAC/7/oE=")</f>
        <v>#VALUE!</v>
      </c>
      <c r="EA21" t="e">
        <f>AND(Answers!BC51,"AAAAAC/7/oI=")</f>
        <v>#VALUE!</v>
      </c>
      <c r="EB21" t="e">
        <f>AND(Answers!BD51,"AAAAAC/7/oM=")</f>
        <v>#VALUE!</v>
      </c>
      <c r="EC21" t="e">
        <f>AND(Answers!BE51,"AAAAAC/7/oQ=")</f>
        <v>#VALUE!</v>
      </c>
      <c r="ED21" t="e">
        <f>AND(Answers!BF51,"AAAAAC/7/oU=")</f>
        <v>#VALUE!</v>
      </c>
      <c r="EE21" t="e">
        <f>AND(Answers!BG51,"AAAAAC/7/oY=")</f>
        <v>#VALUE!</v>
      </c>
      <c r="EF21" t="e">
        <f>AND(Answers!BH51,"AAAAAC/7/oc=")</f>
        <v>#VALUE!</v>
      </c>
      <c r="EG21" t="e">
        <f>AND(Answers!BI51,"AAAAAC/7/og=")</f>
        <v>#VALUE!</v>
      </c>
      <c r="EH21" t="e">
        <f>AND(Answers!BK51,"AAAAAC/7/ok=")</f>
        <v>#VALUE!</v>
      </c>
      <c r="EI21" t="e">
        <f>AND(Answers!BL51,"AAAAAC/7/oo=")</f>
        <v>#VALUE!</v>
      </c>
      <c r="EJ21" t="e">
        <f>AND(Answers!BM51,"AAAAAC/7/os=")</f>
        <v>#VALUE!</v>
      </c>
      <c r="EK21" t="e">
        <f>AND(Answers!BN51,"AAAAAC/7/ow=")</f>
        <v>#VALUE!</v>
      </c>
      <c r="EL21" t="e">
        <f>AND(Answers!BO51,"AAAAAC/7/o0=")</f>
        <v>#VALUE!</v>
      </c>
      <c r="EM21" t="e">
        <f>AND(Answers!BP51,"AAAAAC/7/o4=")</f>
        <v>#VALUE!</v>
      </c>
      <c r="EN21" t="e">
        <f>AND(Answers!BQ51,"AAAAAC/7/o8=")</f>
        <v>#VALUE!</v>
      </c>
      <c r="EO21" t="e">
        <f>AND(Answers!BR51,"AAAAAC/7/pA=")</f>
        <v>#VALUE!</v>
      </c>
      <c r="EP21" t="e">
        <f>AND(Answers!BS51,"AAAAAC/7/pE=")</f>
        <v>#VALUE!</v>
      </c>
      <c r="EQ21" t="e">
        <f>AND(Answers!BU51,"AAAAAC/7/pI=")</f>
        <v>#VALUE!</v>
      </c>
      <c r="ER21" t="e">
        <f>AND(Answers!BV51,"AAAAAC/7/pM=")</f>
        <v>#VALUE!</v>
      </c>
      <c r="ES21" t="e">
        <f>AND(Answers!#REF!,"AAAAAC/7/pQ=")</f>
        <v>#REF!</v>
      </c>
      <c r="ET21" t="e">
        <f>AND(Answers!BW51,"AAAAAC/7/pU=")</f>
        <v>#VALUE!</v>
      </c>
      <c r="EU21" t="e">
        <f>AND(Answers!BX51,"AAAAAC/7/pY=")</f>
        <v>#VALUE!</v>
      </c>
      <c r="EV21" t="e">
        <f>AND(Answers!BY51,"AAAAAC/7/pc=")</f>
        <v>#VALUE!</v>
      </c>
      <c r="EW21" t="e">
        <f>AND(Answers!BZ51,"AAAAAC/7/pg=")</f>
        <v>#VALUE!</v>
      </c>
      <c r="EX21">
        <f>IF(Answers!52:52,"AAAAAC/7/pk=",0)</f>
        <v>0</v>
      </c>
      <c r="EY21" t="e">
        <f>AND(Answers!A52,"AAAAAC/7/po=")</f>
        <v>#VALUE!</v>
      </c>
      <c r="EZ21" t="e">
        <f>AND(Answers!B52,"AAAAAC/7/ps=")</f>
        <v>#VALUE!</v>
      </c>
      <c r="FA21" t="e">
        <f>AND(Answers!C52,"AAAAAC/7/pw=")</f>
        <v>#VALUE!</v>
      </c>
      <c r="FB21" t="e">
        <f>AND(Answers!D52,"AAAAAC/7/p0=")</f>
        <v>#VALUE!</v>
      </c>
      <c r="FC21" t="e">
        <f>AND(Answers!E52,"AAAAAC/7/p4=")</f>
        <v>#VALUE!</v>
      </c>
      <c r="FD21" t="e">
        <f>AND(Answers!F52,"AAAAAC/7/p8=")</f>
        <v>#VALUE!</v>
      </c>
      <c r="FE21" t="e">
        <f>AND(Answers!G52,"AAAAAC/7/qA=")</f>
        <v>#VALUE!</v>
      </c>
      <c r="FF21" t="e">
        <f>AND(Answers!H52,"AAAAAC/7/qE=")</f>
        <v>#VALUE!</v>
      </c>
      <c r="FG21" t="e">
        <f>AND(Answers!J52,"AAAAAC/7/qI=")</f>
        <v>#VALUE!</v>
      </c>
      <c r="FH21" t="e">
        <f>AND(Answers!K52,"AAAAAC/7/qM=")</f>
        <v>#VALUE!</v>
      </c>
      <c r="FI21" t="e">
        <f>AND(Answers!L52,"AAAAAC/7/qQ=")</f>
        <v>#VALUE!</v>
      </c>
      <c r="FJ21" t="e">
        <f>AND(Answers!M52,"AAAAAC/7/qU=")</f>
        <v>#VALUE!</v>
      </c>
      <c r="FK21" t="e">
        <f>AND(Answers!N52,"AAAAAC/7/qY=")</f>
        <v>#VALUE!</v>
      </c>
      <c r="FL21" t="e">
        <f>AND(Answers!O52,"AAAAAC/7/qc=")</f>
        <v>#VALUE!</v>
      </c>
      <c r="FM21" t="e">
        <f>AND(Answers!P52,"AAAAAC/7/qg=")</f>
        <v>#VALUE!</v>
      </c>
      <c r="FN21" t="e">
        <f>AND(Answers!Q52,"AAAAAC/7/qk=")</f>
        <v>#VALUE!</v>
      </c>
      <c r="FO21" t="e">
        <f>AND(Answers!R52,"AAAAAC/7/qo=")</f>
        <v>#VALUE!</v>
      </c>
      <c r="FP21" t="e">
        <f>AND(Answers!S52,"AAAAAC/7/qs=")</f>
        <v>#VALUE!</v>
      </c>
      <c r="FQ21" t="e">
        <f>AND(Answers!T52,"AAAAAC/7/qw=")</f>
        <v>#VALUE!</v>
      </c>
      <c r="FR21" t="e">
        <f>AND(Answers!U52,"AAAAAC/7/q0=")</f>
        <v>#VALUE!</v>
      </c>
      <c r="FS21" t="e">
        <f>AND(Answers!V52,"AAAAAC/7/q4=")</f>
        <v>#VALUE!</v>
      </c>
      <c r="FT21" t="e">
        <f>AND(Answers!X52,"AAAAAC/7/q8=")</f>
        <v>#VALUE!</v>
      </c>
      <c r="FU21" t="e">
        <f>AND(Answers!Y52,"AAAAAC/7/rA=")</f>
        <v>#VALUE!</v>
      </c>
      <c r="FV21" t="e">
        <f>AND(Answers!Z52,"AAAAAC/7/rE=")</f>
        <v>#VALUE!</v>
      </c>
      <c r="FW21" t="e">
        <f>AND(Answers!AA52,"AAAAAC/7/rI=")</f>
        <v>#VALUE!</v>
      </c>
      <c r="FX21" t="e">
        <f>AND(Answers!AB52,"AAAAAC/7/rM=")</f>
        <v>#VALUE!</v>
      </c>
      <c r="FY21" t="e">
        <f>AND(Answers!AC52,"AAAAAC/7/rQ=")</f>
        <v>#VALUE!</v>
      </c>
      <c r="FZ21" t="e">
        <f>AND(Answers!AD52,"AAAAAC/7/rU=")</f>
        <v>#VALUE!</v>
      </c>
      <c r="GA21" t="e">
        <f>AND(Answers!AE52,"AAAAAC/7/rY=")</f>
        <v>#VALUE!</v>
      </c>
      <c r="GB21" t="e">
        <f>AND(Answers!AF52,"AAAAAC/7/rc=")</f>
        <v>#VALUE!</v>
      </c>
      <c r="GC21" t="e">
        <f>AND(Answers!AH52,"AAAAAC/7/rg=")</f>
        <v>#VALUE!</v>
      </c>
      <c r="GD21" t="e">
        <f>AND(Answers!AI52,"AAAAAC/7/rk=")</f>
        <v>#VALUE!</v>
      </c>
      <c r="GE21" t="e">
        <f>AND(Answers!AK52,"AAAAAC/7/ro=")</f>
        <v>#VALUE!</v>
      </c>
      <c r="GF21" t="e">
        <f>AND(Answers!#REF!,"AAAAAC/7/rs=")</f>
        <v>#REF!</v>
      </c>
      <c r="GG21" t="e">
        <f>AND(Answers!AR52,"AAAAAC/7/rw=")</f>
        <v>#VALUE!</v>
      </c>
      <c r="GH21" t="e">
        <f>AND(Answers!AS52,"AAAAAC/7/r0=")</f>
        <v>#VALUE!</v>
      </c>
      <c r="GI21" t="e">
        <f>AND(Answers!AT52,"AAAAAC/7/r4=")</f>
        <v>#VALUE!</v>
      </c>
      <c r="GJ21" t="e">
        <f>AND(Answers!AU52,"AAAAAC/7/r8=")</f>
        <v>#VALUE!</v>
      </c>
      <c r="GK21" t="e">
        <f>AND(Answers!AW52,"AAAAAC/7/sA=")</f>
        <v>#VALUE!</v>
      </c>
      <c r="GL21" t="e">
        <f>AND(Answers!AX52,"AAAAAC/7/sE=")</f>
        <v>#VALUE!</v>
      </c>
      <c r="GM21" t="e">
        <f>AND(Answers!AY52,"AAAAAC/7/sI=")</f>
        <v>#VALUE!</v>
      </c>
      <c r="GN21" t="e">
        <f>AND(Answers!AZ52,"AAAAAC/7/sM=")</f>
        <v>#VALUE!</v>
      </c>
      <c r="GO21" t="e">
        <f>AND(Answers!BA52,"AAAAAC/7/sQ=")</f>
        <v>#VALUE!</v>
      </c>
      <c r="GP21" t="e">
        <f>AND(Answers!BB52,"AAAAAC/7/sU=")</f>
        <v>#VALUE!</v>
      </c>
      <c r="GQ21" t="e">
        <f>AND(Answers!BC52,"AAAAAC/7/sY=")</f>
        <v>#VALUE!</v>
      </c>
      <c r="GR21" t="e">
        <f>AND(Answers!BD52,"AAAAAC/7/sc=")</f>
        <v>#VALUE!</v>
      </c>
      <c r="GS21" t="e">
        <f>AND(Answers!BE52,"AAAAAC/7/sg=")</f>
        <v>#VALUE!</v>
      </c>
      <c r="GT21" t="e">
        <f>AND(Answers!BF52,"AAAAAC/7/sk=")</f>
        <v>#VALUE!</v>
      </c>
      <c r="GU21" t="e">
        <f>AND(Answers!BG52,"AAAAAC/7/so=")</f>
        <v>#VALUE!</v>
      </c>
      <c r="GV21" t="e">
        <f>AND(Answers!BH52,"AAAAAC/7/ss=")</f>
        <v>#VALUE!</v>
      </c>
      <c r="GW21" t="e">
        <f>AND(Answers!BI52,"AAAAAC/7/sw=")</f>
        <v>#VALUE!</v>
      </c>
      <c r="GX21" t="e">
        <f>AND(Answers!BK52,"AAAAAC/7/s0=")</f>
        <v>#VALUE!</v>
      </c>
      <c r="GY21" t="e">
        <f>AND(Answers!BL52,"AAAAAC/7/s4=")</f>
        <v>#VALUE!</v>
      </c>
      <c r="GZ21" t="e">
        <f>AND(Answers!BM52,"AAAAAC/7/s8=")</f>
        <v>#VALUE!</v>
      </c>
      <c r="HA21" t="e">
        <f>AND(Answers!BN52,"AAAAAC/7/tA=")</f>
        <v>#VALUE!</v>
      </c>
      <c r="HB21" t="e">
        <f>AND(Answers!BO52,"AAAAAC/7/tE=")</f>
        <v>#VALUE!</v>
      </c>
      <c r="HC21" t="e">
        <f>AND(Answers!BP52,"AAAAAC/7/tI=")</f>
        <v>#VALUE!</v>
      </c>
      <c r="HD21" t="e">
        <f>AND(Answers!BQ52,"AAAAAC/7/tM=")</f>
        <v>#VALUE!</v>
      </c>
      <c r="HE21" t="e">
        <f>AND(Answers!BR52,"AAAAAC/7/tQ=")</f>
        <v>#VALUE!</v>
      </c>
      <c r="HF21" t="e">
        <f>AND(Answers!BS52,"AAAAAC/7/tU=")</f>
        <v>#VALUE!</v>
      </c>
      <c r="HG21" t="e">
        <f>AND(Answers!BU52,"AAAAAC/7/tY=")</f>
        <v>#VALUE!</v>
      </c>
      <c r="HH21" t="e">
        <f>AND(Answers!BV52,"AAAAAC/7/tc=")</f>
        <v>#VALUE!</v>
      </c>
      <c r="HI21" t="e">
        <f>AND(Answers!#REF!,"AAAAAC/7/tg=")</f>
        <v>#REF!</v>
      </c>
      <c r="HJ21" t="e">
        <f>AND(Answers!BW52,"AAAAAC/7/tk=")</f>
        <v>#VALUE!</v>
      </c>
      <c r="HK21" t="e">
        <f>AND(Answers!BX52,"AAAAAC/7/to=")</f>
        <v>#VALUE!</v>
      </c>
      <c r="HL21" t="e">
        <f>AND(Answers!BY52,"AAAAAC/7/ts=")</f>
        <v>#VALUE!</v>
      </c>
      <c r="HM21" t="e">
        <f>AND(Answers!BZ52,"AAAAAC/7/tw=")</f>
        <v>#VALUE!</v>
      </c>
      <c r="HN21">
        <f>IF(Answers!53:53,"AAAAAC/7/t0=",0)</f>
        <v>0</v>
      </c>
      <c r="HO21" t="e">
        <f>AND(Answers!A53,"AAAAAC/7/t4=")</f>
        <v>#VALUE!</v>
      </c>
      <c r="HP21" t="e">
        <f>AND(Answers!B53,"AAAAAC/7/t8=")</f>
        <v>#VALUE!</v>
      </c>
      <c r="HQ21" t="e">
        <f>AND(Answers!C53,"AAAAAC/7/uA=")</f>
        <v>#VALUE!</v>
      </c>
      <c r="HR21" t="e">
        <f>AND(Answers!D53,"AAAAAC/7/uE=")</f>
        <v>#VALUE!</v>
      </c>
      <c r="HS21" t="e">
        <f>AND(Answers!E53,"AAAAAC/7/uI=")</f>
        <v>#VALUE!</v>
      </c>
      <c r="HT21" t="e">
        <f>AND(Answers!F53,"AAAAAC/7/uM=")</f>
        <v>#VALUE!</v>
      </c>
      <c r="HU21" t="e">
        <f>AND(Answers!G53,"AAAAAC/7/uQ=")</f>
        <v>#VALUE!</v>
      </c>
      <c r="HV21" t="e">
        <f>AND(Answers!H53,"AAAAAC/7/uU=")</f>
        <v>#VALUE!</v>
      </c>
      <c r="HW21" t="e">
        <f>AND(Answers!J53,"AAAAAC/7/uY=")</f>
        <v>#VALUE!</v>
      </c>
      <c r="HX21" t="e">
        <f>AND(Answers!K53,"AAAAAC/7/uc=")</f>
        <v>#VALUE!</v>
      </c>
      <c r="HY21" t="e">
        <f>AND(Answers!L53,"AAAAAC/7/ug=")</f>
        <v>#VALUE!</v>
      </c>
      <c r="HZ21" t="e">
        <f>AND(Answers!M53,"AAAAAC/7/uk=")</f>
        <v>#VALUE!</v>
      </c>
      <c r="IA21" t="e">
        <f>AND(Answers!N53,"AAAAAC/7/uo=")</f>
        <v>#VALUE!</v>
      </c>
      <c r="IB21" t="e">
        <f>AND(Answers!O53,"AAAAAC/7/us=")</f>
        <v>#VALUE!</v>
      </c>
      <c r="IC21" t="e">
        <f>AND(Answers!P53,"AAAAAC/7/uw=")</f>
        <v>#VALUE!</v>
      </c>
      <c r="ID21" t="e">
        <f>AND(Answers!Q53,"AAAAAC/7/u0=")</f>
        <v>#VALUE!</v>
      </c>
      <c r="IE21" t="e">
        <f>AND(Answers!R53,"AAAAAC/7/u4=")</f>
        <v>#VALUE!</v>
      </c>
      <c r="IF21" t="e">
        <f>AND(Answers!S53,"AAAAAC/7/u8=")</f>
        <v>#VALUE!</v>
      </c>
      <c r="IG21" t="e">
        <f>AND(Answers!T53,"AAAAAC/7/vA=")</f>
        <v>#VALUE!</v>
      </c>
      <c r="IH21" t="e">
        <f>AND(Answers!U53,"AAAAAC/7/vE=")</f>
        <v>#VALUE!</v>
      </c>
      <c r="II21" t="e">
        <f>AND(Answers!V53,"AAAAAC/7/vI=")</f>
        <v>#VALUE!</v>
      </c>
      <c r="IJ21" t="e">
        <f>AND(Answers!X53,"AAAAAC/7/vM=")</f>
        <v>#VALUE!</v>
      </c>
      <c r="IK21" t="e">
        <f>AND(Answers!Y53,"AAAAAC/7/vQ=")</f>
        <v>#VALUE!</v>
      </c>
      <c r="IL21" t="e">
        <f>AND(Answers!Z53,"AAAAAC/7/vU=")</f>
        <v>#VALUE!</v>
      </c>
      <c r="IM21" t="e">
        <f>AND(Answers!AA53,"AAAAAC/7/vY=")</f>
        <v>#VALUE!</v>
      </c>
      <c r="IN21" t="e">
        <f>AND(Answers!AB53,"AAAAAC/7/vc=")</f>
        <v>#VALUE!</v>
      </c>
      <c r="IO21" t="e">
        <f>AND(Answers!AC53,"AAAAAC/7/vg=")</f>
        <v>#VALUE!</v>
      </c>
      <c r="IP21" t="e">
        <f>AND(Answers!AD53,"AAAAAC/7/vk=")</f>
        <v>#VALUE!</v>
      </c>
      <c r="IQ21" t="e">
        <f>AND(Answers!AE53,"AAAAAC/7/vo=")</f>
        <v>#VALUE!</v>
      </c>
      <c r="IR21" t="e">
        <f>AND(Answers!AF53,"AAAAAC/7/vs=")</f>
        <v>#VALUE!</v>
      </c>
      <c r="IS21" t="e">
        <f>AND(Answers!AH53,"AAAAAC/7/vw=")</f>
        <v>#VALUE!</v>
      </c>
      <c r="IT21" t="e">
        <f>AND(Answers!AI53,"AAAAAC/7/v0=")</f>
        <v>#VALUE!</v>
      </c>
      <c r="IU21" t="e">
        <f>AND(Answers!AK53,"AAAAAC/7/v4=")</f>
        <v>#VALUE!</v>
      </c>
      <c r="IV21" t="e">
        <f>AND(Answers!#REF!,"AAAAAC/7/v8=")</f>
        <v>#REF!</v>
      </c>
    </row>
    <row r="22" spans="1:256" x14ac:dyDescent="0.15">
      <c r="A22" t="e">
        <f>AND(Answers!AR53,"AAAAABaevwA=")</f>
        <v>#VALUE!</v>
      </c>
      <c r="B22" t="e">
        <f>AND(Answers!AS53,"AAAAABaevwE=")</f>
        <v>#VALUE!</v>
      </c>
      <c r="C22" t="e">
        <f>AND(Answers!AT53,"AAAAABaevwI=")</f>
        <v>#VALUE!</v>
      </c>
      <c r="D22" t="e">
        <f>AND(Answers!AU53,"AAAAABaevwM=")</f>
        <v>#VALUE!</v>
      </c>
      <c r="E22" t="e">
        <f>AND(Answers!AW53,"AAAAABaevwQ=")</f>
        <v>#VALUE!</v>
      </c>
      <c r="F22" t="e">
        <f>AND(Answers!AX53,"AAAAABaevwU=")</f>
        <v>#VALUE!</v>
      </c>
      <c r="G22" t="e">
        <f>AND(Answers!AY53,"AAAAABaevwY=")</f>
        <v>#VALUE!</v>
      </c>
      <c r="H22" t="e">
        <f>AND(Answers!AZ53,"AAAAABaevwc=")</f>
        <v>#VALUE!</v>
      </c>
      <c r="I22" t="e">
        <f>AND(Answers!BA53,"AAAAABaevwg=")</f>
        <v>#VALUE!</v>
      </c>
      <c r="J22" t="e">
        <f>AND(Answers!BB53,"AAAAABaevwk=")</f>
        <v>#VALUE!</v>
      </c>
      <c r="K22" t="e">
        <f>AND(Answers!BC53,"AAAAABaevwo=")</f>
        <v>#VALUE!</v>
      </c>
      <c r="L22" t="e">
        <f>AND(Answers!BD53,"AAAAABaevws=")</f>
        <v>#VALUE!</v>
      </c>
      <c r="M22" t="e">
        <f>AND(Answers!BE53,"AAAAABaevww=")</f>
        <v>#VALUE!</v>
      </c>
      <c r="N22" t="e">
        <f>AND(Answers!BF53,"AAAAABaevw0=")</f>
        <v>#VALUE!</v>
      </c>
      <c r="O22" t="e">
        <f>AND(Answers!BG53,"AAAAABaevw4=")</f>
        <v>#VALUE!</v>
      </c>
      <c r="P22" t="e">
        <f>AND(Answers!BH53,"AAAAABaevw8=")</f>
        <v>#VALUE!</v>
      </c>
      <c r="Q22" t="e">
        <f>AND(Answers!BI53,"AAAAABaevxA=")</f>
        <v>#VALUE!</v>
      </c>
      <c r="R22" t="e">
        <f>AND(Answers!BK53,"AAAAABaevxE=")</f>
        <v>#VALUE!</v>
      </c>
      <c r="S22" t="e">
        <f>AND(Answers!BL53,"AAAAABaevxI=")</f>
        <v>#VALUE!</v>
      </c>
      <c r="T22" t="e">
        <f>AND(Answers!BM53,"AAAAABaevxM=")</f>
        <v>#VALUE!</v>
      </c>
      <c r="U22" t="e">
        <f>AND(Answers!BN53,"AAAAABaevxQ=")</f>
        <v>#VALUE!</v>
      </c>
      <c r="V22" t="e">
        <f>AND(Answers!BO53,"AAAAABaevxU=")</f>
        <v>#VALUE!</v>
      </c>
      <c r="W22" t="e">
        <f>AND(Answers!BP53,"AAAAABaevxY=")</f>
        <v>#VALUE!</v>
      </c>
      <c r="X22" t="e">
        <f>AND(Answers!BQ53,"AAAAABaevxc=")</f>
        <v>#VALUE!</v>
      </c>
      <c r="Y22" t="e">
        <f>AND(Answers!BR53,"AAAAABaevxg=")</f>
        <v>#VALUE!</v>
      </c>
      <c r="Z22" t="e">
        <f>AND(Answers!BS53,"AAAAABaevxk=")</f>
        <v>#VALUE!</v>
      </c>
      <c r="AA22" t="e">
        <f>AND(Answers!BU53,"AAAAABaevxo=")</f>
        <v>#VALUE!</v>
      </c>
      <c r="AB22" t="e">
        <f>AND(Answers!BV53,"AAAAABaevxs=")</f>
        <v>#VALUE!</v>
      </c>
      <c r="AC22" t="e">
        <f>AND(Answers!#REF!,"AAAAABaevxw=")</f>
        <v>#REF!</v>
      </c>
      <c r="AD22" t="e">
        <f>AND(Answers!BW53,"AAAAABaevx0=")</f>
        <v>#VALUE!</v>
      </c>
      <c r="AE22" t="e">
        <f>AND(Answers!BX53,"AAAAABaevx4=")</f>
        <v>#VALUE!</v>
      </c>
      <c r="AF22" t="e">
        <f>AND(Answers!BY53,"AAAAABaevx8=")</f>
        <v>#VALUE!</v>
      </c>
      <c r="AG22" t="e">
        <f>AND(Answers!BZ53,"AAAAABaevyA=")</f>
        <v>#VALUE!</v>
      </c>
      <c r="AH22" t="str">
        <f>IF(Answers!54:54,"AAAAABaevyE=",0)</f>
        <v>AAAAABaevyE=</v>
      </c>
      <c r="AI22" t="e">
        <f>AND(Answers!A54,"AAAAABaevyI=")</f>
        <v>#VALUE!</v>
      </c>
      <c r="AJ22" t="e">
        <f>AND(Answers!B54,"AAAAABaevyM=")</f>
        <v>#VALUE!</v>
      </c>
      <c r="AK22" t="e">
        <f>AND(Answers!C54,"AAAAABaevyQ=")</f>
        <v>#VALUE!</v>
      </c>
      <c r="AL22" t="e">
        <f>AND(Answers!D54,"AAAAABaevyU=")</f>
        <v>#VALUE!</v>
      </c>
      <c r="AM22" t="e">
        <f>AND(Answers!E54,"AAAAABaevyY=")</f>
        <v>#VALUE!</v>
      </c>
      <c r="AN22" t="e">
        <f>AND(Answers!F54,"AAAAABaevyc=")</f>
        <v>#VALUE!</v>
      </c>
      <c r="AO22" t="e">
        <f>AND(Answers!G54,"AAAAABaevyg=")</f>
        <v>#VALUE!</v>
      </c>
      <c r="AP22" t="e">
        <f>AND(Answers!H54,"AAAAABaevyk=")</f>
        <v>#VALUE!</v>
      </c>
      <c r="AQ22" t="e">
        <f>AND(Answers!J54,"AAAAABaevyo=")</f>
        <v>#VALUE!</v>
      </c>
      <c r="AR22" t="e">
        <f>AND(Answers!K54,"AAAAABaevys=")</f>
        <v>#VALUE!</v>
      </c>
      <c r="AS22" t="e">
        <f>AND(Answers!L54,"AAAAABaevyw=")</f>
        <v>#VALUE!</v>
      </c>
      <c r="AT22" t="e">
        <f>AND(Answers!M54,"AAAAABaevy0=")</f>
        <v>#VALUE!</v>
      </c>
      <c r="AU22" t="e">
        <f>AND(Answers!N54,"AAAAABaevy4=")</f>
        <v>#VALUE!</v>
      </c>
      <c r="AV22" t="e">
        <f>AND(Answers!O54,"AAAAABaevy8=")</f>
        <v>#VALUE!</v>
      </c>
      <c r="AW22" t="e">
        <f>AND(Answers!P54,"AAAAABaevzA=")</f>
        <v>#VALUE!</v>
      </c>
      <c r="AX22" t="e">
        <f>AND(Answers!Q54,"AAAAABaevzE=")</f>
        <v>#VALUE!</v>
      </c>
      <c r="AY22" t="e">
        <f>AND(Answers!R54,"AAAAABaevzI=")</f>
        <v>#VALUE!</v>
      </c>
      <c r="AZ22" t="e">
        <f>AND(Answers!S54,"AAAAABaevzM=")</f>
        <v>#VALUE!</v>
      </c>
      <c r="BA22" t="e">
        <f>AND(Answers!T54,"AAAAABaevzQ=")</f>
        <v>#VALUE!</v>
      </c>
      <c r="BB22" t="e">
        <f>AND(Answers!U54,"AAAAABaevzU=")</f>
        <v>#VALUE!</v>
      </c>
      <c r="BC22" t="e">
        <f>AND(Answers!V54,"AAAAABaevzY=")</f>
        <v>#VALUE!</v>
      </c>
      <c r="BD22" t="e">
        <f>AND(Answers!X54,"AAAAABaevzc=")</f>
        <v>#VALUE!</v>
      </c>
      <c r="BE22" t="e">
        <f>AND(Answers!Y54,"AAAAABaevzg=")</f>
        <v>#VALUE!</v>
      </c>
      <c r="BF22" t="e">
        <f>AND(Answers!Z54,"AAAAABaevzk=")</f>
        <v>#VALUE!</v>
      </c>
      <c r="BG22" t="e">
        <f>AND(Answers!AA54,"AAAAABaevzo=")</f>
        <v>#VALUE!</v>
      </c>
      <c r="BH22" t="e">
        <f>AND(Answers!AB54,"AAAAABaevzs=")</f>
        <v>#VALUE!</v>
      </c>
      <c r="BI22" t="e">
        <f>AND(Answers!AC54,"AAAAABaevzw=")</f>
        <v>#VALUE!</v>
      </c>
      <c r="BJ22" t="e">
        <f>AND(Answers!AD54,"AAAAABaevz0=")</f>
        <v>#VALUE!</v>
      </c>
      <c r="BK22" t="e">
        <f>AND(Answers!AE54,"AAAAABaevz4=")</f>
        <v>#VALUE!</v>
      </c>
      <c r="BL22" t="e">
        <f>AND(Answers!AF54,"AAAAABaevz8=")</f>
        <v>#VALUE!</v>
      </c>
      <c r="BM22" t="e">
        <f>AND(Answers!AH54,"AAAAABaev0A=")</f>
        <v>#VALUE!</v>
      </c>
      <c r="BN22" t="e">
        <f>AND(Answers!AI54,"AAAAABaev0E=")</f>
        <v>#VALUE!</v>
      </c>
      <c r="BO22" t="e">
        <f>AND(Answers!AK54,"AAAAABaev0I=")</f>
        <v>#VALUE!</v>
      </c>
      <c r="BP22" t="e">
        <f>AND(Answers!#REF!,"AAAAABaev0M=")</f>
        <v>#REF!</v>
      </c>
      <c r="BQ22" t="e">
        <f>AND(Answers!AR54,"AAAAABaev0Q=")</f>
        <v>#VALUE!</v>
      </c>
      <c r="BR22" t="e">
        <f>AND(Answers!AS54,"AAAAABaev0U=")</f>
        <v>#VALUE!</v>
      </c>
      <c r="BS22" t="e">
        <f>AND(Answers!AT54,"AAAAABaev0Y=")</f>
        <v>#VALUE!</v>
      </c>
      <c r="BT22" t="e">
        <f>AND(Answers!AU54,"AAAAABaev0c=")</f>
        <v>#VALUE!</v>
      </c>
      <c r="BU22" t="e">
        <f>AND(Answers!AW54,"AAAAABaev0g=")</f>
        <v>#VALUE!</v>
      </c>
      <c r="BV22" t="e">
        <f>AND(Answers!AX54,"AAAAABaev0k=")</f>
        <v>#VALUE!</v>
      </c>
      <c r="BW22" t="e">
        <f>AND(Answers!AY54,"AAAAABaev0o=")</f>
        <v>#VALUE!</v>
      </c>
      <c r="BX22" t="e">
        <f>AND(Answers!AZ54,"AAAAABaev0s=")</f>
        <v>#VALUE!</v>
      </c>
      <c r="BY22" t="e">
        <f>AND(Answers!BA54,"AAAAABaev0w=")</f>
        <v>#VALUE!</v>
      </c>
      <c r="BZ22" t="e">
        <f>AND(Answers!BB54,"AAAAABaev00=")</f>
        <v>#VALUE!</v>
      </c>
      <c r="CA22" t="e">
        <f>AND(Answers!BC54,"AAAAABaev04=")</f>
        <v>#VALUE!</v>
      </c>
      <c r="CB22" t="e">
        <f>AND(Answers!BD54,"AAAAABaev08=")</f>
        <v>#VALUE!</v>
      </c>
      <c r="CC22" t="e">
        <f>AND(Answers!BE54,"AAAAABaev1A=")</f>
        <v>#VALUE!</v>
      </c>
      <c r="CD22" t="e">
        <f>AND(Answers!BF54,"AAAAABaev1E=")</f>
        <v>#VALUE!</v>
      </c>
      <c r="CE22" t="e">
        <f>AND(Answers!BG54,"AAAAABaev1I=")</f>
        <v>#VALUE!</v>
      </c>
      <c r="CF22" t="e">
        <f>AND(Answers!BH54,"AAAAABaev1M=")</f>
        <v>#VALUE!</v>
      </c>
      <c r="CG22" t="e">
        <f>AND(Answers!BI54,"AAAAABaev1Q=")</f>
        <v>#VALUE!</v>
      </c>
      <c r="CH22" t="e">
        <f>AND(Answers!BK54,"AAAAABaev1U=")</f>
        <v>#VALUE!</v>
      </c>
      <c r="CI22" t="e">
        <f>AND(Answers!BL54,"AAAAABaev1Y=")</f>
        <v>#VALUE!</v>
      </c>
      <c r="CJ22" t="e">
        <f>AND(Answers!BM54,"AAAAABaev1c=")</f>
        <v>#VALUE!</v>
      </c>
      <c r="CK22" t="e">
        <f>AND(Answers!BN54,"AAAAABaev1g=")</f>
        <v>#VALUE!</v>
      </c>
      <c r="CL22" t="e">
        <f>AND(Answers!BO54,"AAAAABaev1k=")</f>
        <v>#VALUE!</v>
      </c>
      <c r="CM22" t="e">
        <f>AND(Answers!BP54,"AAAAABaev1o=")</f>
        <v>#VALUE!</v>
      </c>
      <c r="CN22" t="e">
        <f>AND(Answers!BQ54,"AAAAABaev1s=")</f>
        <v>#VALUE!</v>
      </c>
      <c r="CO22" t="e">
        <f>AND(Answers!BR54,"AAAAABaev1w=")</f>
        <v>#VALUE!</v>
      </c>
      <c r="CP22" t="e">
        <f>AND(Answers!BS54,"AAAAABaev10=")</f>
        <v>#VALUE!</v>
      </c>
      <c r="CQ22" t="e">
        <f>AND(Answers!BU54,"AAAAABaev14=")</f>
        <v>#VALUE!</v>
      </c>
      <c r="CR22" t="e">
        <f>AND(Answers!BV54,"AAAAABaev18=")</f>
        <v>#VALUE!</v>
      </c>
      <c r="CS22" t="e">
        <f>AND(Answers!#REF!,"AAAAABaev2A=")</f>
        <v>#REF!</v>
      </c>
      <c r="CT22" t="e">
        <f>AND(Answers!BW54,"AAAAABaev2E=")</f>
        <v>#VALUE!</v>
      </c>
      <c r="CU22" t="e">
        <f>AND(Answers!BX54,"AAAAABaev2I=")</f>
        <v>#VALUE!</v>
      </c>
      <c r="CV22" t="e">
        <f>AND(Answers!BY54,"AAAAABaev2M=")</f>
        <v>#VALUE!</v>
      </c>
      <c r="CW22" t="e">
        <f>AND(Answers!BZ54,"AAAAABaev2Q=")</f>
        <v>#VALUE!</v>
      </c>
      <c r="CX22">
        <f>IF(Answers!55:55,"AAAAABaev2U=",0)</f>
        <v>0</v>
      </c>
      <c r="CY22" t="e">
        <f>AND(Answers!A55,"AAAAABaev2Y=")</f>
        <v>#VALUE!</v>
      </c>
      <c r="CZ22" t="e">
        <f>AND(Answers!B55,"AAAAABaev2c=")</f>
        <v>#VALUE!</v>
      </c>
      <c r="DA22" t="e">
        <f>AND(Answers!C55,"AAAAABaev2g=")</f>
        <v>#VALUE!</v>
      </c>
      <c r="DB22" t="e">
        <f>AND(Answers!D55,"AAAAABaev2k=")</f>
        <v>#VALUE!</v>
      </c>
      <c r="DC22" t="e">
        <f>AND(Answers!E55,"AAAAABaev2o=")</f>
        <v>#VALUE!</v>
      </c>
      <c r="DD22" t="e">
        <f>AND(Answers!F55,"AAAAABaev2s=")</f>
        <v>#VALUE!</v>
      </c>
      <c r="DE22" t="e">
        <f>AND(Answers!G55,"AAAAABaev2w=")</f>
        <v>#VALUE!</v>
      </c>
      <c r="DF22" t="e">
        <f>AND(Answers!H55,"AAAAABaev20=")</f>
        <v>#VALUE!</v>
      </c>
      <c r="DG22" t="e">
        <f>AND(Answers!J55,"AAAAABaev24=")</f>
        <v>#VALUE!</v>
      </c>
      <c r="DH22" t="e">
        <f>AND(Answers!K55,"AAAAABaev28=")</f>
        <v>#VALUE!</v>
      </c>
      <c r="DI22" t="e">
        <f>AND(Answers!L55,"AAAAABaev3A=")</f>
        <v>#VALUE!</v>
      </c>
      <c r="DJ22" t="e">
        <f>AND(Answers!M55,"AAAAABaev3E=")</f>
        <v>#VALUE!</v>
      </c>
      <c r="DK22" t="e">
        <f>AND(Answers!N55,"AAAAABaev3I=")</f>
        <v>#VALUE!</v>
      </c>
      <c r="DL22" t="e">
        <f>AND(Answers!O55,"AAAAABaev3M=")</f>
        <v>#VALUE!</v>
      </c>
      <c r="DM22" t="e">
        <f>AND(Answers!P55,"AAAAABaev3Q=")</f>
        <v>#VALUE!</v>
      </c>
      <c r="DN22" t="e">
        <f>AND(Answers!Q55,"AAAAABaev3U=")</f>
        <v>#VALUE!</v>
      </c>
      <c r="DO22" t="e">
        <f>AND(Answers!R55,"AAAAABaev3Y=")</f>
        <v>#VALUE!</v>
      </c>
      <c r="DP22" t="e">
        <f>AND(Answers!S55,"AAAAABaev3c=")</f>
        <v>#VALUE!</v>
      </c>
      <c r="DQ22" t="e">
        <f>AND(Answers!T55,"AAAAABaev3g=")</f>
        <v>#VALUE!</v>
      </c>
      <c r="DR22" t="e">
        <f>AND(Answers!U55,"AAAAABaev3k=")</f>
        <v>#VALUE!</v>
      </c>
      <c r="DS22" t="e">
        <f>AND(Answers!V55,"AAAAABaev3o=")</f>
        <v>#VALUE!</v>
      </c>
      <c r="DT22" t="e">
        <f>AND(Answers!X55,"AAAAABaev3s=")</f>
        <v>#VALUE!</v>
      </c>
      <c r="DU22" t="e">
        <f>AND(Answers!Y55,"AAAAABaev3w=")</f>
        <v>#VALUE!</v>
      </c>
      <c r="DV22" t="e">
        <f>AND(Answers!Z55,"AAAAABaev30=")</f>
        <v>#VALUE!</v>
      </c>
      <c r="DW22" t="e">
        <f>AND(Answers!AA55,"AAAAABaev34=")</f>
        <v>#VALUE!</v>
      </c>
      <c r="DX22" t="e">
        <f>AND(Answers!AB55,"AAAAABaev38=")</f>
        <v>#VALUE!</v>
      </c>
      <c r="DY22" t="e">
        <f>AND(Answers!AC55,"AAAAABaev4A=")</f>
        <v>#VALUE!</v>
      </c>
      <c r="DZ22" t="e">
        <f>AND(Answers!AD55,"AAAAABaev4E=")</f>
        <v>#VALUE!</v>
      </c>
      <c r="EA22" t="e">
        <f>AND(Answers!AE55,"AAAAABaev4I=")</f>
        <v>#VALUE!</v>
      </c>
      <c r="EB22" t="e">
        <f>AND(Answers!AF55,"AAAAABaev4M=")</f>
        <v>#VALUE!</v>
      </c>
      <c r="EC22" t="e">
        <f>AND(Answers!AH55,"AAAAABaev4Q=")</f>
        <v>#VALUE!</v>
      </c>
      <c r="ED22" t="e">
        <f>AND(Answers!AI55,"AAAAABaev4U=")</f>
        <v>#VALUE!</v>
      </c>
      <c r="EE22" t="e">
        <f>AND(Answers!AK55,"AAAAABaev4Y=")</f>
        <v>#VALUE!</v>
      </c>
      <c r="EF22" t="e">
        <f>AND(Answers!#REF!,"AAAAABaev4c=")</f>
        <v>#REF!</v>
      </c>
      <c r="EG22" t="e">
        <f>AND(Answers!AR55,"AAAAABaev4g=")</f>
        <v>#VALUE!</v>
      </c>
      <c r="EH22" t="e">
        <f>AND(Answers!AS55,"AAAAABaev4k=")</f>
        <v>#VALUE!</v>
      </c>
      <c r="EI22" t="e">
        <f>AND(Answers!AT55,"AAAAABaev4o=")</f>
        <v>#VALUE!</v>
      </c>
      <c r="EJ22" t="e">
        <f>AND(Answers!AU55,"AAAAABaev4s=")</f>
        <v>#VALUE!</v>
      </c>
      <c r="EK22" t="e">
        <f>AND(Answers!AW55,"AAAAABaev4w=")</f>
        <v>#VALUE!</v>
      </c>
      <c r="EL22" t="e">
        <f>AND(Answers!AX55,"AAAAABaev40=")</f>
        <v>#VALUE!</v>
      </c>
      <c r="EM22" t="e">
        <f>AND(Answers!AY55,"AAAAABaev44=")</f>
        <v>#VALUE!</v>
      </c>
      <c r="EN22" t="e">
        <f>AND(Answers!AZ55,"AAAAABaev48=")</f>
        <v>#VALUE!</v>
      </c>
      <c r="EO22" t="e">
        <f>AND(Answers!BA55,"AAAAABaev5A=")</f>
        <v>#VALUE!</v>
      </c>
      <c r="EP22" t="e">
        <f>AND(Answers!BB55,"AAAAABaev5E=")</f>
        <v>#VALUE!</v>
      </c>
      <c r="EQ22" t="e">
        <f>AND(Answers!BC55,"AAAAABaev5I=")</f>
        <v>#VALUE!</v>
      </c>
      <c r="ER22" t="e">
        <f>AND(Answers!BD55,"AAAAABaev5M=")</f>
        <v>#VALUE!</v>
      </c>
      <c r="ES22" t="e">
        <f>AND(Answers!BE55,"AAAAABaev5Q=")</f>
        <v>#VALUE!</v>
      </c>
      <c r="ET22" t="e">
        <f>AND(Answers!BF55,"AAAAABaev5U=")</f>
        <v>#VALUE!</v>
      </c>
      <c r="EU22" t="e">
        <f>AND(Answers!BG55,"AAAAABaev5Y=")</f>
        <v>#VALUE!</v>
      </c>
      <c r="EV22" t="e">
        <f>AND(Answers!BH55,"AAAAABaev5c=")</f>
        <v>#VALUE!</v>
      </c>
      <c r="EW22" t="e">
        <f>AND(Answers!BI55,"AAAAABaev5g=")</f>
        <v>#VALUE!</v>
      </c>
      <c r="EX22" t="e">
        <f>AND(Answers!BK55,"AAAAABaev5k=")</f>
        <v>#VALUE!</v>
      </c>
      <c r="EY22" t="e">
        <f>AND(Answers!BL55,"AAAAABaev5o=")</f>
        <v>#VALUE!</v>
      </c>
      <c r="EZ22" t="e">
        <f>AND(Answers!BM55,"AAAAABaev5s=")</f>
        <v>#VALUE!</v>
      </c>
      <c r="FA22" t="e">
        <f>AND(Answers!BN55,"AAAAABaev5w=")</f>
        <v>#VALUE!</v>
      </c>
      <c r="FB22" t="e">
        <f>AND(Answers!BO55,"AAAAABaev50=")</f>
        <v>#VALUE!</v>
      </c>
      <c r="FC22" t="e">
        <f>AND(Answers!BP55,"AAAAABaev54=")</f>
        <v>#VALUE!</v>
      </c>
      <c r="FD22" t="e">
        <f>AND(Answers!BQ55,"AAAAABaev58=")</f>
        <v>#VALUE!</v>
      </c>
      <c r="FE22" t="e">
        <f>AND(Answers!BR55,"AAAAABaev6A=")</f>
        <v>#VALUE!</v>
      </c>
      <c r="FF22" t="e">
        <f>AND(Answers!BS55,"AAAAABaev6E=")</f>
        <v>#VALUE!</v>
      </c>
      <c r="FG22" t="e">
        <f>AND(Answers!BU55,"AAAAABaev6I=")</f>
        <v>#VALUE!</v>
      </c>
      <c r="FH22" t="e">
        <f>AND(Answers!BV55,"AAAAABaev6M=")</f>
        <v>#VALUE!</v>
      </c>
      <c r="FI22" t="e">
        <f>AND(Answers!#REF!,"AAAAABaev6Q=")</f>
        <v>#REF!</v>
      </c>
      <c r="FJ22" t="e">
        <f>AND(Answers!BW55,"AAAAABaev6U=")</f>
        <v>#VALUE!</v>
      </c>
      <c r="FK22" t="e">
        <f>AND(Answers!BX55,"AAAAABaev6Y=")</f>
        <v>#VALUE!</v>
      </c>
      <c r="FL22" t="e">
        <f>AND(Answers!BY55,"AAAAABaev6c=")</f>
        <v>#VALUE!</v>
      </c>
      <c r="FM22" t="e">
        <f>AND(Answers!BZ55,"AAAAABaev6g=")</f>
        <v>#VALUE!</v>
      </c>
      <c r="FN22">
        <f>IF(Answers!56:56,"AAAAABaev6k=",0)</f>
        <v>0</v>
      </c>
      <c r="FO22" t="e">
        <f>AND(Answers!A56,"AAAAABaev6o=")</f>
        <v>#VALUE!</v>
      </c>
      <c r="FP22" t="e">
        <f>AND(Answers!B56,"AAAAABaev6s=")</f>
        <v>#VALUE!</v>
      </c>
      <c r="FQ22" t="e">
        <f>AND(Answers!C56,"AAAAABaev6w=")</f>
        <v>#VALUE!</v>
      </c>
      <c r="FR22" t="e">
        <f>AND(Answers!D56,"AAAAABaev60=")</f>
        <v>#VALUE!</v>
      </c>
      <c r="FS22" t="e">
        <f>AND(Answers!E56,"AAAAABaev64=")</f>
        <v>#VALUE!</v>
      </c>
      <c r="FT22" t="e">
        <f>AND(Answers!F56,"AAAAABaev68=")</f>
        <v>#VALUE!</v>
      </c>
      <c r="FU22" t="e">
        <f>AND(Answers!G56,"AAAAABaev7A=")</f>
        <v>#VALUE!</v>
      </c>
      <c r="FV22" t="e">
        <f>AND(Answers!H56,"AAAAABaev7E=")</f>
        <v>#VALUE!</v>
      </c>
      <c r="FW22" t="e">
        <f>AND(Answers!J56,"AAAAABaev7I=")</f>
        <v>#VALUE!</v>
      </c>
      <c r="FX22" t="e">
        <f>AND(Answers!K56,"AAAAABaev7M=")</f>
        <v>#VALUE!</v>
      </c>
      <c r="FY22" t="e">
        <f>AND(Answers!L56,"AAAAABaev7Q=")</f>
        <v>#VALUE!</v>
      </c>
      <c r="FZ22" t="e">
        <f>AND(Answers!M56,"AAAAABaev7U=")</f>
        <v>#VALUE!</v>
      </c>
      <c r="GA22" t="e">
        <f>AND(Answers!N56,"AAAAABaev7Y=")</f>
        <v>#VALUE!</v>
      </c>
      <c r="GB22" t="e">
        <f>AND(Answers!O56,"AAAAABaev7c=")</f>
        <v>#VALUE!</v>
      </c>
      <c r="GC22" t="e">
        <f>AND(Answers!P56,"AAAAABaev7g=")</f>
        <v>#VALUE!</v>
      </c>
      <c r="GD22" t="e">
        <f>AND(Answers!Q56,"AAAAABaev7k=")</f>
        <v>#VALUE!</v>
      </c>
      <c r="GE22" t="e">
        <f>AND(Answers!R56,"AAAAABaev7o=")</f>
        <v>#VALUE!</v>
      </c>
      <c r="GF22" t="e">
        <f>AND(Answers!S56,"AAAAABaev7s=")</f>
        <v>#VALUE!</v>
      </c>
      <c r="GG22" t="e">
        <f>AND(Answers!T56,"AAAAABaev7w=")</f>
        <v>#VALUE!</v>
      </c>
      <c r="GH22" t="e">
        <f>AND(Answers!U56,"AAAAABaev70=")</f>
        <v>#VALUE!</v>
      </c>
      <c r="GI22" t="e">
        <f>AND(Answers!V56,"AAAAABaev74=")</f>
        <v>#VALUE!</v>
      </c>
      <c r="GJ22" t="e">
        <f>AND(Answers!X56,"AAAAABaev78=")</f>
        <v>#VALUE!</v>
      </c>
      <c r="GK22" t="e">
        <f>AND(Answers!Y56,"AAAAABaev8A=")</f>
        <v>#VALUE!</v>
      </c>
      <c r="GL22" t="e">
        <f>AND(Answers!Z56,"AAAAABaev8E=")</f>
        <v>#VALUE!</v>
      </c>
      <c r="GM22" t="e">
        <f>AND(Answers!AA56,"AAAAABaev8I=")</f>
        <v>#VALUE!</v>
      </c>
      <c r="GN22" t="e">
        <f>AND(Answers!AB56,"AAAAABaev8M=")</f>
        <v>#VALUE!</v>
      </c>
      <c r="GO22" t="e">
        <f>AND(Answers!AC56,"AAAAABaev8Q=")</f>
        <v>#VALUE!</v>
      </c>
      <c r="GP22" t="e">
        <f>AND(Answers!AD56,"AAAAABaev8U=")</f>
        <v>#VALUE!</v>
      </c>
      <c r="GQ22" t="e">
        <f>AND(Answers!AE56,"AAAAABaev8Y=")</f>
        <v>#VALUE!</v>
      </c>
      <c r="GR22" t="e">
        <f>AND(Answers!AF56,"AAAAABaev8c=")</f>
        <v>#VALUE!</v>
      </c>
      <c r="GS22" t="e">
        <f>AND(Answers!AH56,"AAAAABaev8g=")</f>
        <v>#VALUE!</v>
      </c>
      <c r="GT22" t="e">
        <f>AND(Answers!AI56,"AAAAABaev8k=")</f>
        <v>#VALUE!</v>
      </c>
      <c r="GU22" t="e">
        <f>AND(Answers!AK56,"AAAAABaev8o=")</f>
        <v>#VALUE!</v>
      </c>
      <c r="GV22" t="e">
        <f>AND(Answers!#REF!,"AAAAABaev8s=")</f>
        <v>#REF!</v>
      </c>
      <c r="GW22" t="e">
        <f>AND(Answers!AR56,"AAAAABaev8w=")</f>
        <v>#VALUE!</v>
      </c>
      <c r="GX22" t="e">
        <f>AND(Answers!AS56,"AAAAABaev80=")</f>
        <v>#VALUE!</v>
      </c>
      <c r="GY22" t="e">
        <f>AND(Answers!AT56,"AAAAABaev84=")</f>
        <v>#VALUE!</v>
      </c>
      <c r="GZ22" t="e">
        <f>AND(Answers!AU56,"AAAAABaev88=")</f>
        <v>#VALUE!</v>
      </c>
      <c r="HA22" t="e">
        <f>AND(Answers!AW56,"AAAAABaev9A=")</f>
        <v>#VALUE!</v>
      </c>
      <c r="HB22" t="e">
        <f>AND(Answers!AX56,"AAAAABaev9E=")</f>
        <v>#VALUE!</v>
      </c>
      <c r="HC22" t="e">
        <f>AND(Answers!AY56,"AAAAABaev9I=")</f>
        <v>#VALUE!</v>
      </c>
      <c r="HD22" t="e">
        <f>AND(Answers!AZ56,"AAAAABaev9M=")</f>
        <v>#VALUE!</v>
      </c>
      <c r="HE22" t="e">
        <f>AND(Answers!BA56,"AAAAABaev9Q=")</f>
        <v>#VALUE!</v>
      </c>
      <c r="HF22" t="e">
        <f>AND(Answers!BB56,"AAAAABaev9U=")</f>
        <v>#VALUE!</v>
      </c>
      <c r="HG22" t="e">
        <f>AND(Answers!BC56,"AAAAABaev9Y=")</f>
        <v>#VALUE!</v>
      </c>
      <c r="HH22" t="e">
        <f>AND(Answers!BD56,"AAAAABaev9c=")</f>
        <v>#VALUE!</v>
      </c>
      <c r="HI22" t="e">
        <f>AND(Answers!BE56,"AAAAABaev9g=")</f>
        <v>#VALUE!</v>
      </c>
      <c r="HJ22" t="e">
        <f>AND(Answers!BF56,"AAAAABaev9k=")</f>
        <v>#VALUE!</v>
      </c>
      <c r="HK22" t="e">
        <f>AND(Answers!BG56,"AAAAABaev9o=")</f>
        <v>#VALUE!</v>
      </c>
      <c r="HL22" t="e">
        <f>AND(Answers!BH56,"AAAAABaev9s=")</f>
        <v>#VALUE!</v>
      </c>
      <c r="HM22" t="e">
        <f>AND(Answers!BI56,"AAAAABaev9w=")</f>
        <v>#VALUE!</v>
      </c>
      <c r="HN22" t="e">
        <f>AND(Answers!BK56,"AAAAABaev90=")</f>
        <v>#VALUE!</v>
      </c>
      <c r="HO22" t="e">
        <f>AND(Answers!BL56,"AAAAABaev94=")</f>
        <v>#VALUE!</v>
      </c>
      <c r="HP22" t="e">
        <f>AND(Answers!BM56,"AAAAABaev98=")</f>
        <v>#VALUE!</v>
      </c>
      <c r="HQ22" t="e">
        <f>AND(Answers!BN56,"AAAAABaev+A=")</f>
        <v>#VALUE!</v>
      </c>
      <c r="HR22" t="e">
        <f>AND(Answers!BO56,"AAAAABaev+E=")</f>
        <v>#VALUE!</v>
      </c>
      <c r="HS22" t="e">
        <f>AND(Answers!BP56,"AAAAABaev+I=")</f>
        <v>#VALUE!</v>
      </c>
      <c r="HT22" t="e">
        <f>AND(Answers!BQ56,"AAAAABaev+M=")</f>
        <v>#VALUE!</v>
      </c>
      <c r="HU22" t="e">
        <f>AND(Answers!BR56,"AAAAABaev+Q=")</f>
        <v>#VALUE!</v>
      </c>
      <c r="HV22" t="e">
        <f>AND(Answers!BS56,"AAAAABaev+U=")</f>
        <v>#VALUE!</v>
      </c>
      <c r="HW22" t="e">
        <f>AND(Answers!BU56,"AAAAABaev+Y=")</f>
        <v>#VALUE!</v>
      </c>
      <c r="HX22" t="e">
        <f>AND(Answers!BV56,"AAAAABaev+c=")</f>
        <v>#VALUE!</v>
      </c>
      <c r="HY22" t="e">
        <f>AND(Answers!#REF!,"AAAAABaev+g=")</f>
        <v>#REF!</v>
      </c>
      <c r="HZ22" t="e">
        <f>AND(Answers!BW56,"AAAAABaev+k=")</f>
        <v>#VALUE!</v>
      </c>
      <c r="IA22" t="e">
        <f>AND(Answers!BX56,"AAAAABaev+o=")</f>
        <v>#VALUE!</v>
      </c>
      <c r="IB22" t="e">
        <f>AND(Answers!BY56,"AAAAABaev+s=")</f>
        <v>#VALUE!</v>
      </c>
      <c r="IC22" t="e">
        <f>AND(Answers!BZ56,"AAAAABaev+w=")</f>
        <v>#VALUE!</v>
      </c>
      <c r="ID22">
        <f>IF(Answers!57:57,"AAAAABaev+0=",0)</f>
        <v>0</v>
      </c>
      <c r="IE22" t="e">
        <f>AND(Answers!A57,"AAAAABaev+4=")</f>
        <v>#VALUE!</v>
      </c>
      <c r="IF22" t="e">
        <f>AND(Answers!B57,"AAAAABaev+8=")</f>
        <v>#VALUE!</v>
      </c>
      <c r="IG22" t="e">
        <f>AND(Answers!C57,"AAAAABaev/A=")</f>
        <v>#VALUE!</v>
      </c>
      <c r="IH22" t="e">
        <f>AND(Answers!D57,"AAAAABaev/E=")</f>
        <v>#VALUE!</v>
      </c>
      <c r="II22" t="e">
        <f>AND(Answers!E57,"AAAAABaev/I=")</f>
        <v>#VALUE!</v>
      </c>
      <c r="IJ22" t="e">
        <f>AND(Answers!F57,"AAAAABaev/M=")</f>
        <v>#VALUE!</v>
      </c>
      <c r="IK22" t="e">
        <f>AND(Answers!G57,"AAAAABaev/Q=")</f>
        <v>#VALUE!</v>
      </c>
      <c r="IL22" t="e">
        <f>AND(Answers!H57,"AAAAABaev/U=")</f>
        <v>#VALUE!</v>
      </c>
      <c r="IM22" t="e">
        <f>AND(Answers!J57,"AAAAABaev/Y=")</f>
        <v>#VALUE!</v>
      </c>
      <c r="IN22" t="e">
        <f>AND(Answers!K57,"AAAAABaev/c=")</f>
        <v>#VALUE!</v>
      </c>
      <c r="IO22" t="e">
        <f>AND(Answers!L57,"AAAAABaev/g=")</f>
        <v>#VALUE!</v>
      </c>
      <c r="IP22" t="e">
        <f>AND(Answers!M57,"AAAAABaev/k=")</f>
        <v>#VALUE!</v>
      </c>
      <c r="IQ22" t="e">
        <f>AND(Answers!N57,"AAAAABaev/o=")</f>
        <v>#VALUE!</v>
      </c>
      <c r="IR22" t="e">
        <f>AND(Answers!O57,"AAAAABaev/s=")</f>
        <v>#VALUE!</v>
      </c>
      <c r="IS22" t="e">
        <f>AND(Answers!P57,"AAAAABaev/w=")</f>
        <v>#VALUE!</v>
      </c>
      <c r="IT22" t="e">
        <f>AND(Answers!Q57,"AAAAABaev/0=")</f>
        <v>#VALUE!</v>
      </c>
      <c r="IU22" t="e">
        <f>AND(Answers!R57,"AAAAABaev/4=")</f>
        <v>#VALUE!</v>
      </c>
      <c r="IV22" t="e">
        <f>AND(Answers!S57,"AAAAABaev/8=")</f>
        <v>#VALUE!</v>
      </c>
    </row>
    <row r="23" spans="1:256" x14ac:dyDescent="0.15">
      <c r="A23" t="e">
        <f>AND(Answers!T57,"AAAAADq//wA=")</f>
        <v>#VALUE!</v>
      </c>
      <c r="B23" t="e">
        <f>AND(Answers!U57,"AAAAADq//wE=")</f>
        <v>#VALUE!</v>
      </c>
      <c r="C23" t="e">
        <f>AND(Answers!V57,"AAAAADq//wI=")</f>
        <v>#VALUE!</v>
      </c>
      <c r="D23" t="e">
        <f>AND(Answers!X57,"AAAAADq//wM=")</f>
        <v>#VALUE!</v>
      </c>
      <c r="E23" t="e">
        <f>AND(Answers!Y57,"AAAAADq//wQ=")</f>
        <v>#VALUE!</v>
      </c>
      <c r="F23" t="e">
        <f>AND(Answers!Z57,"AAAAADq//wU=")</f>
        <v>#VALUE!</v>
      </c>
      <c r="G23" t="e">
        <f>AND(Answers!AA57,"AAAAADq//wY=")</f>
        <v>#VALUE!</v>
      </c>
      <c r="H23" t="e">
        <f>AND(Answers!AB57,"AAAAADq//wc=")</f>
        <v>#VALUE!</v>
      </c>
      <c r="I23" t="e">
        <f>AND(Answers!AC57,"AAAAADq//wg=")</f>
        <v>#VALUE!</v>
      </c>
      <c r="J23" t="e">
        <f>AND(Answers!AD57,"AAAAADq//wk=")</f>
        <v>#VALUE!</v>
      </c>
      <c r="K23" t="e">
        <f>AND(Answers!AE57,"AAAAADq//wo=")</f>
        <v>#VALUE!</v>
      </c>
      <c r="L23" t="e">
        <f>AND(Answers!AF57,"AAAAADq//ws=")</f>
        <v>#VALUE!</v>
      </c>
      <c r="M23" t="e">
        <f>AND(Answers!AH57,"AAAAADq//ww=")</f>
        <v>#VALUE!</v>
      </c>
      <c r="N23" t="e">
        <f>AND(Answers!AI57,"AAAAADq//w0=")</f>
        <v>#VALUE!</v>
      </c>
      <c r="O23" t="e">
        <f>AND(Answers!AK57,"AAAAADq//w4=")</f>
        <v>#VALUE!</v>
      </c>
      <c r="P23" t="e">
        <f>AND(Answers!#REF!,"AAAAADq//w8=")</f>
        <v>#REF!</v>
      </c>
      <c r="Q23" t="e">
        <f>AND(Answers!AR57,"AAAAADq//xA=")</f>
        <v>#VALUE!</v>
      </c>
      <c r="R23" t="e">
        <f>AND(Answers!AS57,"AAAAADq//xE=")</f>
        <v>#VALUE!</v>
      </c>
      <c r="S23" t="e">
        <f>AND(Answers!AT57,"AAAAADq//xI=")</f>
        <v>#VALUE!</v>
      </c>
      <c r="T23" t="e">
        <f>AND(Answers!AU57,"AAAAADq//xM=")</f>
        <v>#VALUE!</v>
      </c>
      <c r="U23" t="e">
        <f>AND(Answers!AW57,"AAAAADq//xQ=")</f>
        <v>#VALUE!</v>
      </c>
      <c r="V23" t="e">
        <f>AND(Answers!AX57,"AAAAADq//xU=")</f>
        <v>#VALUE!</v>
      </c>
      <c r="W23" t="e">
        <f>AND(Answers!AY57,"AAAAADq//xY=")</f>
        <v>#VALUE!</v>
      </c>
      <c r="X23" t="e">
        <f>AND(Answers!AZ57,"AAAAADq//xc=")</f>
        <v>#VALUE!</v>
      </c>
      <c r="Y23" t="e">
        <f>AND(Answers!BA57,"AAAAADq//xg=")</f>
        <v>#VALUE!</v>
      </c>
      <c r="Z23" t="e">
        <f>AND(Answers!BB57,"AAAAADq//xk=")</f>
        <v>#VALUE!</v>
      </c>
      <c r="AA23" t="e">
        <f>AND(Answers!BC57,"AAAAADq//xo=")</f>
        <v>#VALUE!</v>
      </c>
      <c r="AB23" t="e">
        <f>AND(Answers!BD57,"AAAAADq//xs=")</f>
        <v>#VALUE!</v>
      </c>
      <c r="AC23" t="e">
        <f>AND(Answers!BE57,"AAAAADq//xw=")</f>
        <v>#VALUE!</v>
      </c>
      <c r="AD23" t="e">
        <f>AND(Answers!BF57,"AAAAADq//x0=")</f>
        <v>#VALUE!</v>
      </c>
      <c r="AE23" t="e">
        <f>AND(Answers!BG57,"AAAAADq//x4=")</f>
        <v>#VALUE!</v>
      </c>
      <c r="AF23" t="e">
        <f>AND(Answers!BH57,"AAAAADq//x8=")</f>
        <v>#VALUE!</v>
      </c>
      <c r="AG23" t="e">
        <f>AND(Answers!BI57,"AAAAADq//yA=")</f>
        <v>#VALUE!</v>
      </c>
      <c r="AH23" t="e">
        <f>AND(Answers!BK57,"AAAAADq//yE=")</f>
        <v>#VALUE!</v>
      </c>
      <c r="AI23" t="e">
        <f>AND(Answers!BL57,"AAAAADq//yI=")</f>
        <v>#VALUE!</v>
      </c>
      <c r="AJ23" t="e">
        <f>AND(Answers!BM57,"AAAAADq//yM=")</f>
        <v>#VALUE!</v>
      </c>
      <c r="AK23" t="e">
        <f>AND(Answers!BN57,"AAAAADq//yQ=")</f>
        <v>#VALUE!</v>
      </c>
      <c r="AL23" t="e">
        <f>AND(Answers!BO57,"AAAAADq//yU=")</f>
        <v>#VALUE!</v>
      </c>
      <c r="AM23" t="e">
        <f>AND(Answers!BP57,"AAAAADq//yY=")</f>
        <v>#VALUE!</v>
      </c>
      <c r="AN23" t="e">
        <f>AND(Answers!BQ57,"AAAAADq//yc=")</f>
        <v>#VALUE!</v>
      </c>
      <c r="AO23" t="e">
        <f>AND(Answers!BR57,"AAAAADq//yg=")</f>
        <v>#VALUE!</v>
      </c>
      <c r="AP23" t="e">
        <f>AND(Answers!BS57,"AAAAADq//yk=")</f>
        <v>#VALUE!</v>
      </c>
      <c r="AQ23" t="e">
        <f>AND(Answers!BU57,"AAAAADq//yo=")</f>
        <v>#VALUE!</v>
      </c>
      <c r="AR23" t="e">
        <f>AND(Answers!BV57,"AAAAADq//ys=")</f>
        <v>#VALUE!</v>
      </c>
      <c r="AS23" t="e">
        <f>AND(Answers!#REF!,"AAAAADq//yw=")</f>
        <v>#REF!</v>
      </c>
      <c r="AT23" t="e">
        <f>AND(Answers!BW57,"AAAAADq//y0=")</f>
        <v>#VALUE!</v>
      </c>
      <c r="AU23" t="e">
        <f>AND(Answers!BX57,"AAAAADq//y4=")</f>
        <v>#VALUE!</v>
      </c>
      <c r="AV23" t="e">
        <f>AND(Answers!BY57,"AAAAADq//y8=")</f>
        <v>#VALUE!</v>
      </c>
      <c r="AW23" t="e">
        <f>AND(Answers!BZ57,"AAAAADq//zA=")</f>
        <v>#VALUE!</v>
      </c>
      <c r="AX23">
        <f>IF(Answers!58:58,"AAAAADq//zE=",0)</f>
        <v>0</v>
      </c>
      <c r="AY23" t="e">
        <f>AND(Answers!A58,"AAAAADq//zI=")</f>
        <v>#VALUE!</v>
      </c>
      <c r="AZ23" t="e">
        <f>AND(Answers!B58,"AAAAADq//zM=")</f>
        <v>#VALUE!</v>
      </c>
      <c r="BA23" t="e">
        <f>AND(Answers!C58,"AAAAADq//zQ=")</f>
        <v>#VALUE!</v>
      </c>
      <c r="BB23" t="e">
        <f>AND(Answers!D58,"AAAAADq//zU=")</f>
        <v>#VALUE!</v>
      </c>
      <c r="BC23" t="e">
        <f>AND(Answers!E58,"AAAAADq//zY=")</f>
        <v>#VALUE!</v>
      </c>
      <c r="BD23" t="e">
        <f>AND(Answers!F58,"AAAAADq//zc=")</f>
        <v>#VALUE!</v>
      </c>
      <c r="BE23" t="e">
        <f>AND(Answers!G58,"AAAAADq//zg=")</f>
        <v>#VALUE!</v>
      </c>
      <c r="BF23" t="e">
        <f>AND(Answers!H58,"AAAAADq//zk=")</f>
        <v>#VALUE!</v>
      </c>
      <c r="BG23" t="e">
        <f>AND(Answers!J58,"AAAAADq//zo=")</f>
        <v>#VALUE!</v>
      </c>
      <c r="BH23" t="e">
        <f>AND(Answers!K58,"AAAAADq//zs=")</f>
        <v>#VALUE!</v>
      </c>
      <c r="BI23" t="e">
        <f>AND(Answers!L58,"AAAAADq//zw=")</f>
        <v>#VALUE!</v>
      </c>
      <c r="BJ23" t="e">
        <f>AND(Answers!M58,"AAAAADq//z0=")</f>
        <v>#VALUE!</v>
      </c>
      <c r="BK23" t="e">
        <f>AND(Answers!N58,"AAAAADq//z4=")</f>
        <v>#VALUE!</v>
      </c>
      <c r="BL23" t="e">
        <f>AND(Answers!O58,"AAAAADq//z8=")</f>
        <v>#VALUE!</v>
      </c>
      <c r="BM23" t="e">
        <f>AND(Answers!P58,"AAAAADq//0A=")</f>
        <v>#VALUE!</v>
      </c>
      <c r="BN23" t="e">
        <f>AND(Answers!Q58,"AAAAADq//0E=")</f>
        <v>#VALUE!</v>
      </c>
      <c r="BO23" t="e">
        <f>AND(Answers!R58,"AAAAADq//0I=")</f>
        <v>#VALUE!</v>
      </c>
      <c r="BP23" t="e">
        <f>AND(Answers!S58,"AAAAADq//0M=")</f>
        <v>#VALUE!</v>
      </c>
      <c r="BQ23" t="e">
        <f>AND(Answers!T58,"AAAAADq//0Q=")</f>
        <v>#VALUE!</v>
      </c>
      <c r="BR23" t="e">
        <f>AND(Answers!U58,"AAAAADq//0U=")</f>
        <v>#VALUE!</v>
      </c>
      <c r="BS23" t="e">
        <f>AND(Answers!V58,"AAAAADq//0Y=")</f>
        <v>#VALUE!</v>
      </c>
      <c r="BT23" t="e">
        <f>AND(Answers!X58,"AAAAADq//0c=")</f>
        <v>#VALUE!</v>
      </c>
      <c r="BU23" t="e">
        <f>AND(Answers!Y58,"AAAAADq//0g=")</f>
        <v>#VALUE!</v>
      </c>
      <c r="BV23" t="e">
        <f>AND(Answers!Z58,"AAAAADq//0k=")</f>
        <v>#VALUE!</v>
      </c>
      <c r="BW23" t="e">
        <f>AND(Answers!AA58,"AAAAADq//0o=")</f>
        <v>#VALUE!</v>
      </c>
      <c r="BX23" t="e">
        <f>AND(Answers!AB58,"AAAAADq//0s=")</f>
        <v>#VALUE!</v>
      </c>
      <c r="BY23" t="e">
        <f>AND(Answers!AC58,"AAAAADq//0w=")</f>
        <v>#VALUE!</v>
      </c>
      <c r="BZ23" t="e">
        <f>AND(Answers!AD58,"AAAAADq//00=")</f>
        <v>#VALUE!</v>
      </c>
      <c r="CA23" t="e">
        <f>AND(Answers!AE58,"AAAAADq//04=")</f>
        <v>#VALUE!</v>
      </c>
      <c r="CB23" t="e">
        <f>AND(Answers!AF58,"AAAAADq//08=")</f>
        <v>#VALUE!</v>
      </c>
      <c r="CC23" t="e">
        <f>AND(Answers!AH58,"AAAAADq//1A=")</f>
        <v>#VALUE!</v>
      </c>
      <c r="CD23" t="e">
        <f>AND(Answers!AI58,"AAAAADq//1E=")</f>
        <v>#VALUE!</v>
      </c>
      <c r="CE23" t="e">
        <f>AND(Answers!AK58,"AAAAADq//1I=")</f>
        <v>#VALUE!</v>
      </c>
      <c r="CF23" t="e">
        <f>AND(Answers!#REF!,"AAAAADq//1M=")</f>
        <v>#REF!</v>
      </c>
      <c r="CG23" t="e">
        <f>AND(Answers!AR58,"AAAAADq//1Q=")</f>
        <v>#VALUE!</v>
      </c>
      <c r="CH23" t="e">
        <f>AND(Answers!AS58,"AAAAADq//1U=")</f>
        <v>#VALUE!</v>
      </c>
      <c r="CI23" t="e">
        <f>AND(Answers!AT58,"AAAAADq//1Y=")</f>
        <v>#VALUE!</v>
      </c>
      <c r="CJ23" t="e">
        <f>AND(Answers!AU58,"AAAAADq//1c=")</f>
        <v>#VALUE!</v>
      </c>
      <c r="CK23" t="e">
        <f>AND(Answers!AW58,"AAAAADq//1g=")</f>
        <v>#VALUE!</v>
      </c>
      <c r="CL23" t="e">
        <f>AND(Answers!AX58,"AAAAADq//1k=")</f>
        <v>#VALUE!</v>
      </c>
      <c r="CM23" t="e">
        <f>AND(Answers!AY58,"AAAAADq//1o=")</f>
        <v>#VALUE!</v>
      </c>
      <c r="CN23" t="e">
        <f>AND(Answers!AZ58,"AAAAADq//1s=")</f>
        <v>#VALUE!</v>
      </c>
      <c r="CO23" t="e">
        <f>AND(Answers!BA58,"AAAAADq//1w=")</f>
        <v>#VALUE!</v>
      </c>
      <c r="CP23" t="e">
        <f>AND(Answers!BB58,"AAAAADq//10=")</f>
        <v>#VALUE!</v>
      </c>
      <c r="CQ23" t="e">
        <f>AND(Answers!BC58,"AAAAADq//14=")</f>
        <v>#VALUE!</v>
      </c>
      <c r="CR23" t="e">
        <f>AND(Answers!BD58,"AAAAADq//18=")</f>
        <v>#VALUE!</v>
      </c>
      <c r="CS23" t="e">
        <f>AND(Answers!BE58,"AAAAADq//2A=")</f>
        <v>#VALUE!</v>
      </c>
      <c r="CT23" t="e">
        <f>AND(Answers!BF58,"AAAAADq//2E=")</f>
        <v>#VALUE!</v>
      </c>
      <c r="CU23" t="e">
        <f>AND(Answers!BG58,"AAAAADq//2I=")</f>
        <v>#VALUE!</v>
      </c>
      <c r="CV23" t="e">
        <f>AND(Answers!BH58,"AAAAADq//2M=")</f>
        <v>#VALUE!</v>
      </c>
      <c r="CW23" t="e">
        <f>AND(Answers!BI58,"AAAAADq//2Q=")</f>
        <v>#VALUE!</v>
      </c>
      <c r="CX23" t="e">
        <f>AND(Answers!BK58,"AAAAADq//2U=")</f>
        <v>#VALUE!</v>
      </c>
      <c r="CY23" t="e">
        <f>AND(Answers!BL58,"AAAAADq//2Y=")</f>
        <v>#VALUE!</v>
      </c>
      <c r="CZ23" t="e">
        <f>AND(Answers!BM58,"AAAAADq//2c=")</f>
        <v>#VALUE!</v>
      </c>
      <c r="DA23" t="e">
        <f>AND(Answers!BN58,"AAAAADq//2g=")</f>
        <v>#VALUE!</v>
      </c>
      <c r="DB23" t="e">
        <f>AND(Answers!BO58,"AAAAADq//2k=")</f>
        <v>#VALUE!</v>
      </c>
      <c r="DC23" t="e">
        <f>AND(Answers!BP58,"AAAAADq//2o=")</f>
        <v>#VALUE!</v>
      </c>
      <c r="DD23" t="e">
        <f>AND(Answers!BQ58,"AAAAADq//2s=")</f>
        <v>#VALUE!</v>
      </c>
      <c r="DE23" t="e">
        <f>AND(Answers!BR58,"AAAAADq//2w=")</f>
        <v>#VALUE!</v>
      </c>
      <c r="DF23" t="e">
        <f>AND(Answers!BS58,"AAAAADq//20=")</f>
        <v>#VALUE!</v>
      </c>
      <c r="DG23" t="e">
        <f>AND(Answers!BU58,"AAAAADq//24=")</f>
        <v>#VALUE!</v>
      </c>
      <c r="DH23" t="e">
        <f>AND(Answers!BV58,"AAAAADq//28=")</f>
        <v>#VALUE!</v>
      </c>
      <c r="DI23" t="e">
        <f>AND(Answers!#REF!,"AAAAADq//3A=")</f>
        <v>#REF!</v>
      </c>
      <c r="DJ23" t="e">
        <f>AND(Answers!BW58,"AAAAADq//3E=")</f>
        <v>#VALUE!</v>
      </c>
      <c r="DK23" t="e">
        <f>AND(Answers!BX58,"AAAAADq//3I=")</f>
        <v>#VALUE!</v>
      </c>
      <c r="DL23" t="e">
        <f>AND(Answers!BY58,"AAAAADq//3M=")</f>
        <v>#VALUE!</v>
      </c>
      <c r="DM23" t="e">
        <f>AND(Answers!BZ58,"AAAAADq//3Q=")</f>
        <v>#VALUE!</v>
      </c>
      <c r="DN23">
        <f>IF(Answers!59:59,"AAAAADq//3U=",0)</f>
        <v>0</v>
      </c>
      <c r="DO23" t="e">
        <f>AND(Answers!A59,"AAAAADq//3Y=")</f>
        <v>#VALUE!</v>
      </c>
      <c r="DP23" t="e">
        <f>AND(Answers!B59,"AAAAADq//3c=")</f>
        <v>#VALUE!</v>
      </c>
      <c r="DQ23" t="e">
        <f>AND(Answers!C59,"AAAAADq//3g=")</f>
        <v>#VALUE!</v>
      </c>
      <c r="DR23" t="e">
        <f>AND(Answers!D59,"AAAAADq//3k=")</f>
        <v>#VALUE!</v>
      </c>
      <c r="DS23" t="e">
        <f>AND(Answers!E59,"AAAAADq//3o=")</f>
        <v>#VALUE!</v>
      </c>
      <c r="DT23" t="e">
        <f>AND(Answers!F59,"AAAAADq//3s=")</f>
        <v>#VALUE!</v>
      </c>
      <c r="DU23" t="e">
        <f>AND(Answers!G59,"AAAAADq//3w=")</f>
        <v>#VALUE!</v>
      </c>
      <c r="DV23" t="e">
        <f>AND(Answers!H59,"AAAAADq//30=")</f>
        <v>#VALUE!</v>
      </c>
      <c r="DW23" t="e">
        <f>AND(Answers!J59,"AAAAADq//34=")</f>
        <v>#VALUE!</v>
      </c>
      <c r="DX23" t="e">
        <f>AND(Answers!K59,"AAAAADq//38=")</f>
        <v>#VALUE!</v>
      </c>
      <c r="DY23" t="e">
        <f>AND(Answers!L59,"AAAAADq//4A=")</f>
        <v>#VALUE!</v>
      </c>
      <c r="DZ23" t="e">
        <f>AND(Answers!M59,"AAAAADq//4E=")</f>
        <v>#VALUE!</v>
      </c>
      <c r="EA23" t="e">
        <f>AND(Answers!N59,"AAAAADq//4I=")</f>
        <v>#VALUE!</v>
      </c>
      <c r="EB23" t="e">
        <f>AND(Answers!O59,"AAAAADq//4M=")</f>
        <v>#VALUE!</v>
      </c>
      <c r="EC23" t="e">
        <f>AND(Answers!P59,"AAAAADq//4Q=")</f>
        <v>#VALUE!</v>
      </c>
      <c r="ED23" t="e">
        <f>AND(Answers!Q59,"AAAAADq//4U=")</f>
        <v>#VALUE!</v>
      </c>
      <c r="EE23" t="e">
        <f>AND(Answers!R59,"AAAAADq//4Y=")</f>
        <v>#VALUE!</v>
      </c>
      <c r="EF23" t="e">
        <f>AND(Answers!S59,"AAAAADq//4c=")</f>
        <v>#VALUE!</v>
      </c>
      <c r="EG23" t="e">
        <f>AND(Answers!T59,"AAAAADq//4g=")</f>
        <v>#VALUE!</v>
      </c>
      <c r="EH23" t="e">
        <f>AND(Answers!U59,"AAAAADq//4k=")</f>
        <v>#VALUE!</v>
      </c>
      <c r="EI23" t="e">
        <f>AND(Answers!V59,"AAAAADq//4o=")</f>
        <v>#VALUE!</v>
      </c>
      <c r="EJ23" t="e">
        <f>AND(Answers!X59,"AAAAADq//4s=")</f>
        <v>#VALUE!</v>
      </c>
      <c r="EK23" t="e">
        <f>AND(Answers!Y59,"AAAAADq//4w=")</f>
        <v>#VALUE!</v>
      </c>
      <c r="EL23" t="e">
        <f>AND(Answers!Z59,"AAAAADq//40=")</f>
        <v>#VALUE!</v>
      </c>
      <c r="EM23" t="e">
        <f>AND(Answers!AA59,"AAAAADq//44=")</f>
        <v>#VALUE!</v>
      </c>
      <c r="EN23" t="e">
        <f>AND(Answers!AB59,"AAAAADq//48=")</f>
        <v>#VALUE!</v>
      </c>
      <c r="EO23" t="e">
        <f>AND(Answers!AC59,"AAAAADq//5A=")</f>
        <v>#VALUE!</v>
      </c>
      <c r="EP23" t="e">
        <f>AND(Answers!AD59,"AAAAADq//5E=")</f>
        <v>#VALUE!</v>
      </c>
      <c r="EQ23" t="e">
        <f>AND(Answers!AE59,"AAAAADq//5I=")</f>
        <v>#VALUE!</v>
      </c>
      <c r="ER23" t="e">
        <f>AND(Answers!AF59,"AAAAADq//5M=")</f>
        <v>#VALUE!</v>
      </c>
      <c r="ES23" t="e">
        <f>AND(Answers!AH59,"AAAAADq//5Q=")</f>
        <v>#VALUE!</v>
      </c>
      <c r="ET23" t="e">
        <f>AND(Answers!AI59,"AAAAADq//5U=")</f>
        <v>#VALUE!</v>
      </c>
      <c r="EU23" t="e">
        <f>AND(Answers!AK59,"AAAAADq//5Y=")</f>
        <v>#VALUE!</v>
      </c>
      <c r="EV23" t="e">
        <f>AND(Answers!#REF!,"AAAAADq//5c=")</f>
        <v>#REF!</v>
      </c>
      <c r="EW23" t="e">
        <f>AND(Answers!AR59,"AAAAADq//5g=")</f>
        <v>#VALUE!</v>
      </c>
      <c r="EX23" t="e">
        <f>AND(Answers!AS59,"AAAAADq//5k=")</f>
        <v>#VALUE!</v>
      </c>
      <c r="EY23" t="e">
        <f>AND(Answers!AT59,"AAAAADq//5o=")</f>
        <v>#VALUE!</v>
      </c>
      <c r="EZ23" t="e">
        <f>AND(Answers!AU59,"AAAAADq//5s=")</f>
        <v>#VALUE!</v>
      </c>
      <c r="FA23" t="e">
        <f>AND(Answers!AW59,"AAAAADq//5w=")</f>
        <v>#VALUE!</v>
      </c>
      <c r="FB23" t="e">
        <f>AND(Answers!AX59,"AAAAADq//50=")</f>
        <v>#VALUE!</v>
      </c>
      <c r="FC23" t="e">
        <f>AND(Answers!AY59,"AAAAADq//54=")</f>
        <v>#VALUE!</v>
      </c>
      <c r="FD23" t="e">
        <f>AND(Answers!AZ59,"AAAAADq//58=")</f>
        <v>#VALUE!</v>
      </c>
      <c r="FE23" t="e">
        <f>AND(Answers!BA59,"AAAAADq//6A=")</f>
        <v>#VALUE!</v>
      </c>
      <c r="FF23" t="e">
        <f>AND(Answers!BB59,"AAAAADq//6E=")</f>
        <v>#VALUE!</v>
      </c>
      <c r="FG23" t="e">
        <f>AND(Answers!BC59,"AAAAADq//6I=")</f>
        <v>#VALUE!</v>
      </c>
      <c r="FH23" t="e">
        <f>AND(Answers!BD59,"AAAAADq//6M=")</f>
        <v>#VALUE!</v>
      </c>
      <c r="FI23" t="e">
        <f>AND(Answers!BE59,"AAAAADq//6Q=")</f>
        <v>#VALUE!</v>
      </c>
      <c r="FJ23" t="e">
        <f>AND(Answers!BF59,"AAAAADq//6U=")</f>
        <v>#VALUE!</v>
      </c>
      <c r="FK23" t="e">
        <f>AND(Answers!BG59,"AAAAADq//6Y=")</f>
        <v>#VALUE!</v>
      </c>
      <c r="FL23" t="e">
        <f>AND(Answers!BH59,"AAAAADq//6c=")</f>
        <v>#VALUE!</v>
      </c>
      <c r="FM23" t="e">
        <f>AND(Answers!BI59,"AAAAADq//6g=")</f>
        <v>#VALUE!</v>
      </c>
      <c r="FN23" t="e">
        <f>AND(Answers!BK59,"AAAAADq//6k=")</f>
        <v>#VALUE!</v>
      </c>
      <c r="FO23" t="e">
        <f>AND(Answers!BL59,"AAAAADq//6o=")</f>
        <v>#VALUE!</v>
      </c>
      <c r="FP23" t="e">
        <f>AND(Answers!BM59,"AAAAADq//6s=")</f>
        <v>#VALUE!</v>
      </c>
      <c r="FQ23" t="e">
        <f>AND(Answers!BN59,"AAAAADq//6w=")</f>
        <v>#VALUE!</v>
      </c>
      <c r="FR23" t="e">
        <f>AND(Answers!BO59,"AAAAADq//60=")</f>
        <v>#VALUE!</v>
      </c>
      <c r="FS23" t="e">
        <f>AND(Answers!BP59,"AAAAADq//64=")</f>
        <v>#VALUE!</v>
      </c>
      <c r="FT23" t="e">
        <f>AND(Answers!BQ59,"AAAAADq//68=")</f>
        <v>#VALUE!</v>
      </c>
      <c r="FU23" t="e">
        <f>AND(Answers!BR59,"AAAAADq//7A=")</f>
        <v>#VALUE!</v>
      </c>
      <c r="FV23" t="e">
        <f>AND(Answers!BS59,"AAAAADq//7E=")</f>
        <v>#VALUE!</v>
      </c>
      <c r="FW23" t="e">
        <f>AND(Answers!BU59,"AAAAADq//7I=")</f>
        <v>#VALUE!</v>
      </c>
      <c r="FX23" t="e">
        <f>AND(Answers!BV59,"AAAAADq//7M=")</f>
        <v>#VALUE!</v>
      </c>
      <c r="FY23" t="e">
        <f>AND(Answers!#REF!,"AAAAADq//7Q=")</f>
        <v>#REF!</v>
      </c>
      <c r="FZ23" t="e">
        <f>AND(Answers!BW59,"AAAAADq//7U=")</f>
        <v>#VALUE!</v>
      </c>
      <c r="GA23" t="e">
        <f>AND(Answers!BX59,"AAAAADq//7Y=")</f>
        <v>#VALUE!</v>
      </c>
      <c r="GB23" t="e">
        <f>AND(Answers!BY59,"AAAAADq//7c=")</f>
        <v>#VALUE!</v>
      </c>
      <c r="GC23" t="e">
        <f>AND(Answers!BZ59,"AAAAADq//7g=")</f>
        <v>#VALUE!</v>
      </c>
      <c r="GD23">
        <f>IF(Answers!60:60,"AAAAADq//7k=",0)</f>
        <v>0</v>
      </c>
      <c r="GE23" t="e">
        <f>AND(Answers!A60,"AAAAADq//7o=")</f>
        <v>#VALUE!</v>
      </c>
      <c r="GF23" t="e">
        <f>AND(Answers!B60,"AAAAADq//7s=")</f>
        <v>#VALUE!</v>
      </c>
      <c r="GG23" t="e">
        <f>AND(Answers!C60,"AAAAADq//7w=")</f>
        <v>#VALUE!</v>
      </c>
      <c r="GH23" t="e">
        <f>AND(Answers!D60,"AAAAADq//70=")</f>
        <v>#VALUE!</v>
      </c>
      <c r="GI23" t="e">
        <f>AND(Answers!E60,"AAAAADq//74=")</f>
        <v>#VALUE!</v>
      </c>
      <c r="GJ23" t="e">
        <f>AND(Answers!F60,"AAAAADq//78=")</f>
        <v>#VALUE!</v>
      </c>
      <c r="GK23" t="e">
        <f>AND(Answers!G60,"AAAAADq//8A=")</f>
        <v>#VALUE!</v>
      </c>
      <c r="GL23" t="e">
        <f>AND(Answers!H60,"AAAAADq//8E=")</f>
        <v>#VALUE!</v>
      </c>
      <c r="GM23" t="e">
        <f>AND(Answers!J60,"AAAAADq//8I=")</f>
        <v>#VALUE!</v>
      </c>
      <c r="GN23" t="e">
        <f>AND(Answers!K60,"AAAAADq//8M=")</f>
        <v>#VALUE!</v>
      </c>
      <c r="GO23" t="e">
        <f>AND(Answers!L60,"AAAAADq//8Q=")</f>
        <v>#VALUE!</v>
      </c>
      <c r="GP23" t="e">
        <f>AND(Answers!M60,"AAAAADq//8U=")</f>
        <v>#VALUE!</v>
      </c>
      <c r="GQ23" t="e">
        <f>AND(Answers!N60,"AAAAADq//8Y=")</f>
        <v>#VALUE!</v>
      </c>
      <c r="GR23" t="e">
        <f>AND(Answers!O60,"AAAAADq//8c=")</f>
        <v>#VALUE!</v>
      </c>
      <c r="GS23" t="e">
        <f>AND(Answers!P60,"AAAAADq//8g=")</f>
        <v>#VALUE!</v>
      </c>
      <c r="GT23" t="e">
        <f>AND(Answers!Q60,"AAAAADq//8k=")</f>
        <v>#VALUE!</v>
      </c>
      <c r="GU23" t="e">
        <f>AND(Answers!R60,"AAAAADq//8o=")</f>
        <v>#VALUE!</v>
      </c>
      <c r="GV23" t="e">
        <f>AND(Answers!S60,"AAAAADq//8s=")</f>
        <v>#VALUE!</v>
      </c>
      <c r="GW23" t="e">
        <f>AND(Answers!T60,"AAAAADq//8w=")</f>
        <v>#VALUE!</v>
      </c>
      <c r="GX23" t="e">
        <f>AND(Answers!U60,"AAAAADq//80=")</f>
        <v>#VALUE!</v>
      </c>
      <c r="GY23" t="e">
        <f>AND(Answers!V60,"AAAAADq//84=")</f>
        <v>#VALUE!</v>
      </c>
      <c r="GZ23" t="e">
        <f>AND(Answers!X60,"AAAAADq//88=")</f>
        <v>#VALUE!</v>
      </c>
      <c r="HA23" t="e">
        <f>AND(Answers!Y60,"AAAAADq//9A=")</f>
        <v>#VALUE!</v>
      </c>
      <c r="HB23" t="e">
        <f>AND(Answers!Z60,"AAAAADq//9E=")</f>
        <v>#VALUE!</v>
      </c>
      <c r="HC23" t="e">
        <f>AND(Answers!AA60,"AAAAADq//9I=")</f>
        <v>#VALUE!</v>
      </c>
      <c r="HD23" t="e">
        <f>AND(Answers!AB60,"AAAAADq//9M=")</f>
        <v>#VALUE!</v>
      </c>
      <c r="HE23" t="e">
        <f>AND(Answers!AC60,"AAAAADq//9Q=")</f>
        <v>#VALUE!</v>
      </c>
      <c r="HF23" t="e">
        <f>AND(Answers!AD60,"AAAAADq//9U=")</f>
        <v>#VALUE!</v>
      </c>
      <c r="HG23" t="e">
        <f>AND(Answers!AE60,"AAAAADq//9Y=")</f>
        <v>#VALUE!</v>
      </c>
      <c r="HH23" t="e">
        <f>AND(Answers!AF60,"AAAAADq//9c=")</f>
        <v>#VALUE!</v>
      </c>
      <c r="HI23" t="e">
        <f>AND(Answers!AH60,"AAAAADq//9g=")</f>
        <v>#VALUE!</v>
      </c>
      <c r="HJ23" t="e">
        <f>AND(Answers!AI60,"AAAAADq//9k=")</f>
        <v>#VALUE!</v>
      </c>
      <c r="HK23" t="e">
        <f>AND(Answers!AK60,"AAAAADq//9o=")</f>
        <v>#VALUE!</v>
      </c>
      <c r="HL23" t="e">
        <f>AND(Answers!#REF!,"AAAAADq//9s=")</f>
        <v>#REF!</v>
      </c>
      <c r="HM23" t="e">
        <f>AND(Answers!AR60,"AAAAADq//9w=")</f>
        <v>#VALUE!</v>
      </c>
      <c r="HN23" t="e">
        <f>AND(Answers!AS60,"AAAAADq//90=")</f>
        <v>#VALUE!</v>
      </c>
      <c r="HO23" t="e">
        <f>AND(Answers!AT60,"AAAAADq//94=")</f>
        <v>#VALUE!</v>
      </c>
      <c r="HP23" t="e">
        <f>AND(Answers!AU60,"AAAAADq//98=")</f>
        <v>#VALUE!</v>
      </c>
      <c r="HQ23" t="e">
        <f>AND(Answers!AW60,"AAAAADq//+A=")</f>
        <v>#VALUE!</v>
      </c>
      <c r="HR23" t="e">
        <f>AND(Answers!AX60,"AAAAADq//+E=")</f>
        <v>#VALUE!</v>
      </c>
      <c r="HS23" t="e">
        <f>AND(Answers!AY60,"AAAAADq//+I=")</f>
        <v>#VALUE!</v>
      </c>
      <c r="HT23" t="e">
        <f>AND(Answers!AZ60,"AAAAADq//+M=")</f>
        <v>#VALUE!</v>
      </c>
      <c r="HU23" t="e">
        <f>AND(Answers!BA60,"AAAAADq//+Q=")</f>
        <v>#VALUE!</v>
      </c>
      <c r="HV23" t="e">
        <f>AND(Answers!BB60,"AAAAADq//+U=")</f>
        <v>#VALUE!</v>
      </c>
      <c r="HW23" t="e">
        <f>AND(Answers!BC60,"AAAAADq//+Y=")</f>
        <v>#VALUE!</v>
      </c>
      <c r="HX23" t="e">
        <f>AND(Answers!BD60,"AAAAADq//+c=")</f>
        <v>#VALUE!</v>
      </c>
      <c r="HY23" t="e">
        <f>AND(Answers!BE60,"AAAAADq//+g=")</f>
        <v>#VALUE!</v>
      </c>
      <c r="HZ23" t="e">
        <f>AND(Answers!BF60,"AAAAADq//+k=")</f>
        <v>#VALUE!</v>
      </c>
      <c r="IA23" t="e">
        <f>AND(Answers!BG60,"AAAAADq//+o=")</f>
        <v>#VALUE!</v>
      </c>
      <c r="IB23" t="e">
        <f>AND(Answers!BH60,"AAAAADq//+s=")</f>
        <v>#VALUE!</v>
      </c>
      <c r="IC23" t="e">
        <f>AND(Answers!BI60,"AAAAADq//+w=")</f>
        <v>#VALUE!</v>
      </c>
      <c r="ID23" t="e">
        <f>AND(Answers!BK60,"AAAAADq//+0=")</f>
        <v>#VALUE!</v>
      </c>
      <c r="IE23" t="e">
        <f>AND(Answers!BL60,"AAAAADq//+4=")</f>
        <v>#VALUE!</v>
      </c>
      <c r="IF23" t="e">
        <f>AND(Answers!BM60,"AAAAADq//+8=")</f>
        <v>#VALUE!</v>
      </c>
      <c r="IG23" t="e">
        <f>AND(Answers!BN60,"AAAAADq///A=")</f>
        <v>#VALUE!</v>
      </c>
      <c r="IH23" t="e">
        <f>AND(Answers!BO60,"AAAAADq///E=")</f>
        <v>#VALUE!</v>
      </c>
      <c r="II23" t="e">
        <f>AND(Answers!BP60,"AAAAADq///I=")</f>
        <v>#VALUE!</v>
      </c>
      <c r="IJ23" t="e">
        <f>AND(Answers!BQ60,"AAAAADq///M=")</f>
        <v>#VALUE!</v>
      </c>
      <c r="IK23" t="e">
        <f>AND(Answers!BR60,"AAAAADq///Q=")</f>
        <v>#VALUE!</v>
      </c>
      <c r="IL23" t="e">
        <f>AND(Answers!BS60,"AAAAADq///U=")</f>
        <v>#VALUE!</v>
      </c>
      <c r="IM23" t="e">
        <f>AND(Answers!BU60,"AAAAADq///Y=")</f>
        <v>#VALUE!</v>
      </c>
      <c r="IN23" t="e">
        <f>AND(Answers!BV60,"AAAAADq///c=")</f>
        <v>#VALUE!</v>
      </c>
      <c r="IO23" t="e">
        <f>AND(Answers!#REF!,"AAAAADq///g=")</f>
        <v>#REF!</v>
      </c>
      <c r="IP23" t="e">
        <f>AND(Answers!BW60,"AAAAADq///k=")</f>
        <v>#VALUE!</v>
      </c>
      <c r="IQ23" t="e">
        <f>AND(Answers!BX60,"AAAAADq///o=")</f>
        <v>#VALUE!</v>
      </c>
      <c r="IR23" t="e">
        <f>AND(Answers!BY60,"AAAAADq///s=")</f>
        <v>#VALUE!</v>
      </c>
      <c r="IS23" t="e">
        <f>AND(Answers!BZ60,"AAAAADq///w=")</f>
        <v>#VALUE!</v>
      </c>
      <c r="IT23">
        <f>IF(Answers!61:61,"AAAAADq///0=",0)</f>
        <v>0</v>
      </c>
      <c r="IU23" t="e">
        <f>AND(Answers!A61,"AAAAADq///4=")</f>
        <v>#VALUE!</v>
      </c>
      <c r="IV23" t="e">
        <f>AND(Answers!B61,"AAAAADq///8=")</f>
        <v>#VALUE!</v>
      </c>
    </row>
    <row r="24" spans="1:256" x14ac:dyDescent="0.15">
      <c r="A24" t="e">
        <f>AND(Answers!C61,"AAAAAHe3nwA=")</f>
        <v>#VALUE!</v>
      </c>
      <c r="B24" t="e">
        <f>AND(Answers!D61,"AAAAAHe3nwE=")</f>
        <v>#VALUE!</v>
      </c>
      <c r="C24" t="e">
        <f>AND(Answers!E61,"AAAAAHe3nwI=")</f>
        <v>#VALUE!</v>
      </c>
      <c r="D24" t="e">
        <f>AND(Answers!F61,"AAAAAHe3nwM=")</f>
        <v>#VALUE!</v>
      </c>
      <c r="E24" t="e">
        <f>AND(Answers!G61,"AAAAAHe3nwQ=")</f>
        <v>#VALUE!</v>
      </c>
      <c r="F24" t="e">
        <f>AND(Answers!H61,"AAAAAHe3nwU=")</f>
        <v>#VALUE!</v>
      </c>
      <c r="G24" t="e">
        <f>AND(Answers!J61,"AAAAAHe3nwY=")</f>
        <v>#VALUE!</v>
      </c>
      <c r="H24" t="e">
        <f>AND(Answers!K61,"AAAAAHe3nwc=")</f>
        <v>#VALUE!</v>
      </c>
      <c r="I24" t="e">
        <f>AND(Answers!L61,"AAAAAHe3nwg=")</f>
        <v>#VALUE!</v>
      </c>
      <c r="J24" t="e">
        <f>AND(Answers!M61,"AAAAAHe3nwk=")</f>
        <v>#VALUE!</v>
      </c>
      <c r="K24" t="e">
        <f>AND(Answers!N61,"AAAAAHe3nwo=")</f>
        <v>#VALUE!</v>
      </c>
      <c r="L24" t="e">
        <f>AND(Answers!O61,"AAAAAHe3nws=")</f>
        <v>#VALUE!</v>
      </c>
      <c r="M24" t="e">
        <f>AND(Answers!P61,"AAAAAHe3nww=")</f>
        <v>#VALUE!</v>
      </c>
      <c r="N24" t="e">
        <f>AND(Answers!Q61,"AAAAAHe3nw0=")</f>
        <v>#VALUE!</v>
      </c>
      <c r="O24" t="e">
        <f>AND(Answers!R61,"AAAAAHe3nw4=")</f>
        <v>#VALUE!</v>
      </c>
      <c r="P24" t="e">
        <f>AND(Answers!S61,"AAAAAHe3nw8=")</f>
        <v>#VALUE!</v>
      </c>
      <c r="Q24" t="e">
        <f>AND(Answers!T61,"AAAAAHe3nxA=")</f>
        <v>#VALUE!</v>
      </c>
      <c r="R24" t="e">
        <f>AND(Answers!U61,"AAAAAHe3nxE=")</f>
        <v>#VALUE!</v>
      </c>
      <c r="S24" t="e">
        <f>AND(Answers!V61,"AAAAAHe3nxI=")</f>
        <v>#VALUE!</v>
      </c>
      <c r="T24" t="e">
        <f>AND(Answers!X61,"AAAAAHe3nxM=")</f>
        <v>#VALUE!</v>
      </c>
      <c r="U24" t="e">
        <f>AND(Answers!Y61,"AAAAAHe3nxQ=")</f>
        <v>#VALUE!</v>
      </c>
      <c r="V24" t="e">
        <f>AND(Answers!Z61,"AAAAAHe3nxU=")</f>
        <v>#VALUE!</v>
      </c>
      <c r="W24" t="e">
        <f>AND(Answers!AA61,"AAAAAHe3nxY=")</f>
        <v>#VALUE!</v>
      </c>
      <c r="X24" t="e">
        <f>AND(Answers!AB61,"AAAAAHe3nxc=")</f>
        <v>#VALUE!</v>
      </c>
      <c r="Y24" t="e">
        <f>AND(Answers!AC61,"AAAAAHe3nxg=")</f>
        <v>#VALUE!</v>
      </c>
      <c r="Z24" t="e">
        <f>AND(Answers!AD61,"AAAAAHe3nxk=")</f>
        <v>#VALUE!</v>
      </c>
      <c r="AA24" t="e">
        <f>AND(Answers!AE61,"AAAAAHe3nxo=")</f>
        <v>#VALUE!</v>
      </c>
      <c r="AB24" t="e">
        <f>AND(Answers!AF61,"AAAAAHe3nxs=")</f>
        <v>#VALUE!</v>
      </c>
      <c r="AC24" t="e">
        <f>AND(Answers!AH61,"AAAAAHe3nxw=")</f>
        <v>#VALUE!</v>
      </c>
      <c r="AD24" t="e">
        <f>AND(Answers!AI61,"AAAAAHe3nx0=")</f>
        <v>#VALUE!</v>
      </c>
      <c r="AE24" t="e">
        <f>AND(Answers!AK61,"AAAAAHe3nx4=")</f>
        <v>#VALUE!</v>
      </c>
      <c r="AF24" t="e">
        <f>AND(Answers!#REF!,"AAAAAHe3nx8=")</f>
        <v>#REF!</v>
      </c>
      <c r="AG24" t="e">
        <f>AND(Answers!AR61,"AAAAAHe3nyA=")</f>
        <v>#VALUE!</v>
      </c>
      <c r="AH24" t="e">
        <f>AND(Answers!AS61,"AAAAAHe3nyE=")</f>
        <v>#VALUE!</v>
      </c>
      <c r="AI24" t="e">
        <f>AND(Answers!AT61,"AAAAAHe3nyI=")</f>
        <v>#VALUE!</v>
      </c>
      <c r="AJ24" t="e">
        <f>AND(Answers!AU61,"AAAAAHe3nyM=")</f>
        <v>#VALUE!</v>
      </c>
      <c r="AK24" t="e">
        <f>AND(Answers!AW61,"AAAAAHe3nyQ=")</f>
        <v>#VALUE!</v>
      </c>
      <c r="AL24" t="e">
        <f>AND(Answers!AX61,"AAAAAHe3nyU=")</f>
        <v>#VALUE!</v>
      </c>
      <c r="AM24" t="e">
        <f>AND(Answers!AY61,"AAAAAHe3nyY=")</f>
        <v>#VALUE!</v>
      </c>
      <c r="AN24" t="e">
        <f>AND(Answers!AZ61,"AAAAAHe3nyc=")</f>
        <v>#VALUE!</v>
      </c>
      <c r="AO24" t="e">
        <f>AND(Answers!BA61,"AAAAAHe3nyg=")</f>
        <v>#VALUE!</v>
      </c>
      <c r="AP24" t="e">
        <f>AND(Answers!BB61,"AAAAAHe3nyk=")</f>
        <v>#VALUE!</v>
      </c>
      <c r="AQ24" t="e">
        <f>AND(Answers!BC61,"AAAAAHe3nyo=")</f>
        <v>#VALUE!</v>
      </c>
      <c r="AR24" t="e">
        <f>AND(Answers!BD61,"AAAAAHe3nys=")</f>
        <v>#VALUE!</v>
      </c>
      <c r="AS24" t="e">
        <f>AND(Answers!BE61,"AAAAAHe3nyw=")</f>
        <v>#VALUE!</v>
      </c>
      <c r="AT24" t="e">
        <f>AND(Answers!BF61,"AAAAAHe3ny0=")</f>
        <v>#VALUE!</v>
      </c>
      <c r="AU24" t="e">
        <f>AND(Answers!BG61,"AAAAAHe3ny4=")</f>
        <v>#VALUE!</v>
      </c>
      <c r="AV24" t="e">
        <f>AND(Answers!BH61,"AAAAAHe3ny8=")</f>
        <v>#VALUE!</v>
      </c>
      <c r="AW24" t="e">
        <f>AND(Answers!BI61,"AAAAAHe3nzA=")</f>
        <v>#VALUE!</v>
      </c>
      <c r="AX24" t="e">
        <f>AND(Answers!BK61,"AAAAAHe3nzE=")</f>
        <v>#VALUE!</v>
      </c>
      <c r="AY24" t="e">
        <f>AND(Answers!BL61,"AAAAAHe3nzI=")</f>
        <v>#VALUE!</v>
      </c>
      <c r="AZ24" t="e">
        <f>AND(Answers!BM61,"AAAAAHe3nzM=")</f>
        <v>#VALUE!</v>
      </c>
      <c r="BA24" t="e">
        <f>AND(Answers!BN61,"AAAAAHe3nzQ=")</f>
        <v>#VALUE!</v>
      </c>
      <c r="BB24" t="e">
        <f>AND(Answers!BO61,"AAAAAHe3nzU=")</f>
        <v>#VALUE!</v>
      </c>
      <c r="BC24" t="e">
        <f>AND(Answers!BP61,"AAAAAHe3nzY=")</f>
        <v>#VALUE!</v>
      </c>
      <c r="BD24" t="e">
        <f>AND(Answers!BQ61,"AAAAAHe3nzc=")</f>
        <v>#VALUE!</v>
      </c>
      <c r="BE24" t="e">
        <f>AND(Answers!BR61,"AAAAAHe3nzg=")</f>
        <v>#VALUE!</v>
      </c>
      <c r="BF24" t="e">
        <f>AND(Answers!BS61,"AAAAAHe3nzk=")</f>
        <v>#VALUE!</v>
      </c>
      <c r="BG24" t="e">
        <f>AND(Answers!BU61,"AAAAAHe3nzo=")</f>
        <v>#VALUE!</v>
      </c>
      <c r="BH24" t="e">
        <f>AND(Answers!BV61,"AAAAAHe3nzs=")</f>
        <v>#VALUE!</v>
      </c>
      <c r="BI24" t="e">
        <f>AND(Answers!#REF!,"AAAAAHe3nzw=")</f>
        <v>#REF!</v>
      </c>
      <c r="BJ24" t="e">
        <f>AND(Answers!BW61,"AAAAAHe3nz0=")</f>
        <v>#VALUE!</v>
      </c>
      <c r="BK24" t="e">
        <f>AND(Answers!BX61,"AAAAAHe3nz4=")</f>
        <v>#VALUE!</v>
      </c>
      <c r="BL24" t="e">
        <f>AND(Answers!BY61,"AAAAAHe3nz8=")</f>
        <v>#VALUE!</v>
      </c>
      <c r="BM24" t="e">
        <f>AND(Answers!BZ61,"AAAAAHe3n0A=")</f>
        <v>#VALUE!</v>
      </c>
      <c r="BN24" t="str">
        <f>IF(Answers!62:62,"AAAAAHe3n0E=",0)</f>
        <v>AAAAAHe3n0E=</v>
      </c>
      <c r="BO24" t="e">
        <f>AND(Answers!A62,"AAAAAHe3n0I=")</f>
        <v>#VALUE!</v>
      </c>
      <c r="BP24" t="e">
        <f>AND(Answers!B62,"AAAAAHe3n0M=")</f>
        <v>#VALUE!</v>
      </c>
      <c r="BQ24" t="e">
        <f>AND(Answers!C62,"AAAAAHe3n0Q=")</f>
        <v>#VALUE!</v>
      </c>
      <c r="BR24" t="e">
        <f>AND(Answers!D62,"AAAAAHe3n0U=")</f>
        <v>#VALUE!</v>
      </c>
      <c r="BS24" t="e">
        <f>AND(Answers!E62,"AAAAAHe3n0Y=")</f>
        <v>#VALUE!</v>
      </c>
      <c r="BT24" t="e">
        <f>AND(Answers!F62,"AAAAAHe3n0c=")</f>
        <v>#VALUE!</v>
      </c>
      <c r="BU24" t="e">
        <f>AND(Answers!G62,"AAAAAHe3n0g=")</f>
        <v>#VALUE!</v>
      </c>
      <c r="BV24" t="e">
        <f>AND(Answers!H62,"AAAAAHe3n0k=")</f>
        <v>#VALUE!</v>
      </c>
      <c r="BW24" t="e">
        <f>AND(Answers!J62,"AAAAAHe3n0o=")</f>
        <v>#VALUE!</v>
      </c>
      <c r="BX24" t="e">
        <f>AND(Answers!K62,"AAAAAHe3n0s=")</f>
        <v>#VALUE!</v>
      </c>
      <c r="BY24" t="e">
        <f>AND(Answers!L62,"AAAAAHe3n0w=")</f>
        <v>#VALUE!</v>
      </c>
      <c r="BZ24" t="e">
        <f>AND(Answers!M62,"AAAAAHe3n00=")</f>
        <v>#VALUE!</v>
      </c>
      <c r="CA24" t="e">
        <f>AND(Answers!N62,"AAAAAHe3n04=")</f>
        <v>#VALUE!</v>
      </c>
      <c r="CB24" t="e">
        <f>AND(Answers!O62,"AAAAAHe3n08=")</f>
        <v>#VALUE!</v>
      </c>
      <c r="CC24" t="e">
        <f>AND(Answers!P62,"AAAAAHe3n1A=")</f>
        <v>#VALUE!</v>
      </c>
      <c r="CD24" t="e">
        <f>AND(Answers!Q62,"AAAAAHe3n1E=")</f>
        <v>#VALUE!</v>
      </c>
      <c r="CE24" t="e">
        <f>AND(Answers!R62,"AAAAAHe3n1I=")</f>
        <v>#VALUE!</v>
      </c>
      <c r="CF24" t="e">
        <f>AND(Answers!S62,"AAAAAHe3n1M=")</f>
        <v>#VALUE!</v>
      </c>
      <c r="CG24" t="e">
        <f>AND(Answers!T62,"AAAAAHe3n1Q=")</f>
        <v>#VALUE!</v>
      </c>
      <c r="CH24" t="e">
        <f>AND(Answers!U62,"AAAAAHe3n1U=")</f>
        <v>#VALUE!</v>
      </c>
      <c r="CI24" t="e">
        <f>AND(Answers!V62,"AAAAAHe3n1Y=")</f>
        <v>#VALUE!</v>
      </c>
      <c r="CJ24" t="e">
        <f>AND(Answers!X62,"AAAAAHe3n1c=")</f>
        <v>#VALUE!</v>
      </c>
      <c r="CK24" t="e">
        <f>AND(Answers!Y62,"AAAAAHe3n1g=")</f>
        <v>#VALUE!</v>
      </c>
      <c r="CL24" t="e">
        <f>AND(Answers!Z62,"AAAAAHe3n1k=")</f>
        <v>#VALUE!</v>
      </c>
      <c r="CM24" t="e">
        <f>AND(Answers!AA62,"AAAAAHe3n1o=")</f>
        <v>#VALUE!</v>
      </c>
      <c r="CN24" t="e">
        <f>AND(Answers!AB62,"AAAAAHe3n1s=")</f>
        <v>#VALUE!</v>
      </c>
      <c r="CO24" t="e">
        <f>AND(Answers!AC62,"AAAAAHe3n1w=")</f>
        <v>#VALUE!</v>
      </c>
      <c r="CP24" t="e">
        <f>AND(Answers!AD62,"AAAAAHe3n10=")</f>
        <v>#VALUE!</v>
      </c>
      <c r="CQ24" t="e">
        <f>AND(Answers!AE62,"AAAAAHe3n14=")</f>
        <v>#VALUE!</v>
      </c>
      <c r="CR24" t="e">
        <f>AND(Answers!AF62,"AAAAAHe3n18=")</f>
        <v>#VALUE!</v>
      </c>
      <c r="CS24" t="e">
        <f>AND(Answers!AH62,"AAAAAHe3n2A=")</f>
        <v>#VALUE!</v>
      </c>
      <c r="CT24" t="e">
        <f>AND(Answers!AI62,"AAAAAHe3n2E=")</f>
        <v>#VALUE!</v>
      </c>
      <c r="CU24" t="e">
        <f>AND(Answers!AK62,"AAAAAHe3n2I=")</f>
        <v>#VALUE!</v>
      </c>
      <c r="CV24" t="e">
        <f>AND(Answers!#REF!,"AAAAAHe3n2M=")</f>
        <v>#REF!</v>
      </c>
      <c r="CW24" t="e">
        <f>AND(Answers!AR62,"AAAAAHe3n2Q=")</f>
        <v>#VALUE!</v>
      </c>
      <c r="CX24" t="e">
        <f>AND(Answers!AS62,"AAAAAHe3n2U=")</f>
        <v>#VALUE!</v>
      </c>
      <c r="CY24" t="e">
        <f>AND(Answers!AT62,"AAAAAHe3n2Y=")</f>
        <v>#VALUE!</v>
      </c>
      <c r="CZ24" t="e">
        <f>AND(Answers!AU62,"AAAAAHe3n2c=")</f>
        <v>#VALUE!</v>
      </c>
      <c r="DA24" t="e">
        <f>AND(Answers!AW62,"AAAAAHe3n2g=")</f>
        <v>#VALUE!</v>
      </c>
      <c r="DB24" t="e">
        <f>AND(Answers!AX62,"AAAAAHe3n2k=")</f>
        <v>#VALUE!</v>
      </c>
      <c r="DC24" t="e">
        <f>AND(Answers!AY62,"AAAAAHe3n2o=")</f>
        <v>#VALUE!</v>
      </c>
      <c r="DD24" t="e">
        <f>AND(Answers!AZ62,"AAAAAHe3n2s=")</f>
        <v>#VALUE!</v>
      </c>
      <c r="DE24" t="e">
        <f>AND(Answers!BA62,"AAAAAHe3n2w=")</f>
        <v>#VALUE!</v>
      </c>
      <c r="DF24" t="e">
        <f>AND(Answers!BB62,"AAAAAHe3n20=")</f>
        <v>#VALUE!</v>
      </c>
      <c r="DG24" t="e">
        <f>AND(Answers!BC62,"AAAAAHe3n24=")</f>
        <v>#VALUE!</v>
      </c>
      <c r="DH24" t="e">
        <f>AND(Answers!BD62,"AAAAAHe3n28=")</f>
        <v>#VALUE!</v>
      </c>
      <c r="DI24" t="e">
        <f>AND(Answers!BE62,"AAAAAHe3n3A=")</f>
        <v>#VALUE!</v>
      </c>
      <c r="DJ24" t="e">
        <f>AND(Answers!BF62,"AAAAAHe3n3E=")</f>
        <v>#VALUE!</v>
      </c>
      <c r="DK24" t="e">
        <f>AND(Answers!BG62,"AAAAAHe3n3I=")</f>
        <v>#VALUE!</v>
      </c>
      <c r="DL24" t="e">
        <f>AND(Answers!BH62,"AAAAAHe3n3M=")</f>
        <v>#VALUE!</v>
      </c>
      <c r="DM24" t="e">
        <f>AND(Answers!BI62,"AAAAAHe3n3Q=")</f>
        <v>#VALUE!</v>
      </c>
      <c r="DN24" t="e">
        <f>AND(Answers!BK62,"AAAAAHe3n3U=")</f>
        <v>#VALUE!</v>
      </c>
      <c r="DO24" t="e">
        <f>AND(Answers!BL62,"AAAAAHe3n3Y=")</f>
        <v>#VALUE!</v>
      </c>
      <c r="DP24" t="e">
        <f>AND(Answers!BM62,"AAAAAHe3n3c=")</f>
        <v>#VALUE!</v>
      </c>
      <c r="DQ24" t="e">
        <f>AND(Answers!BN62,"AAAAAHe3n3g=")</f>
        <v>#VALUE!</v>
      </c>
      <c r="DR24" t="e">
        <f>AND(Answers!BO62,"AAAAAHe3n3k=")</f>
        <v>#VALUE!</v>
      </c>
      <c r="DS24" t="e">
        <f>AND(Answers!BP62,"AAAAAHe3n3o=")</f>
        <v>#VALUE!</v>
      </c>
      <c r="DT24" t="e">
        <f>AND(Answers!BQ62,"AAAAAHe3n3s=")</f>
        <v>#VALUE!</v>
      </c>
      <c r="DU24" t="e">
        <f>AND(Answers!BR62,"AAAAAHe3n3w=")</f>
        <v>#VALUE!</v>
      </c>
      <c r="DV24" t="e">
        <f>AND(Answers!BS62,"AAAAAHe3n30=")</f>
        <v>#VALUE!</v>
      </c>
      <c r="DW24" t="e">
        <f>AND(Answers!BU62,"AAAAAHe3n34=")</f>
        <v>#VALUE!</v>
      </c>
      <c r="DX24" t="e">
        <f>AND(Answers!BV62,"AAAAAHe3n38=")</f>
        <v>#VALUE!</v>
      </c>
      <c r="DY24" t="e">
        <f>AND(Answers!#REF!,"AAAAAHe3n4A=")</f>
        <v>#REF!</v>
      </c>
      <c r="DZ24" t="e">
        <f>AND(Answers!BW62,"AAAAAHe3n4E=")</f>
        <v>#VALUE!</v>
      </c>
      <c r="EA24" t="e">
        <f>AND(Answers!BX62,"AAAAAHe3n4I=")</f>
        <v>#VALUE!</v>
      </c>
      <c r="EB24" t="e">
        <f>AND(Answers!BY62,"AAAAAHe3n4M=")</f>
        <v>#VALUE!</v>
      </c>
      <c r="EC24" t="e">
        <f>AND(Answers!BZ62,"AAAAAHe3n4Q=")</f>
        <v>#VALUE!</v>
      </c>
      <c r="ED24">
        <f>IF(Answers!63:63,"AAAAAHe3n4U=",0)</f>
        <v>0</v>
      </c>
      <c r="EE24" t="e">
        <f>AND(Answers!A63,"AAAAAHe3n4Y=")</f>
        <v>#VALUE!</v>
      </c>
      <c r="EF24" t="e">
        <f>AND(Answers!B63,"AAAAAHe3n4c=")</f>
        <v>#VALUE!</v>
      </c>
      <c r="EG24" t="e">
        <f>AND(Answers!C63,"AAAAAHe3n4g=")</f>
        <v>#VALUE!</v>
      </c>
      <c r="EH24" t="e">
        <f>AND(Answers!D63,"AAAAAHe3n4k=")</f>
        <v>#VALUE!</v>
      </c>
      <c r="EI24" t="e">
        <f>AND(Answers!E63,"AAAAAHe3n4o=")</f>
        <v>#VALUE!</v>
      </c>
      <c r="EJ24" t="e">
        <f>AND(Answers!F63,"AAAAAHe3n4s=")</f>
        <v>#VALUE!</v>
      </c>
      <c r="EK24" t="e">
        <f>AND(Answers!G63,"AAAAAHe3n4w=")</f>
        <v>#VALUE!</v>
      </c>
      <c r="EL24" t="e">
        <f>AND(Answers!H63,"AAAAAHe3n40=")</f>
        <v>#VALUE!</v>
      </c>
      <c r="EM24" t="e">
        <f>AND(Answers!J63,"AAAAAHe3n44=")</f>
        <v>#VALUE!</v>
      </c>
      <c r="EN24" t="e">
        <f>AND(Answers!K63,"AAAAAHe3n48=")</f>
        <v>#VALUE!</v>
      </c>
      <c r="EO24" t="e">
        <f>AND(Answers!L63,"AAAAAHe3n5A=")</f>
        <v>#VALUE!</v>
      </c>
      <c r="EP24" t="e">
        <f>AND(Answers!M63,"AAAAAHe3n5E=")</f>
        <v>#VALUE!</v>
      </c>
      <c r="EQ24" t="e">
        <f>AND(Answers!N63,"AAAAAHe3n5I=")</f>
        <v>#VALUE!</v>
      </c>
      <c r="ER24" t="e">
        <f>AND(Answers!O63,"AAAAAHe3n5M=")</f>
        <v>#VALUE!</v>
      </c>
      <c r="ES24" t="e">
        <f>AND(Answers!P63,"AAAAAHe3n5Q=")</f>
        <v>#VALUE!</v>
      </c>
      <c r="ET24" t="e">
        <f>AND(Answers!Q63,"AAAAAHe3n5U=")</f>
        <v>#VALUE!</v>
      </c>
      <c r="EU24" t="e">
        <f>AND(Answers!R63,"AAAAAHe3n5Y=")</f>
        <v>#VALUE!</v>
      </c>
      <c r="EV24" t="e">
        <f>AND(Answers!S63,"AAAAAHe3n5c=")</f>
        <v>#VALUE!</v>
      </c>
      <c r="EW24" t="e">
        <f>AND(Answers!T63,"AAAAAHe3n5g=")</f>
        <v>#VALUE!</v>
      </c>
      <c r="EX24" t="e">
        <f>AND(Answers!U63,"AAAAAHe3n5k=")</f>
        <v>#VALUE!</v>
      </c>
      <c r="EY24" t="e">
        <f>AND(Answers!V63,"AAAAAHe3n5o=")</f>
        <v>#VALUE!</v>
      </c>
      <c r="EZ24" t="e">
        <f>AND(Answers!X63,"AAAAAHe3n5s=")</f>
        <v>#VALUE!</v>
      </c>
      <c r="FA24" t="e">
        <f>AND(Answers!Y63,"AAAAAHe3n5w=")</f>
        <v>#VALUE!</v>
      </c>
      <c r="FB24" t="e">
        <f>AND(Answers!Z63,"AAAAAHe3n50=")</f>
        <v>#VALUE!</v>
      </c>
      <c r="FC24" t="e">
        <f>AND(Answers!AA63,"AAAAAHe3n54=")</f>
        <v>#VALUE!</v>
      </c>
      <c r="FD24" t="e">
        <f>AND(Answers!AB63,"AAAAAHe3n58=")</f>
        <v>#VALUE!</v>
      </c>
      <c r="FE24" t="e">
        <f>AND(Answers!AC63,"AAAAAHe3n6A=")</f>
        <v>#VALUE!</v>
      </c>
      <c r="FF24" t="e">
        <f>AND(Answers!AD63,"AAAAAHe3n6E=")</f>
        <v>#VALUE!</v>
      </c>
      <c r="FG24" t="e">
        <f>AND(Answers!AE63,"AAAAAHe3n6I=")</f>
        <v>#VALUE!</v>
      </c>
      <c r="FH24" t="e">
        <f>AND(Answers!AF63,"AAAAAHe3n6M=")</f>
        <v>#VALUE!</v>
      </c>
      <c r="FI24" t="e">
        <f>AND(Answers!AH63,"AAAAAHe3n6Q=")</f>
        <v>#VALUE!</v>
      </c>
      <c r="FJ24" t="e">
        <f>AND(Answers!AI63,"AAAAAHe3n6U=")</f>
        <v>#VALUE!</v>
      </c>
      <c r="FK24" t="e">
        <f>AND(Answers!AK63,"AAAAAHe3n6Y=")</f>
        <v>#VALUE!</v>
      </c>
      <c r="FL24" t="e">
        <f>AND(Answers!#REF!,"AAAAAHe3n6c=")</f>
        <v>#REF!</v>
      </c>
      <c r="FM24" t="e">
        <f>AND(Answers!AR63,"AAAAAHe3n6g=")</f>
        <v>#VALUE!</v>
      </c>
      <c r="FN24" t="e">
        <f>AND(Answers!AS63,"AAAAAHe3n6k=")</f>
        <v>#VALUE!</v>
      </c>
      <c r="FO24" t="e">
        <f>AND(Answers!AT63,"AAAAAHe3n6o=")</f>
        <v>#VALUE!</v>
      </c>
      <c r="FP24" t="e">
        <f>AND(Answers!AU63,"AAAAAHe3n6s=")</f>
        <v>#VALUE!</v>
      </c>
      <c r="FQ24" t="e">
        <f>AND(Answers!AW63,"AAAAAHe3n6w=")</f>
        <v>#VALUE!</v>
      </c>
      <c r="FR24" t="e">
        <f>AND(Answers!AX63,"AAAAAHe3n60=")</f>
        <v>#VALUE!</v>
      </c>
      <c r="FS24" t="e">
        <f>AND(Answers!AY63,"AAAAAHe3n64=")</f>
        <v>#VALUE!</v>
      </c>
      <c r="FT24" t="e">
        <f>AND(Answers!AZ63,"AAAAAHe3n68=")</f>
        <v>#VALUE!</v>
      </c>
      <c r="FU24" t="e">
        <f>AND(Answers!BA63,"AAAAAHe3n7A=")</f>
        <v>#VALUE!</v>
      </c>
      <c r="FV24" t="e">
        <f>AND(Answers!BB63,"AAAAAHe3n7E=")</f>
        <v>#VALUE!</v>
      </c>
      <c r="FW24" t="e">
        <f>AND(Answers!BC63,"AAAAAHe3n7I=")</f>
        <v>#VALUE!</v>
      </c>
      <c r="FX24" t="e">
        <f>AND(Answers!BD63,"AAAAAHe3n7M=")</f>
        <v>#VALUE!</v>
      </c>
      <c r="FY24" t="e">
        <f>AND(Answers!BE63,"AAAAAHe3n7Q=")</f>
        <v>#VALUE!</v>
      </c>
      <c r="FZ24" t="e">
        <f>AND(Answers!BF63,"AAAAAHe3n7U=")</f>
        <v>#VALUE!</v>
      </c>
      <c r="GA24" t="e">
        <f>AND(Answers!BG63,"AAAAAHe3n7Y=")</f>
        <v>#VALUE!</v>
      </c>
      <c r="GB24" t="e">
        <f>AND(Answers!BH63,"AAAAAHe3n7c=")</f>
        <v>#VALUE!</v>
      </c>
      <c r="GC24" t="e">
        <f>AND(Answers!BI63,"AAAAAHe3n7g=")</f>
        <v>#VALUE!</v>
      </c>
      <c r="GD24" t="e">
        <f>AND(Answers!BK63,"AAAAAHe3n7k=")</f>
        <v>#VALUE!</v>
      </c>
      <c r="GE24" t="e">
        <f>AND(Answers!BL63,"AAAAAHe3n7o=")</f>
        <v>#VALUE!</v>
      </c>
      <c r="GF24" t="e">
        <f>AND(Answers!BM63,"AAAAAHe3n7s=")</f>
        <v>#VALUE!</v>
      </c>
      <c r="GG24" t="e">
        <f>AND(Answers!BN63,"AAAAAHe3n7w=")</f>
        <v>#VALUE!</v>
      </c>
      <c r="GH24" t="e">
        <f>AND(Answers!BO63,"AAAAAHe3n70=")</f>
        <v>#VALUE!</v>
      </c>
      <c r="GI24" t="e">
        <f>AND(Answers!BP63,"AAAAAHe3n74=")</f>
        <v>#VALUE!</v>
      </c>
      <c r="GJ24" t="e">
        <f>AND(Answers!BQ63,"AAAAAHe3n78=")</f>
        <v>#VALUE!</v>
      </c>
      <c r="GK24" t="e">
        <f>AND(Answers!BR63,"AAAAAHe3n8A=")</f>
        <v>#VALUE!</v>
      </c>
      <c r="GL24" t="e">
        <f>AND(Answers!BS63,"AAAAAHe3n8E=")</f>
        <v>#VALUE!</v>
      </c>
      <c r="GM24" t="e">
        <f>AND(Answers!BU63,"AAAAAHe3n8I=")</f>
        <v>#VALUE!</v>
      </c>
      <c r="GN24" t="e">
        <f>AND(Answers!BV63,"AAAAAHe3n8M=")</f>
        <v>#VALUE!</v>
      </c>
      <c r="GO24" t="e">
        <f>AND(Answers!#REF!,"AAAAAHe3n8Q=")</f>
        <v>#REF!</v>
      </c>
      <c r="GP24" t="e">
        <f>AND(Answers!BW63,"AAAAAHe3n8U=")</f>
        <v>#VALUE!</v>
      </c>
      <c r="GQ24" t="e">
        <f>AND(Answers!BX63,"AAAAAHe3n8Y=")</f>
        <v>#VALUE!</v>
      </c>
      <c r="GR24" t="e">
        <f>AND(Answers!BY63,"AAAAAHe3n8c=")</f>
        <v>#VALUE!</v>
      </c>
      <c r="GS24" t="e">
        <f>AND(Answers!BZ63,"AAAAAHe3n8g=")</f>
        <v>#VALUE!</v>
      </c>
      <c r="GT24">
        <f>IF(Answers!64:64,"AAAAAHe3n8k=",0)</f>
        <v>0</v>
      </c>
      <c r="GU24" t="e">
        <f>AND(Answers!A64,"AAAAAHe3n8o=")</f>
        <v>#VALUE!</v>
      </c>
      <c r="GV24" t="e">
        <f>AND(Answers!B64,"AAAAAHe3n8s=")</f>
        <v>#VALUE!</v>
      </c>
      <c r="GW24" t="e">
        <f>AND(Answers!C64,"AAAAAHe3n8w=")</f>
        <v>#VALUE!</v>
      </c>
      <c r="GX24" t="e">
        <f>AND(Answers!D64,"AAAAAHe3n80=")</f>
        <v>#VALUE!</v>
      </c>
      <c r="GY24" t="e">
        <f>AND(Answers!E64,"AAAAAHe3n84=")</f>
        <v>#VALUE!</v>
      </c>
      <c r="GZ24" t="e">
        <f>AND(Answers!F64,"AAAAAHe3n88=")</f>
        <v>#VALUE!</v>
      </c>
      <c r="HA24" t="e">
        <f>AND(Answers!G64,"AAAAAHe3n9A=")</f>
        <v>#VALUE!</v>
      </c>
      <c r="HB24" t="e">
        <f>AND(Answers!H64,"AAAAAHe3n9E=")</f>
        <v>#VALUE!</v>
      </c>
      <c r="HC24" t="e">
        <f>AND(Answers!J64,"AAAAAHe3n9I=")</f>
        <v>#VALUE!</v>
      </c>
      <c r="HD24" t="e">
        <f>AND(Answers!K64,"AAAAAHe3n9M=")</f>
        <v>#VALUE!</v>
      </c>
      <c r="HE24" t="e">
        <f>AND(Answers!L64,"AAAAAHe3n9Q=")</f>
        <v>#VALUE!</v>
      </c>
      <c r="HF24" t="e">
        <f>AND(Answers!M64,"AAAAAHe3n9U=")</f>
        <v>#VALUE!</v>
      </c>
      <c r="HG24" t="e">
        <f>AND(Answers!N64,"AAAAAHe3n9Y=")</f>
        <v>#VALUE!</v>
      </c>
      <c r="HH24" t="e">
        <f>AND(Answers!O64,"AAAAAHe3n9c=")</f>
        <v>#VALUE!</v>
      </c>
      <c r="HI24" t="e">
        <f>AND(Answers!P64,"AAAAAHe3n9g=")</f>
        <v>#VALUE!</v>
      </c>
      <c r="HJ24" t="e">
        <f>AND(Answers!Q64,"AAAAAHe3n9k=")</f>
        <v>#VALUE!</v>
      </c>
      <c r="HK24" t="e">
        <f>AND(Answers!R64,"AAAAAHe3n9o=")</f>
        <v>#VALUE!</v>
      </c>
      <c r="HL24" t="e">
        <f>AND(Answers!S64,"AAAAAHe3n9s=")</f>
        <v>#VALUE!</v>
      </c>
      <c r="HM24" t="e">
        <f>AND(Answers!T64,"AAAAAHe3n9w=")</f>
        <v>#VALUE!</v>
      </c>
      <c r="HN24" t="e">
        <f>AND(Answers!U64,"AAAAAHe3n90=")</f>
        <v>#VALUE!</v>
      </c>
      <c r="HO24" t="e">
        <f>AND(Answers!V64,"AAAAAHe3n94=")</f>
        <v>#VALUE!</v>
      </c>
      <c r="HP24" t="e">
        <f>AND(Answers!X64,"AAAAAHe3n98=")</f>
        <v>#VALUE!</v>
      </c>
      <c r="HQ24" t="e">
        <f>AND(Answers!Y64,"AAAAAHe3n+A=")</f>
        <v>#VALUE!</v>
      </c>
      <c r="HR24" t="e">
        <f>AND(Answers!Z64,"AAAAAHe3n+E=")</f>
        <v>#VALUE!</v>
      </c>
      <c r="HS24" t="e">
        <f>AND(Answers!AA64,"AAAAAHe3n+I=")</f>
        <v>#VALUE!</v>
      </c>
      <c r="HT24" t="e">
        <f>AND(Answers!AB64,"AAAAAHe3n+M=")</f>
        <v>#VALUE!</v>
      </c>
      <c r="HU24" t="e">
        <f>AND(Answers!AC64,"AAAAAHe3n+Q=")</f>
        <v>#VALUE!</v>
      </c>
      <c r="HV24" t="e">
        <f>AND(Answers!AD64,"AAAAAHe3n+U=")</f>
        <v>#VALUE!</v>
      </c>
      <c r="HW24" t="e">
        <f>AND(Answers!AE64,"AAAAAHe3n+Y=")</f>
        <v>#VALUE!</v>
      </c>
      <c r="HX24" t="e">
        <f>AND(Answers!AF64,"AAAAAHe3n+c=")</f>
        <v>#VALUE!</v>
      </c>
      <c r="HY24" t="e">
        <f>AND(Answers!AH64,"AAAAAHe3n+g=")</f>
        <v>#VALUE!</v>
      </c>
      <c r="HZ24" t="e">
        <f>AND(Answers!AI64,"AAAAAHe3n+k=")</f>
        <v>#VALUE!</v>
      </c>
      <c r="IA24" t="e">
        <f>AND(Answers!AK64,"AAAAAHe3n+o=")</f>
        <v>#VALUE!</v>
      </c>
      <c r="IB24" t="e">
        <f>AND(Answers!#REF!,"AAAAAHe3n+s=")</f>
        <v>#REF!</v>
      </c>
      <c r="IC24" t="e">
        <f>AND(Answers!AR64,"AAAAAHe3n+w=")</f>
        <v>#VALUE!</v>
      </c>
      <c r="ID24" t="e">
        <f>AND(Answers!AS64,"AAAAAHe3n+0=")</f>
        <v>#VALUE!</v>
      </c>
      <c r="IE24" t="e">
        <f>AND(Answers!AT64,"AAAAAHe3n+4=")</f>
        <v>#VALUE!</v>
      </c>
      <c r="IF24" t="e">
        <f>AND(Answers!AU64,"AAAAAHe3n+8=")</f>
        <v>#VALUE!</v>
      </c>
      <c r="IG24" t="e">
        <f>AND(Answers!AW64,"AAAAAHe3n/A=")</f>
        <v>#VALUE!</v>
      </c>
      <c r="IH24" t="e">
        <f>AND(Answers!AX64,"AAAAAHe3n/E=")</f>
        <v>#VALUE!</v>
      </c>
      <c r="II24" t="e">
        <f>AND(Answers!AY64,"AAAAAHe3n/I=")</f>
        <v>#VALUE!</v>
      </c>
      <c r="IJ24" t="e">
        <f>AND(Answers!AZ64,"AAAAAHe3n/M=")</f>
        <v>#VALUE!</v>
      </c>
      <c r="IK24" t="e">
        <f>AND(Answers!BA64,"AAAAAHe3n/Q=")</f>
        <v>#VALUE!</v>
      </c>
      <c r="IL24" t="e">
        <f>AND(Answers!BB64,"AAAAAHe3n/U=")</f>
        <v>#VALUE!</v>
      </c>
      <c r="IM24" t="e">
        <f>AND(Answers!BC64,"AAAAAHe3n/Y=")</f>
        <v>#VALUE!</v>
      </c>
      <c r="IN24" t="e">
        <f>AND(Answers!BD64,"AAAAAHe3n/c=")</f>
        <v>#VALUE!</v>
      </c>
      <c r="IO24" t="e">
        <f>AND(Answers!BE64,"AAAAAHe3n/g=")</f>
        <v>#VALUE!</v>
      </c>
      <c r="IP24" t="e">
        <f>AND(Answers!BF64,"AAAAAHe3n/k=")</f>
        <v>#VALUE!</v>
      </c>
      <c r="IQ24" t="e">
        <f>AND(Answers!BG64,"AAAAAHe3n/o=")</f>
        <v>#VALUE!</v>
      </c>
      <c r="IR24" t="e">
        <f>AND(Answers!BH64,"AAAAAHe3n/s=")</f>
        <v>#VALUE!</v>
      </c>
      <c r="IS24" t="e">
        <f>AND(Answers!BI64,"AAAAAHe3n/w=")</f>
        <v>#VALUE!</v>
      </c>
      <c r="IT24" t="e">
        <f>AND(Answers!BK64,"AAAAAHe3n/0=")</f>
        <v>#VALUE!</v>
      </c>
      <c r="IU24" t="e">
        <f>AND(Answers!BL64,"AAAAAHe3n/4=")</f>
        <v>#VALUE!</v>
      </c>
      <c r="IV24" t="e">
        <f>AND(Answers!BM64,"AAAAAHe3n/8=")</f>
        <v>#VALUE!</v>
      </c>
    </row>
    <row r="25" spans="1:256" x14ac:dyDescent="0.15">
      <c r="A25" t="e">
        <f>AND(Answers!BN64,"AAAAAEz/mwA=")</f>
        <v>#VALUE!</v>
      </c>
      <c r="B25" t="e">
        <f>AND(Answers!BO64,"AAAAAEz/mwE=")</f>
        <v>#VALUE!</v>
      </c>
      <c r="C25" t="e">
        <f>AND(Answers!BP64,"AAAAAEz/mwI=")</f>
        <v>#VALUE!</v>
      </c>
      <c r="D25" t="e">
        <f>AND(Answers!BQ64,"AAAAAEz/mwM=")</f>
        <v>#VALUE!</v>
      </c>
      <c r="E25" t="e">
        <f>AND(Answers!BR64,"AAAAAEz/mwQ=")</f>
        <v>#VALUE!</v>
      </c>
      <c r="F25" t="e">
        <f>AND(Answers!BS64,"AAAAAEz/mwU=")</f>
        <v>#VALUE!</v>
      </c>
      <c r="G25" t="e">
        <f>AND(Answers!BU64,"AAAAAEz/mwY=")</f>
        <v>#VALUE!</v>
      </c>
      <c r="H25" t="e">
        <f>AND(Answers!BV64,"AAAAAEz/mwc=")</f>
        <v>#VALUE!</v>
      </c>
      <c r="I25" t="e">
        <f>AND(Answers!#REF!,"AAAAAEz/mwg=")</f>
        <v>#REF!</v>
      </c>
      <c r="J25" t="e">
        <f>AND(Answers!BW64,"AAAAAEz/mwk=")</f>
        <v>#VALUE!</v>
      </c>
      <c r="K25" t="e">
        <f>AND(Answers!BX64,"AAAAAEz/mwo=")</f>
        <v>#VALUE!</v>
      </c>
      <c r="L25" t="e">
        <f>AND(Answers!BY64,"AAAAAEz/mws=")</f>
        <v>#VALUE!</v>
      </c>
      <c r="M25" t="e">
        <f>AND(Answers!BZ64,"AAAAAEz/mww=")</f>
        <v>#VALUE!</v>
      </c>
      <c r="N25" t="e">
        <f>IF(Answers!65:65,"AAAAAEz/mw0=",0)</f>
        <v>#VALUE!</v>
      </c>
      <c r="O25" t="e">
        <f>AND(Answers!A65,"AAAAAEz/mw4=")</f>
        <v>#VALUE!</v>
      </c>
      <c r="P25" t="e">
        <f>AND(Answers!B65,"AAAAAEz/mw8=")</f>
        <v>#VALUE!</v>
      </c>
      <c r="Q25" t="e">
        <f>AND(Answers!C65,"AAAAAEz/mxA=")</f>
        <v>#VALUE!</v>
      </c>
      <c r="R25" t="e">
        <f>AND(Answers!D65,"AAAAAEz/mxE=")</f>
        <v>#VALUE!</v>
      </c>
      <c r="S25" t="e">
        <f>AND(Answers!E65,"AAAAAEz/mxI=")</f>
        <v>#VALUE!</v>
      </c>
      <c r="T25" t="e">
        <f>AND(Answers!F65,"AAAAAEz/mxM=")</f>
        <v>#VALUE!</v>
      </c>
      <c r="U25" t="e">
        <f>AND(Answers!G65,"AAAAAEz/mxQ=")</f>
        <v>#VALUE!</v>
      </c>
      <c r="V25" t="e">
        <f>AND(Answers!H65,"AAAAAEz/mxU=")</f>
        <v>#VALUE!</v>
      </c>
      <c r="W25" t="e">
        <f>AND(Answers!J65,"AAAAAEz/mxY=")</f>
        <v>#VALUE!</v>
      </c>
      <c r="X25" t="e">
        <f>AND(Answers!K65,"AAAAAEz/mxc=")</f>
        <v>#VALUE!</v>
      </c>
      <c r="Y25" t="e">
        <f>AND(Answers!L65,"AAAAAEz/mxg=")</f>
        <v>#VALUE!</v>
      </c>
      <c r="Z25" t="e">
        <f>AND(Answers!M65,"AAAAAEz/mxk=")</f>
        <v>#VALUE!</v>
      </c>
      <c r="AA25" t="e">
        <f>AND(Answers!N65,"AAAAAEz/mxo=")</f>
        <v>#VALUE!</v>
      </c>
      <c r="AB25" t="e">
        <f>AND(Answers!O65,"AAAAAEz/mxs=")</f>
        <v>#VALUE!</v>
      </c>
      <c r="AC25" t="e">
        <f>AND(Answers!P65,"AAAAAEz/mxw=")</f>
        <v>#VALUE!</v>
      </c>
      <c r="AD25" t="e">
        <f>AND(Answers!Q65,"AAAAAEz/mx0=")</f>
        <v>#VALUE!</v>
      </c>
      <c r="AE25" t="e">
        <f>AND(Answers!R65,"AAAAAEz/mx4=")</f>
        <v>#VALUE!</v>
      </c>
      <c r="AF25" t="e">
        <f>AND(Answers!S65,"AAAAAEz/mx8=")</f>
        <v>#VALUE!</v>
      </c>
      <c r="AG25" t="e">
        <f>AND(Answers!T65,"AAAAAEz/myA=")</f>
        <v>#VALUE!</v>
      </c>
      <c r="AH25" t="e">
        <f>AND(Answers!U65,"AAAAAEz/myE=")</f>
        <v>#VALUE!</v>
      </c>
      <c r="AI25" t="e">
        <f>AND(Answers!V65,"AAAAAEz/myI=")</f>
        <v>#VALUE!</v>
      </c>
      <c r="AJ25" t="e">
        <f>AND(Answers!X65,"AAAAAEz/myM=")</f>
        <v>#VALUE!</v>
      </c>
      <c r="AK25" t="e">
        <f>AND(Answers!Y65,"AAAAAEz/myQ=")</f>
        <v>#VALUE!</v>
      </c>
      <c r="AL25" t="e">
        <f>AND(Answers!Z65,"AAAAAEz/myU=")</f>
        <v>#VALUE!</v>
      </c>
      <c r="AM25" t="e">
        <f>AND(Answers!AA65,"AAAAAEz/myY=")</f>
        <v>#VALUE!</v>
      </c>
      <c r="AN25" t="e">
        <f>AND(Answers!AB65,"AAAAAEz/myc=")</f>
        <v>#VALUE!</v>
      </c>
      <c r="AO25" t="e">
        <f>AND(Answers!AC65,"AAAAAEz/myg=")</f>
        <v>#VALUE!</v>
      </c>
      <c r="AP25" t="e">
        <f>AND(Answers!AD65,"AAAAAEz/myk=")</f>
        <v>#VALUE!</v>
      </c>
      <c r="AQ25" t="e">
        <f>AND(Answers!AE65,"AAAAAEz/myo=")</f>
        <v>#VALUE!</v>
      </c>
      <c r="AR25" t="e">
        <f>AND(Answers!AF65,"AAAAAEz/mys=")</f>
        <v>#VALUE!</v>
      </c>
      <c r="AS25" t="e">
        <f>AND(Answers!AH65,"AAAAAEz/myw=")</f>
        <v>#VALUE!</v>
      </c>
      <c r="AT25" t="e">
        <f>AND(Answers!AI65,"AAAAAEz/my0=")</f>
        <v>#VALUE!</v>
      </c>
      <c r="AU25" t="e">
        <f>AND(Answers!AK65,"AAAAAEz/my4=")</f>
        <v>#VALUE!</v>
      </c>
      <c r="AV25" t="e">
        <f>AND(Answers!#REF!,"AAAAAEz/my8=")</f>
        <v>#REF!</v>
      </c>
      <c r="AW25" t="e">
        <f>AND(Answers!AR65,"AAAAAEz/mzA=")</f>
        <v>#VALUE!</v>
      </c>
      <c r="AX25" t="e">
        <f>AND(Answers!AS65,"AAAAAEz/mzE=")</f>
        <v>#VALUE!</v>
      </c>
      <c r="AY25" t="e">
        <f>AND(Answers!AT65,"AAAAAEz/mzI=")</f>
        <v>#VALUE!</v>
      </c>
      <c r="AZ25" t="e">
        <f>AND(Answers!AU65,"AAAAAEz/mzM=")</f>
        <v>#VALUE!</v>
      </c>
      <c r="BA25" t="e">
        <f>AND(Answers!AW65,"AAAAAEz/mzQ=")</f>
        <v>#VALUE!</v>
      </c>
      <c r="BB25" t="e">
        <f>AND(Answers!AX65,"AAAAAEz/mzU=")</f>
        <v>#VALUE!</v>
      </c>
      <c r="BC25" t="e">
        <f>AND(Answers!AY65,"AAAAAEz/mzY=")</f>
        <v>#VALUE!</v>
      </c>
      <c r="BD25" t="e">
        <f>AND(Answers!AZ65,"AAAAAEz/mzc=")</f>
        <v>#VALUE!</v>
      </c>
      <c r="BE25" t="e">
        <f>AND(Answers!BA65,"AAAAAEz/mzg=")</f>
        <v>#VALUE!</v>
      </c>
      <c r="BF25" t="e">
        <f>AND(Answers!BB65,"AAAAAEz/mzk=")</f>
        <v>#VALUE!</v>
      </c>
      <c r="BG25" t="e">
        <f>AND(Answers!BC65,"AAAAAEz/mzo=")</f>
        <v>#VALUE!</v>
      </c>
      <c r="BH25" t="e">
        <f>AND(Answers!BD65,"AAAAAEz/mzs=")</f>
        <v>#VALUE!</v>
      </c>
      <c r="BI25" t="e">
        <f>AND(Answers!BE65,"AAAAAEz/mzw=")</f>
        <v>#VALUE!</v>
      </c>
      <c r="BJ25" t="e">
        <f>AND(Answers!BF65,"AAAAAEz/mz0=")</f>
        <v>#VALUE!</v>
      </c>
      <c r="BK25" t="e">
        <f>AND(Answers!BG65,"AAAAAEz/mz4=")</f>
        <v>#VALUE!</v>
      </c>
      <c r="BL25" t="e">
        <f>AND(Answers!BH65,"AAAAAEz/mz8=")</f>
        <v>#VALUE!</v>
      </c>
      <c r="BM25" t="e">
        <f>AND(Answers!BI65,"AAAAAEz/m0A=")</f>
        <v>#VALUE!</v>
      </c>
      <c r="BN25" t="e">
        <f>AND(Answers!BK65,"AAAAAEz/m0E=")</f>
        <v>#VALUE!</v>
      </c>
      <c r="BO25" t="e">
        <f>AND(Answers!BL65,"AAAAAEz/m0I=")</f>
        <v>#VALUE!</v>
      </c>
      <c r="BP25" t="e">
        <f>AND(Answers!BM65,"AAAAAEz/m0M=")</f>
        <v>#VALUE!</v>
      </c>
      <c r="BQ25" t="e">
        <f>AND(Answers!BN65,"AAAAAEz/m0Q=")</f>
        <v>#VALUE!</v>
      </c>
      <c r="BR25" t="e">
        <f>AND(Answers!BO65,"AAAAAEz/m0U=")</f>
        <v>#VALUE!</v>
      </c>
      <c r="BS25" t="e">
        <f>AND(Answers!BP65,"AAAAAEz/m0Y=")</f>
        <v>#VALUE!</v>
      </c>
      <c r="BT25" t="e">
        <f>AND(Answers!BQ65,"AAAAAEz/m0c=")</f>
        <v>#VALUE!</v>
      </c>
      <c r="BU25" t="e">
        <f>AND(Answers!BR65,"AAAAAEz/m0g=")</f>
        <v>#VALUE!</v>
      </c>
      <c r="BV25" t="e">
        <f>AND(Answers!BS65,"AAAAAEz/m0k=")</f>
        <v>#VALUE!</v>
      </c>
      <c r="BW25" t="e">
        <f>AND(Answers!BU65,"AAAAAEz/m0o=")</f>
        <v>#VALUE!</v>
      </c>
      <c r="BX25" t="e">
        <f>AND(Answers!BV65,"AAAAAEz/m0s=")</f>
        <v>#VALUE!</v>
      </c>
      <c r="BY25" t="e">
        <f>AND(Answers!#REF!,"AAAAAEz/m0w=")</f>
        <v>#REF!</v>
      </c>
      <c r="BZ25" t="e">
        <f>AND(Answers!BW65,"AAAAAEz/m00=")</f>
        <v>#VALUE!</v>
      </c>
      <c r="CA25" t="e">
        <f>AND(Answers!BX65,"AAAAAEz/m04=")</f>
        <v>#VALUE!</v>
      </c>
      <c r="CB25" t="e">
        <f>AND(Answers!BY65,"AAAAAEz/m08=")</f>
        <v>#VALUE!</v>
      </c>
      <c r="CC25" t="e">
        <f>AND(Answers!BZ65,"AAAAAEz/m1A=")</f>
        <v>#VALUE!</v>
      </c>
      <c r="CD25" t="str">
        <f>IF(Answers!66:66,"AAAAAEz/m1E=",0)</f>
        <v>AAAAAEz/m1E=</v>
      </c>
      <c r="CE25" t="e">
        <f>AND(Answers!A66,"AAAAAEz/m1I=")</f>
        <v>#VALUE!</v>
      </c>
      <c r="CF25" t="e">
        <f>AND(Answers!B66,"AAAAAEz/m1M=")</f>
        <v>#VALUE!</v>
      </c>
      <c r="CG25" t="e">
        <f>AND(Answers!C66,"AAAAAEz/m1Q=")</f>
        <v>#VALUE!</v>
      </c>
      <c r="CH25" t="e">
        <f>AND(Answers!D66,"AAAAAEz/m1U=")</f>
        <v>#VALUE!</v>
      </c>
      <c r="CI25" t="e">
        <f>AND(Answers!E66,"AAAAAEz/m1Y=")</f>
        <v>#VALUE!</v>
      </c>
      <c r="CJ25" t="e">
        <f>AND(Answers!F66,"AAAAAEz/m1c=")</f>
        <v>#VALUE!</v>
      </c>
      <c r="CK25" t="e">
        <f>AND(Answers!G66,"AAAAAEz/m1g=")</f>
        <v>#VALUE!</v>
      </c>
      <c r="CL25" t="e">
        <f>AND(Answers!H66,"AAAAAEz/m1k=")</f>
        <v>#VALUE!</v>
      </c>
      <c r="CM25" t="e">
        <f>AND(Answers!J66,"AAAAAEz/m1o=")</f>
        <v>#VALUE!</v>
      </c>
      <c r="CN25" t="e">
        <f>AND(Answers!K66,"AAAAAEz/m1s=")</f>
        <v>#VALUE!</v>
      </c>
      <c r="CO25" t="e">
        <f>AND(Answers!L66,"AAAAAEz/m1w=")</f>
        <v>#VALUE!</v>
      </c>
      <c r="CP25" t="e">
        <f>AND(Answers!M66,"AAAAAEz/m10=")</f>
        <v>#VALUE!</v>
      </c>
      <c r="CQ25" t="e">
        <f>AND(Answers!N66,"AAAAAEz/m14=")</f>
        <v>#VALUE!</v>
      </c>
      <c r="CR25" t="e">
        <f>AND(Answers!O66,"AAAAAEz/m18=")</f>
        <v>#VALUE!</v>
      </c>
      <c r="CS25" t="e">
        <f>AND(Answers!P66,"AAAAAEz/m2A=")</f>
        <v>#VALUE!</v>
      </c>
      <c r="CT25" t="e">
        <f>AND(Answers!Q66,"AAAAAEz/m2E=")</f>
        <v>#VALUE!</v>
      </c>
      <c r="CU25" t="e">
        <f>AND(Answers!R66,"AAAAAEz/m2I=")</f>
        <v>#VALUE!</v>
      </c>
      <c r="CV25" t="e">
        <f>AND(Answers!S66,"AAAAAEz/m2M=")</f>
        <v>#VALUE!</v>
      </c>
      <c r="CW25" t="e">
        <f>AND(Answers!T66,"AAAAAEz/m2Q=")</f>
        <v>#VALUE!</v>
      </c>
      <c r="CX25" t="e">
        <f>AND(Answers!U66,"AAAAAEz/m2U=")</f>
        <v>#VALUE!</v>
      </c>
      <c r="CY25" t="e">
        <f>AND(Answers!V66,"AAAAAEz/m2Y=")</f>
        <v>#VALUE!</v>
      </c>
      <c r="CZ25" t="e">
        <f>AND(Answers!X66,"AAAAAEz/m2c=")</f>
        <v>#VALUE!</v>
      </c>
      <c r="DA25" t="e">
        <f>AND(Answers!Y66,"AAAAAEz/m2g=")</f>
        <v>#VALUE!</v>
      </c>
      <c r="DB25" t="e">
        <f>AND(Answers!Z66,"AAAAAEz/m2k=")</f>
        <v>#VALUE!</v>
      </c>
      <c r="DC25" t="e">
        <f>AND(Answers!AA66,"AAAAAEz/m2o=")</f>
        <v>#VALUE!</v>
      </c>
      <c r="DD25" t="e">
        <f>AND(Answers!AB66,"AAAAAEz/m2s=")</f>
        <v>#VALUE!</v>
      </c>
      <c r="DE25" t="e">
        <f>AND(Answers!AC66,"AAAAAEz/m2w=")</f>
        <v>#VALUE!</v>
      </c>
      <c r="DF25" t="e">
        <f>AND(Answers!AD66,"AAAAAEz/m20=")</f>
        <v>#VALUE!</v>
      </c>
      <c r="DG25" t="e">
        <f>AND(Answers!AE66,"AAAAAEz/m24=")</f>
        <v>#VALUE!</v>
      </c>
      <c r="DH25" t="e">
        <f>AND(Answers!AF66,"AAAAAEz/m28=")</f>
        <v>#VALUE!</v>
      </c>
      <c r="DI25" t="e">
        <f>AND(Answers!AH66,"AAAAAEz/m3A=")</f>
        <v>#VALUE!</v>
      </c>
      <c r="DJ25" t="e">
        <f>AND(Answers!AI66,"AAAAAEz/m3E=")</f>
        <v>#VALUE!</v>
      </c>
      <c r="DK25" t="e">
        <f>AND(Answers!AK66,"AAAAAEz/m3I=")</f>
        <v>#VALUE!</v>
      </c>
      <c r="DL25" t="e">
        <f>AND(Answers!#REF!,"AAAAAEz/m3M=")</f>
        <v>#REF!</v>
      </c>
      <c r="DM25" t="e">
        <f>AND(Answers!AR66,"AAAAAEz/m3Q=")</f>
        <v>#VALUE!</v>
      </c>
      <c r="DN25" t="e">
        <f>AND(Answers!AS66,"AAAAAEz/m3U=")</f>
        <v>#VALUE!</v>
      </c>
      <c r="DO25" t="e">
        <f>AND(Answers!AT66,"AAAAAEz/m3Y=")</f>
        <v>#VALUE!</v>
      </c>
      <c r="DP25" t="e">
        <f>AND(Answers!AU66,"AAAAAEz/m3c=")</f>
        <v>#VALUE!</v>
      </c>
      <c r="DQ25" t="e">
        <f>AND(Answers!AW66,"AAAAAEz/m3g=")</f>
        <v>#VALUE!</v>
      </c>
      <c r="DR25" t="e">
        <f>AND(Answers!AX66,"AAAAAEz/m3k=")</f>
        <v>#VALUE!</v>
      </c>
      <c r="DS25" t="e">
        <f>AND(Answers!AY66,"AAAAAEz/m3o=")</f>
        <v>#VALUE!</v>
      </c>
      <c r="DT25" t="e">
        <f>AND(Answers!AZ66,"AAAAAEz/m3s=")</f>
        <v>#VALUE!</v>
      </c>
      <c r="DU25" t="e">
        <f>AND(Answers!BA66,"AAAAAEz/m3w=")</f>
        <v>#VALUE!</v>
      </c>
      <c r="DV25" t="e">
        <f>AND(Answers!BB66,"AAAAAEz/m30=")</f>
        <v>#VALUE!</v>
      </c>
      <c r="DW25" t="e">
        <f>AND(Answers!BC66,"AAAAAEz/m34=")</f>
        <v>#VALUE!</v>
      </c>
      <c r="DX25" t="e">
        <f>AND(Answers!BD66,"AAAAAEz/m38=")</f>
        <v>#VALUE!</v>
      </c>
      <c r="DY25" t="e">
        <f>AND(Answers!BE66,"AAAAAEz/m4A=")</f>
        <v>#VALUE!</v>
      </c>
      <c r="DZ25" t="e">
        <f>AND(Answers!BF66,"AAAAAEz/m4E=")</f>
        <v>#VALUE!</v>
      </c>
      <c r="EA25" t="e">
        <f>AND(Answers!BG66,"AAAAAEz/m4I=")</f>
        <v>#VALUE!</v>
      </c>
      <c r="EB25" t="e">
        <f>AND(Answers!BH66,"AAAAAEz/m4M=")</f>
        <v>#VALUE!</v>
      </c>
      <c r="EC25" t="e">
        <f>AND(Answers!BI66,"AAAAAEz/m4Q=")</f>
        <v>#VALUE!</v>
      </c>
      <c r="ED25" t="e">
        <f>AND(Answers!BK66,"AAAAAEz/m4U=")</f>
        <v>#VALUE!</v>
      </c>
      <c r="EE25" t="e">
        <f>AND(Answers!BL66,"AAAAAEz/m4Y=")</f>
        <v>#VALUE!</v>
      </c>
      <c r="EF25" t="e">
        <f>AND(Answers!BM66,"AAAAAEz/m4c=")</f>
        <v>#VALUE!</v>
      </c>
      <c r="EG25" t="e">
        <f>AND(Answers!BN66,"AAAAAEz/m4g=")</f>
        <v>#VALUE!</v>
      </c>
      <c r="EH25" t="e">
        <f>AND(Answers!BO66,"AAAAAEz/m4k=")</f>
        <v>#VALUE!</v>
      </c>
      <c r="EI25" t="e">
        <f>AND(Answers!BP66,"AAAAAEz/m4o=")</f>
        <v>#VALUE!</v>
      </c>
      <c r="EJ25" t="e">
        <f>AND(Answers!BQ66,"AAAAAEz/m4s=")</f>
        <v>#VALUE!</v>
      </c>
      <c r="EK25" t="e">
        <f>AND(Answers!BR66,"AAAAAEz/m4w=")</f>
        <v>#VALUE!</v>
      </c>
      <c r="EL25" t="e">
        <f>AND(Answers!BS66,"AAAAAEz/m40=")</f>
        <v>#VALUE!</v>
      </c>
      <c r="EM25" t="e">
        <f>AND(Answers!BU66,"AAAAAEz/m44=")</f>
        <v>#VALUE!</v>
      </c>
      <c r="EN25" t="e">
        <f>AND(Answers!BV66,"AAAAAEz/m48=")</f>
        <v>#VALUE!</v>
      </c>
      <c r="EO25" t="e">
        <f>AND(Answers!#REF!,"AAAAAEz/m5A=")</f>
        <v>#REF!</v>
      </c>
      <c r="EP25" t="e">
        <f>AND(Answers!BW66,"AAAAAEz/m5E=")</f>
        <v>#VALUE!</v>
      </c>
      <c r="EQ25" t="e">
        <f>AND(Answers!BX66,"AAAAAEz/m5I=")</f>
        <v>#VALUE!</v>
      </c>
      <c r="ER25" t="e">
        <f>AND(Answers!BY66,"AAAAAEz/m5M=")</f>
        <v>#VALUE!</v>
      </c>
      <c r="ES25" t="e">
        <f>AND(Answers!BZ66,"AAAAAEz/m5Q=")</f>
        <v>#VALUE!</v>
      </c>
      <c r="ET25">
        <f>IF(Answers!67:67,"AAAAAEz/m5U=",0)</f>
        <v>0</v>
      </c>
      <c r="EU25" t="e">
        <f>AND(Answers!A67,"AAAAAEz/m5Y=")</f>
        <v>#VALUE!</v>
      </c>
      <c r="EV25" t="e">
        <f>AND(Answers!B67,"AAAAAEz/m5c=")</f>
        <v>#VALUE!</v>
      </c>
      <c r="EW25" t="e">
        <f>AND(Answers!C67,"AAAAAEz/m5g=")</f>
        <v>#VALUE!</v>
      </c>
      <c r="EX25" t="e">
        <f>AND(Answers!D67,"AAAAAEz/m5k=")</f>
        <v>#VALUE!</v>
      </c>
      <c r="EY25" t="e">
        <f>AND(Answers!E67,"AAAAAEz/m5o=")</f>
        <v>#VALUE!</v>
      </c>
      <c r="EZ25" t="e">
        <f>AND(Answers!F67,"AAAAAEz/m5s=")</f>
        <v>#VALUE!</v>
      </c>
      <c r="FA25" t="e">
        <f>AND(Answers!G67,"AAAAAEz/m5w=")</f>
        <v>#VALUE!</v>
      </c>
      <c r="FB25" t="e">
        <f>AND(Answers!H67,"AAAAAEz/m50=")</f>
        <v>#VALUE!</v>
      </c>
      <c r="FC25" t="e">
        <f>AND(Answers!J67,"AAAAAEz/m54=")</f>
        <v>#VALUE!</v>
      </c>
      <c r="FD25" t="e">
        <f>AND(Answers!K67,"AAAAAEz/m58=")</f>
        <v>#VALUE!</v>
      </c>
      <c r="FE25" t="e">
        <f>AND(Answers!L67,"AAAAAEz/m6A=")</f>
        <v>#VALUE!</v>
      </c>
      <c r="FF25" t="e">
        <f>AND(Answers!M67,"AAAAAEz/m6E=")</f>
        <v>#VALUE!</v>
      </c>
      <c r="FG25" t="e">
        <f>AND(Answers!N67,"AAAAAEz/m6I=")</f>
        <v>#VALUE!</v>
      </c>
      <c r="FH25" t="e">
        <f>AND(Answers!O67,"AAAAAEz/m6M=")</f>
        <v>#VALUE!</v>
      </c>
      <c r="FI25" t="e">
        <f>AND(Answers!P67,"AAAAAEz/m6Q=")</f>
        <v>#VALUE!</v>
      </c>
      <c r="FJ25" t="e">
        <f>AND(Answers!Q67,"AAAAAEz/m6U=")</f>
        <v>#VALUE!</v>
      </c>
      <c r="FK25" t="e">
        <f>AND(Answers!R67,"AAAAAEz/m6Y=")</f>
        <v>#VALUE!</v>
      </c>
      <c r="FL25" t="e">
        <f>AND(Answers!S67,"AAAAAEz/m6c=")</f>
        <v>#VALUE!</v>
      </c>
      <c r="FM25" t="e">
        <f>AND(Answers!T67,"AAAAAEz/m6g=")</f>
        <v>#VALUE!</v>
      </c>
      <c r="FN25" t="e">
        <f>AND(Answers!U67,"AAAAAEz/m6k=")</f>
        <v>#VALUE!</v>
      </c>
      <c r="FO25" t="e">
        <f>AND(Answers!V67,"AAAAAEz/m6o=")</f>
        <v>#VALUE!</v>
      </c>
      <c r="FP25" t="e">
        <f>AND(Answers!X67,"AAAAAEz/m6s=")</f>
        <v>#VALUE!</v>
      </c>
      <c r="FQ25" t="e">
        <f>AND(Answers!Y67,"AAAAAEz/m6w=")</f>
        <v>#VALUE!</v>
      </c>
      <c r="FR25" t="e">
        <f>AND(Answers!Z67,"AAAAAEz/m60=")</f>
        <v>#VALUE!</v>
      </c>
      <c r="FS25" t="e">
        <f>AND(Answers!AA67,"AAAAAEz/m64=")</f>
        <v>#VALUE!</v>
      </c>
      <c r="FT25" t="e">
        <f>AND(Answers!AB67,"AAAAAEz/m68=")</f>
        <v>#VALUE!</v>
      </c>
      <c r="FU25" t="e">
        <f>AND(Answers!AC67,"AAAAAEz/m7A=")</f>
        <v>#VALUE!</v>
      </c>
      <c r="FV25" t="e">
        <f>AND(Answers!AD67,"AAAAAEz/m7E=")</f>
        <v>#VALUE!</v>
      </c>
      <c r="FW25" t="e">
        <f>AND(Answers!AE67,"AAAAAEz/m7I=")</f>
        <v>#VALUE!</v>
      </c>
      <c r="FX25" t="e">
        <f>AND(Answers!AF67,"AAAAAEz/m7M=")</f>
        <v>#VALUE!</v>
      </c>
      <c r="FY25" t="e">
        <f>AND(Answers!AH67,"AAAAAEz/m7Q=")</f>
        <v>#VALUE!</v>
      </c>
      <c r="FZ25" t="e">
        <f>AND(Answers!AI67,"AAAAAEz/m7U=")</f>
        <v>#VALUE!</v>
      </c>
      <c r="GA25" t="e">
        <f>AND(Answers!AK67,"AAAAAEz/m7Y=")</f>
        <v>#VALUE!</v>
      </c>
      <c r="GB25" t="e">
        <f>AND(Answers!#REF!,"AAAAAEz/m7c=")</f>
        <v>#REF!</v>
      </c>
      <c r="GC25" t="e">
        <f>AND(Answers!AR67,"AAAAAEz/m7g=")</f>
        <v>#VALUE!</v>
      </c>
      <c r="GD25" t="e">
        <f>AND(Answers!AS67,"AAAAAEz/m7k=")</f>
        <v>#VALUE!</v>
      </c>
      <c r="GE25" t="e">
        <f>AND(Answers!AT67,"AAAAAEz/m7o=")</f>
        <v>#VALUE!</v>
      </c>
      <c r="GF25" t="e">
        <f>AND(Answers!AU67,"AAAAAEz/m7s=")</f>
        <v>#VALUE!</v>
      </c>
      <c r="GG25" t="e">
        <f>AND(Answers!AW67,"AAAAAEz/m7w=")</f>
        <v>#VALUE!</v>
      </c>
      <c r="GH25" t="e">
        <f>AND(Answers!AX67,"AAAAAEz/m70=")</f>
        <v>#VALUE!</v>
      </c>
      <c r="GI25" t="e">
        <f>AND(Answers!AY67,"AAAAAEz/m74=")</f>
        <v>#VALUE!</v>
      </c>
      <c r="GJ25" t="e">
        <f>AND(Answers!AZ67,"AAAAAEz/m78=")</f>
        <v>#VALUE!</v>
      </c>
      <c r="GK25" t="e">
        <f>AND(Answers!BA67,"AAAAAEz/m8A=")</f>
        <v>#VALUE!</v>
      </c>
      <c r="GL25" t="e">
        <f>AND(Answers!BB67,"AAAAAEz/m8E=")</f>
        <v>#VALUE!</v>
      </c>
      <c r="GM25" t="e">
        <f>AND(Answers!BC67,"AAAAAEz/m8I=")</f>
        <v>#VALUE!</v>
      </c>
      <c r="GN25" t="e">
        <f>AND(Answers!BD67,"AAAAAEz/m8M=")</f>
        <v>#VALUE!</v>
      </c>
      <c r="GO25" t="e">
        <f>AND(Answers!BE67,"AAAAAEz/m8Q=")</f>
        <v>#VALUE!</v>
      </c>
      <c r="GP25" t="e">
        <f>AND(Answers!BF67,"AAAAAEz/m8U=")</f>
        <v>#VALUE!</v>
      </c>
      <c r="GQ25" t="e">
        <f>AND(Answers!BG67,"AAAAAEz/m8Y=")</f>
        <v>#VALUE!</v>
      </c>
      <c r="GR25" t="e">
        <f>AND(Answers!BH67,"AAAAAEz/m8c=")</f>
        <v>#VALUE!</v>
      </c>
      <c r="GS25" t="e">
        <f>AND(Answers!BI67,"AAAAAEz/m8g=")</f>
        <v>#VALUE!</v>
      </c>
      <c r="GT25" t="e">
        <f>AND(Answers!BK67,"AAAAAEz/m8k=")</f>
        <v>#VALUE!</v>
      </c>
      <c r="GU25" t="e">
        <f>AND(Answers!BL67,"AAAAAEz/m8o=")</f>
        <v>#VALUE!</v>
      </c>
      <c r="GV25" t="e">
        <f>AND(Answers!BM67,"AAAAAEz/m8s=")</f>
        <v>#VALUE!</v>
      </c>
      <c r="GW25" t="e">
        <f>AND(Answers!BN67,"AAAAAEz/m8w=")</f>
        <v>#VALUE!</v>
      </c>
      <c r="GX25" t="e">
        <f>AND(Answers!BO67,"AAAAAEz/m80=")</f>
        <v>#VALUE!</v>
      </c>
      <c r="GY25" t="e">
        <f>AND(Answers!BP67,"AAAAAEz/m84=")</f>
        <v>#VALUE!</v>
      </c>
      <c r="GZ25" t="e">
        <f>AND(Answers!BQ67,"AAAAAEz/m88=")</f>
        <v>#VALUE!</v>
      </c>
      <c r="HA25" t="e">
        <f>AND(Answers!BR67,"AAAAAEz/m9A=")</f>
        <v>#VALUE!</v>
      </c>
      <c r="HB25" t="e">
        <f>AND(Answers!BS67,"AAAAAEz/m9E=")</f>
        <v>#VALUE!</v>
      </c>
      <c r="HC25" t="e">
        <f>AND(Answers!BU67,"AAAAAEz/m9I=")</f>
        <v>#VALUE!</v>
      </c>
      <c r="HD25" t="e">
        <f>AND(Answers!BV67,"AAAAAEz/m9M=")</f>
        <v>#VALUE!</v>
      </c>
      <c r="HE25" t="e">
        <f>AND(Answers!#REF!,"AAAAAEz/m9Q=")</f>
        <v>#REF!</v>
      </c>
      <c r="HF25" t="e">
        <f>AND(Answers!BW67,"AAAAAEz/m9U=")</f>
        <v>#VALUE!</v>
      </c>
      <c r="HG25" t="e">
        <f>AND(Answers!BX67,"AAAAAEz/m9Y=")</f>
        <v>#VALUE!</v>
      </c>
      <c r="HH25" t="e">
        <f>AND(Answers!BY67,"AAAAAEz/m9c=")</f>
        <v>#VALUE!</v>
      </c>
      <c r="HI25" t="e">
        <f>AND(Answers!BZ67,"AAAAAEz/m9g=")</f>
        <v>#VALUE!</v>
      </c>
      <c r="HJ25">
        <f>IF(Answers!68:68,"AAAAAEz/m9k=",0)</f>
        <v>0</v>
      </c>
      <c r="HK25" t="e">
        <f>AND(Answers!A68,"AAAAAEz/m9o=")</f>
        <v>#VALUE!</v>
      </c>
      <c r="HL25" t="e">
        <f>AND(Answers!B68,"AAAAAEz/m9s=")</f>
        <v>#VALUE!</v>
      </c>
      <c r="HM25" t="e">
        <f>AND(Answers!C68,"AAAAAEz/m9w=")</f>
        <v>#VALUE!</v>
      </c>
      <c r="HN25" t="e">
        <f>AND(Answers!D68,"AAAAAEz/m90=")</f>
        <v>#VALUE!</v>
      </c>
      <c r="HO25" t="e">
        <f>AND(Answers!E68,"AAAAAEz/m94=")</f>
        <v>#VALUE!</v>
      </c>
      <c r="HP25" t="e">
        <f>AND(Answers!F68,"AAAAAEz/m98=")</f>
        <v>#VALUE!</v>
      </c>
      <c r="HQ25" t="e">
        <f>AND(Answers!G68,"AAAAAEz/m+A=")</f>
        <v>#VALUE!</v>
      </c>
      <c r="HR25" t="e">
        <f>AND(Answers!H68,"AAAAAEz/m+E=")</f>
        <v>#VALUE!</v>
      </c>
      <c r="HS25" t="e">
        <f>AND(Answers!J68,"AAAAAEz/m+I=")</f>
        <v>#VALUE!</v>
      </c>
      <c r="HT25" t="e">
        <f>AND(Answers!K68,"AAAAAEz/m+M=")</f>
        <v>#VALUE!</v>
      </c>
      <c r="HU25" t="e">
        <f>AND(Answers!L68,"AAAAAEz/m+Q=")</f>
        <v>#VALUE!</v>
      </c>
      <c r="HV25" t="e">
        <f>AND(Answers!M68,"AAAAAEz/m+U=")</f>
        <v>#VALUE!</v>
      </c>
      <c r="HW25" t="e">
        <f>AND(Answers!N68,"AAAAAEz/m+Y=")</f>
        <v>#VALUE!</v>
      </c>
      <c r="HX25" t="e">
        <f>AND(Answers!O68,"AAAAAEz/m+c=")</f>
        <v>#VALUE!</v>
      </c>
      <c r="HY25" t="e">
        <f>AND(Answers!P68,"AAAAAEz/m+g=")</f>
        <v>#VALUE!</v>
      </c>
      <c r="HZ25" t="e">
        <f>AND(Answers!Q68,"AAAAAEz/m+k=")</f>
        <v>#VALUE!</v>
      </c>
      <c r="IA25" t="e">
        <f>AND(Answers!R68,"AAAAAEz/m+o=")</f>
        <v>#VALUE!</v>
      </c>
      <c r="IB25" t="e">
        <f>AND(Answers!S68,"AAAAAEz/m+s=")</f>
        <v>#VALUE!</v>
      </c>
      <c r="IC25" t="e">
        <f>AND(Answers!T68,"AAAAAEz/m+w=")</f>
        <v>#VALUE!</v>
      </c>
      <c r="ID25" t="e">
        <f>AND(Answers!U68,"AAAAAEz/m+0=")</f>
        <v>#VALUE!</v>
      </c>
      <c r="IE25" t="e">
        <f>AND(Answers!V68,"AAAAAEz/m+4=")</f>
        <v>#VALUE!</v>
      </c>
      <c r="IF25" t="e">
        <f>AND(Answers!X68,"AAAAAEz/m+8=")</f>
        <v>#VALUE!</v>
      </c>
      <c r="IG25" t="e">
        <f>AND(Answers!Y68,"AAAAAEz/m/A=")</f>
        <v>#VALUE!</v>
      </c>
      <c r="IH25" t="e">
        <f>AND(Answers!Z68,"AAAAAEz/m/E=")</f>
        <v>#VALUE!</v>
      </c>
      <c r="II25" t="e">
        <f>AND(Answers!AA68,"AAAAAEz/m/I=")</f>
        <v>#VALUE!</v>
      </c>
      <c r="IJ25" t="e">
        <f>AND(Answers!AB68,"AAAAAEz/m/M=")</f>
        <v>#VALUE!</v>
      </c>
      <c r="IK25" t="e">
        <f>AND(Answers!AC68,"AAAAAEz/m/Q=")</f>
        <v>#VALUE!</v>
      </c>
      <c r="IL25" t="e">
        <f>AND(Answers!AD68,"AAAAAEz/m/U=")</f>
        <v>#VALUE!</v>
      </c>
      <c r="IM25" t="e">
        <f>AND(Answers!AE68,"AAAAAEz/m/Y=")</f>
        <v>#VALUE!</v>
      </c>
      <c r="IN25" t="e">
        <f>AND(Answers!AF68,"AAAAAEz/m/c=")</f>
        <v>#VALUE!</v>
      </c>
      <c r="IO25" t="e">
        <f>AND(Answers!AH68,"AAAAAEz/m/g=")</f>
        <v>#VALUE!</v>
      </c>
      <c r="IP25" t="e">
        <f>AND(Answers!AI68,"AAAAAEz/m/k=")</f>
        <v>#VALUE!</v>
      </c>
      <c r="IQ25" t="e">
        <f>AND(Answers!AK68,"AAAAAEz/m/o=")</f>
        <v>#VALUE!</v>
      </c>
      <c r="IR25" t="e">
        <f>AND(Answers!#REF!,"AAAAAEz/m/s=")</f>
        <v>#REF!</v>
      </c>
      <c r="IS25" t="e">
        <f>AND(Answers!AR68,"AAAAAEz/m/w=")</f>
        <v>#VALUE!</v>
      </c>
      <c r="IT25" t="e">
        <f>AND(Answers!AS68,"AAAAAEz/m/0=")</f>
        <v>#VALUE!</v>
      </c>
      <c r="IU25" t="e">
        <f>AND(Answers!AT68,"AAAAAEz/m/4=")</f>
        <v>#VALUE!</v>
      </c>
      <c r="IV25" t="e">
        <f>AND(Answers!AU68,"AAAAAEz/m/8=")</f>
        <v>#VALUE!</v>
      </c>
    </row>
    <row r="26" spans="1:256" x14ac:dyDescent="0.15">
      <c r="A26" t="e">
        <f>AND(Answers!AW68,"AAAAAHn/dwA=")</f>
        <v>#VALUE!</v>
      </c>
      <c r="B26" t="e">
        <f>AND(Answers!AX68,"AAAAAHn/dwE=")</f>
        <v>#VALUE!</v>
      </c>
      <c r="C26" t="e">
        <f>AND(Answers!AY68,"AAAAAHn/dwI=")</f>
        <v>#VALUE!</v>
      </c>
      <c r="D26" t="e">
        <f>AND(Answers!AZ68,"AAAAAHn/dwM=")</f>
        <v>#VALUE!</v>
      </c>
      <c r="E26" t="e">
        <f>AND(Answers!BA68,"AAAAAHn/dwQ=")</f>
        <v>#VALUE!</v>
      </c>
      <c r="F26" t="e">
        <f>AND(Answers!BB68,"AAAAAHn/dwU=")</f>
        <v>#VALUE!</v>
      </c>
      <c r="G26" t="e">
        <f>AND(Answers!BC68,"AAAAAHn/dwY=")</f>
        <v>#VALUE!</v>
      </c>
      <c r="H26" t="e">
        <f>AND(Answers!BD68,"AAAAAHn/dwc=")</f>
        <v>#VALUE!</v>
      </c>
      <c r="I26" t="e">
        <f>AND(Answers!BE68,"AAAAAHn/dwg=")</f>
        <v>#VALUE!</v>
      </c>
      <c r="J26" t="e">
        <f>AND(Answers!BF68,"AAAAAHn/dwk=")</f>
        <v>#VALUE!</v>
      </c>
      <c r="K26" t="e">
        <f>AND(Answers!BG68,"AAAAAHn/dwo=")</f>
        <v>#VALUE!</v>
      </c>
      <c r="L26" t="e">
        <f>AND(Answers!BH68,"AAAAAHn/dws=")</f>
        <v>#VALUE!</v>
      </c>
      <c r="M26" t="e">
        <f>AND(Answers!BI68,"AAAAAHn/dww=")</f>
        <v>#VALUE!</v>
      </c>
      <c r="N26" t="e">
        <f>AND(Answers!BK68,"AAAAAHn/dw0=")</f>
        <v>#VALUE!</v>
      </c>
      <c r="O26" t="e">
        <f>AND(Answers!BL68,"AAAAAHn/dw4=")</f>
        <v>#VALUE!</v>
      </c>
      <c r="P26" t="e">
        <f>AND(Answers!BM68,"AAAAAHn/dw8=")</f>
        <v>#VALUE!</v>
      </c>
      <c r="Q26" t="e">
        <f>AND(Answers!BN68,"AAAAAHn/dxA=")</f>
        <v>#VALUE!</v>
      </c>
      <c r="R26" t="e">
        <f>AND(Answers!BO68,"AAAAAHn/dxE=")</f>
        <v>#VALUE!</v>
      </c>
      <c r="S26" t="e">
        <f>AND(Answers!BP68,"AAAAAHn/dxI=")</f>
        <v>#VALUE!</v>
      </c>
      <c r="T26" t="e">
        <f>AND(Answers!BQ68,"AAAAAHn/dxM=")</f>
        <v>#VALUE!</v>
      </c>
      <c r="U26" t="e">
        <f>AND(Answers!BR68,"AAAAAHn/dxQ=")</f>
        <v>#VALUE!</v>
      </c>
      <c r="V26" t="e">
        <f>AND(Answers!BS68,"AAAAAHn/dxU=")</f>
        <v>#VALUE!</v>
      </c>
      <c r="W26" t="e">
        <f>AND(Answers!BU68,"AAAAAHn/dxY=")</f>
        <v>#VALUE!</v>
      </c>
      <c r="X26" t="e">
        <f>AND(Answers!BV68,"AAAAAHn/dxc=")</f>
        <v>#VALUE!</v>
      </c>
      <c r="Y26" t="e">
        <f>AND(Answers!#REF!,"AAAAAHn/dxg=")</f>
        <v>#REF!</v>
      </c>
      <c r="Z26" t="e">
        <f>AND(Answers!BW68,"AAAAAHn/dxk=")</f>
        <v>#VALUE!</v>
      </c>
      <c r="AA26" t="e">
        <f>AND(Answers!BX68,"AAAAAHn/dxo=")</f>
        <v>#VALUE!</v>
      </c>
      <c r="AB26" t="e">
        <f>AND(Answers!BY68,"AAAAAHn/dxs=")</f>
        <v>#VALUE!</v>
      </c>
      <c r="AC26" t="e">
        <f>AND(Answers!BZ68,"AAAAAHn/dxw=")</f>
        <v>#VALUE!</v>
      </c>
      <c r="AD26" t="str">
        <f>IF(Answers!69:69,"AAAAAHn/dx0=",0)</f>
        <v>AAAAAHn/dx0=</v>
      </c>
      <c r="AE26" t="e">
        <f>AND(Answers!A69,"AAAAAHn/dx4=")</f>
        <v>#VALUE!</v>
      </c>
      <c r="AF26" t="e">
        <f>AND(Answers!B69,"AAAAAHn/dx8=")</f>
        <v>#VALUE!</v>
      </c>
      <c r="AG26" t="e">
        <f>AND(Answers!C69,"AAAAAHn/dyA=")</f>
        <v>#VALUE!</v>
      </c>
      <c r="AH26" t="e">
        <f>AND(Answers!D69,"AAAAAHn/dyE=")</f>
        <v>#VALUE!</v>
      </c>
      <c r="AI26" t="e">
        <f>AND(Answers!E69,"AAAAAHn/dyI=")</f>
        <v>#VALUE!</v>
      </c>
      <c r="AJ26" t="e">
        <f>AND(Answers!F69,"AAAAAHn/dyM=")</f>
        <v>#VALUE!</v>
      </c>
      <c r="AK26" t="e">
        <f>AND(Answers!G69,"AAAAAHn/dyQ=")</f>
        <v>#VALUE!</v>
      </c>
      <c r="AL26" t="e">
        <f>AND(Answers!H69,"AAAAAHn/dyU=")</f>
        <v>#VALUE!</v>
      </c>
      <c r="AM26" t="e">
        <f>AND(Answers!J69,"AAAAAHn/dyY=")</f>
        <v>#VALUE!</v>
      </c>
      <c r="AN26" t="e">
        <f>AND(Answers!K69,"AAAAAHn/dyc=")</f>
        <v>#VALUE!</v>
      </c>
      <c r="AO26" t="e">
        <f>AND(Answers!L69,"AAAAAHn/dyg=")</f>
        <v>#VALUE!</v>
      </c>
      <c r="AP26" t="e">
        <f>AND(Answers!M69,"AAAAAHn/dyk=")</f>
        <v>#VALUE!</v>
      </c>
      <c r="AQ26" t="e">
        <f>AND(Answers!N69,"AAAAAHn/dyo=")</f>
        <v>#VALUE!</v>
      </c>
      <c r="AR26" t="e">
        <f>AND(Answers!O69,"AAAAAHn/dys=")</f>
        <v>#VALUE!</v>
      </c>
      <c r="AS26" t="e">
        <f>AND(Answers!P69,"AAAAAHn/dyw=")</f>
        <v>#VALUE!</v>
      </c>
      <c r="AT26" t="e">
        <f>AND(Answers!Q69,"AAAAAHn/dy0=")</f>
        <v>#VALUE!</v>
      </c>
      <c r="AU26" t="e">
        <f>AND(Answers!R69,"AAAAAHn/dy4=")</f>
        <v>#VALUE!</v>
      </c>
      <c r="AV26" t="e">
        <f>AND(Answers!S69,"AAAAAHn/dy8=")</f>
        <v>#VALUE!</v>
      </c>
      <c r="AW26" t="e">
        <f>AND(Answers!T69,"AAAAAHn/dzA=")</f>
        <v>#VALUE!</v>
      </c>
      <c r="AX26" t="e">
        <f>AND(Answers!U69,"AAAAAHn/dzE=")</f>
        <v>#VALUE!</v>
      </c>
      <c r="AY26" t="e">
        <f>AND(Answers!V69,"AAAAAHn/dzI=")</f>
        <v>#VALUE!</v>
      </c>
      <c r="AZ26" t="e">
        <f>AND(Answers!X69,"AAAAAHn/dzM=")</f>
        <v>#VALUE!</v>
      </c>
      <c r="BA26" t="e">
        <f>AND(Answers!Y69,"AAAAAHn/dzQ=")</f>
        <v>#VALUE!</v>
      </c>
      <c r="BB26" t="e">
        <f>AND(Answers!Z69,"AAAAAHn/dzU=")</f>
        <v>#VALUE!</v>
      </c>
      <c r="BC26" t="e">
        <f>AND(Answers!AA69,"AAAAAHn/dzY=")</f>
        <v>#VALUE!</v>
      </c>
      <c r="BD26" t="e">
        <f>AND(Answers!AB69,"AAAAAHn/dzc=")</f>
        <v>#VALUE!</v>
      </c>
      <c r="BE26" t="e">
        <f>AND(Answers!AC69,"AAAAAHn/dzg=")</f>
        <v>#VALUE!</v>
      </c>
      <c r="BF26" t="e">
        <f>AND(Answers!AD69,"AAAAAHn/dzk=")</f>
        <v>#VALUE!</v>
      </c>
      <c r="BG26" t="e">
        <f>AND(Answers!AE69,"AAAAAHn/dzo=")</f>
        <v>#VALUE!</v>
      </c>
      <c r="BH26" t="e">
        <f>AND(Answers!AF69,"AAAAAHn/dzs=")</f>
        <v>#VALUE!</v>
      </c>
      <c r="BI26" t="e">
        <f>AND(Answers!AH69,"AAAAAHn/dzw=")</f>
        <v>#VALUE!</v>
      </c>
      <c r="BJ26" t="e">
        <f>AND(Answers!AI69,"AAAAAHn/dz0=")</f>
        <v>#VALUE!</v>
      </c>
      <c r="BK26" t="e">
        <f>AND(Answers!AK69,"AAAAAHn/dz4=")</f>
        <v>#VALUE!</v>
      </c>
      <c r="BL26" t="e">
        <f>AND(Answers!#REF!,"AAAAAHn/dz8=")</f>
        <v>#REF!</v>
      </c>
      <c r="BM26" t="e">
        <f>AND(Answers!AR69,"AAAAAHn/d0A=")</f>
        <v>#VALUE!</v>
      </c>
      <c r="BN26" t="e">
        <f>AND(Answers!AS69,"AAAAAHn/d0E=")</f>
        <v>#VALUE!</v>
      </c>
      <c r="BO26" t="e">
        <f>AND(Answers!AT69,"AAAAAHn/d0I=")</f>
        <v>#VALUE!</v>
      </c>
      <c r="BP26" t="e">
        <f>AND(Answers!AU69,"AAAAAHn/d0M=")</f>
        <v>#VALUE!</v>
      </c>
      <c r="BQ26" t="e">
        <f>AND(Answers!AW69,"AAAAAHn/d0Q=")</f>
        <v>#VALUE!</v>
      </c>
      <c r="BR26" t="e">
        <f>AND(Answers!AX69,"AAAAAHn/d0U=")</f>
        <v>#VALUE!</v>
      </c>
      <c r="BS26" t="e">
        <f>AND(Answers!AY69,"AAAAAHn/d0Y=")</f>
        <v>#VALUE!</v>
      </c>
      <c r="BT26" t="e">
        <f>AND(Answers!AZ69,"AAAAAHn/d0c=")</f>
        <v>#VALUE!</v>
      </c>
      <c r="BU26" t="e">
        <f>AND(Answers!BA69,"AAAAAHn/d0g=")</f>
        <v>#VALUE!</v>
      </c>
      <c r="BV26" t="e">
        <f>AND(Answers!BB69,"AAAAAHn/d0k=")</f>
        <v>#VALUE!</v>
      </c>
      <c r="BW26" t="e">
        <f>AND(Answers!BC69,"AAAAAHn/d0o=")</f>
        <v>#VALUE!</v>
      </c>
      <c r="BX26" t="e">
        <f>AND(Answers!BD69,"AAAAAHn/d0s=")</f>
        <v>#VALUE!</v>
      </c>
      <c r="BY26" t="e">
        <f>AND(Answers!BE69,"AAAAAHn/d0w=")</f>
        <v>#VALUE!</v>
      </c>
      <c r="BZ26" t="e">
        <f>AND(Answers!BF69,"AAAAAHn/d00=")</f>
        <v>#VALUE!</v>
      </c>
      <c r="CA26" t="e">
        <f>AND(Answers!BG69,"AAAAAHn/d04=")</f>
        <v>#VALUE!</v>
      </c>
      <c r="CB26" t="e">
        <f>AND(Answers!BH69,"AAAAAHn/d08=")</f>
        <v>#VALUE!</v>
      </c>
      <c r="CC26" t="e">
        <f>AND(Answers!BI69,"AAAAAHn/d1A=")</f>
        <v>#VALUE!</v>
      </c>
      <c r="CD26" t="e">
        <f>AND(Answers!BK69,"AAAAAHn/d1E=")</f>
        <v>#VALUE!</v>
      </c>
      <c r="CE26" t="e">
        <f>AND(Answers!BL69,"AAAAAHn/d1I=")</f>
        <v>#VALUE!</v>
      </c>
      <c r="CF26" t="e">
        <f>AND(Answers!BM69,"AAAAAHn/d1M=")</f>
        <v>#VALUE!</v>
      </c>
      <c r="CG26" t="e">
        <f>AND(Answers!BN69,"AAAAAHn/d1Q=")</f>
        <v>#VALUE!</v>
      </c>
      <c r="CH26" t="e">
        <f>AND(Answers!BO69,"AAAAAHn/d1U=")</f>
        <v>#VALUE!</v>
      </c>
      <c r="CI26" t="e">
        <f>AND(Answers!BP69,"AAAAAHn/d1Y=")</f>
        <v>#VALUE!</v>
      </c>
      <c r="CJ26" t="e">
        <f>AND(Answers!BQ69,"AAAAAHn/d1c=")</f>
        <v>#VALUE!</v>
      </c>
      <c r="CK26" t="e">
        <f>AND(Answers!BR69,"AAAAAHn/d1g=")</f>
        <v>#VALUE!</v>
      </c>
      <c r="CL26" t="e">
        <f>AND(Answers!BS69,"AAAAAHn/d1k=")</f>
        <v>#VALUE!</v>
      </c>
      <c r="CM26" t="e">
        <f>AND(Answers!BU69,"AAAAAHn/d1o=")</f>
        <v>#VALUE!</v>
      </c>
      <c r="CN26" t="e">
        <f>AND(Answers!BV69,"AAAAAHn/d1s=")</f>
        <v>#VALUE!</v>
      </c>
      <c r="CO26" t="e">
        <f>AND(Answers!#REF!,"AAAAAHn/d1w=")</f>
        <v>#REF!</v>
      </c>
      <c r="CP26" t="e">
        <f>AND(Answers!BW69,"AAAAAHn/d10=")</f>
        <v>#VALUE!</v>
      </c>
      <c r="CQ26" t="e">
        <f>AND(Answers!BX69,"AAAAAHn/d14=")</f>
        <v>#VALUE!</v>
      </c>
      <c r="CR26" t="e">
        <f>AND(Answers!BY69,"AAAAAHn/d18=")</f>
        <v>#VALUE!</v>
      </c>
      <c r="CS26" t="e">
        <f>AND(Answers!BZ69,"AAAAAHn/d2A=")</f>
        <v>#VALUE!</v>
      </c>
      <c r="CT26">
        <f>IF(Answers!70:70,"AAAAAHn/d2E=",0)</f>
        <v>0</v>
      </c>
      <c r="CU26" t="e">
        <f>AND(Answers!A70,"AAAAAHn/d2I=")</f>
        <v>#VALUE!</v>
      </c>
      <c r="CV26" t="e">
        <f>AND(Answers!B70,"AAAAAHn/d2M=")</f>
        <v>#VALUE!</v>
      </c>
      <c r="CW26" t="e">
        <f>AND(Answers!C70,"AAAAAHn/d2Q=")</f>
        <v>#VALUE!</v>
      </c>
      <c r="CX26" t="e">
        <f>AND(Answers!D70,"AAAAAHn/d2U=")</f>
        <v>#VALUE!</v>
      </c>
      <c r="CY26" t="e">
        <f>AND(Answers!E70,"AAAAAHn/d2Y=")</f>
        <v>#VALUE!</v>
      </c>
      <c r="CZ26" t="e">
        <f>AND(Answers!F70,"AAAAAHn/d2c=")</f>
        <v>#VALUE!</v>
      </c>
      <c r="DA26" t="e">
        <f>AND(Answers!G70,"AAAAAHn/d2g=")</f>
        <v>#VALUE!</v>
      </c>
      <c r="DB26" t="e">
        <f>AND(Answers!H70,"AAAAAHn/d2k=")</f>
        <v>#VALUE!</v>
      </c>
      <c r="DC26" t="e">
        <f>AND(Answers!J70,"AAAAAHn/d2o=")</f>
        <v>#VALUE!</v>
      </c>
      <c r="DD26" t="e">
        <f>AND(Answers!K70,"AAAAAHn/d2s=")</f>
        <v>#VALUE!</v>
      </c>
      <c r="DE26" t="e">
        <f>AND(Answers!L70,"AAAAAHn/d2w=")</f>
        <v>#VALUE!</v>
      </c>
      <c r="DF26" t="e">
        <f>AND(Answers!M70,"AAAAAHn/d20=")</f>
        <v>#VALUE!</v>
      </c>
      <c r="DG26" t="e">
        <f>AND(Answers!N70,"AAAAAHn/d24=")</f>
        <v>#VALUE!</v>
      </c>
      <c r="DH26" t="e">
        <f>AND(Answers!O70,"AAAAAHn/d28=")</f>
        <v>#VALUE!</v>
      </c>
      <c r="DI26" t="e">
        <f>AND(Answers!P70,"AAAAAHn/d3A=")</f>
        <v>#VALUE!</v>
      </c>
      <c r="DJ26" t="e">
        <f>AND(Answers!Q70,"AAAAAHn/d3E=")</f>
        <v>#VALUE!</v>
      </c>
      <c r="DK26" t="e">
        <f>AND(Answers!R70,"AAAAAHn/d3I=")</f>
        <v>#VALUE!</v>
      </c>
      <c r="DL26" t="e">
        <f>AND(Answers!S70,"AAAAAHn/d3M=")</f>
        <v>#VALUE!</v>
      </c>
      <c r="DM26" t="e">
        <f>AND(Answers!T70,"AAAAAHn/d3Q=")</f>
        <v>#VALUE!</v>
      </c>
      <c r="DN26" t="e">
        <f>AND(Answers!U70,"AAAAAHn/d3U=")</f>
        <v>#VALUE!</v>
      </c>
      <c r="DO26" t="e">
        <f>AND(Answers!V70,"AAAAAHn/d3Y=")</f>
        <v>#VALUE!</v>
      </c>
      <c r="DP26" t="e">
        <f>AND(Answers!X70,"AAAAAHn/d3c=")</f>
        <v>#VALUE!</v>
      </c>
      <c r="DQ26" t="e">
        <f>AND(Answers!Y70,"AAAAAHn/d3g=")</f>
        <v>#VALUE!</v>
      </c>
      <c r="DR26" t="e">
        <f>AND(Answers!Z70,"AAAAAHn/d3k=")</f>
        <v>#VALUE!</v>
      </c>
      <c r="DS26" t="e">
        <f>AND(Answers!AA70,"AAAAAHn/d3o=")</f>
        <v>#VALUE!</v>
      </c>
      <c r="DT26" t="e">
        <f>AND(Answers!AB70,"AAAAAHn/d3s=")</f>
        <v>#VALUE!</v>
      </c>
      <c r="DU26" t="e">
        <f>AND(Answers!AC70,"AAAAAHn/d3w=")</f>
        <v>#VALUE!</v>
      </c>
      <c r="DV26" t="e">
        <f>AND(Answers!AD70,"AAAAAHn/d30=")</f>
        <v>#VALUE!</v>
      </c>
      <c r="DW26" t="e">
        <f>AND(Answers!AE70,"AAAAAHn/d34=")</f>
        <v>#VALUE!</v>
      </c>
      <c r="DX26" t="e">
        <f>AND(Answers!AF70,"AAAAAHn/d38=")</f>
        <v>#VALUE!</v>
      </c>
      <c r="DY26" t="e">
        <f>AND(Answers!AH70,"AAAAAHn/d4A=")</f>
        <v>#VALUE!</v>
      </c>
      <c r="DZ26" t="e">
        <f>AND(Answers!AI70,"AAAAAHn/d4E=")</f>
        <v>#VALUE!</v>
      </c>
      <c r="EA26" t="e">
        <f>AND(Answers!AK70,"AAAAAHn/d4I=")</f>
        <v>#VALUE!</v>
      </c>
      <c r="EB26" t="e">
        <f>AND(Answers!#REF!,"AAAAAHn/d4M=")</f>
        <v>#REF!</v>
      </c>
      <c r="EC26" t="e">
        <f>AND(Answers!AR70,"AAAAAHn/d4Q=")</f>
        <v>#VALUE!</v>
      </c>
      <c r="ED26" t="e">
        <f>AND(Answers!AS70,"AAAAAHn/d4U=")</f>
        <v>#VALUE!</v>
      </c>
      <c r="EE26" t="e">
        <f>AND(Answers!AT70,"AAAAAHn/d4Y=")</f>
        <v>#VALUE!</v>
      </c>
      <c r="EF26" t="e">
        <f>AND(Answers!AU70,"AAAAAHn/d4c=")</f>
        <v>#VALUE!</v>
      </c>
      <c r="EG26" t="e">
        <f>AND(Answers!AW70,"AAAAAHn/d4g=")</f>
        <v>#VALUE!</v>
      </c>
      <c r="EH26" t="e">
        <f>AND(Answers!AX70,"AAAAAHn/d4k=")</f>
        <v>#VALUE!</v>
      </c>
      <c r="EI26" t="e">
        <f>AND(Answers!AY70,"AAAAAHn/d4o=")</f>
        <v>#VALUE!</v>
      </c>
      <c r="EJ26" t="e">
        <f>AND(Answers!AZ70,"AAAAAHn/d4s=")</f>
        <v>#VALUE!</v>
      </c>
      <c r="EK26" t="e">
        <f>AND(Answers!BA70,"AAAAAHn/d4w=")</f>
        <v>#VALUE!</v>
      </c>
      <c r="EL26" t="e">
        <f>AND(Answers!BB70,"AAAAAHn/d40=")</f>
        <v>#VALUE!</v>
      </c>
      <c r="EM26" t="e">
        <f>AND(Answers!BC70,"AAAAAHn/d44=")</f>
        <v>#VALUE!</v>
      </c>
      <c r="EN26" t="e">
        <f>AND(Answers!BD70,"AAAAAHn/d48=")</f>
        <v>#VALUE!</v>
      </c>
      <c r="EO26" t="e">
        <f>AND(Answers!BE70,"AAAAAHn/d5A=")</f>
        <v>#VALUE!</v>
      </c>
      <c r="EP26" t="e">
        <f>AND(Answers!BF70,"AAAAAHn/d5E=")</f>
        <v>#VALUE!</v>
      </c>
      <c r="EQ26" t="e">
        <f>AND(Answers!BG70,"AAAAAHn/d5I=")</f>
        <v>#VALUE!</v>
      </c>
      <c r="ER26" t="e">
        <f>AND(Answers!BH70,"AAAAAHn/d5M=")</f>
        <v>#VALUE!</v>
      </c>
      <c r="ES26" t="e">
        <f>AND(Answers!BI70,"AAAAAHn/d5Q=")</f>
        <v>#VALUE!</v>
      </c>
      <c r="ET26" t="e">
        <f>AND(Answers!BK70,"AAAAAHn/d5U=")</f>
        <v>#VALUE!</v>
      </c>
      <c r="EU26" t="e">
        <f>AND(Answers!BL70,"AAAAAHn/d5Y=")</f>
        <v>#VALUE!</v>
      </c>
      <c r="EV26" t="e">
        <f>AND(Answers!BM70,"AAAAAHn/d5c=")</f>
        <v>#VALUE!</v>
      </c>
      <c r="EW26" t="e">
        <f>AND(Answers!BN70,"AAAAAHn/d5g=")</f>
        <v>#VALUE!</v>
      </c>
      <c r="EX26" t="e">
        <f>AND(Answers!BO70,"AAAAAHn/d5k=")</f>
        <v>#VALUE!</v>
      </c>
      <c r="EY26" t="e">
        <f>AND(Answers!BP70,"AAAAAHn/d5o=")</f>
        <v>#VALUE!</v>
      </c>
      <c r="EZ26" t="e">
        <f>AND(Answers!BQ70,"AAAAAHn/d5s=")</f>
        <v>#VALUE!</v>
      </c>
      <c r="FA26" t="e">
        <f>AND(Answers!BR70,"AAAAAHn/d5w=")</f>
        <v>#VALUE!</v>
      </c>
      <c r="FB26" t="e">
        <f>AND(Answers!BS70,"AAAAAHn/d50=")</f>
        <v>#VALUE!</v>
      </c>
      <c r="FC26" t="e">
        <f>AND(Answers!BU70,"AAAAAHn/d54=")</f>
        <v>#VALUE!</v>
      </c>
      <c r="FD26" t="e">
        <f>AND(Answers!BV70,"AAAAAHn/d58=")</f>
        <v>#VALUE!</v>
      </c>
      <c r="FE26" t="e">
        <f>AND(Answers!#REF!,"AAAAAHn/d6A=")</f>
        <v>#REF!</v>
      </c>
      <c r="FF26" t="e">
        <f>AND(Answers!BW70,"AAAAAHn/d6E=")</f>
        <v>#VALUE!</v>
      </c>
      <c r="FG26" t="e">
        <f>AND(Answers!BX70,"AAAAAHn/d6I=")</f>
        <v>#VALUE!</v>
      </c>
      <c r="FH26" t="e">
        <f>AND(Answers!BY70,"AAAAAHn/d6M=")</f>
        <v>#VALUE!</v>
      </c>
      <c r="FI26" t="e">
        <f>AND(Answers!BZ70,"AAAAAHn/d6Q=")</f>
        <v>#VALUE!</v>
      </c>
      <c r="FJ26">
        <f>IF(Answers!71:71,"AAAAAHn/d6U=",0)</f>
        <v>0</v>
      </c>
      <c r="FK26" t="e">
        <f>AND(Answers!A71,"AAAAAHn/d6Y=")</f>
        <v>#VALUE!</v>
      </c>
      <c r="FL26" t="e">
        <f>AND(Answers!B71,"AAAAAHn/d6c=")</f>
        <v>#VALUE!</v>
      </c>
      <c r="FM26" t="e">
        <f>AND(Answers!C71,"AAAAAHn/d6g=")</f>
        <v>#VALUE!</v>
      </c>
      <c r="FN26" t="e">
        <f>AND(Answers!D71,"AAAAAHn/d6k=")</f>
        <v>#VALUE!</v>
      </c>
      <c r="FO26" t="e">
        <f>AND(Answers!E71,"AAAAAHn/d6o=")</f>
        <v>#VALUE!</v>
      </c>
      <c r="FP26" t="e">
        <f>AND(Answers!F71,"AAAAAHn/d6s=")</f>
        <v>#VALUE!</v>
      </c>
      <c r="FQ26" t="e">
        <f>AND(Answers!G71,"AAAAAHn/d6w=")</f>
        <v>#VALUE!</v>
      </c>
      <c r="FR26" t="e">
        <f>AND(Answers!H71,"AAAAAHn/d60=")</f>
        <v>#VALUE!</v>
      </c>
      <c r="FS26" t="e">
        <f>AND(Answers!J71,"AAAAAHn/d64=")</f>
        <v>#VALUE!</v>
      </c>
      <c r="FT26" t="e">
        <f>AND(Answers!K71,"AAAAAHn/d68=")</f>
        <v>#VALUE!</v>
      </c>
      <c r="FU26" t="e">
        <f>AND(Answers!L71,"AAAAAHn/d7A=")</f>
        <v>#VALUE!</v>
      </c>
      <c r="FV26" t="e">
        <f>AND(Answers!M71,"AAAAAHn/d7E=")</f>
        <v>#VALUE!</v>
      </c>
      <c r="FW26" t="e">
        <f>AND(Answers!N71,"AAAAAHn/d7I=")</f>
        <v>#VALUE!</v>
      </c>
      <c r="FX26" t="e">
        <f>AND(Answers!O71,"AAAAAHn/d7M=")</f>
        <v>#VALUE!</v>
      </c>
      <c r="FY26" t="e">
        <f>AND(Answers!P71,"AAAAAHn/d7Q=")</f>
        <v>#VALUE!</v>
      </c>
      <c r="FZ26" t="e">
        <f>AND(Answers!Q71,"AAAAAHn/d7U=")</f>
        <v>#VALUE!</v>
      </c>
      <c r="GA26" t="e">
        <f>AND(Answers!R71,"AAAAAHn/d7Y=")</f>
        <v>#VALUE!</v>
      </c>
      <c r="GB26" t="e">
        <f>AND(Answers!S71,"AAAAAHn/d7c=")</f>
        <v>#VALUE!</v>
      </c>
      <c r="GC26" t="e">
        <f>AND(Answers!T71,"AAAAAHn/d7g=")</f>
        <v>#VALUE!</v>
      </c>
      <c r="GD26" t="e">
        <f>AND(Answers!U71,"AAAAAHn/d7k=")</f>
        <v>#VALUE!</v>
      </c>
      <c r="GE26" t="e">
        <f>AND(Answers!V71,"AAAAAHn/d7o=")</f>
        <v>#VALUE!</v>
      </c>
      <c r="GF26" t="e">
        <f>AND(Answers!X71,"AAAAAHn/d7s=")</f>
        <v>#VALUE!</v>
      </c>
      <c r="GG26" t="e">
        <f>AND(Answers!Y71,"AAAAAHn/d7w=")</f>
        <v>#VALUE!</v>
      </c>
      <c r="GH26" t="e">
        <f>AND(Answers!Z71,"AAAAAHn/d70=")</f>
        <v>#VALUE!</v>
      </c>
      <c r="GI26" t="e">
        <f>AND(Answers!AA71,"AAAAAHn/d74=")</f>
        <v>#VALUE!</v>
      </c>
      <c r="GJ26" t="e">
        <f>AND(Answers!AB71,"AAAAAHn/d78=")</f>
        <v>#VALUE!</v>
      </c>
      <c r="GK26" t="e">
        <f>AND(Answers!AC71,"AAAAAHn/d8A=")</f>
        <v>#VALUE!</v>
      </c>
      <c r="GL26" t="e">
        <f>AND(Answers!AD71,"AAAAAHn/d8E=")</f>
        <v>#VALUE!</v>
      </c>
      <c r="GM26" t="e">
        <f>AND(Answers!AE71,"AAAAAHn/d8I=")</f>
        <v>#VALUE!</v>
      </c>
      <c r="GN26" t="e">
        <f>AND(Answers!AF71,"AAAAAHn/d8M=")</f>
        <v>#VALUE!</v>
      </c>
      <c r="GO26" t="e">
        <f>AND(Answers!AH71,"AAAAAHn/d8Q=")</f>
        <v>#VALUE!</v>
      </c>
      <c r="GP26" t="e">
        <f>AND(Answers!AI71,"AAAAAHn/d8U=")</f>
        <v>#VALUE!</v>
      </c>
      <c r="GQ26" t="e">
        <f>AND(Answers!AK71,"AAAAAHn/d8Y=")</f>
        <v>#VALUE!</v>
      </c>
      <c r="GR26" t="e">
        <f>AND(Answers!#REF!,"AAAAAHn/d8c=")</f>
        <v>#REF!</v>
      </c>
      <c r="GS26" t="e">
        <f>AND(Answers!AR71,"AAAAAHn/d8g=")</f>
        <v>#VALUE!</v>
      </c>
      <c r="GT26" t="e">
        <f>AND(Answers!AS71,"AAAAAHn/d8k=")</f>
        <v>#VALUE!</v>
      </c>
      <c r="GU26" t="e">
        <f>AND(Answers!AT71,"AAAAAHn/d8o=")</f>
        <v>#VALUE!</v>
      </c>
      <c r="GV26" t="e">
        <f>AND(Answers!AU71,"AAAAAHn/d8s=")</f>
        <v>#VALUE!</v>
      </c>
      <c r="GW26" t="e">
        <f>AND(Answers!AW71,"AAAAAHn/d8w=")</f>
        <v>#VALUE!</v>
      </c>
      <c r="GX26" t="e">
        <f>AND(Answers!AX71,"AAAAAHn/d80=")</f>
        <v>#VALUE!</v>
      </c>
      <c r="GY26" t="e">
        <f>AND(Answers!AY71,"AAAAAHn/d84=")</f>
        <v>#VALUE!</v>
      </c>
      <c r="GZ26" t="e">
        <f>AND(Answers!AZ71,"AAAAAHn/d88=")</f>
        <v>#VALUE!</v>
      </c>
      <c r="HA26" t="e">
        <f>AND(Answers!BA71,"AAAAAHn/d9A=")</f>
        <v>#VALUE!</v>
      </c>
      <c r="HB26" t="e">
        <f>AND(Answers!BB71,"AAAAAHn/d9E=")</f>
        <v>#VALUE!</v>
      </c>
      <c r="HC26" t="e">
        <f>AND(Answers!BC71,"AAAAAHn/d9I=")</f>
        <v>#VALUE!</v>
      </c>
      <c r="HD26" t="e">
        <f>AND(Answers!BD71,"AAAAAHn/d9M=")</f>
        <v>#VALUE!</v>
      </c>
      <c r="HE26" t="e">
        <f>AND(Answers!BE71,"AAAAAHn/d9Q=")</f>
        <v>#VALUE!</v>
      </c>
      <c r="HF26" t="e">
        <f>AND(Answers!BF71,"AAAAAHn/d9U=")</f>
        <v>#VALUE!</v>
      </c>
      <c r="HG26" t="e">
        <f>AND(Answers!BG71,"AAAAAHn/d9Y=")</f>
        <v>#VALUE!</v>
      </c>
      <c r="HH26" t="e">
        <f>AND(Answers!BH71,"AAAAAHn/d9c=")</f>
        <v>#VALUE!</v>
      </c>
      <c r="HI26" t="e">
        <f>AND(Answers!BI71,"AAAAAHn/d9g=")</f>
        <v>#VALUE!</v>
      </c>
      <c r="HJ26" t="e">
        <f>AND(Answers!BK71,"AAAAAHn/d9k=")</f>
        <v>#VALUE!</v>
      </c>
      <c r="HK26" t="e">
        <f>AND(Answers!BL71,"AAAAAHn/d9o=")</f>
        <v>#VALUE!</v>
      </c>
      <c r="HL26" t="e">
        <f>AND(Answers!BM71,"AAAAAHn/d9s=")</f>
        <v>#VALUE!</v>
      </c>
      <c r="HM26" t="e">
        <f>AND(Answers!BN71,"AAAAAHn/d9w=")</f>
        <v>#VALUE!</v>
      </c>
      <c r="HN26" t="e">
        <f>AND(Answers!BO71,"AAAAAHn/d90=")</f>
        <v>#VALUE!</v>
      </c>
      <c r="HO26" t="e">
        <f>AND(Answers!BP71,"AAAAAHn/d94=")</f>
        <v>#VALUE!</v>
      </c>
      <c r="HP26" t="e">
        <f>AND(Answers!BQ71,"AAAAAHn/d98=")</f>
        <v>#VALUE!</v>
      </c>
      <c r="HQ26" t="e">
        <f>AND(Answers!BR71,"AAAAAHn/d+A=")</f>
        <v>#VALUE!</v>
      </c>
      <c r="HR26" t="e">
        <f>AND(Answers!BS71,"AAAAAHn/d+E=")</f>
        <v>#VALUE!</v>
      </c>
      <c r="HS26" t="e">
        <f>AND(Answers!BU71,"AAAAAHn/d+I=")</f>
        <v>#VALUE!</v>
      </c>
      <c r="HT26" t="e">
        <f>AND(Answers!BV71,"AAAAAHn/d+M=")</f>
        <v>#VALUE!</v>
      </c>
      <c r="HU26" t="e">
        <f>AND(Answers!#REF!,"AAAAAHn/d+Q=")</f>
        <v>#REF!</v>
      </c>
      <c r="HV26" t="e">
        <f>AND(Answers!BW71,"AAAAAHn/d+U=")</f>
        <v>#VALUE!</v>
      </c>
      <c r="HW26" t="e">
        <f>AND(Answers!BX71,"AAAAAHn/d+Y=")</f>
        <v>#VALUE!</v>
      </c>
      <c r="HX26" t="e">
        <f>AND(Answers!BY71,"AAAAAHn/d+c=")</f>
        <v>#VALUE!</v>
      </c>
      <c r="HY26" t="e">
        <f>AND(Answers!BZ71,"AAAAAHn/d+g=")</f>
        <v>#VALUE!</v>
      </c>
      <c r="HZ26">
        <f>IF(Answers!72:72,"AAAAAHn/d+k=",0)</f>
        <v>0</v>
      </c>
      <c r="IA26" t="e">
        <f>AND(Answers!A72,"AAAAAHn/d+o=")</f>
        <v>#VALUE!</v>
      </c>
      <c r="IB26" t="e">
        <f>AND(Answers!B72,"AAAAAHn/d+s=")</f>
        <v>#VALUE!</v>
      </c>
      <c r="IC26" t="e">
        <f>AND(Answers!C72,"AAAAAHn/d+w=")</f>
        <v>#VALUE!</v>
      </c>
      <c r="ID26" t="e">
        <f>AND(Answers!D72,"AAAAAHn/d+0=")</f>
        <v>#VALUE!</v>
      </c>
      <c r="IE26" t="e">
        <f>AND(Answers!E72,"AAAAAHn/d+4=")</f>
        <v>#VALUE!</v>
      </c>
      <c r="IF26" t="e">
        <f>AND(Answers!F72,"AAAAAHn/d+8=")</f>
        <v>#VALUE!</v>
      </c>
      <c r="IG26" t="e">
        <f>AND(Answers!G72,"AAAAAHn/d/A=")</f>
        <v>#VALUE!</v>
      </c>
      <c r="IH26" t="e">
        <f>AND(Answers!H72,"AAAAAHn/d/E=")</f>
        <v>#VALUE!</v>
      </c>
      <c r="II26" t="e">
        <f>AND(Answers!J72,"AAAAAHn/d/I=")</f>
        <v>#VALUE!</v>
      </c>
      <c r="IJ26" t="e">
        <f>AND(Answers!K72,"AAAAAHn/d/M=")</f>
        <v>#VALUE!</v>
      </c>
      <c r="IK26" t="e">
        <f>AND(Answers!L72,"AAAAAHn/d/Q=")</f>
        <v>#VALUE!</v>
      </c>
      <c r="IL26" t="e">
        <f>AND(Answers!M72,"AAAAAHn/d/U=")</f>
        <v>#VALUE!</v>
      </c>
      <c r="IM26" t="e">
        <f>AND(Answers!N72,"AAAAAHn/d/Y=")</f>
        <v>#VALUE!</v>
      </c>
      <c r="IN26" t="e">
        <f>AND(Answers!O72,"AAAAAHn/d/c=")</f>
        <v>#VALUE!</v>
      </c>
      <c r="IO26" t="e">
        <f>AND(Answers!P72,"AAAAAHn/d/g=")</f>
        <v>#VALUE!</v>
      </c>
      <c r="IP26" t="e">
        <f>AND(Answers!Q72,"AAAAAHn/d/k=")</f>
        <v>#VALUE!</v>
      </c>
      <c r="IQ26" t="e">
        <f>AND(Answers!R72,"AAAAAHn/d/o=")</f>
        <v>#VALUE!</v>
      </c>
      <c r="IR26" t="e">
        <f>AND(Answers!S72,"AAAAAHn/d/s=")</f>
        <v>#VALUE!</v>
      </c>
      <c r="IS26" t="e">
        <f>AND(Answers!T72,"AAAAAHn/d/w=")</f>
        <v>#VALUE!</v>
      </c>
      <c r="IT26" t="e">
        <f>AND(Answers!U72,"AAAAAHn/d/0=")</f>
        <v>#VALUE!</v>
      </c>
      <c r="IU26" t="e">
        <f>AND(Answers!V72,"AAAAAHn/d/4=")</f>
        <v>#VALUE!</v>
      </c>
      <c r="IV26" t="e">
        <f>AND(Answers!X72,"AAAAAHn/d/8=")</f>
        <v>#VALUE!</v>
      </c>
    </row>
    <row r="27" spans="1:256" x14ac:dyDescent="0.15">
      <c r="A27" t="e">
        <f>AND(Answers!Y72,"AAAAAHTfXwA=")</f>
        <v>#VALUE!</v>
      </c>
      <c r="B27" t="e">
        <f>AND(Answers!Z72,"AAAAAHTfXwE=")</f>
        <v>#VALUE!</v>
      </c>
      <c r="C27" t="e">
        <f>AND(Answers!AA72,"AAAAAHTfXwI=")</f>
        <v>#VALUE!</v>
      </c>
      <c r="D27" t="e">
        <f>AND(Answers!AB72,"AAAAAHTfXwM=")</f>
        <v>#VALUE!</v>
      </c>
      <c r="E27" t="e">
        <f>AND(Answers!AC72,"AAAAAHTfXwQ=")</f>
        <v>#VALUE!</v>
      </c>
      <c r="F27" t="e">
        <f>AND(Answers!AD72,"AAAAAHTfXwU=")</f>
        <v>#VALUE!</v>
      </c>
      <c r="G27" t="e">
        <f>AND(Answers!AE72,"AAAAAHTfXwY=")</f>
        <v>#VALUE!</v>
      </c>
      <c r="H27" t="e">
        <f>AND(Answers!AF72,"AAAAAHTfXwc=")</f>
        <v>#VALUE!</v>
      </c>
      <c r="I27" t="e">
        <f>AND(Answers!AH72,"AAAAAHTfXwg=")</f>
        <v>#VALUE!</v>
      </c>
      <c r="J27" t="e">
        <f>AND(Answers!AI72,"AAAAAHTfXwk=")</f>
        <v>#VALUE!</v>
      </c>
      <c r="K27" t="e">
        <f>AND(Answers!AK72,"AAAAAHTfXwo=")</f>
        <v>#VALUE!</v>
      </c>
      <c r="L27" t="e">
        <f>AND(Answers!#REF!,"AAAAAHTfXws=")</f>
        <v>#REF!</v>
      </c>
      <c r="M27" t="e">
        <f>AND(Answers!AR72,"AAAAAHTfXww=")</f>
        <v>#VALUE!</v>
      </c>
      <c r="N27" t="e">
        <f>AND(Answers!AS72,"AAAAAHTfXw0=")</f>
        <v>#VALUE!</v>
      </c>
      <c r="O27" t="e">
        <f>AND(Answers!AT72,"AAAAAHTfXw4=")</f>
        <v>#VALUE!</v>
      </c>
      <c r="P27" t="e">
        <f>AND(Answers!AU72,"AAAAAHTfXw8=")</f>
        <v>#VALUE!</v>
      </c>
      <c r="Q27" t="e">
        <f>AND(Answers!AW72,"AAAAAHTfXxA=")</f>
        <v>#VALUE!</v>
      </c>
      <c r="R27" t="e">
        <f>AND(Answers!AX72,"AAAAAHTfXxE=")</f>
        <v>#VALUE!</v>
      </c>
      <c r="S27" t="e">
        <f>AND(Answers!AY72,"AAAAAHTfXxI=")</f>
        <v>#VALUE!</v>
      </c>
      <c r="T27" t="e">
        <f>AND(Answers!AZ72,"AAAAAHTfXxM=")</f>
        <v>#VALUE!</v>
      </c>
      <c r="U27" t="e">
        <f>AND(Answers!BA72,"AAAAAHTfXxQ=")</f>
        <v>#VALUE!</v>
      </c>
      <c r="V27" t="e">
        <f>AND(Answers!BB72,"AAAAAHTfXxU=")</f>
        <v>#VALUE!</v>
      </c>
      <c r="W27" t="e">
        <f>AND(Answers!BC72,"AAAAAHTfXxY=")</f>
        <v>#VALUE!</v>
      </c>
      <c r="X27" t="e">
        <f>AND(Answers!BD72,"AAAAAHTfXxc=")</f>
        <v>#VALUE!</v>
      </c>
      <c r="Y27" t="e">
        <f>AND(Answers!BE72,"AAAAAHTfXxg=")</f>
        <v>#VALUE!</v>
      </c>
      <c r="Z27" t="e">
        <f>AND(Answers!BF72,"AAAAAHTfXxk=")</f>
        <v>#VALUE!</v>
      </c>
      <c r="AA27" t="e">
        <f>AND(Answers!BG72,"AAAAAHTfXxo=")</f>
        <v>#VALUE!</v>
      </c>
      <c r="AB27" t="e">
        <f>AND(Answers!BH72,"AAAAAHTfXxs=")</f>
        <v>#VALUE!</v>
      </c>
      <c r="AC27" t="e">
        <f>AND(Answers!BI72,"AAAAAHTfXxw=")</f>
        <v>#VALUE!</v>
      </c>
      <c r="AD27" t="e">
        <f>AND(Answers!BK72,"AAAAAHTfXx0=")</f>
        <v>#VALUE!</v>
      </c>
      <c r="AE27" t="e">
        <f>AND(Answers!BL72,"AAAAAHTfXx4=")</f>
        <v>#VALUE!</v>
      </c>
      <c r="AF27" t="e">
        <f>AND(Answers!BM72,"AAAAAHTfXx8=")</f>
        <v>#VALUE!</v>
      </c>
      <c r="AG27" t="e">
        <f>AND(Answers!BN72,"AAAAAHTfXyA=")</f>
        <v>#VALUE!</v>
      </c>
      <c r="AH27" t="e">
        <f>AND(Answers!BO72,"AAAAAHTfXyE=")</f>
        <v>#VALUE!</v>
      </c>
      <c r="AI27" t="e">
        <f>AND(Answers!BP72,"AAAAAHTfXyI=")</f>
        <v>#VALUE!</v>
      </c>
      <c r="AJ27" t="e">
        <f>AND(Answers!BQ72,"AAAAAHTfXyM=")</f>
        <v>#VALUE!</v>
      </c>
      <c r="AK27" t="e">
        <f>AND(Answers!BR72,"AAAAAHTfXyQ=")</f>
        <v>#VALUE!</v>
      </c>
      <c r="AL27" t="e">
        <f>AND(Answers!BS72,"AAAAAHTfXyU=")</f>
        <v>#VALUE!</v>
      </c>
      <c r="AM27" t="e">
        <f>AND(Answers!BU72,"AAAAAHTfXyY=")</f>
        <v>#VALUE!</v>
      </c>
      <c r="AN27" t="e">
        <f>AND(Answers!BV72,"AAAAAHTfXyc=")</f>
        <v>#VALUE!</v>
      </c>
      <c r="AO27" t="e">
        <f>AND(Answers!#REF!,"AAAAAHTfXyg=")</f>
        <v>#REF!</v>
      </c>
      <c r="AP27" t="e">
        <f>AND(Answers!BW72,"AAAAAHTfXyk=")</f>
        <v>#VALUE!</v>
      </c>
      <c r="AQ27" t="e">
        <f>AND(Answers!BX72,"AAAAAHTfXyo=")</f>
        <v>#VALUE!</v>
      </c>
      <c r="AR27" t="e">
        <f>AND(Answers!BY72,"AAAAAHTfXys=")</f>
        <v>#VALUE!</v>
      </c>
      <c r="AS27" t="e">
        <f>AND(Answers!BZ72,"AAAAAHTfXyw=")</f>
        <v>#VALUE!</v>
      </c>
      <c r="AT27" t="str">
        <f>IF(Answers!73:73,"AAAAAHTfXy0=",0)</f>
        <v>AAAAAHTfXy0=</v>
      </c>
      <c r="AU27" t="e">
        <f>AND(Answers!A73,"AAAAAHTfXy4=")</f>
        <v>#VALUE!</v>
      </c>
      <c r="AV27" t="e">
        <f>AND(Answers!B73,"AAAAAHTfXy8=")</f>
        <v>#VALUE!</v>
      </c>
      <c r="AW27" t="e">
        <f>AND(Answers!C73,"AAAAAHTfXzA=")</f>
        <v>#VALUE!</v>
      </c>
      <c r="AX27" t="e">
        <f>AND(Answers!D73,"AAAAAHTfXzE=")</f>
        <v>#VALUE!</v>
      </c>
      <c r="AY27" t="e">
        <f>AND(Answers!E73,"AAAAAHTfXzI=")</f>
        <v>#VALUE!</v>
      </c>
      <c r="AZ27" t="e">
        <f>AND(Answers!F73,"AAAAAHTfXzM=")</f>
        <v>#VALUE!</v>
      </c>
      <c r="BA27" t="e">
        <f>AND(Answers!G73,"AAAAAHTfXzQ=")</f>
        <v>#VALUE!</v>
      </c>
      <c r="BB27" t="e">
        <f>AND(Answers!H73,"AAAAAHTfXzU=")</f>
        <v>#VALUE!</v>
      </c>
      <c r="BC27" t="e">
        <f>AND(Answers!J73,"AAAAAHTfXzY=")</f>
        <v>#VALUE!</v>
      </c>
      <c r="BD27" t="e">
        <f>AND(Answers!K73,"AAAAAHTfXzc=")</f>
        <v>#VALUE!</v>
      </c>
      <c r="BE27" t="e">
        <f>AND(Answers!L73,"AAAAAHTfXzg=")</f>
        <v>#VALUE!</v>
      </c>
      <c r="BF27" t="e">
        <f>AND(Answers!M73,"AAAAAHTfXzk=")</f>
        <v>#VALUE!</v>
      </c>
      <c r="BG27" t="e">
        <f>AND(Answers!N73,"AAAAAHTfXzo=")</f>
        <v>#VALUE!</v>
      </c>
      <c r="BH27" t="e">
        <f>AND(Answers!O73,"AAAAAHTfXzs=")</f>
        <v>#VALUE!</v>
      </c>
      <c r="BI27" t="e">
        <f>AND(Answers!P73,"AAAAAHTfXzw=")</f>
        <v>#VALUE!</v>
      </c>
      <c r="BJ27" t="e">
        <f>AND(Answers!Q73,"AAAAAHTfXz0=")</f>
        <v>#VALUE!</v>
      </c>
      <c r="BK27" t="e">
        <f>AND(Answers!R73,"AAAAAHTfXz4=")</f>
        <v>#VALUE!</v>
      </c>
      <c r="BL27" t="e">
        <f>AND(Answers!S73,"AAAAAHTfXz8=")</f>
        <v>#VALUE!</v>
      </c>
      <c r="BM27" t="e">
        <f>AND(Answers!T73,"AAAAAHTfX0A=")</f>
        <v>#VALUE!</v>
      </c>
      <c r="BN27" t="e">
        <f>AND(Answers!U73,"AAAAAHTfX0E=")</f>
        <v>#VALUE!</v>
      </c>
      <c r="BO27" t="e">
        <f>AND(Answers!V73,"AAAAAHTfX0I=")</f>
        <v>#VALUE!</v>
      </c>
      <c r="BP27" t="e">
        <f>AND(Answers!X73,"AAAAAHTfX0M=")</f>
        <v>#VALUE!</v>
      </c>
      <c r="BQ27" t="e">
        <f>AND(Answers!Y73,"AAAAAHTfX0Q=")</f>
        <v>#VALUE!</v>
      </c>
      <c r="BR27" t="e">
        <f>AND(Answers!Z73,"AAAAAHTfX0U=")</f>
        <v>#VALUE!</v>
      </c>
      <c r="BS27" t="e">
        <f>AND(Answers!AA73,"AAAAAHTfX0Y=")</f>
        <v>#VALUE!</v>
      </c>
      <c r="BT27" t="e">
        <f>AND(Answers!AB73,"AAAAAHTfX0c=")</f>
        <v>#VALUE!</v>
      </c>
      <c r="BU27" t="e">
        <f>AND(Answers!AC73,"AAAAAHTfX0g=")</f>
        <v>#VALUE!</v>
      </c>
      <c r="BV27" t="e">
        <f>AND(Answers!AD73,"AAAAAHTfX0k=")</f>
        <v>#VALUE!</v>
      </c>
      <c r="BW27" t="e">
        <f>AND(Answers!AE73,"AAAAAHTfX0o=")</f>
        <v>#VALUE!</v>
      </c>
      <c r="BX27" t="e">
        <f>AND(Answers!AF73,"AAAAAHTfX0s=")</f>
        <v>#VALUE!</v>
      </c>
      <c r="BY27" t="e">
        <f>AND(Answers!AH73,"AAAAAHTfX0w=")</f>
        <v>#VALUE!</v>
      </c>
      <c r="BZ27" t="e">
        <f>AND(Answers!AI73,"AAAAAHTfX00=")</f>
        <v>#VALUE!</v>
      </c>
      <c r="CA27" t="e">
        <f>AND(Answers!AK73,"AAAAAHTfX04=")</f>
        <v>#VALUE!</v>
      </c>
      <c r="CB27" t="e">
        <f>AND(Answers!#REF!,"AAAAAHTfX08=")</f>
        <v>#REF!</v>
      </c>
      <c r="CC27" t="e">
        <f>AND(Answers!AR73,"AAAAAHTfX1A=")</f>
        <v>#VALUE!</v>
      </c>
      <c r="CD27" t="e">
        <f>AND(Answers!AS73,"AAAAAHTfX1E=")</f>
        <v>#VALUE!</v>
      </c>
      <c r="CE27" t="e">
        <f>AND(Answers!AT73,"AAAAAHTfX1I=")</f>
        <v>#VALUE!</v>
      </c>
      <c r="CF27" t="e">
        <f>AND(Answers!AU73,"AAAAAHTfX1M=")</f>
        <v>#VALUE!</v>
      </c>
      <c r="CG27" t="e">
        <f>AND(Answers!AW73,"AAAAAHTfX1Q=")</f>
        <v>#VALUE!</v>
      </c>
      <c r="CH27" t="e">
        <f>AND(Answers!AX73,"AAAAAHTfX1U=")</f>
        <v>#VALUE!</v>
      </c>
      <c r="CI27" t="e">
        <f>AND(Answers!AY73,"AAAAAHTfX1Y=")</f>
        <v>#VALUE!</v>
      </c>
      <c r="CJ27" t="e">
        <f>AND(Answers!AZ73,"AAAAAHTfX1c=")</f>
        <v>#VALUE!</v>
      </c>
      <c r="CK27" t="e">
        <f>AND(Answers!BA73,"AAAAAHTfX1g=")</f>
        <v>#VALUE!</v>
      </c>
      <c r="CL27" t="e">
        <f>AND(Answers!BB73,"AAAAAHTfX1k=")</f>
        <v>#VALUE!</v>
      </c>
      <c r="CM27" t="e">
        <f>AND(Answers!BC73,"AAAAAHTfX1o=")</f>
        <v>#VALUE!</v>
      </c>
      <c r="CN27" t="e">
        <f>AND(Answers!BD73,"AAAAAHTfX1s=")</f>
        <v>#VALUE!</v>
      </c>
      <c r="CO27" t="e">
        <f>AND(Answers!BE73,"AAAAAHTfX1w=")</f>
        <v>#VALUE!</v>
      </c>
      <c r="CP27" t="e">
        <f>AND(Answers!BF73,"AAAAAHTfX10=")</f>
        <v>#VALUE!</v>
      </c>
      <c r="CQ27" t="e">
        <f>AND(Answers!BG73,"AAAAAHTfX14=")</f>
        <v>#VALUE!</v>
      </c>
      <c r="CR27" t="e">
        <f>AND(Answers!BH73,"AAAAAHTfX18=")</f>
        <v>#VALUE!</v>
      </c>
      <c r="CS27" t="e">
        <f>AND(Answers!BI73,"AAAAAHTfX2A=")</f>
        <v>#VALUE!</v>
      </c>
      <c r="CT27" t="e">
        <f>AND(Answers!BK73,"AAAAAHTfX2E=")</f>
        <v>#VALUE!</v>
      </c>
      <c r="CU27" t="e">
        <f>AND(Answers!BL73,"AAAAAHTfX2I=")</f>
        <v>#VALUE!</v>
      </c>
      <c r="CV27" t="e">
        <f>AND(Answers!BM73,"AAAAAHTfX2M=")</f>
        <v>#VALUE!</v>
      </c>
      <c r="CW27" t="e">
        <f>AND(Answers!BN73,"AAAAAHTfX2Q=")</f>
        <v>#VALUE!</v>
      </c>
      <c r="CX27" t="e">
        <f>AND(Answers!BO73,"AAAAAHTfX2U=")</f>
        <v>#VALUE!</v>
      </c>
      <c r="CY27" t="e">
        <f>AND(Answers!BP73,"AAAAAHTfX2Y=")</f>
        <v>#VALUE!</v>
      </c>
      <c r="CZ27" t="e">
        <f>AND(Answers!BQ73,"AAAAAHTfX2c=")</f>
        <v>#VALUE!</v>
      </c>
      <c r="DA27" t="e">
        <f>AND(Answers!BR73,"AAAAAHTfX2g=")</f>
        <v>#VALUE!</v>
      </c>
      <c r="DB27" t="e">
        <f>AND(Answers!BS73,"AAAAAHTfX2k=")</f>
        <v>#VALUE!</v>
      </c>
      <c r="DC27" t="e">
        <f>AND(Answers!BU73,"AAAAAHTfX2o=")</f>
        <v>#VALUE!</v>
      </c>
      <c r="DD27" t="e">
        <f>AND(Answers!BV73,"AAAAAHTfX2s=")</f>
        <v>#VALUE!</v>
      </c>
      <c r="DE27" t="e">
        <f>AND(Answers!#REF!,"AAAAAHTfX2w=")</f>
        <v>#REF!</v>
      </c>
      <c r="DF27" t="e">
        <f>AND(Answers!BW73,"AAAAAHTfX20=")</f>
        <v>#VALUE!</v>
      </c>
      <c r="DG27" t="e">
        <f>AND(Answers!BX73,"AAAAAHTfX24=")</f>
        <v>#VALUE!</v>
      </c>
      <c r="DH27" t="e">
        <f>AND(Answers!BY73,"AAAAAHTfX28=")</f>
        <v>#VALUE!</v>
      </c>
      <c r="DI27" t="e">
        <f>AND(Answers!BZ73,"AAAAAHTfX3A=")</f>
        <v>#VALUE!</v>
      </c>
      <c r="DJ27">
        <f>IF(Answers!74:74,"AAAAAHTfX3E=",0)</f>
        <v>0</v>
      </c>
      <c r="DK27" t="e">
        <f>AND(Answers!A74,"AAAAAHTfX3I=")</f>
        <v>#VALUE!</v>
      </c>
      <c r="DL27" t="e">
        <f>AND(Answers!B74,"AAAAAHTfX3M=")</f>
        <v>#VALUE!</v>
      </c>
      <c r="DM27" t="e">
        <f>AND(Answers!C74,"AAAAAHTfX3Q=")</f>
        <v>#VALUE!</v>
      </c>
      <c r="DN27" t="e">
        <f>AND(Answers!D74,"AAAAAHTfX3U=")</f>
        <v>#VALUE!</v>
      </c>
      <c r="DO27" t="e">
        <f>AND(Answers!E74,"AAAAAHTfX3Y=")</f>
        <v>#VALUE!</v>
      </c>
      <c r="DP27" t="e">
        <f>AND(Answers!F74,"AAAAAHTfX3c=")</f>
        <v>#VALUE!</v>
      </c>
      <c r="DQ27" t="e">
        <f>AND(Answers!G74,"AAAAAHTfX3g=")</f>
        <v>#VALUE!</v>
      </c>
      <c r="DR27" t="e">
        <f>AND(Answers!H74,"AAAAAHTfX3k=")</f>
        <v>#VALUE!</v>
      </c>
      <c r="DS27" t="e">
        <f>AND(Answers!J74,"AAAAAHTfX3o=")</f>
        <v>#VALUE!</v>
      </c>
      <c r="DT27" t="e">
        <f>AND(Answers!K74,"AAAAAHTfX3s=")</f>
        <v>#VALUE!</v>
      </c>
      <c r="DU27" t="e">
        <f>AND(Answers!L74,"AAAAAHTfX3w=")</f>
        <v>#VALUE!</v>
      </c>
      <c r="DV27" t="e">
        <f>AND(Answers!M74,"AAAAAHTfX30=")</f>
        <v>#VALUE!</v>
      </c>
      <c r="DW27" t="e">
        <f>AND(Answers!N74,"AAAAAHTfX34=")</f>
        <v>#VALUE!</v>
      </c>
      <c r="DX27" t="e">
        <f>AND(Answers!O74,"AAAAAHTfX38=")</f>
        <v>#VALUE!</v>
      </c>
      <c r="DY27" t="e">
        <f>AND(Answers!P74,"AAAAAHTfX4A=")</f>
        <v>#VALUE!</v>
      </c>
      <c r="DZ27" t="e">
        <f>AND(Answers!Q74,"AAAAAHTfX4E=")</f>
        <v>#VALUE!</v>
      </c>
      <c r="EA27" t="e">
        <f>AND(Answers!R74,"AAAAAHTfX4I=")</f>
        <v>#VALUE!</v>
      </c>
      <c r="EB27" t="e">
        <f>AND(Answers!S74,"AAAAAHTfX4M=")</f>
        <v>#VALUE!</v>
      </c>
      <c r="EC27" t="e">
        <f>AND(Answers!T74,"AAAAAHTfX4Q=")</f>
        <v>#VALUE!</v>
      </c>
      <c r="ED27" t="e">
        <f>AND(Answers!U74,"AAAAAHTfX4U=")</f>
        <v>#VALUE!</v>
      </c>
      <c r="EE27" t="e">
        <f>AND(Answers!V74,"AAAAAHTfX4Y=")</f>
        <v>#VALUE!</v>
      </c>
      <c r="EF27" t="e">
        <f>AND(Answers!X74,"AAAAAHTfX4c=")</f>
        <v>#VALUE!</v>
      </c>
      <c r="EG27" t="e">
        <f>AND(Answers!Y74,"AAAAAHTfX4g=")</f>
        <v>#VALUE!</v>
      </c>
      <c r="EH27" t="e">
        <f>AND(Answers!Z74,"AAAAAHTfX4k=")</f>
        <v>#VALUE!</v>
      </c>
      <c r="EI27" t="e">
        <f>AND(Answers!AA74,"AAAAAHTfX4o=")</f>
        <v>#VALUE!</v>
      </c>
      <c r="EJ27" t="e">
        <f>AND(Answers!AB74,"AAAAAHTfX4s=")</f>
        <v>#VALUE!</v>
      </c>
      <c r="EK27" t="e">
        <f>AND(Answers!AC74,"AAAAAHTfX4w=")</f>
        <v>#VALUE!</v>
      </c>
      <c r="EL27" t="e">
        <f>AND(Answers!AD74,"AAAAAHTfX40=")</f>
        <v>#VALUE!</v>
      </c>
      <c r="EM27" t="e">
        <f>AND(Answers!AE74,"AAAAAHTfX44=")</f>
        <v>#VALUE!</v>
      </c>
      <c r="EN27" t="e">
        <f>AND(Answers!AF74,"AAAAAHTfX48=")</f>
        <v>#VALUE!</v>
      </c>
      <c r="EO27" t="e">
        <f>AND(Answers!AH74,"AAAAAHTfX5A=")</f>
        <v>#VALUE!</v>
      </c>
      <c r="EP27" t="e">
        <f>AND(Answers!AI74,"AAAAAHTfX5E=")</f>
        <v>#VALUE!</v>
      </c>
      <c r="EQ27" t="e">
        <f>AND(Answers!AK74,"AAAAAHTfX5I=")</f>
        <v>#VALUE!</v>
      </c>
      <c r="ER27" t="e">
        <f>AND(Answers!#REF!,"AAAAAHTfX5M=")</f>
        <v>#REF!</v>
      </c>
      <c r="ES27" t="e">
        <f>AND(Answers!AR74,"AAAAAHTfX5Q=")</f>
        <v>#VALUE!</v>
      </c>
      <c r="ET27" t="e">
        <f>AND(Answers!AS74,"AAAAAHTfX5U=")</f>
        <v>#VALUE!</v>
      </c>
      <c r="EU27" t="e">
        <f>AND(Answers!AT74,"AAAAAHTfX5Y=")</f>
        <v>#VALUE!</v>
      </c>
      <c r="EV27" t="e">
        <f>AND(Answers!AU74,"AAAAAHTfX5c=")</f>
        <v>#VALUE!</v>
      </c>
      <c r="EW27" t="e">
        <f>AND(Answers!AW74,"AAAAAHTfX5g=")</f>
        <v>#VALUE!</v>
      </c>
      <c r="EX27" t="e">
        <f>AND(Answers!AX74,"AAAAAHTfX5k=")</f>
        <v>#VALUE!</v>
      </c>
      <c r="EY27" t="e">
        <f>AND(Answers!AY74,"AAAAAHTfX5o=")</f>
        <v>#VALUE!</v>
      </c>
      <c r="EZ27" t="e">
        <f>AND(Answers!AZ74,"AAAAAHTfX5s=")</f>
        <v>#VALUE!</v>
      </c>
      <c r="FA27" t="e">
        <f>AND(Answers!BA74,"AAAAAHTfX5w=")</f>
        <v>#VALUE!</v>
      </c>
      <c r="FB27" t="e">
        <f>AND(Answers!BB74,"AAAAAHTfX50=")</f>
        <v>#VALUE!</v>
      </c>
      <c r="FC27" t="e">
        <f>AND(Answers!BC74,"AAAAAHTfX54=")</f>
        <v>#VALUE!</v>
      </c>
      <c r="FD27" t="e">
        <f>AND(Answers!BD74,"AAAAAHTfX58=")</f>
        <v>#VALUE!</v>
      </c>
      <c r="FE27" t="e">
        <f>AND(Answers!BE74,"AAAAAHTfX6A=")</f>
        <v>#VALUE!</v>
      </c>
      <c r="FF27" t="e">
        <f>AND(Answers!BF74,"AAAAAHTfX6E=")</f>
        <v>#VALUE!</v>
      </c>
      <c r="FG27" t="e">
        <f>AND(Answers!BG74,"AAAAAHTfX6I=")</f>
        <v>#VALUE!</v>
      </c>
      <c r="FH27" t="e">
        <f>AND(Answers!BH74,"AAAAAHTfX6M=")</f>
        <v>#VALUE!</v>
      </c>
      <c r="FI27" t="e">
        <f>AND(Answers!BI74,"AAAAAHTfX6Q=")</f>
        <v>#VALUE!</v>
      </c>
      <c r="FJ27" t="e">
        <f>AND(Answers!BK74,"AAAAAHTfX6U=")</f>
        <v>#VALUE!</v>
      </c>
      <c r="FK27" t="e">
        <f>AND(Answers!BL74,"AAAAAHTfX6Y=")</f>
        <v>#VALUE!</v>
      </c>
      <c r="FL27" t="e">
        <f>AND(Answers!BM74,"AAAAAHTfX6c=")</f>
        <v>#VALUE!</v>
      </c>
      <c r="FM27" t="e">
        <f>AND(Answers!BN74,"AAAAAHTfX6g=")</f>
        <v>#VALUE!</v>
      </c>
      <c r="FN27" t="e">
        <f>AND(Answers!BO74,"AAAAAHTfX6k=")</f>
        <v>#VALUE!</v>
      </c>
      <c r="FO27" t="e">
        <f>AND(Answers!BP74,"AAAAAHTfX6o=")</f>
        <v>#VALUE!</v>
      </c>
      <c r="FP27" t="e">
        <f>AND(Answers!BQ74,"AAAAAHTfX6s=")</f>
        <v>#VALUE!</v>
      </c>
      <c r="FQ27" t="e">
        <f>AND(Answers!BR74,"AAAAAHTfX6w=")</f>
        <v>#VALUE!</v>
      </c>
      <c r="FR27" t="e">
        <f>AND(Answers!BS74,"AAAAAHTfX60=")</f>
        <v>#VALUE!</v>
      </c>
      <c r="FS27" t="e">
        <f>AND(Answers!BU74,"AAAAAHTfX64=")</f>
        <v>#VALUE!</v>
      </c>
      <c r="FT27" t="e">
        <f>AND(Answers!BV74,"AAAAAHTfX68=")</f>
        <v>#VALUE!</v>
      </c>
      <c r="FU27" t="e">
        <f>AND(Answers!#REF!,"AAAAAHTfX7A=")</f>
        <v>#REF!</v>
      </c>
      <c r="FV27" t="e">
        <f>AND(Answers!BW74,"AAAAAHTfX7E=")</f>
        <v>#VALUE!</v>
      </c>
      <c r="FW27" t="e">
        <f>AND(Answers!BX74,"AAAAAHTfX7I=")</f>
        <v>#VALUE!</v>
      </c>
      <c r="FX27" t="e">
        <f>AND(Answers!BY74,"AAAAAHTfX7M=")</f>
        <v>#VALUE!</v>
      </c>
      <c r="FY27" t="e">
        <f>AND(Answers!BZ74,"AAAAAHTfX7Q=")</f>
        <v>#VALUE!</v>
      </c>
      <c r="FZ27">
        <f>IF(Answers!75:75,"AAAAAHTfX7U=",0)</f>
        <v>0</v>
      </c>
      <c r="GA27" t="e">
        <f>AND(Answers!A75,"AAAAAHTfX7Y=")</f>
        <v>#VALUE!</v>
      </c>
      <c r="GB27" t="e">
        <f>AND(Answers!B75,"AAAAAHTfX7c=")</f>
        <v>#VALUE!</v>
      </c>
      <c r="GC27" t="e">
        <f>AND(Answers!C75,"AAAAAHTfX7g=")</f>
        <v>#VALUE!</v>
      </c>
      <c r="GD27" t="e">
        <f>AND(Answers!D75,"AAAAAHTfX7k=")</f>
        <v>#VALUE!</v>
      </c>
      <c r="GE27" t="e">
        <f>AND(Answers!E75,"AAAAAHTfX7o=")</f>
        <v>#VALUE!</v>
      </c>
      <c r="GF27" t="e">
        <f>AND(Answers!F75,"AAAAAHTfX7s=")</f>
        <v>#VALUE!</v>
      </c>
      <c r="GG27" t="e">
        <f>AND(Answers!G75,"AAAAAHTfX7w=")</f>
        <v>#VALUE!</v>
      </c>
      <c r="GH27" t="e">
        <f>AND(Answers!H75,"AAAAAHTfX70=")</f>
        <v>#VALUE!</v>
      </c>
      <c r="GI27" t="e">
        <f>AND(Answers!J75,"AAAAAHTfX74=")</f>
        <v>#VALUE!</v>
      </c>
      <c r="GJ27" t="e">
        <f>AND(Answers!K75,"AAAAAHTfX78=")</f>
        <v>#VALUE!</v>
      </c>
      <c r="GK27" t="e">
        <f>AND(Answers!L75,"AAAAAHTfX8A=")</f>
        <v>#VALUE!</v>
      </c>
      <c r="GL27" t="e">
        <f>AND(Answers!M75,"AAAAAHTfX8E=")</f>
        <v>#VALUE!</v>
      </c>
      <c r="GM27" t="e">
        <f>AND(Answers!N75,"AAAAAHTfX8I=")</f>
        <v>#VALUE!</v>
      </c>
      <c r="GN27" t="e">
        <f>AND(Answers!O75,"AAAAAHTfX8M=")</f>
        <v>#VALUE!</v>
      </c>
      <c r="GO27" t="e">
        <f>AND(Answers!P75,"AAAAAHTfX8Q=")</f>
        <v>#VALUE!</v>
      </c>
      <c r="GP27" t="e">
        <f>AND(Answers!Q75,"AAAAAHTfX8U=")</f>
        <v>#VALUE!</v>
      </c>
      <c r="GQ27" t="e">
        <f>AND(Answers!R75,"AAAAAHTfX8Y=")</f>
        <v>#VALUE!</v>
      </c>
      <c r="GR27" t="e">
        <f>AND(Answers!S75,"AAAAAHTfX8c=")</f>
        <v>#VALUE!</v>
      </c>
      <c r="GS27" t="e">
        <f>AND(Answers!T75,"AAAAAHTfX8g=")</f>
        <v>#VALUE!</v>
      </c>
      <c r="GT27" t="e">
        <f>AND(Answers!U75,"AAAAAHTfX8k=")</f>
        <v>#VALUE!</v>
      </c>
      <c r="GU27" t="e">
        <f>AND(Answers!V75,"AAAAAHTfX8o=")</f>
        <v>#VALUE!</v>
      </c>
      <c r="GV27" t="e">
        <f>AND(Answers!X75,"AAAAAHTfX8s=")</f>
        <v>#VALUE!</v>
      </c>
      <c r="GW27" t="e">
        <f>AND(Answers!Y75,"AAAAAHTfX8w=")</f>
        <v>#VALUE!</v>
      </c>
      <c r="GX27" t="e">
        <f>AND(Answers!Z75,"AAAAAHTfX80=")</f>
        <v>#VALUE!</v>
      </c>
      <c r="GY27" t="e">
        <f>AND(Answers!AA75,"AAAAAHTfX84=")</f>
        <v>#VALUE!</v>
      </c>
      <c r="GZ27" t="e">
        <f>AND(Answers!AB75,"AAAAAHTfX88=")</f>
        <v>#VALUE!</v>
      </c>
      <c r="HA27" t="e">
        <f>AND(Answers!AC75,"AAAAAHTfX9A=")</f>
        <v>#VALUE!</v>
      </c>
      <c r="HB27" t="e">
        <f>AND(Answers!AD75,"AAAAAHTfX9E=")</f>
        <v>#VALUE!</v>
      </c>
      <c r="HC27" t="e">
        <f>AND(Answers!AE75,"AAAAAHTfX9I=")</f>
        <v>#VALUE!</v>
      </c>
      <c r="HD27" t="e">
        <f>AND(Answers!AF75,"AAAAAHTfX9M=")</f>
        <v>#VALUE!</v>
      </c>
      <c r="HE27" t="e">
        <f>AND(Answers!AH75,"AAAAAHTfX9Q=")</f>
        <v>#VALUE!</v>
      </c>
      <c r="HF27" t="e">
        <f>AND(Answers!AI75,"AAAAAHTfX9U=")</f>
        <v>#VALUE!</v>
      </c>
      <c r="HG27" t="e">
        <f>AND(Answers!AK75,"AAAAAHTfX9Y=")</f>
        <v>#VALUE!</v>
      </c>
      <c r="HH27" t="e">
        <f>AND(Answers!#REF!,"AAAAAHTfX9c=")</f>
        <v>#REF!</v>
      </c>
      <c r="HI27" t="e">
        <f>AND(Answers!AR75,"AAAAAHTfX9g=")</f>
        <v>#VALUE!</v>
      </c>
      <c r="HJ27" t="e">
        <f>AND(Answers!AS75,"AAAAAHTfX9k=")</f>
        <v>#VALUE!</v>
      </c>
      <c r="HK27" t="e">
        <f>AND(Answers!AT75,"AAAAAHTfX9o=")</f>
        <v>#VALUE!</v>
      </c>
      <c r="HL27" t="e">
        <f>AND(Answers!AU75,"AAAAAHTfX9s=")</f>
        <v>#VALUE!</v>
      </c>
      <c r="HM27" t="e">
        <f>AND(Answers!AW75,"AAAAAHTfX9w=")</f>
        <v>#VALUE!</v>
      </c>
      <c r="HN27" t="e">
        <f>AND(Answers!AX75,"AAAAAHTfX90=")</f>
        <v>#VALUE!</v>
      </c>
      <c r="HO27" t="e">
        <f>AND(Answers!AY75,"AAAAAHTfX94=")</f>
        <v>#VALUE!</v>
      </c>
      <c r="HP27" t="e">
        <f>AND(Answers!AZ75,"AAAAAHTfX98=")</f>
        <v>#VALUE!</v>
      </c>
      <c r="HQ27" t="e">
        <f>AND(Answers!BA75,"AAAAAHTfX+A=")</f>
        <v>#VALUE!</v>
      </c>
      <c r="HR27" t="e">
        <f>AND(Answers!BB75,"AAAAAHTfX+E=")</f>
        <v>#VALUE!</v>
      </c>
      <c r="HS27" t="e">
        <f>AND(Answers!BC75,"AAAAAHTfX+I=")</f>
        <v>#VALUE!</v>
      </c>
      <c r="HT27" t="e">
        <f>AND(Answers!BD75,"AAAAAHTfX+M=")</f>
        <v>#VALUE!</v>
      </c>
      <c r="HU27" t="e">
        <f>AND(Answers!BE75,"AAAAAHTfX+Q=")</f>
        <v>#VALUE!</v>
      </c>
      <c r="HV27" t="e">
        <f>AND(Answers!BF75,"AAAAAHTfX+U=")</f>
        <v>#VALUE!</v>
      </c>
      <c r="HW27" t="e">
        <f>AND(Answers!BG75,"AAAAAHTfX+Y=")</f>
        <v>#VALUE!</v>
      </c>
      <c r="HX27" t="e">
        <f>AND(Answers!BH75,"AAAAAHTfX+c=")</f>
        <v>#VALUE!</v>
      </c>
      <c r="HY27" t="e">
        <f>AND(Answers!BI75,"AAAAAHTfX+g=")</f>
        <v>#VALUE!</v>
      </c>
      <c r="HZ27" t="e">
        <f>AND(Answers!BK75,"AAAAAHTfX+k=")</f>
        <v>#VALUE!</v>
      </c>
      <c r="IA27" t="e">
        <f>AND(Answers!BL75,"AAAAAHTfX+o=")</f>
        <v>#VALUE!</v>
      </c>
      <c r="IB27" t="e">
        <f>AND(Answers!BM75,"AAAAAHTfX+s=")</f>
        <v>#VALUE!</v>
      </c>
      <c r="IC27" t="e">
        <f>AND(Answers!BN75,"AAAAAHTfX+w=")</f>
        <v>#VALUE!</v>
      </c>
      <c r="ID27" t="e">
        <f>AND(Answers!BO75,"AAAAAHTfX+0=")</f>
        <v>#VALUE!</v>
      </c>
      <c r="IE27" t="e">
        <f>AND(Answers!BP75,"AAAAAHTfX+4=")</f>
        <v>#VALUE!</v>
      </c>
      <c r="IF27" t="e">
        <f>AND(Answers!BQ75,"AAAAAHTfX+8=")</f>
        <v>#VALUE!</v>
      </c>
      <c r="IG27" t="e">
        <f>AND(Answers!BR75,"AAAAAHTfX/A=")</f>
        <v>#VALUE!</v>
      </c>
      <c r="IH27" t="e">
        <f>AND(Answers!BS75,"AAAAAHTfX/E=")</f>
        <v>#VALUE!</v>
      </c>
      <c r="II27" t="e">
        <f>AND(Answers!BU75,"AAAAAHTfX/I=")</f>
        <v>#VALUE!</v>
      </c>
      <c r="IJ27" t="e">
        <f>AND(Answers!BV75,"AAAAAHTfX/M=")</f>
        <v>#VALUE!</v>
      </c>
      <c r="IK27" t="e">
        <f>AND(Answers!#REF!,"AAAAAHTfX/Q=")</f>
        <v>#REF!</v>
      </c>
      <c r="IL27" t="e">
        <f>AND(Answers!BW75,"AAAAAHTfX/U=")</f>
        <v>#VALUE!</v>
      </c>
      <c r="IM27" t="e">
        <f>AND(Answers!BX75,"AAAAAHTfX/Y=")</f>
        <v>#VALUE!</v>
      </c>
      <c r="IN27" t="e">
        <f>AND(Answers!BY75,"AAAAAHTfX/c=")</f>
        <v>#VALUE!</v>
      </c>
      <c r="IO27" t="e">
        <f>AND(Answers!BZ75,"AAAAAHTfX/g=")</f>
        <v>#VALUE!</v>
      </c>
      <c r="IP27">
        <f>IF(Answers!76:76,"AAAAAHTfX/k=",0)</f>
        <v>0</v>
      </c>
      <c r="IQ27" t="e">
        <f>AND(Answers!A76,"AAAAAHTfX/o=")</f>
        <v>#VALUE!</v>
      </c>
      <c r="IR27" t="e">
        <f>AND(Answers!B76,"AAAAAHTfX/s=")</f>
        <v>#VALUE!</v>
      </c>
      <c r="IS27" t="e">
        <f>AND(Answers!C76,"AAAAAHTfX/w=")</f>
        <v>#VALUE!</v>
      </c>
      <c r="IT27" t="e">
        <f>AND(Answers!D76,"AAAAAHTfX/0=")</f>
        <v>#VALUE!</v>
      </c>
      <c r="IU27" t="e">
        <f>AND(Answers!E76,"AAAAAHTfX/4=")</f>
        <v>#VALUE!</v>
      </c>
      <c r="IV27" t="e">
        <f>AND(Answers!F76,"AAAAAHTfX/8=")</f>
        <v>#VALUE!</v>
      </c>
    </row>
    <row r="28" spans="1:256" x14ac:dyDescent="0.15">
      <c r="A28" t="e">
        <f>AND(Answers!G76,"AAAAAHfPfwA=")</f>
        <v>#VALUE!</v>
      </c>
      <c r="B28" t="e">
        <f>AND(Answers!H76,"AAAAAHfPfwE=")</f>
        <v>#VALUE!</v>
      </c>
      <c r="C28" t="e">
        <f>AND(Answers!J76,"AAAAAHfPfwI=")</f>
        <v>#VALUE!</v>
      </c>
      <c r="D28" t="e">
        <f>AND(Answers!K76,"AAAAAHfPfwM=")</f>
        <v>#VALUE!</v>
      </c>
      <c r="E28" t="e">
        <f>AND(Answers!L76,"AAAAAHfPfwQ=")</f>
        <v>#VALUE!</v>
      </c>
      <c r="F28" t="e">
        <f>AND(Answers!M76,"AAAAAHfPfwU=")</f>
        <v>#VALUE!</v>
      </c>
      <c r="G28" t="e">
        <f>AND(Answers!N76,"AAAAAHfPfwY=")</f>
        <v>#VALUE!</v>
      </c>
      <c r="H28" t="e">
        <f>AND(Answers!O76,"AAAAAHfPfwc=")</f>
        <v>#VALUE!</v>
      </c>
      <c r="I28" t="e">
        <f>AND(Answers!P76,"AAAAAHfPfwg=")</f>
        <v>#VALUE!</v>
      </c>
      <c r="J28" t="e">
        <f>AND(Answers!Q76,"AAAAAHfPfwk=")</f>
        <v>#VALUE!</v>
      </c>
      <c r="K28" t="e">
        <f>AND(Answers!R76,"AAAAAHfPfwo=")</f>
        <v>#VALUE!</v>
      </c>
      <c r="L28" t="e">
        <f>AND(Answers!S76,"AAAAAHfPfws=")</f>
        <v>#VALUE!</v>
      </c>
      <c r="M28" t="e">
        <f>AND(Answers!T76,"AAAAAHfPfww=")</f>
        <v>#VALUE!</v>
      </c>
      <c r="N28" t="e">
        <f>AND(Answers!U76,"AAAAAHfPfw0=")</f>
        <v>#VALUE!</v>
      </c>
      <c r="O28" t="e">
        <f>AND(Answers!V76,"AAAAAHfPfw4=")</f>
        <v>#VALUE!</v>
      </c>
      <c r="P28" t="e">
        <f>AND(Answers!X76,"AAAAAHfPfw8=")</f>
        <v>#VALUE!</v>
      </c>
      <c r="Q28" t="e">
        <f>AND(Answers!Y76,"AAAAAHfPfxA=")</f>
        <v>#VALUE!</v>
      </c>
      <c r="R28" t="e">
        <f>AND(Answers!Z76,"AAAAAHfPfxE=")</f>
        <v>#VALUE!</v>
      </c>
      <c r="S28" t="e">
        <f>AND(Answers!AA76,"AAAAAHfPfxI=")</f>
        <v>#VALUE!</v>
      </c>
      <c r="T28" t="e">
        <f>AND(Answers!AB76,"AAAAAHfPfxM=")</f>
        <v>#VALUE!</v>
      </c>
      <c r="U28" t="e">
        <f>AND(Answers!AC76,"AAAAAHfPfxQ=")</f>
        <v>#VALUE!</v>
      </c>
      <c r="V28" t="e">
        <f>AND(Answers!AD76,"AAAAAHfPfxU=")</f>
        <v>#VALUE!</v>
      </c>
      <c r="W28" t="e">
        <f>AND(Answers!AE76,"AAAAAHfPfxY=")</f>
        <v>#VALUE!</v>
      </c>
      <c r="X28" t="e">
        <f>AND(Answers!AF76,"AAAAAHfPfxc=")</f>
        <v>#VALUE!</v>
      </c>
      <c r="Y28" t="e">
        <f>AND(Answers!AH76,"AAAAAHfPfxg=")</f>
        <v>#VALUE!</v>
      </c>
      <c r="Z28" t="e">
        <f>AND(Answers!AI76,"AAAAAHfPfxk=")</f>
        <v>#VALUE!</v>
      </c>
      <c r="AA28" t="e">
        <f>AND(Answers!AK76,"AAAAAHfPfxo=")</f>
        <v>#VALUE!</v>
      </c>
      <c r="AB28" t="e">
        <f>AND(Answers!#REF!,"AAAAAHfPfxs=")</f>
        <v>#REF!</v>
      </c>
      <c r="AC28" t="e">
        <f>AND(Answers!AR76,"AAAAAHfPfxw=")</f>
        <v>#VALUE!</v>
      </c>
      <c r="AD28" t="e">
        <f>AND(Answers!AS76,"AAAAAHfPfx0=")</f>
        <v>#VALUE!</v>
      </c>
      <c r="AE28" t="e">
        <f>AND(Answers!AT76,"AAAAAHfPfx4=")</f>
        <v>#VALUE!</v>
      </c>
      <c r="AF28" t="e">
        <f>AND(Answers!AU76,"AAAAAHfPfx8=")</f>
        <v>#VALUE!</v>
      </c>
      <c r="AG28" t="e">
        <f>AND(Answers!AW76,"AAAAAHfPfyA=")</f>
        <v>#VALUE!</v>
      </c>
      <c r="AH28" t="e">
        <f>AND(Answers!AX76,"AAAAAHfPfyE=")</f>
        <v>#VALUE!</v>
      </c>
      <c r="AI28" t="e">
        <f>AND(Answers!AY76,"AAAAAHfPfyI=")</f>
        <v>#VALUE!</v>
      </c>
      <c r="AJ28" t="e">
        <f>AND(Answers!AZ76,"AAAAAHfPfyM=")</f>
        <v>#VALUE!</v>
      </c>
      <c r="AK28" t="e">
        <f>AND(Answers!BA76,"AAAAAHfPfyQ=")</f>
        <v>#VALUE!</v>
      </c>
      <c r="AL28" t="e">
        <f>AND(Answers!BB76,"AAAAAHfPfyU=")</f>
        <v>#VALUE!</v>
      </c>
      <c r="AM28" t="e">
        <f>AND(Answers!BC76,"AAAAAHfPfyY=")</f>
        <v>#VALUE!</v>
      </c>
      <c r="AN28" t="e">
        <f>AND(Answers!BD76,"AAAAAHfPfyc=")</f>
        <v>#VALUE!</v>
      </c>
      <c r="AO28" t="e">
        <f>AND(Answers!BE76,"AAAAAHfPfyg=")</f>
        <v>#VALUE!</v>
      </c>
      <c r="AP28" t="e">
        <f>AND(Answers!BF76,"AAAAAHfPfyk=")</f>
        <v>#VALUE!</v>
      </c>
      <c r="AQ28" t="e">
        <f>AND(Answers!BG76,"AAAAAHfPfyo=")</f>
        <v>#VALUE!</v>
      </c>
      <c r="AR28" t="e">
        <f>AND(Answers!BH76,"AAAAAHfPfys=")</f>
        <v>#VALUE!</v>
      </c>
      <c r="AS28" t="e">
        <f>AND(Answers!BI76,"AAAAAHfPfyw=")</f>
        <v>#VALUE!</v>
      </c>
      <c r="AT28" t="e">
        <f>AND(Answers!BK76,"AAAAAHfPfy0=")</f>
        <v>#VALUE!</v>
      </c>
      <c r="AU28" t="e">
        <f>AND(Answers!BL76,"AAAAAHfPfy4=")</f>
        <v>#VALUE!</v>
      </c>
      <c r="AV28" t="e">
        <f>AND(Answers!BM76,"AAAAAHfPfy8=")</f>
        <v>#VALUE!</v>
      </c>
      <c r="AW28" t="e">
        <f>AND(Answers!BN76,"AAAAAHfPfzA=")</f>
        <v>#VALUE!</v>
      </c>
      <c r="AX28" t="e">
        <f>AND(Answers!BO76,"AAAAAHfPfzE=")</f>
        <v>#VALUE!</v>
      </c>
      <c r="AY28" t="e">
        <f>AND(Answers!BP76,"AAAAAHfPfzI=")</f>
        <v>#VALUE!</v>
      </c>
      <c r="AZ28" t="e">
        <f>AND(Answers!BQ76,"AAAAAHfPfzM=")</f>
        <v>#VALUE!</v>
      </c>
      <c r="BA28" t="e">
        <f>AND(Answers!BR76,"AAAAAHfPfzQ=")</f>
        <v>#VALUE!</v>
      </c>
      <c r="BB28" t="e">
        <f>AND(Answers!BS76,"AAAAAHfPfzU=")</f>
        <v>#VALUE!</v>
      </c>
      <c r="BC28" t="e">
        <f>AND(Answers!BU76,"AAAAAHfPfzY=")</f>
        <v>#VALUE!</v>
      </c>
      <c r="BD28" t="e">
        <f>AND(Answers!BV76,"AAAAAHfPfzc=")</f>
        <v>#VALUE!</v>
      </c>
      <c r="BE28" t="e">
        <f>AND(Answers!#REF!,"AAAAAHfPfzg=")</f>
        <v>#REF!</v>
      </c>
      <c r="BF28" t="e">
        <f>AND(Answers!BW76,"AAAAAHfPfzk=")</f>
        <v>#VALUE!</v>
      </c>
      <c r="BG28" t="e">
        <f>AND(Answers!BX76,"AAAAAHfPfzo=")</f>
        <v>#VALUE!</v>
      </c>
      <c r="BH28" t="e">
        <f>AND(Answers!BY76,"AAAAAHfPfzs=")</f>
        <v>#VALUE!</v>
      </c>
      <c r="BI28" t="e">
        <f>AND(Answers!BZ76,"AAAAAHfPfzw=")</f>
        <v>#VALUE!</v>
      </c>
      <c r="BJ28">
        <f>IF(Answers!77:77,"AAAAAHfPfz0=",0)</f>
        <v>0</v>
      </c>
      <c r="BK28" t="e">
        <f>AND(Answers!A77,"AAAAAHfPfz4=")</f>
        <v>#VALUE!</v>
      </c>
      <c r="BL28" t="e">
        <f>AND(Answers!B77,"AAAAAHfPfz8=")</f>
        <v>#VALUE!</v>
      </c>
      <c r="BM28" t="e">
        <f>AND(Answers!C77,"AAAAAHfPf0A=")</f>
        <v>#VALUE!</v>
      </c>
      <c r="BN28" t="e">
        <f>AND(Answers!D77,"AAAAAHfPf0E=")</f>
        <v>#VALUE!</v>
      </c>
      <c r="BO28" t="e">
        <f>AND(Answers!E77,"AAAAAHfPf0I=")</f>
        <v>#VALUE!</v>
      </c>
      <c r="BP28" t="e">
        <f>AND(Answers!F77,"AAAAAHfPf0M=")</f>
        <v>#VALUE!</v>
      </c>
      <c r="BQ28" t="e">
        <f>AND(Answers!G77,"AAAAAHfPf0Q=")</f>
        <v>#VALUE!</v>
      </c>
      <c r="BR28" t="e">
        <f>AND(Answers!H77,"AAAAAHfPf0U=")</f>
        <v>#VALUE!</v>
      </c>
      <c r="BS28" t="e">
        <f>AND(Answers!J77,"AAAAAHfPf0Y=")</f>
        <v>#VALUE!</v>
      </c>
      <c r="BT28" t="e">
        <f>AND(Answers!K77,"AAAAAHfPf0c=")</f>
        <v>#VALUE!</v>
      </c>
      <c r="BU28" t="e">
        <f>AND(Answers!L77,"AAAAAHfPf0g=")</f>
        <v>#VALUE!</v>
      </c>
      <c r="BV28" t="e">
        <f>AND(Answers!M77,"AAAAAHfPf0k=")</f>
        <v>#VALUE!</v>
      </c>
      <c r="BW28" t="e">
        <f>AND(Answers!N77,"AAAAAHfPf0o=")</f>
        <v>#VALUE!</v>
      </c>
      <c r="BX28" t="e">
        <f>AND(Answers!O77,"AAAAAHfPf0s=")</f>
        <v>#VALUE!</v>
      </c>
      <c r="BY28" t="e">
        <f>AND(Answers!P77,"AAAAAHfPf0w=")</f>
        <v>#VALUE!</v>
      </c>
      <c r="BZ28" t="e">
        <f>AND(Answers!Q77,"AAAAAHfPf00=")</f>
        <v>#VALUE!</v>
      </c>
      <c r="CA28" t="e">
        <f>AND(Answers!R77,"AAAAAHfPf04=")</f>
        <v>#VALUE!</v>
      </c>
      <c r="CB28" t="e">
        <f>AND(Answers!S77,"AAAAAHfPf08=")</f>
        <v>#VALUE!</v>
      </c>
      <c r="CC28" t="e">
        <f>AND(Answers!T77,"AAAAAHfPf1A=")</f>
        <v>#VALUE!</v>
      </c>
      <c r="CD28" t="e">
        <f>AND(Answers!U77,"AAAAAHfPf1E=")</f>
        <v>#VALUE!</v>
      </c>
      <c r="CE28" t="e">
        <f>AND(Answers!V77,"AAAAAHfPf1I=")</f>
        <v>#VALUE!</v>
      </c>
      <c r="CF28" t="e">
        <f>AND(Answers!X77,"AAAAAHfPf1M=")</f>
        <v>#VALUE!</v>
      </c>
      <c r="CG28" t="e">
        <f>AND(Answers!Y77,"AAAAAHfPf1Q=")</f>
        <v>#VALUE!</v>
      </c>
      <c r="CH28" t="e">
        <f>AND(Answers!Z77,"AAAAAHfPf1U=")</f>
        <v>#VALUE!</v>
      </c>
      <c r="CI28" t="e">
        <f>AND(Answers!AA77,"AAAAAHfPf1Y=")</f>
        <v>#VALUE!</v>
      </c>
      <c r="CJ28" t="e">
        <f>AND(Answers!AB77,"AAAAAHfPf1c=")</f>
        <v>#VALUE!</v>
      </c>
      <c r="CK28" t="e">
        <f>AND(Answers!AC77,"AAAAAHfPf1g=")</f>
        <v>#VALUE!</v>
      </c>
      <c r="CL28" t="e">
        <f>AND(Answers!AD77,"AAAAAHfPf1k=")</f>
        <v>#VALUE!</v>
      </c>
      <c r="CM28" t="e">
        <f>AND(Answers!AE77,"AAAAAHfPf1o=")</f>
        <v>#VALUE!</v>
      </c>
      <c r="CN28" t="e">
        <f>AND(Answers!AF77,"AAAAAHfPf1s=")</f>
        <v>#VALUE!</v>
      </c>
      <c r="CO28" t="e">
        <f>AND(Answers!AH77,"AAAAAHfPf1w=")</f>
        <v>#VALUE!</v>
      </c>
      <c r="CP28" t="e">
        <f>AND(Answers!AI77,"AAAAAHfPf10=")</f>
        <v>#VALUE!</v>
      </c>
      <c r="CQ28" t="e">
        <f>AND(Answers!AK77,"AAAAAHfPf14=")</f>
        <v>#VALUE!</v>
      </c>
      <c r="CR28" t="e">
        <f>AND(Answers!#REF!,"AAAAAHfPf18=")</f>
        <v>#REF!</v>
      </c>
      <c r="CS28" t="e">
        <f>AND(Answers!AR77,"AAAAAHfPf2A=")</f>
        <v>#VALUE!</v>
      </c>
      <c r="CT28" t="e">
        <f>AND(Answers!AS77,"AAAAAHfPf2E=")</f>
        <v>#VALUE!</v>
      </c>
      <c r="CU28" t="e">
        <f>AND(Answers!AT77,"AAAAAHfPf2I=")</f>
        <v>#VALUE!</v>
      </c>
      <c r="CV28" t="e">
        <f>AND(Answers!AU77,"AAAAAHfPf2M=")</f>
        <v>#VALUE!</v>
      </c>
      <c r="CW28" t="e">
        <f>AND(Answers!AW77,"AAAAAHfPf2Q=")</f>
        <v>#VALUE!</v>
      </c>
      <c r="CX28" t="e">
        <f>AND(Answers!AX77,"AAAAAHfPf2U=")</f>
        <v>#VALUE!</v>
      </c>
      <c r="CY28" t="e">
        <f>AND(Answers!AY77,"AAAAAHfPf2Y=")</f>
        <v>#VALUE!</v>
      </c>
      <c r="CZ28" t="e">
        <f>AND(Answers!AZ77,"AAAAAHfPf2c=")</f>
        <v>#VALUE!</v>
      </c>
      <c r="DA28" t="e">
        <f>AND(Answers!BA77,"AAAAAHfPf2g=")</f>
        <v>#VALUE!</v>
      </c>
      <c r="DB28" t="e">
        <f>AND(Answers!BB77,"AAAAAHfPf2k=")</f>
        <v>#VALUE!</v>
      </c>
      <c r="DC28" t="e">
        <f>AND(Answers!BC77,"AAAAAHfPf2o=")</f>
        <v>#VALUE!</v>
      </c>
      <c r="DD28" t="e">
        <f>AND(Answers!BD77,"AAAAAHfPf2s=")</f>
        <v>#VALUE!</v>
      </c>
      <c r="DE28" t="e">
        <f>AND(Answers!BE77,"AAAAAHfPf2w=")</f>
        <v>#VALUE!</v>
      </c>
      <c r="DF28" t="e">
        <f>AND(Answers!BF77,"AAAAAHfPf20=")</f>
        <v>#VALUE!</v>
      </c>
      <c r="DG28" t="e">
        <f>AND(Answers!BG77,"AAAAAHfPf24=")</f>
        <v>#VALUE!</v>
      </c>
      <c r="DH28" t="e">
        <f>AND(Answers!BH77,"AAAAAHfPf28=")</f>
        <v>#VALUE!</v>
      </c>
      <c r="DI28" t="e">
        <f>AND(Answers!BI77,"AAAAAHfPf3A=")</f>
        <v>#VALUE!</v>
      </c>
      <c r="DJ28" t="e">
        <f>AND(Answers!BK77,"AAAAAHfPf3E=")</f>
        <v>#VALUE!</v>
      </c>
      <c r="DK28" t="e">
        <f>AND(Answers!BL77,"AAAAAHfPf3I=")</f>
        <v>#VALUE!</v>
      </c>
      <c r="DL28" t="e">
        <f>AND(Answers!BM77,"AAAAAHfPf3M=")</f>
        <v>#VALUE!</v>
      </c>
      <c r="DM28" t="e">
        <f>AND(Answers!BN77,"AAAAAHfPf3Q=")</f>
        <v>#VALUE!</v>
      </c>
      <c r="DN28" t="e">
        <f>AND(Answers!BO77,"AAAAAHfPf3U=")</f>
        <v>#VALUE!</v>
      </c>
      <c r="DO28" t="e">
        <f>AND(Answers!BP77,"AAAAAHfPf3Y=")</f>
        <v>#VALUE!</v>
      </c>
      <c r="DP28" t="e">
        <f>AND(Answers!BQ77,"AAAAAHfPf3c=")</f>
        <v>#VALUE!</v>
      </c>
      <c r="DQ28" t="e">
        <f>AND(Answers!BR77,"AAAAAHfPf3g=")</f>
        <v>#VALUE!</v>
      </c>
      <c r="DR28" t="e">
        <f>AND(Answers!BS77,"AAAAAHfPf3k=")</f>
        <v>#VALUE!</v>
      </c>
      <c r="DS28" t="e">
        <f>AND(Answers!BU77,"AAAAAHfPf3o=")</f>
        <v>#VALUE!</v>
      </c>
      <c r="DT28" t="e">
        <f>AND(Answers!BV77,"AAAAAHfPf3s=")</f>
        <v>#VALUE!</v>
      </c>
      <c r="DU28" t="e">
        <f>AND(Answers!#REF!,"AAAAAHfPf3w=")</f>
        <v>#REF!</v>
      </c>
      <c r="DV28" t="e">
        <f>AND(Answers!BW77,"AAAAAHfPf30=")</f>
        <v>#VALUE!</v>
      </c>
      <c r="DW28" t="e">
        <f>AND(Answers!BX77,"AAAAAHfPf34=")</f>
        <v>#VALUE!</v>
      </c>
      <c r="DX28" t="e">
        <f>AND(Answers!BY77,"AAAAAHfPf38=")</f>
        <v>#VALUE!</v>
      </c>
      <c r="DY28" t="e">
        <f>AND(Answers!BZ77,"AAAAAHfPf4A=")</f>
        <v>#VALUE!</v>
      </c>
      <c r="DZ28">
        <f>IF(Answers!78:78,"AAAAAHfPf4E=",0)</f>
        <v>0</v>
      </c>
      <c r="EA28" t="e">
        <f>AND(Answers!A78,"AAAAAHfPf4I=")</f>
        <v>#VALUE!</v>
      </c>
      <c r="EB28" t="e">
        <f>AND(Answers!B78,"AAAAAHfPf4M=")</f>
        <v>#VALUE!</v>
      </c>
      <c r="EC28" t="e">
        <f>AND(Answers!C78,"AAAAAHfPf4Q=")</f>
        <v>#VALUE!</v>
      </c>
      <c r="ED28" t="e">
        <f>AND(Answers!D78,"AAAAAHfPf4U=")</f>
        <v>#VALUE!</v>
      </c>
      <c r="EE28" t="e">
        <f>AND(Answers!E78,"AAAAAHfPf4Y=")</f>
        <v>#VALUE!</v>
      </c>
      <c r="EF28" t="e">
        <f>AND(Answers!F78,"AAAAAHfPf4c=")</f>
        <v>#VALUE!</v>
      </c>
      <c r="EG28" t="e">
        <f>AND(Answers!G78,"AAAAAHfPf4g=")</f>
        <v>#VALUE!</v>
      </c>
      <c r="EH28" t="e">
        <f>AND(Answers!H78,"AAAAAHfPf4k=")</f>
        <v>#VALUE!</v>
      </c>
      <c r="EI28" t="e">
        <f>AND(Answers!J78,"AAAAAHfPf4o=")</f>
        <v>#VALUE!</v>
      </c>
      <c r="EJ28" t="e">
        <f>AND(Answers!K78,"AAAAAHfPf4s=")</f>
        <v>#VALUE!</v>
      </c>
      <c r="EK28" t="e">
        <f>AND(Answers!L78,"AAAAAHfPf4w=")</f>
        <v>#VALUE!</v>
      </c>
      <c r="EL28" t="e">
        <f>AND(Answers!M78,"AAAAAHfPf40=")</f>
        <v>#VALUE!</v>
      </c>
      <c r="EM28" t="e">
        <f>AND(Answers!N78,"AAAAAHfPf44=")</f>
        <v>#VALUE!</v>
      </c>
      <c r="EN28" t="e">
        <f>AND(Answers!O78,"AAAAAHfPf48=")</f>
        <v>#VALUE!</v>
      </c>
      <c r="EO28" t="e">
        <f>AND(Answers!P78,"AAAAAHfPf5A=")</f>
        <v>#VALUE!</v>
      </c>
      <c r="EP28" t="e">
        <f>AND(Answers!Q78,"AAAAAHfPf5E=")</f>
        <v>#VALUE!</v>
      </c>
      <c r="EQ28" t="e">
        <f>AND(Answers!R78,"AAAAAHfPf5I=")</f>
        <v>#VALUE!</v>
      </c>
      <c r="ER28" t="e">
        <f>AND(Answers!S78,"AAAAAHfPf5M=")</f>
        <v>#VALUE!</v>
      </c>
      <c r="ES28" t="e">
        <f>AND(Answers!T78,"AAAAAHfPf5Q=")</f>
        <v>#VALUE!</v>
      </c>
      <c r="ET28" t="e">
        <f>AND(Answers!U78,"AAAAAHfPf5U=")</f>
        <v>#VALUE!</v>
      </c>
      <c r="EU28" t="e">
        <f>AND(Answers!V78,"AAAAAHfPf5Y=")</f>
        <v>#VALUE!</v>
      </c>
      <c r="EV28" t="e">
        <f>AND(Answers!X78,"AAAAAHfPf5c=")</f>
        <v>#VALUE!</v>
      </c>
      <c r="EW28" t="e">
        <f>AND(Answers!Y78,"AAAAAHfPf5g=")</f>
        <v>#VALUE!</v>
      </c>
      <c r="EX28" t="e">
        <f>AND(Answers!Z78,"AAAAAHfPf5k=")</f>
        <v>#VALUE!</v>
      </c>
      <c r="EY28" t="e">
        <f>AND(Answers!AA78,"AAAAAHfPf5o=")</f>
        <v>#VALUE!</v>
      </c>
      <c r="EZ28" t="e">
        <f>AND(Answers!AB78,"AAAAAHfPf5s=")</f>
        <v>#VALUE!</v>
      </c>
      <c r="FA28" t="e">
        <f>AND(Answers!AC78,"AAAAAHfPf5w=")</f>
        <v>#VALUE!</v>
      </c>
      <c r="FB28" t="e">
        <f>AND(Answers!AD78,"AAAAAHfPf50=")</f>
        <v>#VALUE!</v>
      </c>
      <c r="FC28" t="e">
        <f>AND(Answers!AE78,"AAAAAHfPf54=")</f>
        <v>#VALUE!</v>
      </c>
      <c r="FD28" t="e">
        <f>AND(Answers!AF78,"AAAAAHfPf58=")</f>
        <v>#VALUE!</v>
      </c>
      <c r="FE28" t="e">
        <f>AND(Answers!AH78,"AAAAAHfPf6A=")</f>
        <v>#VALUE!</v>
      </c>
      <c r="FF28" t="e">
        <f>AND(Answers!AI78,"AAAAAHfPf6E=")</f>
        <v>#VALUE!</v>
      </c>
      <c r="FG28" t="e">
        <f>AND(Answers!AK78,"AAAAAHfPf6I=")</f>
        <v>#VALUE!</v>
      </c>
      <c r="FH28" t="e">
        <f>AND(Answers!#REF!,"AAAAAHfPf6M=")</f>
        <v>#REF!</v>
      </c>
      <c r="FI28" t="e">
        <f>AND(Answers!AR78,"AAAAAHfPf6Q=")</f>
        <v>#VALUE!</v>
      </c>
      <c r="FJ28" t="e">
        <f>AND(Answers!AS78,"AAAAAHfPf6U=")</f>
        <v>#VALUE!</v>
      </c>
      <c r="FK28" t="e">
        <f>AND(Answers!AT78,"AAAAAHfPf6Y=")</f>
        <v>#VALUE!</v>
      </c>
      <c r="FL28" t="e">
        <f>AND(Answers!AU78,"AAAAAHfPf6c=")</f>
        <v>#VALUE!</v>
      </c>
      <c r="FM28" t="e">
        <f>AND(Answers!AW78,"AAAAAHfPf6g=")</f>
        <v>#VALUE!</v>
      </c>
      <c r="FN28" t="e">
        <f>AND(Answers!AX78,"AAAAAHfPf6k=")</f>
        <v>#VALUE!</v>
      </c>
      <c r="FO28" t="e">
        <f>AND(Answers!AY78,"AAAAAHfPf6o=")</f>
        <v>#VALUE!</v>
      </c>
      <c r="FP28" t="e">
        <f>AND(Answers!AZ78,"AAAAAHfPf6s=")</f>
        <v>#VALUE!</v>
      </c>
      <c r="FQ28" t="e">
        <f>AND(Answers!BA78,"AAAAAHfPf6w=")</f>
        <v>#VALUE!</v>
      </c>
      <c r="FR28" t="e">
        <f>AND(Answers!BB78,"AAAAAHfPf60=")</f>
        <v>#VALUE!</v>
      </c>
      <c r="FS28" t="e">
        <f>AND(Answers!BC78,"AAAAAHfPf64=")</f>
        <v>#VALUE!</v>
      </c>
      <c r="FT28" t="e">
        <f>AND(Answers!BD78,"AAAAAHfPf68=")</f>
        <v>#VALUE!</v>
      </c>
      <c r="FU28" t="e">
        <f>AND(Answers!BE78,"AAAAAHfPf7A=")</f>
        <v>#VALUE!</v>
      </c>
      <c r="FV28" t="e">
        <f>AND(Answers!BF78,"AAAAAHfPf7E=")</f>
        <v>#VALUE!</v>
      </c>
      <c r="FW28" t="e">
        <f>AND(Answers!BG78,"AAAAAHfPf7I=")</f>
        <v>#VALUE!</v>
      </c>
      <c r="FX28" t="e">
        <f>AND(Answers!BH78,"AAAAAHfPf7M=")</f>
        <v>#VALUE!</v>
      </c>
      <c r="FY28" t="e">
        <f>AND(Answers!BI78,"AAAAAHfPf7Q=")</f>
        <v>#VALUE!</v>
      </c>
      <c r="FZ28" t="e">
        <f>AND(Answers!BK78,"AAAAAHfPf7U=")</f>
        <v>#VALUE!</v>
      </c>
      <c r="GA28" t="e">
        <f>AND(Answers!BL78,"AAAAAHfPf7Y=")</f>
        <v>#VALUE!</v>
      </c>
      <c r="GB28" t="e">
        <f>AND(Answers!BM78,"AAAAAHfPf7c=")</f>
        <v>#VALUE!</v>
      </c>
      <c r="GC28" t="e">
        <f>AND(Answers!BN78,"AAAAAHfPf7g=")</f>
        <v>#VALUE!</v>
      </c>
      <c r="GD28" t="e">
        <f>AND(Answers!BO78,"AAAAAHfPf7k=")</f>
        <v>#VALUE!</v>
      </c>
      <c r="GE28" t="e">
        <f>AND(Answers!BP78,"AAAAAHfPf7o=")</f>
        <v>#VALUE!</v>
      </c>
      <c r="GF28" t="e">
        <f>AND(Answers!BQ78,"AAAAAHfPf7s=")</f>
        <v>#VALUE!</v>
      </c>
      <c r="GG28" t="e">
        <f>AND(Answers!BR78,"AAAAAHfPf7w=")</f>
        <v>#VALUE!</v>
      </c>
      <c r="GH28" t="e">
        <f>AND(Answers!BS78,"AAAAAHfPf70=")</f>
        <v>#VALUE!</v>
      </c>
      <c r="GI28" t="e">
        <f>AND(Answers!BU78,"AAAAAHfPf74=")</f>
        <v>#VALUE!</v>
      </c>
      <c r="GJ28" t="e">
        <f>AND(Answers!BV78,"AAAAAHfPf78=")</f>
        <v>#VALUE!</v>
      </c>
      <c r="GK28" t="e">
        <f>AND(Answers!#REF!,"AAAAAHfPf8A=")</f>
        <v>#REF!</v>
      </c>
      <c r="GL28" t="e">
        <f>AND(Answers!BW78,"AAAAAHfPf8E=")</f>
        <v>#VALUE!</v>
      </c>
      <c r="GM28" t="e">
        <f>AND(Answers!BX78,"AAAAAHfPf8I=")</f>
        <v>#VALUE!</v>
      </c>
      <c r="GN28" t="e">
        <f>AND(Answers!BY78,"AAAAAHfPf8M=")</f>
        <v>#VALUE!</v>
      </c>
      <c r="GO28" t="e">
        <f>AND(Answers!BZ78,"AAAAAHfPf8Q=")</f>
        <v>#VALUE!</v>
      </c>
      <c r="GP28">
        <f>IF(Answers!79:79,"AAAAAHfPf8U=",0)</f>
        <v>0</v>
      </c>
      <c r="GQ28" t="e">
        <f>AND(Answers!A79,"AAAAAHfPf8Y=")</f>
        <v>#VALUE!</v>
      </c>
      <c r="GR28" t="e">
        <f>AND(Answers!B79,"AAAAAHfPf8c=")</f>
        <v>#VALUE!</v>
      </c>
      <c r="GS28" t="e">
        <f>AND(Answers!C79,"AAAAAHfPf8g=")</f>
        <v>#VALUE!</v>
      </c>
      <c r="GT28" t="e">
        <f>AND(Answers!D79,"AAAAAHfPf8k=")</f>
        <v>#VALUE!</v>
      </c>
      <c r="GU28" t="e">
        <f>AND(Answers!E79,"AAAAAHfPf8o=")</f>
        <v>#VALUE!</v>
      </c>
      <c r="GV28" t="e">
        <f>AND(Answers!F79,"AAAAAHfPf8s=")</f>
        <v>#VALUE!</v>
      </c>
      <c r="GW28" t="e">
        <f>AND(Answers!G79,"AAAAAHfPf8w=")</f>
        <v>#VALUE!</v>
      </c>
      <c r="GX28" t="e">
        <f>AND(Answers!H79,"AAAAAHfPf80=")</f>
        <v>#VALUE!</v>
      </c>
      <c r="GY28" t="e">
        <f>AND(Answers!J79,"AAAAAHfPf84=")</f>
        <v>#VALUE!</v>
      </c>
      <c r="GZ28" t="e">
        <f>AND(Answers!K79,"AAAAAHfPf88=")</f>
        <v>#VALUE!</v>
      </c>
      <c r="HA28" t="e">
        <f>AND(Answers!L79,"AAAAAHfPf9A=")</f>
        <v>#VALUE!</v>
      </c>
      <c r="HB28" t="e">
        <f>AND(Answers!M79,"AAAAAHfPf9E=")</f>
        <v>#VALUE!</v>
      </c>
      <c r="HC28" t="e">
        <f>AND(Answers!N79,"AAAAAHfPf9I=")</f>
        <v>#VALUE!</v>
      </c>
      <c r="HD28" t="e">
        <f>AND(Answers!O79,"AAAAAHfPf9M=")</f>
        <v>#VALUE!</v>
      </c>
      <c r="HE28" t="e">
        <f>AND(Answers!P79,"AAAAAHfPf9Q=")</f>
        <v>#VALUE!</v>
      </c>
      <c r="HF28" t="e">
        <f>AND(Answers!Q79,"AAAAAHfPf9U=")</f>
        <v>#VALUE!</v>
      </c>
      <c r="HG28" t="e">
        <f>AND(Answers!R79,"AAAAAHfPf9Y=")</f>
        <v>#VALUE!</v>
      </c>
      <c r="HH28" t="e">
        <f>AND(Answers!S79,"AAAAAHfPf9c=")</f>
        <v>#VALUE!</v>
      </c>
      <c r="HI28" t="e">
        <f>AND(Answers!T79,"AAAAAHfPf9g=")</f>
        <v>#VALUE!</v>
      </c>
      <c r="HJ28" t="e">
        <f>AND(Answers!U79,"AAAAAHfPf9k=")</f>
        <v>#VALUE!</v>
      </c>
      <c r="HK28" t="e">
        <f>AND(Answers!V79,"AAAAAHfPf9o=")</f>
        <v>#VALUE!</v>
      </c>
      <c r="HL28" t="e">
        <f>AND(Answers!X79,"AAAAAHfPf9s=")</f>
        <v>#VALUE!</v>
      </c>
      <c r="HM28" t="e">
        <f>AND(Answers!Y79,"AAAAAHfPf9w=")</f>
        <v>#VALUE!</v>
      </c>
      <c r="HN28" t="e">
        <f>AND(Answers!Z79,"AAAAAHfPf90=")</f>
        <v>#VALUE!</v>
      </c>
      <c r="HO28" t="e">
        <f>AND(Answers!AA79,"AAAAAHfPf94=")</f>
        <v>#VALUE!</v>
      </c>
      <c r="HP28" t="e">
        <f>AND(Answers!AB79,"AAAAAHfPf98=")</f>
        <v>#VALUE!</v>
      </c>
      <c r="HQ28" t="e">
        <f>AND(Answers!AC79,"AAAAAHfPf+A=")</f>
        <v>#VALUE!</v>
      </c>
      <c r="HR28" t="e">
        <f>AND(Answers!AD79,"AAAAAHfPf+E=")</f>
        <v>#VALUE!</v>
      </c>
      <c r="HS28" t="e">
        <f>AND(Answers!AE79,"AAAAAHfPf+I=")</f>
        <v>#VALUE!</v>
      </c>
      <c r="HT28" t="e">
        <f>AND(Answers!AF79,"AAAAAHfPf+M=")</f>
        <v>#VALUE!</v>
      </c>
      <c r="HU28" t="e">
        <f>AND(Answers!AH79,"AAAAAHfPf+Q=")</f>
        <v>#VALUE!</v>
      </c>
      <c r="HV28" t="e">
        <f>AND(Answers!AI79,"AAAAAHfPf+U=")</f>
        <v>#VALUE!</v>
      </c>
      <c r="HW28" t="e">
        <f>AND(Answers!AK79,"AAAAAHfPf+Y=")</f>
        <v>#VALUE!</v>
      </c>
      <c r="HX28" t="e">
        <f>AND(Answers!#REF!,"AAAAAHfPf+c=")</f>
        <v>#REF!</v>
      </c>
      <c r="HY28" t="e">
        <f>AND(Answers!AR79,"AAAAAHfPf+g=")</f>
        <v>#VALUE!</v>
      </c>
      <c r="HZ28" t="e">
        <f>AND(Answers!AS79,"AAAAAHfPf+k=")</f>
        <v>#VALUE!</v>
      </c>
      <c r="IA28" t="e">
        <f>AND(Answers!AT79,"AAAAAHfPf+o=")</f>
        <v>#VALUE!</v>
      </c>
      <c r="IB28" t="e">
        <f>AND(Answers!AU79,"AAAAAHfPf+s=")</f>
        <v>#VALUE!</v>
      </c>
      <c r="IC28" t="e">
        <f>AND(Answers!AW79,"AAAAAHfPf+w=")</f>
        <v>#VALUE!</v>
      </c>
      <c r="ID28" t="e">
        <f>AND(Answers!AX79,"AAAAAHfPf+0=")</f>
        <v>#VALUE!</v>
      </c>
      <c r="IE28" t="e">
        <f>AND(Answers!AY79,"AAAAAHfPf+4=")</f>
        <v>#VALUE!</v>
      </c>
      <c r="IF28" t="e">
        <f>AND(Answers!AZ79,"AAAAAHfPf+8=")</f>
        <v>#VALUE!</v>
      </c>
      <c r="IG28" t="e">
        <f>AND(Answers!BA79,"AAAAAHfPf/A=")</f>
        <v>#VALUE!</v>
      </c>
      <c r="IH28" t="e">
        <f>AND(Answers!BB79,"AAAAAHfPf/E=")</f>
        <v>#VALUE!</v>
      </c>
      <c r="II28" t="e">
        <f>AND(Answers!BC79,"AAAAAHfPf/I=")</f>
        <v>#VALUE!</v>
      </c>
      <c r="IJ28" t="e">
        <f>AND(Answers!BD79,"AAAAAHfPf/M=")</f>
        <v>#VALUE!</v>
      </c>
      <c r="IK28" t="e">
        <f>AND(Answers!BE79,"AAAAAHfPf/Q=")</f>
        <v>#VALUE!</v>
      </c>
      <c r="IL28" t="e">
        <f>AND(Answers!BF79,"AAAAAHfPf/U=")</f>
        <v>#VALUE!</v>
      </c>
      <c r="IM28" t="e">
        <f>AND(Answers!BG79,"AAAAAHfPf/Y=")</f>
        <v>#VALUE!</v>
      </c>
      <c r="IN28" t="e">
        <f>AND(Answers!BH79,"AAAAAHfPf/c=")</f>
        <v>#VALUE!</v>
      </c>
      <c r="IO28" t="e">
        <f>AND(Answers!BI79,"AAAAAHfPf/g=")</f>
        <v>#VALUE!</v>
      </c>
      <c r="IP28" t="e">
        <f>AND(Answers!BK79,"AAAAAHfPf/k=")</f>
        <v>#VALUE!</v>
      </c>
      <c r="IQ28" t="e">
        <f>AND(Answers!BL79,"AAAAAHfPf/o=")</f>
        <v>#VALUE!</v>
      </c>
      <c r="IR28" t="e">
        <f>AND(Answers!BM79,"AAAAAHfPf/s=")</f>
        <v>#VALUE!</v>
      </c>
      <c r="IS28" t="e">
        <f>AND(Answers!BN79,"AAAAAHfPf/w=")</f>
        <v>#VALUE!</v>
      </c>
      <c r="IT28" t="e">
        <f>AND(Answers!BO79,"AAAAAHfPf/0=")</f>
        <v>#VALUE!</v>
      </c>
      <c r="IU28" t="e">
        <f>AND(Answers!BP79,"AAAAAHfPf/4=")</f>
        <v>#VALUE!</v>
      </c>
      <c r="IV28" t="e">
        <f>AND(Answers!BQ79,"AAAAAHfPf/8=")</f>
        <v>#VALUE!</v>
      </c>
    </row>
    <row r="29" spans="1:256" x14ac:dyDescent="0.15">
      <c r="A29" t="e">
        <f>AND(Answers!BR79,"AAAAAHt+/QA=")</f>
        <v>#VALUE!</v>
      </c>
      <c r="B29" t="e">
        <f>AND(Answers!BS79,"AAAAAHt+/QE=")</f>
        <v>#VALUE!</v>
      </c>
      <c r="C29" t="e">
        <f>AND(Answers!BU79,"AAAAAHt+/QI=")</f>
        <v>#VALUE!</v>
      </c>
      <c r="D29" t="e">
        <f>AND(Answers!BV79,"AAAAAHt+/QM=")</f>
        <v>#VALUE!</v>
      </c>
      <c r="E29" t="e">
        <f>AND(Answers!#REF!,"AAAAAHt+/QQ=")</f>
        <v>#REF!</v>
      </c>
      <c r="F29" t="e">
        <f>AND(Answers!BW79,"AAAAAHt+/QU=")</f>
        <v>#VALUE!</v>
      </c>
      <c r="G29" t="e">
        <f>AND(Answers!BX79,"AAAAAHt+/QY=")</f>
        <v>#VALUE!</v>
      </c>
      <c r="H29" t="e">
        <f>AND(Answers!BY79,"AAAAAHt+/Qc=")</f>
        <v>#VALUE!</v>
      </c>
      <c r="I29" t="e">
        <f>AND(Answers!BZ79,"AAAAAHt+/Qg=")</f>
        <v>#VALUE!</v>
      </c>
      <c r="J29" t="e">
        <f>IF(Answers!80:80,"AAAAAHt+/Qk=",0)</f>
        <v>#VALUE!</v>
      </c>
      <c r="K29" t="e">
        <f>AND(Answers!A80,"AAAAAHt+/Qo=")</f>
        <v>#VALUE!</v>
      </c>
      <c r="L29" t="e">
        <f>AND(Answers!B80,"AAAAAHt+/Qs=")</f>
        <v>#VALUE!</v>
      </c>
      <c r="M29" t="e">
        <f>AND(Answers!C80,"AAAAAHt+/Qw=")</f>
        <v>#VALUE!</v>
      </c>
      <c r="N29" t="e">
        <f>AND(Answers!D80,"AAAAAHt+/Q0=")</f>
        <v>#VALUE!</v>
      </c>
      <c r="O29" t="e">
        <f>AND(Answers!E80,"AAAAAHt+/Q4=")</f>
        <v>#VALUE!</v>
      </c>
      <c r="P29" t="e">
        <f>AND(Answers!F80,"AAAAAHt+/Q8=")</f>
        <v>#VALUE!</v>
      </c>
      <c r="Q29" t="e">
        <f>AND(Answers!G80,"AAAAAHt+/RA=")</f>
        <v>#VALUE!</v>
      </c>
      <c r="R29" t="e">
        <f>AND(Answers!H80,"AAAAAHt+/RE=")</f>
        <v>#VALUE!</v>
      </c>
      <c r="S29" t="e">
        <f>AND(Answers!J80,"AAAAAHt+/RI=")</f>
        <v>#VALUE!</v>
      </c>
      <c r="T29" t="e">
        <f>AND(Answers!K80,"AAAAAHt+/RM=")</f>
        <v>#VALUE!</v>
      </c>
      <c r="U29" t="e">
        <f>AND(Answers!L80,"AAAAAHt+/RQ=")</f>
        <v>#VALUE!</v>
      </c>
      <c r="V29" t="e">
        <f>AND(Answers!M80,"AAAAAHt+/RU=")</f>
        <v>#VALUE!</v>
      </c>
      <c r="W29" t="e">
        <f>AND(Answers!N80,"AAAAAHt+/RY=")</f>
        <v>#VALUE!</v>
      </c>
      <c r="X29" t="e">
        <f>AND(Answers!O80,"AAAAAHt+/Rc=")</f>
        <v>#VALUE!</v>
      </c>
      <c r="Y29" t="e">
        <f>AND(Answers!P80,"AAAAAHt+/Rg=")</f>
        <v>#VALUE!</v>
      </c>
      <c r="Z29" t="e">
        <f>AND(Answers!Q80,"AAAAAHt+/Rk=")</f>
        <v>#VALUE!</v>
      </c>
      <c r="AA29" t="e">
        <f>AND(Answers!R80,"AAAAAHt+/Ro=")</f>
        <v>#VALUE!</v>
      </c>
      <c r="AB29" t="e">
        <f>AND(Answers!S80,"AAAAAHt+/Rs=")</f>
        <v>#VALUE!</v>
      </c>
      <c r="AC29" t="e">
        <f>AND(Answers!T80,"AAAAAHt+/Rw=")</f>
        <v>#VALUE!</v>
      </c>
      <c r="AD29" t="e">
        <f>AND(Answers!U80,"AAAAAHt+/R0=")</f>
        <v>#VALUE!</v>
      </c>
      <c r="AE29" t="e">
        <f>AND(Answers!V80,"AAAAAHt+/R4=")</f>
        <v>#VALUE!</v>
      </c>
      <c r="AF29" t="e">
        <f>AND(Answers!X80,"AAAAAHt+/R8=")</f>
        <v>#VALUE!</v>
      </c>
      <c r="AG29" t="e">
        <f>AND(Answers!Y80,"AAAAAHt+/SA=")</f>
        <v>#VALUE!</v>
      </c>
      <c r="AH29" t="e">
        <f>AND(Answers!Z80,"AAAAAHt+/SE=")</f>
        <v>#VALUE!</v>
      </c>
      <c r="AI29" t="e">
        <f>AND(Answers!AA80,"AAAAAHt+/SI=")</f>
        <v>#VALUE!</v>
      </c>
      <c r="AJ29" t="e">
        <f>AND(Answers!AB80,"AAAAAHt+/SM=")</f>
        <v>#VALUE!</v>
      </c>
      <c r="AK29" t="e">
        <f>AND(Answers!AC80,"AAAAAHt+/SQ=")</f>
        <v>#VALUE!</v>
      </c>
      <c r="AL29" t="e">
        <f>AND(Answers!AD80,"AAAAAHt+/SU=")</f>
        <v>#VALUE!</v>
      </c>
      <c r="AM29" t="e">
        <f>AND(Answers!AE80,"AAAAAHt+/SY=")</f>
        <v>#VALUE!</v>
      </c>
      <c r="AN29" t="e">
        <f>AND(Answers!AF80,"AAAAAHt+/Sc=")</f>
        <v>#VALUE!</v>
      </c>
      <c r="AO29" t="e">
        <f>AND(Answers!AH80,"AAAAAHt+/Sg=")</f>
        <v>#VALUE!</v>
      </c>
      <c r="AP29" t="e">
        <f>AND(Answers!AI80,"AAAAAHt+/Sk=")</f>
        <v>#VALUE!</v>
      </c>
      <c r="AQ29" t="e">
        <f>AND(Answers!AK80,"AAAAAHt+/So=")</f>
        <v>#VALUE!</v>
      </c>
      <c r="AR29" t="e">
        <f>AND(Answers!#REF!,"AAAAAHt+/Ss=")</f>
        <v>#REF!</v>
      </c>
      <c r="AS29" t="e">
        <f>AND(Answers!AR80,"AAAAAHt+/Sw=")</f>
        <v>#VALUE!</v>
      </c>
      <c r="AT29" t="e">
        <f>AND(Answers!AS80,"AAAAAHt+/S0=")</f>
        <v>#VALUE!</v>
      </c>
      <c r="AU29" t="e">
        <f>AND(Answers!AT80,"AAAAAHt+/S4=")</f>
        <v>#VALUE!</v>
      </c>
      <c r="AV29" t="e">
        <f>AND(Answers!AU80,"AAAAAHt+/S8=")</f>
        <v>#VALUE!</v>
      </c>
      <c r="AW29" t="e">
        <f>AND(Answers!AW80,"AAAAAHt+/TA=")</f>
        <v>#VALUE!</v>
      </c>
      <c r="AX29" t="e">
        <f>AND(Answers!AX80,"AAAAAHt+/TE=")</f>
        <v>#VALUE!</v>
      </c>
      <c r="AY29" t="e">
        <f>AND(Answers!AY80,"AAAAAHt+/TI=")</f>
        <v>#VALUE!</v>
      </c>
      <c r="AZ29" t="e">
        <f>AND(Answers!AZ80,"AAAAAHt+/TM=")</f>
        <v>#VALUE!</v>
      </c>
      <c r="BA29" t="e">
        <f>AND(Answers!BA80,"AAAAAHt+/TQ=")</f>
        <v>#VALUE!</v>
      </c>
      <c r="BB29" t="e">
        <f>AND(Answers!BB80,"AAAAAHt+/TU=")</f>
        <v>#VALUE!</v>
      </c>
      <c r="BC29" t="e">
        <f>AND(Answers!BC80,"AAAAAHt+/TY=")</f>
        <v>#VALUE!</v>
      </c>
      <c r="BD29" t="e">
        <f>AND(Answers!BD80,"AAAAAHt+/Tc=")</f>
        <v>#VALUE!</v>
      </c>
      <c r="BE29" t="e">
        <f>AND(Answers!BE80,"AAAAAHt+/Tg=")</f>
        <v>#VALUE!</v>
      </c>
      <c r="BF29" t="e">
        <f>AND(Answers!BF80,"AAAAAHt+/Tk=")</f>
        <v>#VALUE!</v>
      </c>
      <c r="BG29" t="e">
        <f>AND(Answers!BG80,"AAAAAHt+/To=")</f>
        <v>#VALUE!</v>
      </c>
      <c r="BH29" t="e">
        <f>AND(Answers!BH80,"AAAAAHt+/Ts=")</f>
        <v>#VALUE!</v>
      </c>
      <c r="BI29" t="e">
        <f>AND(Answers!BI80,"AAAAAHt+/Tw=")</f>
        <v>#VALUE!</v>
      </c>
      <c r="BJ29" t="e">
        <f>AND(Answers!BK80,"AAAAAHt+/T0=")</f>
        <v>#VALUE!</v>
      </c>
      <c r="BK29" t="e">
        <f>AND(Answers!BL80,"AAAAAHt+/T4=")</f>
        <v>#VALUE!</v>
      </c>
      <c r="BL29" t="e">
        <f>AND(Answers!BM80,"AAAAAHt+/T8=")</f>
        <v>#VALUE!</v>
      </c>
      <c r="BM29" t="e">
        <f>AND(Answers!BN80,"AAAAAHt+/UA=")</f>
        <v>#VALUE!</v>
      </c>
      <c r="BN29" t="e">
        <f>AND(Answers!BO80,"AAAAAHt+/UE=")</f>
        <v>#VALUE!</v>
      </c>
      <c r="BO29" t="e">
        <f>AND(Answers!BP80,"AAAAAHt+/UI=")</f>
        <v>#VALUE!</v>
      </c>
      <c r="BP29" t="e">
        <f>AND(Answers!BQ80,"AAAAAHt+/UM=")</f>
        <v>#VALUE!</v>
      </c>
      <c r="BQ29" t="e">
        <f>AND(Answers!BR80,"AAAAAHt+/UQ=")</f>
        <v>#VALUE!</v>
      </c>
      <c r="BR29" t="e">
        <f>AND(Answers!BS80,"AAAAAHt+/UU=")</f>
        <v>#VALUE!</v>
      </c>
      <c r="BS29" t="e">
        <f>AND(Answers!BU80,"AAAAAHt+/UY=")</f>
        <v>#VALUE!</v>
      </c>
      <c r="BT29" t="e">
        <f>AND(Answers!BV80,"AAAAAHt+/Uc=")</f>
        <v>#VALUE!</v>
      </c>
      <c r="BU29" t="e">
        <f>AND(Answers!#REF!,"AAAAAHt+/Ug=")</f>
        <v>#REF!</v>
      </c>
      <c r="BV29" t="e">
        <f>AND(Answers!BW80,"AAAAAHt+/Uk=")</f>
        <v>#VALUE!</v>
      </c>
      <c r="BW29" t="e">
        <f>AND(Answers!BX80,"AAAAAHt+/Uo=")</f>
        <v>#VALUE!</v>
      </c>
      <c r="BX29" t="e">
        <f>AND(Answers!BY80,"AAAAAHt+/Us=")</f>
        <v>#VALUE!</v>
      </c>
      <c r="BY29" t="e">
        <f>AND(Answers!BZ80,"AAAAAHt+/Uw=")</f>
        <v>#VALUE!</v>
      </c>
      <c r="BZ29">
        <f>IF(Answers!81:81,"AAAAAHt+/U0=",0)</f>
        <v>0</v>
      </c>
      <c r="CA29" t="e">
        <f>AND(Answers!A81,"AAAAAHt+/U4=")</f>
        <v>#VALUE!</v>
      </c>
      <c r="CB29" t="e">
        <f>AND(Answers!B81,"AAAAAHt+/U8=")</f>
        <v>#VALUE!</v>
      </c>
      <c r="CC29" t="e">
        <f>AND(Answers!C81,"AAAAAHt+/VA=")</f>
        <v>#VALUE!</v>
      </c>
      <c r="CD29" t="e">
        <f>AND(Answers!D81,"AAAAAHt+/VE=")</f>
        <v>#VALUE!</v>
      </c>
      <c r="CE29" t="e">
        <f>AND(Answers!E81,"AAAAAHt+/VI=")</f>
        <v>#VALUE!</v>
      </c>
      <c r="CF29" t="e">
        <f>AND(Answers!F81,"AAAAAHt+/VM=")</f>
        <v>#VALUE!</v>
      </c>
      <c r="CG29" t="e">
        <f>AND(Answers!G81,"AAAAAHt+/VQ=")</f>
        <v>#VALUE!</v>
      </c>
      <c r="CH29" t="e">
        <f>AND(Answers!H81,"AAAAAHt+/VU=")</f>
        <v>#VALUE!</v>
      </c>
      <c r="CI29" t="e">
        <f>AND(Answers!J81,"AAAAAHt+/VY=")</f>
        <v>#VALUE!</v>
      </c>
      <c r="CJ29" t="e">
        <f>AND(Answers!K81,"AAAAAHt+/Vc=")</f>
        <v>#VALUE!</v>
      </c>
      <c r="CK29" t="e">
        <f>AND(Answers!L81,"AAAAAHt+/Vg=")</f>
        <v>#VALUE!</v>
      </c>
      <c r="CL29" t="e">
        <f>AND(Answers!M81,"AAAAAHt+/Vk=")</f>
        <v>#VALUE!</v>
      </c>
      <c r="CM29" t="e">
        <f>AND(Answers!N81,"AAAAAHt+/Vo=")</f>
        <v>#VALUE!</v>
      </c>
      <c r="CN29" t="e">
        <f>AND(Answers!O81,"AAAAAHt+/Vs=")</f>
        <v>#VALUE!</v>
      </c>
      <c r="CO29" t="e">
        <f>AND(Answers!P81,"AAAAAHt+/Vw=")</f>
        <v>#VALUE!</v>
      </c>
      <c r="CP29" t="e">
        <f>AND(Answers!Q81,"AAAAAHt+/V0=")</f>
        <v>#VALUE!</v>
      </c>
      <c r="CQ29" t="e">
        <f>AND(Answers!R81,"AAAAAHt+/V4=")</f>
        <v>#VALUE!</v>
      </c>
      <c r="CR29" t="e">
        <f>AND(Answers!S81,"AAAAAHt+/V8=")</f>
        <v>#VALUE!</v>
      </c>
      <c r="CS29" t="e">
        <f>AND(Answers!T81,"AAAAAHt+/WA=")</f>
        <v>#VALUE!</v>
      </c>
      <c r="CT29" t="e">
        <f>AND(Answers!U81,"AAAAAHt+/WE=")</f>
        <v>#VALUE!</v>
      </c>
      <c r="CU29" t="e">
        <f>AND(Answers!V81,"AAAAAHt+/WI=")</f>
        <v>#VALUE!</v>
      </c>
      <c r="CV29" t="e">
        <f>AND(Answers!X81,"AAAAAHt+/WM=")</f>
        <v>#VALUE!</v>
      </c>
      <c r="CW29" t="e">
        <f>AND(Answers!Y81,"AAAAAHt+/WQ=")</f>
        <v>#VALUE!</v>
      </c>
      <c r="CX29" t="e">
        <f>AND(Answers!Z81,"AAAAAHt+/WU=")</f>
        <v>#VALUE!</v>
      </c>
      <c r="CY29" t="e">
        <f>AND(Answers!AA81,"AAAAAHt+/WY=")</f>
        <v>#VALUE!</v>
      </c>
      <c r="CZ29" t="e">
        <f>AND(Answers!AB81,"AAAAAHt+/Wc=")</f>
        <v>#VALUE!</v>
      </c>
      <c r="DA29" t="e">
        <f>AND(Answers!AC81,"AAAAAHt+/Wg=")</f>
        <v>#VALUE!</v>
      </c>
      <c r="DB29" t="e">
        <f>AND(Answers!AD81,"AAAAAHt+/Wk=")</f>
        <v>#VALUE!</v>
      </c>
      <c r="DC29" t="e">
        <f>AND(Answers!AE81,"AAAAAHt+/Wo=")</f>
        <v>#VALUE!</v>
      </c>
      <c r="DD29" t="e">
        <f>AND(Answers!AF81,"AAAAAHt+/Ws=")</f>
        <v>#VALUE!</v>
      </c>
      <c r="DE29" t="e">
        <f>AND(Answers!AH81,"AAAAAHt+/Ww=")</f>
        <v>#VALUE!</v>
      </c>
      <c r="DF29" t="e">
        <f>AND(Answers!AI81,"AAAAAHt+/W0=")</f>
        <v>#VALUE!</v>
      </c>
      <c r="DG29" t="e">
        <f>AND(Answers!AK81,"AAAAAHt+/W4=")</f>
        <v>#VALUE!</v>
      </c>
      <c r="DH29" t="e">
        <f>AND(Answers!#REF!,"AAAAAHt+/W8=")</f>
        <v>#REF!</v>
      </c>
      <c r="DI29" t="e">
        <f>AND(Answers!AR81,"AAAAAHt+/XA=")</f>
        <v>#VALUE!</v>
      </c>
      <c r="DJ29" t="e">
        <f>AND(Answers!AS81,"AAAAAHt+/XE=")</f>
        <v>#VALUE!</v>
      </c>
      <c r="DK29" t="e">
        <f>AND(Answers!AT81,"AAAAAHt+/XI=")</f>
        <v>#VALUE!</v>
      </c>
      <c r="DL29" t="e">
        <f>AND(Answers!AU81,"AAAAAHt+/XM=")</f>
        <v>#VALUE!</v>
      </c>
      <c r="DM29" t="e">
        <f>AND(Answers!AW81,"AAAAAHt+/XQ=")</f>
        <v>#VALUE!</v>
      </c>
      <c r="DN29" t="e">
        <f>AND(Answers!AX81,"AAAAAHt+/XU=")</f>
        <v>#VALUE!</v>
      </c>
      <c r="DO29" t="e">
        <f>AND(Answers!AY81,"AAAAAHt+/XY=")</f>
        <v>#VALUE!</v>
      </c>
      <c r="DP29" t="e">
        <f>AND(Answers!AZ81,"AAAAAHt+/Xc=")</f>
        <v>#VALUE!</v>
      </c>
      <c r="DQ29" t="e">
        <f>AND(Answers!BA81,"AAAAAHt+/Xg=")</f>
        <v>#VALUE!</v>
      </c>
      <c r="DR29" t="e">
        <f>AND(Answers!BB81,"AAAAAHt+/Xk=")</f>
        <v>#VALUE!</v>
      </c>
      <c r="DS29" t="e">
        <f>AND(Answers!BC81,"AAAAAHt+/Xo=")</f>
        <v>#VALUE!</v>
      </c>
      <c r="DT29" t="e">
        <f>AND(Answers!BD81,"AAAAAHt+/Xs=")</f>
        <v>#VALUE!</v>
      </c>
      <c r="DU29" t="e">
        <f>AND(Answers!BE81,"AAAAAHt+/Xw=")</f>
        <v>#VALUE!</v>
      </c>
      <c r="DV29" t="e">
        <f>AND(Answers!BF81,"AAAAAHt+/X0=")</f>
        <v>#VALUE!</v>
      </c>
      <c r="DW29" t="e">
        <f>AND(Answers!BG81,"AAAAAHt+/X4=")</f>
        <v>#VALUE!</v>
      </c>
      <c r="DX29" t="e">
        <f>AND(Answers!BH81,"AAAAAHt+/X8=")</f>
        <v>#VALUE!</v>
      </c>
      <c r="DY29" t="e">
        <f>AND(Answers!BI81,"AAAAAHt+/YA=")</f>
        <v>#VALUE!</v>
      </c>
      <c r="DZ29" t="e">
        <f>AND(Answers!BK81,"AAAAAHt+/YE=")</f>
        <v>#VALUE!</v>
      </c>
      <c r="EA29" t="e">
        <f>AND(Answers!BL81,"AAAAAHt+/YI=")</f>
        <v>#VALUE!</v>
      </c>
      <c r="EB29" t="e">
        <f>AND(Answers!BM81,"AAAAAHt+/YM=")</f>
        <v>#VALUE!</v>
      </c>
      <c r="EC29" t="e">
        <f>AND(Answers!BN81,"AAAAAHt+/YQ=")</f>
        <v>#VALUE!</v>
      </c>
      <c r="ED29" t="e">
        <f>AND(Answers!BO81,"AAAAAHt+/YU=")</f>
        <v>#VALUE!</v>
      </c>
      <c r="EE29" t="e">
        <f>AND(Answers!BP81,"AAAAAHt+/YY=")</f>
        <v>#VALUE!</v>
      </c>
      <c r="EF29" t="e">
        <f>AND(Answers!BQ81,"AAAAAHt+/Yc=")</f>
        <v>#VALUE!</v>
      </c>
      <c r="EG29" t="e">
        <f>AND(Answers!BR81,"AAAAAHt+/Yg=")</f>
        <v>#VALUE!</v>
      </c>
      <c r="EH29" t="e">
        <f>AND(Answers!BS81,"AAAAAHt+/Yk=")</f>
        <v>#VALUE!</v>
      </c>
      <c r="EI29" t="e">
        <f>AND(Answers!BU81,"AAAAAHt+/Yo=")</f>
        <v>#VALUE!</v>
      </c>
      <c r="EJ29" t="e">
        <f>AND(Answers!BV81,"AAAAAHt+/Ys=")</f>
        <v>#VALUE!</v>
      </c>
      <c r="EK29" t="e">
        <f>AND(Answers!#REF!,"AAAAAHt+/Yw=")</f>
        <v>#REF!</v>
      </c>
      <c r="EL29" t="e">
        <f>AND(Answers!BW81,"AAAAAHt+/Y0=")</f>
        <v>#VALUE!</v>
      </c>
      <c r="EM29" t="e">
        <f>AND(Answers!BX81,"AAAAAHt+/Y4=")</f>
        <v>#VALUE!</v>
      </c>
      <c r="EN29" t="e">
        <f>AND(Answers!BY81,"AAAAAHt+/Y8=")</f>
        <v>#VALUE!</v>
      </c>
      <c r="EO29" t="e">
        <f>AND(Answers!BZ81,"AAAAAHt+/ZA=")</f>
        <v>#VALUE!</v>
      </c>
      <c r="EP29">
        <f>IF(Answers!82:82,"AAAAAHt+/ZE=",0)</f>
        <v>0</v>
      </c>
      <c r="EQ29" t="e">
        <f>AND(Answers!A82,"AAAAAHt+/ZI=")</f>
        <v>#VALUE!</v>
      </c>
      <c r="ER29" t="e">
        <f>AND(Answers!B82,"AAAAAHt+/ZM=")</f>
        <v>#VALUE!</v>
      </c>
      <c r="ES29" t="e">
        <f>AND(Answers!C82,"AAAAAHt+/ZQ=")</f>
        <v>#VALUE!</v>
      </c>
      <c r="ET29" t="e">
        <f>AND(Answers!D82,"AAAAAHt+/ZU=")</f>
        <v>#VALUE!</v>
      </c>
      <c r="EU29" t="e">
        <f>AND(Answers!E82,"AAAAAHt+/ZY=")</f>
        <v>#VALUE!</v>
      </c>
      <c r="EV29" t="e">
        <f>AND(Answers!F82,"AAAAAHt+/Zc=")</f>
        <v>#VALUE!</v>
      </c>
      <c r="EW29" t="e">
        <f>AND(Answers!G82,"AAAAAHt+/Zg=")</f>
        <v>#VALUE!</v>
      </c>
      <c r="EX29" t="e">
        <f>AND(Answers!H82,"AAAAAHt+/Zk=")</f>
        <v>#VALUE!</v>
      </c>
      <c r="EY29" t="e">
        <f>AND(Answers!J82,"AAAAAHt+/Zo=")</f>
        <v>#VALUE!</v>
      </c>
      <c r="EZ29" t="e">
        <f>AND(Answers!K82,"AAAAAHt+/Zs=")</f>
        <v>#VALUE!</v>
      </c>
      <c r="FA29" t="e">
        <f>AND(Answers!L82,"AAAAAHt+/Zw=")</f>
        <v>#VALUE!</v>
      </c>
      <c r="FB29" t="e">
        <f>AND(Answers!M82,"AAAAAHt+/Z0=")</f>
        <v>#VALUE!</v>
      </c>
      <c r="FC29" t="e">
        <f>AND(Answers!N82,"AAAAAHt+/Z4=")</f>
        <v>#VALUE!</v>
      </c>
      <c r="FD29" t="e">
        <f>AND(Answers!O82,"AAAAAHt+/Z8=")</f>
        <v>#VALUE!</v>
      </c>
      <c r="FE29" t="e">
        <f>AND(Answers!P82,"AAAAAHt+/aA=")</f>
        <v>#VALUE!</v>
      </c>
      <c r="FF29" t="e">
        <f>AND(Answers!Q82,"AAAAAHt+/aE=")</f>
        <v>#VALUE!</v>
      </c>
      <c r="FG29" t="e">
        <f>AND(Answers!R82,"AAAAAHt+/aI=")</f>
        <v>#VALUE!</v>
      </c>
      <c r="FH29" t="e">
        <f>AND(Answers!S82,"AAAAAHt+/aM=")</f>
        <v>#VALUE!</v>
      </c>
      <c r="FI29" t="e">
        <f>AND(Answers!T82,"AAAAAHt+/aQ=")</f>
        <v>#VALUE!</v>
      </c>
      <c r="FJ29" t="e">
        <f>AND(Answers!U82,"AAAAAHt+/aU=")</f>
        <v>#VALUE!</v>
      </c>
      <c r="FK29" t="e">
        <f>AND(Answers!V82,"AAAAAHt+/aY=")</f>
        <v>#VALUE!</v>
      </c>
      <c r="FL29" t="e">
        <f>AND(Answers!X82,"AAAAAHt+/ac=")</f>
        <v>#VALUE!</v>
      </c>
      <c r="FM29" t="e">
        <f>AND(Answers!Y82,"AAAAAHt+/ag=")</f>
        <v>#VALUE!</v>
      </c>
      <c r="FN29" t="e">
        <f>AND(Answers!Z82,"AAAAAHt+/ak=")</f>
        <v>#VALUE!</v>
      </c>
      <c r="FO29" t="e">
        <f>AND(Answers!AA82,"AAAAAHt+/ao=")</f>
        <v>#VALUE!</v>
      </c>
      <c r="FP29" t="e">
        <f>AND(Answers!AB82,"AAAAAHt+/as=")</f>
        <v>#VALUE!</v>
      </c>
      <c r="FQ29" t="e">
        <f>AND(Answers!AC82,"AAAAAHt+/aw=")</f>
        <v>#VALUE!</v>
      </c>
      <c r="FR29" t="e">
        <f>AND(Answers!AD82,"AAAAAHt+/a0=")</f>
        <v>#VALUE!</v>
      </c>
      <c r="FS29" t="e">
        <f>AND(Answers!AE82,"AAAAAHt+/a4=")</f>
        <v>#VALUE!</v>
      </c>
      <c r="FT29" t="e">
        <f>AND(Answers!AF82,"AAAAAHt+/a8=")</f>
        <v>#VALUE!</v>
      </c>
      <c r="FU29" t="e">
        <f>AND(Answers!AH82,"AAAAAHt+/bA=")</f>
        <v>#VALUE!</v>
      </c>
      <c r="FV29" t="e">
        <f>AND(Answers!AI82,"AAAAAHt+/bE=")</f>
        <v>#VALUE!</v>
      </c>
      <c r="FW29" t="e">
        <f>AND(Answers!AK82,"AAAAAHt+/bI=")</f>
        <v>#VALUE!</v>
      </c>
      <c r="FX29" t="e">
        <f>AND(Answers!#REF!,"AAAAAHt+/bM=")</f>
        <v>#REF!</v>
      </c>
      <c r="FY29" t="e">
        <f>AND(Answers!AR82,"AAAAAHt+/bQ=")</f>
        <v>#VALUE!</v>
      </c>
      <c r="FZ29" t="e">
        <f>AND(Answers!AS82,"AAAAAHt+/bU=")</f>
        <v>#VALUE!</v>
      </c>
      <c r="GA29" t="e">
        <f>AND(Answers!AT82,"AAAAAHt+/bY=")</f>
        <v>#VALUE!</v>
      </c>
      <c r="GB29" t="e">
        <f>AND(Answers!AU82,"AAAAAHt+/bc=")</f>
        <v>#VALUE!</v>
      </c>
      <c r="GC29" t="e">
        <f>AND(Answers!AW82,"AAAAAHt+/bg=")</f>
        <v>#VALUE!</v>
      </c>
      <c r="GD29" t="e">
        <f>AND(Answers!AX82,"AAAAAHt+/bk=")</f>
        <v>#VALUE!</v>
      </c>
      <c r="GE29" t="e">
        <f>AND(Answers!AY82,"AAAAAHt+/bo=")</f>
        <v>#VALUE!</v>
      </c>
      <c r="GF29" t="e">
        <f>AND(Answers!AZ82,"AAAAAHt+/bs=")</f>
        <v>#VALUE!</v>
      </c>
      <c r="GG29" t="e">
        <f>AND(Answers!BA82,"AAAAAHt+/bw=")</f>
        <v>#VALUE!</v>
      </c>
      <c r="GH29" t="e">
        <f>AND(Answers!BB82,"AAAAAHt+/b0=")</f>
        <v>#VALUE!</v>
      </c>
      <c r="GI29" t="e">
        <f>AND(Answers!BC82,"AAAAAHt+/b4=")</f>
        <v>#VALUE!</v>
      </c>
      <c r="GJ29" t="e">
        <f>AND(Answers!BD82,"AAAAAHt+/b8=")</f>
        <v>#VALUE!</v>
      </c>
      <c r="GK29" t="e">
        <f>AND(Answers!BE82,"AAAAAHt+/cA=")</f>
        <v>#VALUE!</v>
      </c>
      <c r="GL29" t="e">
        <f>AND(Answers!BF82,"AAAAAHt+/cE=")</f>
        <v>#VALUE!</v>
      </c>
      <c r="GM29" t="e">
        <f>AND(Answers!BG82,"AAAAAHt+/cI=")</f>
        <v>#VALUE!</v>
      </c>
      <c r="GN29" t="e">
        <f>AND(Answers!BH82,"AAAAAHt+/cM=")</f>
        <v>#VALUE!</v>
      </c>
      <c r="GO29" t="e">
        <f>AND(Answers!BI82,"AAAAAHt+/cQ=")</f>
        <v>#VALUE!</v>
      </c>
      <c r="GP29" t="e">
        <f>AND(Answers!BK82,"AAAAAHt+/cU=")</f>
        <v>#VALUE!</v>
      </c>
      <c r="GQ29" t="e">
        <f>AND(Answers!BL82,"AAAAAHt+/cY=")</f>
        <v>#VALUE!</v>
      </c>
      <c r="GR29" t="e">
        <f>AND(Answers!BM82,"AAAAAHt+/cc=")</f>
        <v>#VALUE!</v>
      </c>
      <c r="GS29" t="e">
        <f>AND(Answers!BN82,"AAAAAHt+/cg=")</f>
        <v>#VALUE!</v>
      </c>
      <c r="GT29" t="e">
        <f>AND(Answers!BO82,"AAAAAHt+/ck=")</f>
        <v>#VALUE!</v>
      </c>
      <c r="GU29" t="e">
        <f>AND(Answers!BP82,"AAAAAHt+/co=")</f>
        <v>#VALUE!</v>
      </c>
      <c r="GV29" t="e">
        <f>AND(Answers!BQ82,"AAAAAHt+/cs=")</f>
        <v>#VALUE!</v>
      </c>
      <c r="GW29" t="e">
        <f>AND(Answers!BR82,"AAAAAHt+/cw=")</f>
        <v>#VALUE!</v>
      </c>
      <c r="GX29" t="e">
        <f>AND(Answers!BS82,"AAAAAHt+/c0=")</f>
        <v>#VALUE!</v>
      </c>
      <c r="GY29" t="e">
        <f>AND(Answers!BU82,"AAAAAHt+/c4=")</f>
        <v>#VALUE!</v>
      </c>
      <c r="GZ29" t="e">
        <f>AND(Answers!BV82,"AAAAAHt+/c8=")</f>
        <v>#VALUE!</v>
      </c>
      <c r="HA29" t="e">
        <f>AND(Answers!#REF!,"AAAAAHt+/dA=")</f>
        <v>#REF!</v>
      </c>
      <c r="HB29" t="e">
        <f>AND(Answers!BW82,"AAAAAHt+/dE=")</f>
        <v>#VALUE!</v>
      </c>
      <c r="HC29" t="e">
        <f>AND(Answers!BX82,"AAAAAHt+/dI=")</f>
        <v>#VALUE!</v>
      </c>
      <c r="HD29" t="e">
        <f>AND(Answers!BY82,"AAAAAHt+/dM=")</f>
        <v>#VALUE!</v>
      </c>
      <c r="HE29" t="e">
        <f>AND(Answers!BZ82,"AAAAAHt+/dQ=")</f>
        <v>#VALUE!</v>
      </c>
      <c r="HF29">
        <f>IF(Answers!83:83,"AAAAAHt+/dU=",0)</f>
        <v>0</v>
      </c>
      <c r="HG29" t="e">
        <f>AND(Answers!A83,"AAAAAHt+/dY=")</f>
        <v>#VALUE!</v>
      </c>
      <c r="HH29" t="e">
        <f>AND(Answers!B83,"AAAAAHt+/dc=")</f>
        <v>#VALUE!</v>
      </c>
      <c r="HI29" t="e">
        <f>AND(Answers!C83,"AAAAAHt+/dg=")</f>
        <v>#VALUE!</v>
      </c>
      <c r="HJ29" t="e">
        <f>AND(Answers!D83,"AAAAAHt+/dk=")</f>
        <v>#VALUE!</v>
      </c>
      <c r="HK29" t="e">
        <f>AND(Answers!E83,"AAAAAHt+/do=")</f>
        <v>#VALUE!</v>
      </c>
      <c r="HL29" t="e">
        <f>AND(Answers!F83,"AAAAAHt+/ds=")</f>
        <v>#VALUE!</v>
      </c>
      <c r="HM29" t="e">
        <f>AND(Answers!G83,"AAAAAHt+/dw=")</f>
        <v>#VALUE!</v>
      </c>
      <c r="HN29" t="e">
        <f>AND(Answers!H83,"AAAAAHt+/d0=")</f>
        <v>#VALUE!</v>
      </c>
      <c r="HO29" t="e">
        <f>AND(Answers!J83,"AAAAAHt+/d4=")</f>
        <v>#VALUE!</v>
      </c>
      <c r="HP29" t="e">
        <f>AND(Answers!K83,"AAAAAHt+/d8=")</f>
        <v>#VALUE!</v>
      </c>
      <c r="HQ29" t="e">
        <f>AND(Answers!L83,"AAAAAHt+/eA=")</f>
        <v>#VALUE!</v>
      </c>
      <c r="HR29" t="e">
        <f>AND(Answers!M83,"AAAAAHt+/eE=")</f>
        <v>#VALUE!</v>
      </c>
      <c r="HS29" t="e">
        <f>AND(Answers!N83,"AAAAAHt+/eI=")</f>
        <v>#VALUE!</v>
      </c>
      <c r="HT29" t="e">
        <f>AND(Answers!O83,"AAAAAHt+/eM=")</f>
        <v>#VALUE!</v>
      </c>
      <c r="HU29" t="e">
        <f>AND(Answers!P83,"AAAAAHt+/eQ=")</f>
        <v>#VALUE!</v>
      </c>
      <c r="HV29" t="e">
        <f>AND(Answers!Q83,"AAAAAHt+/eU=")</f>
        <v>#VALUE!</v>
      </c>
      <c r="HW29" t="e">
        <f>AND(Answers!R83,"AAAAAHt+/eY=")</f>
        <v>#VALUE!</v>
      </c>
      <c r="HX29" t="e">
        <f>AND(Answers!S83,"AAAAAHt+/ec=")</f>
        <v>#VALUE!</v>
      </c>
      <c r="HY29" t="e">
        <f>AND(Answers!T83,"AAAAAHt+/eg=")</f>
        <v>#VALUE!</v>
      </c>
      <c r="HZ29" t="e">
        <f>AND(Answers!U83,"AAAAAHt+/ek=")</f>
        <v>#VALUE!</v>
      </c>
      <c r="IA29" t="e">
        <f>AND(Answers!V83,"AAAAAHt+/eo=")</f>
        <v>#VALUE!</v>
      </c>
      <c r="IB29" t="e">
        <f>AND(Answers!X83,"AAAAAHt+/es=")</f>
        <v>#VALUE!</v>
      </c>
      <c r="IC29" t="e">
        <f>AND(Answers!Y83,"AAAAAHt+/ew=")</f>
        <v>#VALUE!</v>
      </c>
      <c r="ID29" t="e">
        <f>AND(Answers!Z83,"AAAAAHt+/e0=")</f>
        <v>#VALUE!</v>
      </c>
      <c r="IE29" t="e">
        <f>AND(Answers!AA83,"AAAAAHt+/e4=")</f>
        <v>#VALUE!</v>
      </c>
      <c r="IF29" t="e">
        <f>AND(Answers!AB83,"AAAAAHt+/e8=")</f>
        <v>#VALUE!</v>
      </c>
      <c r="IG29" t="e">
        <f>AND(Answers!AC83,"AAAAAHt+/fA=")</f>
        <v>#VALUE!</v>
      </c>
      <c r="IH29" t="e">
        <f>AND(Answers!AD83,"AAAAAHt+/fE=")</f>
        <v>#VALUE!</v>
      </c>
      <c r="II29" t="e">
        <f>AND(Answers!AE83,"AAAAAHt+/fI=")</f>
        <v>#VALUE!</v>
      </c>
      <c r="IJ29" t="e">
        <f>AND(Answers!AF83,"AAAAAHt+/fM=")</f>
        <v>#VALUE!</v>
      </c>
      <c r="IK29" t="e">
        <f>AND(Answers!AH83,"AAAAAHt+/fQ=")</f>
        <v>#VALUE!</v>
      </c>
      <c r="IL29" t="e">
        <f>AND(Answers!AI83,"AAAAAHt+/fU=")</f>
        <v>#VALUE!</v>
      </c>
      <c r="IM29" t="e">
        <f>AND(Answers!AK83,"AAAAAHt+/fY=")</f>
        <v>#VALUE!</v>
      </c>
      <c r="IN29" t="e">
        <f>AND(Answers!#REF!,"AAAAAHt+/fc=")</f>
        <v>#REF!</v>
      </c>
      <c r="IO29" t="e">
        <f>AND(Answers!AR83,"AAAAAHt+/fg=")</f>
        <v>#VALUE!</v>
      </c>
      <c r="IP29" t="e">
        <f>AND(Answers!AS83,"AAAAAHt+/fk=")</f>
        <v>#VALUE!</v>
      </c>
      <c r="IQ29" t="e">
        <f>AND(Answers!AT83,"AAAAAHt+/fo=")</f>
        <v>#VALUE!</v>
      </c>
      <c r="IR29" t="e">
        <f>AND(Answers!AU83,"AAAAAHt+/fs=")</f>
        <v>#VALUE!</v>
      </c>
      <c r="IS29" t="e">
        <f>AND(Answers!AW83,"AAAAAHt+/fw=")</f>
        <v>#VALUE!</v>
      </c>
      <c r="IT29" t="e">
        <f>AND(Answers!AX83,"AAAAAHt+/f0=")</f>
        <v>#VALUE!</v>
      </c>
      <c r="IU29" t="e">
        <f>AND(Answers!AY83,"AAAAAHt+/f4=")</f>
        <v>#VALUE!</v>
      </c>
      <c r="IV29" t="e">
        <f>AND(Answers!AZ83,"AAAAAHt+/f8=")</f>
        <v>#VALUE!</v>
      </c>
    </row>
    <row r="30" spans="1:256" x14ac:dyDescent="0.15">
      <c r="A30" t="e">
        <f>AND(Answers!BA83,"AAAAAF/e/wA=")</f>
        <v>#VALUE!</v>
      </c>
      <c r="B30" t="e">
        <f>AND(Answers!BB83,"AAAAAF/e/wE=")</f>
        <v>#VALUE!</v>
      </c>
      <c r="C30" t="e">
        <f>AND(Answers!BC83,"AAAAAF/e/wI=")</f>
        <v>#VALUE!</v>
      </c>
      <c r="D30" t="e">
        <f>AND(Answers!BD83,"AAAAAF/e/wM=")</f>
        <v>#VALUE!</v>
      </c>
      <c r="E30" t="e">
        <f>AND(Answers!BE83,"AAAAAF/e/wQ=")</f>
        <v>#VALUE!</v>
      </c>
      <c r="F30" t="e">
        <f>AND(Answers!BF83,"AAAAAF/e/wU=")</f>
        <v>#VALUE!</v>
      </c>
      <c r="G30" t="e">
        <f>AND(Answers!BG83,"AAAAAF/e/wY=")</f>
        <v>#VALUE!</v>
      </c>
      <c r="H30" t="e">
        <f>AND(Answers!BH83,"AAAAAF/e/wc=")</f>
        <v>#VALUE!</v>
      </c>
      <c r="I30" t="e">
        <f>AND(Answers!BI83,"AAAAAF/e/wg=")</f>
        <v>#VALUE!</v>
      </c>
      <c r="J30" t="e">
        <f>AND(Answers!BK83,"AAAAAF/e/wk=")</f>
        <v>#VALUE!</v>
      </c>
      <c r="K30" t="e">
        <f>AND(Answers!BL83,"AAAAAF/e/wo=")</f>
        <v>#VALUE!</v>
      </c>
      <c r="L30" t="e">
        <f>AND(Answers!BM83,"AAAAAF/e/ws=")</f>
        <v>#VALUE!</v>
      </c>
      <c r="M30" t="e">
        <f>AND(Answers!BN83,"AAAAAF/e/ww=")</f>
        <v>#VALUE!</v>
      </c>
      <c r="N30" t="e">
        <f>AND(Answers!BO83,"AAAAAF/e/w0=")</f>
        <v>#VALUE!</v>
      </c>
      <c r="O30" t="e">
        <f>AND(Answers!BP83,"AAAAAF/e/w4=")</f>
        <v>#VALUE!</v>
      </c>
      <c r="P30" t="e">
        <f>AND(Answers!BQ83,"AAAAAF/e/w8=")</f>
        <v>#VALUE!</v>
      </c>
      <c r="Q30" t="e">
        <f>AND(Answers!BR83,"AAAAAF/e/xA=")</f>
        <v>#VALUE!</v>
      </c>
      <c r="R30" t="e">
        <f>AND(Answers!BS83,"AAAAAF/e/xE=")</f>
        <v>#VALUE!</v>
      </c>
      <c r="S30" t="e">
        <f>AND(Answers!BU83,"AAAAAF/e/xI=")</f>
        <v>#VALUE!</v>
      </c>
      <c r="T30" t="e">
        <f>AND(Answers!BV83,"AAAAAF/e/xM=")</f>
        <v>#VALUE!</v>
      </c>
      <c r="U30" t="e">
        <f>AND(Answers!#REF!,"AAAAAF/e/xQ=")</f>
        <v>#REF!</v>
      </c>
      <c r="V30" t="e">
        <f>AND(Answers!BW83,"AAAAAF/e/xU=")</f>
        <v>#VALUE!</v>
      </c>
      <c r="W30" t="e">
        <f>AND(Answers!BX83,"AAAAAF/e/xY=")</f>
        <v>#VALUE!</v>
      </c>
      <c r="X30" t="e">
        <f>AND(Answers!BY83,"AAAAAF/e/xc=")</f>
        <v>#VALUE!</v>
      </c>
      <c r="Y30" t="e">
        <f>AND(Answers!BZ83,"AAAAAF/e/xg=")</f>
        <v>#VALUE!</v>
      </c>
      <c r="Z30" t="str">
        <f>IF(Answers!84:84,"AAAAAF/e/xk=",0)</f>
        <v>AAAAAF/e/xk=</v>
      </c>
      <c r="AA30" t="e">
        <f>AND(Answers!A84,"AAAAAF/e/xo=")</f>
        <v>#VALUE!</v>
      </c>
      <c r="AB30" t="e">
        <f>AND(Answers!B84,"AAAAAF/e/xs=")</f>
        <v>#VALUE!</v>
      </c>
      <c r="AC30" t="e">
        <f>AND(Answers!C84,"AAAAAF/e/xw=")</f>
        <v>#VALUE!</v>
      </c>
      <c r="AD30" t="e">
        <f>AND(Answers!D84,"AAAAAF/e/x0=")</f>
        <v>#VALUE!</v>
      </c>
      <c r="AE30" t="e">
        <f>AND(Answers!E84,"AAAAAF/e/x4=")</f>
        <v>#VALUE!</v>
      </c>
      <c r="AF30" t="e">
        <f>AND(Answers!F84,"AAAAAF/e/x8=")</f>
        <v>#VALUE!</v>
      </c>
      <c r="AG30" t="e">
        <f>AND(Answers!G84,"AAAAAF/e/yA=")</f>
        <v>#VALUE!</v>
      </c>
      <c r="AH30" t="e">
        <f>AND(Answers!H84,"AAAAAF/e/yE=")</f>
        <v>#VALUE!</v>
      </c>
      <c r="AI30" t="e">
        <f>AND(Answers!J84,"AAAAAF/e/yI=")</f>
        <v>#VALUE!</v>
      </c>
      <c r="AJ30" t="e">
        <f>AND(Answers!K84,"AAAAAF/e/yM=")</f>
        <v>#VALUE!</v>
      </c>
      <c r="AK30" t="e">
        <f>AND(Answers!L84,"AAAAAF/e/yQ=")</f>
        <v>#VALUE!</v>
      </c>
      <c r="AL30" t="e">
        <f>AND(Answers!M84,"AAAAAF/e/yU=")</f>
        <v>#VALUE!</v>
      </c>
      <c r="AM30" t="e">
        <f>AND(Answers!N84,"AAAAAF/e/yY=")</f>
        <v>#VALUE!</v>
      </c>
      <c r="AN30" t="e">
        <f>AND(Answers!O84,"AAAAAF/e/yc=")</f>
        <v>#VALUE!</v>
      </c>
      <c r="AO30" t="e">
        <f>AND(Answers!P84,"AAAAAF/e/yg=")</f>
        <v>#VALUE!</v>
      </c>
      <c r="AP30" t="e">
        <f>AND(Answers!Q84,"AAAAAF/e/yk=")</f>
        <v>#VALUE!</v>
      </c>
      <c r="AQ30" t="e">
        <f>AND(Answers!R84,"AAAAAF/e/yo=")</f>
        <v>#VALUE!</v>
      </c>
      <c r="AR30" t="e">
        <f>AND(Answers!S84,"AAAAAF/e/ys=")</f>
        <v>#VALUE!</v>
      </c>
      <c r="AS30" t="e">
        <f>AND(Answers!T84,"AAAAAF/e/yw=")</f>
        <v>#VALUE!</v>
      </c>
      <c r="AT30" t="e">
        <f>AND(Answers!U84,"AAAAAF/e/y0=")</f>
        <v>#VALUE!</v>
      </c>
      <c r="AU30" t="e">
        <f>AND(Answers!V84,"AAAAAF/e/y4=")</f>
        <v>#VALUE!</v>
      </c>
      <c r="AV30" t="e">
        <f>AND(Answers!X84,"AAAAAF/e/y8=")</f>
        <v>#VALUE!</v>
      </c>
      <c r="AW30" t="e">
        <f>AND(Answers!Y84,"AAAAAF/e/zA=")</f>
        <v>#VALUE!</v>
      </c>
      <c r="AX30" t="e">
        <f>AND(Answers!Z84,"AAAAAF/e/zE=")</f>
        <v>#VALUE!</v>
      </c>
      <c r="AY30" t="e">
        <f>AND(Answers!AA84,"AAAAAF/e/zI=")</f>
        <v>#VALUE!</v>
      </c>
      <c r="AZ30" t="e">
        <f>AND(Answers!AB84,"AAAAAF/e/zM=")</f>
        <v>#VALUE!</v>
      </c>
      <c r="BA30" t="e">
        <f>AND(Answers!AC84,"AAAAAF/e/zQ=")</f>
        <v>#VALUE!</v>
      </c>
      <c r="BB30" t="e">
        <f>AND(Answers!AD84,"AAAAAF/e/zU=")</f>
        <v>#VALUE!</v>
      </c>
      <c r="BC30" t="e">
        <f>AND(Answers!AE84,"AAAAAF/e/zY=")</f>
        <v>#VALUE!</v>
      </c>
      <c r="BD30" t="e">
        <f>AND(Answers!AF84,"AAAAAF/e/zc=")</f>
        <v>#VALUE!</v>
      </c>
      <c r="BE30" t="e">
        <f>AND(Answers!AH84,"AAAAAF/e/zg=")</f>
        <v>#VALUE!</v>
      </c>
      <c r="BF30" t="e">
        <f>AND(Answers!AI84,"AAAAAF/e/zk=")</f>
        <v>#VALUE!</v>
      </c>
      <c r="BG30" t="e">
        <f>AND(Answers!AK84,"AAAAAF/e/zo=")</f>
        <v>#VALUE!</v>
      </c>
      <c r="BH30" t="e">
        <f>AND(Answers!#REF!,"AAAAAF/e/zs=")</f>
        <v>#REF!</v>
      </c>
      <c r="BI30" t="e">
        <f>AND(Answers!AR84,"AAAAAF/e/zw=")</f>
        <v>#VALUE!</v>
      </c>
      <c r="BJ30" t="e">
        <f>AND(Answers!AS84,"AAAAAF/e/z0=")</f>
        <v>#VALUE!</v>
      </c>
      <c r="BK30" t="e">
        <f>AND(Answers!AT84,"AAAAAF/e/z4=")</f>
        <v>#VALUE!</v>
      </c>
      <c r="BL30" t="e">
        <f>AND(Answers!AU84,"AAAAAF/e/z8=")</f>
        <v>#VALUE!</v>
      </c>
      <c r="BM30" t="e">
        <f>AND(Answers!AW84,"AAAAAF/e/0A=")</f>
        <v>#VALUE!</v>
      </c>
      <c r="BN30" t="e">
        <f>AND(Answers!AX84,"AAAAAF/e/0E=")</f>
        <v>#VALUE!</v>
      </c>
      <c r="BO30" t="e">
        <f>AND(Answers!AY84,"AAAAAF/e/0I=")</f>
        <v>#VALUE!</v>
      </c>
      <c r="BP30" t="e">
        <f>AND(Answers!AZ84,"AAAAAF/e/0M=")</f>
        <v>#VALUE!</v>
      </c>
      <c r="BQ30" t="e">
        <f>AND(Answers!BA84,"AAAAAF/e/0Q=")</f>
        <v>#VALUE!</v>
      </c>
      <c r="BR30" t="e">
        <f>AND(Answers!BB84,"AAAAAF/e/0U=")</f>
        <v>#VALUE!</v>
      </c>
      <c r="BS30" t="e">
        <f>AND(Answers!BC84,"AAAAAF/e/0Y=")</f>
        <v>#VALUE!</v>
      </c>
      <c r="BT30" t="e">
        <f>AND(Answers!BD84,"AAAAAF/e/0c=")</f>
        <v>#VALUE!</v>
      </c>
      <c r="BU30" t="e">
        <f>AND(Answers!BE84,"AAAAAF/e/0g=")</f>
        <v>#VALUE!</v>
      </c>
      <c r="BV30" t="e">
        <f>AND(Answers!BF84,"AAAAAF/e/0k=")</f>
        <v>#VALUE!</v>
      </c>
      <c r="BW30" t="e">
        <f>AND(Answers!BG84,"AAAAAF/e/0o=")</f>
        <v>#VALUE!</v>
      </c>
      <c r="BX30" t="e">
        <f>AND(Answers!BH84,"AAAAAF/e/0s=")</f>
        <v>#VALUE!</v>
      </c>
      <c r="BY30" t="e">
        <f>AND(Answers!BI84,"AAAAAF/e/0w=")</f>
        <v>#VALUE!</v>
      </c>
      <c r="BZ30" t="e">
        <f>AND(Answers!BK84,"AAAAAF/e/00=")</f>
        <v>#VALUE!</v>
      </c>
      <c r="CA30" t="e">
        <f>AND(Answers!BL84,"AAAAAF/e/04=")</f>
        <v>#VALUE!</v>
      </c>
      <c r="CB30" t="e">
        <f>AND(Answers!BM84,"AAAAAF/e/08=")</f>
        <v>#VALUE!</v>
      </c>
      <c r="CC30" t="e">
        <f>AND(Answers!BN84,"AAAAAF/e/1A=")</f>
        <v>#VALUE!</v>
      </c>
      <c r="CD30" t="e">
        <f>AND(Answers!BO84,"AAAAAF/e/1E=")</f>
        <v>#VALUE!</v>
      </c>
      <c r="CE30" t="e">
        <f>AND(Answers!BP84,"AAAAAF/e/1I=")</f>
        <v>#VALUE!</v>
      </c>
      <c r="CF30" t="e">
        <f>AND(Answers!BQ84,"AAAAAF/e/1M=")</f>
        <v>#VALUE!</v>
      </c>
      <c r="CG30" t="e">
        <f>AND(Answers!BR84,"AAAAAF/e/1Q=")</f>
        <v>#VALUE!</v>
      </c>
      <c r="CH30" t="e">
        <f>AND(Answers!BS84,"AAAAAF/e/1U=")</f>
        <v>#VALUE!</v>
      </c>
      <c r="CI30" t="e">
        <f>AND(Answers!BU84,"AAAAAF/e/1Y=")</f>
        <v>#VALUE!</v>
      </c>
      <c r="CJ30" t="e">
        <f>AND(Answers!BV84,"AAAAAF/e/1c=")</f>
        <v>#VALUE!</v>
      </c>
      <c r="CK30" t="e">
        <f>AND(Answers!#REF!,"AAAAAF/e/1g=")</f>
        <v>#REF!</v>
      </c>
      <c r="CL30" t="e">
        <f>AND(Answers!BW84,"AAAAAF/e/1k=")</f>
        <v>#VALUE!</v>
      </c>
      <c r="CM30" t="e">
        <f>AND(Answers!BX84,"AAAAAF/e/1o=")</f>
        <v>#VALUE!</v>
      </c>
      <c r="CN30" t="e">
        <f>AND(Answers!BY84,"AAAAAF/e/1s=")</f>
        <v>#VALUE!</v>
      </c>
      <c r="CO30" t="e">
        <f>AND(Answers!BZ84,"AAAAAF/e/1w=")</f>
        <v>#VALUE!</v>
      </c>
      <c r="CP30">
        <f>IF(Answers!85:85,"AAAAAF/e/10=",0)</f>
        <v>0</v>
      </c>
      <c r="CQ30" t="e">
        <f>AND(Answers!A85,"AAAAAF/e/14=")</f>
        <v>#VALUE!</v>
      </c>
      <c r="CR30" t="e">
        <f>AND(Answers!B85,"AAAAAF/e/18=")</f>
        <v>#VALUE!</v>
      </c>
      <c r="CS30" t="e">
        <f>AND(Answers!C85,"AAAAAF/e/2A=")</f>
        <v>#VALUE!</v>
      </c>
      <c r="CT30" t="e">
        <f>AND(Answers!D85,"AAAAAF/e/2E=")</f>
        <v>#VALUE!</v>
      </c>
      <c r="CU30" t="e">
        <f>AND(Answers!E85,"AAAAAF/e/2I=")</f>
        <v>#VALUE!</v>
      </c>
      <c r="CV30" t="e">
        <f>AND(Answers!F85,"AAAAAF/e/2M=")</f>
        <v>#VALUE!</v>
      </c>
      <c r="CW30" t="e">
        <f>AND(Answers!G85,"AAAAAF/e/2Q=")</f>
        <v>#VALUE!</v>
      </c>
      <c r="CX30" t="e">
        <f>AND(Answers!H85,"AAAAAF/e/2U=")</f>
        <v>#VALUE!</v>
      </c>
      <c r="CY30" t="e">
        <f>AND(Answers!J85,"AAAAAF/e/2Y=")</f>
        <v>#VALUE!</v>
      </c>
      <c r="CZ30" t="e">
        <f>AND(Answers!K85,"AAAAAF/e/2c=")</f>
        <v>#VALUE!</v>
      </c>
      <c r="DA30" t="e">
        <f>AND(Answers!L85,"AAAAAF/e/2g=")</f>
        <v>#VALUE!</v>
      </c>
      <c r="DB30" t="e">
        <f>AND(Answers!M85,"AAAAAF/e/2k=")</f>
        <v>#VALUE!</v>
      </c>
      <c r="DC30" t="e">
        <f>AND(Answers!N85,"AAAAAF/e/2o=")</f>
        <v>#VALUE!</v>
      </c>
      <c r="DD30" t="e">
        <f>AND(Answers!O85,"AAAAAF/e/2s=")</f>
        <v>#VALUE!</v>
      </c>
      <c r="DE30" t="e">
        <f>AND(Answers!P85,"AAAAAF/e/2w=")</f>
        <v>#VALUE!</v>
      </c>
      <c r="DF30" t="e">
        <f>AND(Answers!Q85,"AAAAAF/e/20=")</f>
        <v>#VALUE!</v>
      </c>
      <c r="DG30" t="e">
        <f>AND(Answers!R85,"AAAAAF/e/24=")</f>
        <v>#VALUE!</v>
      </c>
      <c r="DH30" t="e">
        <f>AND(Answers!S85,"AAAAAF/e/28=")</f>
        <v>#VALUE!</v>
      </c>
      <c r="DI30" t="e">
        <f>AND(Answers!T85,"AAAAAF/e/3A=")</f>
        <v>#VALUE!</v>
      </c>
      <c r="DJ30" t="e">
        <f>AND(Answers!U85,"AAAAAF/e/3E=")</f>
        <v>#VALUE!</v>
      </c>
      <c r="DK30" t="e">
        <f>AND(Answers!V85,"AAAAAF/e/3I=")</f>
        <v>#VALUE!</v>
      </c>
      <c r="DL30" t="e">
        <f>AND(Answers!X85,"AAAAAF/e/3M=")</f>
        <v>#VALUE!</v>
      </c>
      <c r="DM30" t="e">
        <f>AND(Answers!Y85,"AAAAAF/e/3Q=")</f>
        <v>#VALUE!</v>
      </c>
      <c r="DN30" t="e">
        <f>AND(Answers!Z85,"AAAAAF/e/3U=")</f>
        <v>#VALUE!</v>
      </c>
      <c r="DO30" t="e">
        <f>AND(Answers!AA85,"AAAAAF/e/3Y=")</f>
        <v>#VALUE!</v>
      </c>
      <c r="DP30" t="e">
        <f>AND(Answers!AB85,"AAAAAF/e/3c=")</f>
        <v>#VALUE!</v>
      </c>
      <c r="DQ30" t="e">
        <f>AND(Answers!AC85,"AAAAAF/e/3g=")</f>
        <v>#VALUE!</v>
      </c>
      <c r="DR30" t="e">
        <f>AND(Answers!AD85,"AAAAAF/e/3k=")</f>
        <v>#VALUE!</v>
      </c>
      <c r="DS30" t="e">
        <f>AND(Answers!AE85,"AAAAAF/e/3o=")</f>
        <v>#VALUE!</v>
      </c>
      <c r="DT30" t="e">
        <f>AND(Answers!AF85,"AAAAAF/e/3s=")</f>
        <v>#VALUE!</v>
      </c>
      <c r="DU30" t="e">
        <f>AND(Answers!AH85,"AAAAAF/e/3w=")</f>
        <v>#VALUE!</v>
      </c>
      <c r="DV30" t="e">
        <f>AND(Answers!AI85,"AAAAAF/e/30=")</f>
        <v>#VALUE!</v>
      </c>
      <c r="DW30" t="e">
        <f>AND(Answers!AK85,"AAAAAF/e/34=")</f>
        <v>#VALUE!</v>
      </c>
      <c r="DX30" t="e">
        <f>AND(Answers!#REF!,"AAAAAF/e/38=")</f>
        <v>#REF!</v>
      </c>
      <c r="DY30" t="e">
        <f>AND(Answers!AR85,"AAAAAF/e/4A=")</f>
        <v>#VALUE!</v>
      </c>
      <c r="DZ30" t="e">
        <f>AND(Answers!AS85,"AAAAAF/e/4E=")</f>
        <v>#VALUE!</v>
      </c>
      <c r="EA30" t="e">
        <f>AND(Answers!AT85,"AAAAAF/e/4I=")</f>
        <v>#VALUE!</v>
      </c>
      <c r="EB30" t="e">
        <f>AND(Answers!AU85,"AAAAAF/e/4M=")</f>
        <v>#VALUE!</v>
      </c>
      <c r="EC30" t="e">
        <f>AND(Answers!AW85,"AAAAAF/e/4Q=")</f>
        <v>#VALUE!</v>
      </c>
      <c r="ED30" t="e">
        <f>AND(Answers!AX85,"AAAAAF/e/4U=")</f>
        <v>#VALUE!</v>
      </c>
      <c r="EE30" t="e">
        <f>AND(Answers!AY85,"AAAAAF/e/4Y=")</f>
        <v>#VALUE!</v>
      </c>
      <c r="EF30" t="e">
        <f>AND(Answers!AZ85,"AAAAAF/e/4c=")</f>
        <v>#VALUE!</v>
      </c>
      <c r="EG30" t="e">
        <f>AND(Answers!BA85,"AAAAAF/e/4g=")</f>
        <v>#VALUE!</v>
      </c>
      <c r="EH30" t="e">
        <f>AND(Answers!BB85,"AAAAAF/e/4k=")</f>
        <v>#VALUE!</v>
      </c>
      <c r="EI30" t="e">
        <f>AND(Answers!BC85,"AAAAAF/e/4o=")</f>
        <v>#VALUE!</v>
      </c>
      <c r="EJ30" t="e">
        <f>AND(Answers!BD85,"AAAAAF/e/4s=")</f>
        <v>#VALUE!</v>
      </c>
      <c r="EK30" t="e">
        <f>AND(Answers!BE85,"AAAAAF/e/4w=")</f>
        <v>#VALUE!</v>
      </c>
      <c r="EL30" t="e">
        <f>AND(Answers!BF85,"AAAAAF/e/40=")</f>
        <v>#VALUE!</v>
      </c>
      <c r="EM30" t="e">
        <f>AND(Answers!BG85,"AAAAAF/e/44=")</f>
        <v>#VALUE!</v>
      </c>
      <c r="EN30" t="e">
        <f>AND(Answers!BH85,"AAAAAF/e/48=")</f>
        <v>#VALUE!</v>
      </c>
      <c r="EO30" t="e">
        <f>AND(Answers!BI85,"AAAAAF/e/5A=")</f>
        <v>#VALUE!</v>
      </c>
      <c r="EP30" t="e">
        <f>AND(Answers!BK85,"AAAAAF/e/5E=")</f>
        <v>#VALUE!</v>
      </c>
      <c r="EQ30" t="e">
        <f>AND(Answers!BL85,"AAAAAF/e/5I=")</f>
        <v>#VALUE!</v>
      </c>
      <c r="ER30" t="e">
        <f>AND(Answers!BM85,"AAAAAF/e/5M=")</f>
        <v>#VALUE!</v>
      </c>
      <c r="ES30" t="e">
        <f>AND(Answers!BN85,"AAAAAF/e/5Q=")</f>
        <v>#VALUE!</v>
      </c>
      <c r="ET30" t="e">
        <f>AND(Answers!BO85,"AAAAAF/e/5U=")</f>
        <v>#VALUE!</v>
      </c>
      <c r="EU30" t="e">
        <f>AND(Answers!BP85,"AAAAAF/e/5Y=")</f>
        <v>#VALUE!</v>
      </c>
      <c r="EV30" t="e">
        <f>AND(Answers!BQ85,"AAAAAF/e/5c=")</f>
        <v>#VALUE!</v>
      </c>
      <c r="EW30" t="e">
        <f>AND(Answers!BR85,"AAAAAF/e/5g=")</f>
        <v>#VALUE!</v>
      </c>
      <c r="EX30" t="e">
        <f>AND(Answers!BS85,"AAAAAF/e/5k=")</f>
        <v>#VALUE!</v>
      </c>
      <c r="EY30" t="e">
        <f>AND(Answers!BU85,"AAAAAF/e/5o=")</f>
        <v>#VALUE!</v>
      </c>
      <c r="EZ30" t="e">
        <f>AND(Answers!BV85,"AAAAAF/e/5s=")</f>
        <v>#VALUE!</v>
      </c>
      <c r="FA30" t="e">
        <f>AND(Answers!#REF!,"AAAAAF/e/5w=")</f>
        <v>#REF!</v>
      </c>
      <c r="FB30" t="e">
        <f>AND(Answers!BW85,"AAAAAF/e/50=")</f>
        <v>#VALUE!</v>
      </c>
      <c r="FC30" t="e">
        <f>AND(Answers!BX85,"AAAAAF/e/54=")</f>
        <v>#VALUE!</v>
      </c>
      <c r="FD30" t="e">
        <f>AND(Answers!BY85,"AAAAAF/e/58=")</f>
        <v>#VALUE!</v>
      </c>
      <c r="FE30" t="e">
        <f>AND(Answers!BZ85,"AAAAAF/e/6A=")</f>
        <v>#VALUE!</v>
      </c>
      <c r="FF30">
        <f>IF(Answers!86:86,"AAAAAF/e/6E=",0)</f>
        <v>0</v>
      </c>
      <c r="FG30" t="e">
        <f>AND(Answers!A86,"AAAAAF/e/6I=")</f>
        <v>#VALUE!</v>
      </c>
      <c r="FH30" t="e">
        <f>AND(Answers!B86,"AAAAAF/e/6M=")</f>
        <v>#VALUE!</v>
      </c>
      <c r="FI30" t="e">
        <f>AND(Answers!C86,"AAAAAF/e/6Q=")</f>
        <v>#VALUE!</v>
      </c>
      <c r="FJ30" t="e">
        <f>AND(Answers!D86,"AAAAAF/e/6U=")</f>
        <v>#VALUE!</v>
      </c>
      <c r="FK30" t="e">
        <f>AND(Answers!E86,"AAAAAF/e/6Y=")</f>
        <v>#VALUE!</v>
      </c>
      <c r="FL30" t="e">
        <f>AND(Answers!F86,"AAAAAF/e/6c=")</f>
        <v>#VALUE!</v>
      </c>
      <c r="FM30" t="e">
        <f>AND(Answers!G86,"AAAAAF/e/6g=")</f>
        <v>#VALUE!</v>
      </c>
      <c r="FN30" t="e">
        <f>AND(Answers!H86,"AAAAAF/e/6k=")</f>
        <v>#VALUE!</v>
      </c>
      <c r="FO30" t="e">
        <f>AND(Answers!J86,"AAAAAF/e/6o=")</f>
        <v>#VALUE!</v>
      </c>
      <c r="FP30" t="e">
        <f>AND(Answers!K86,"AAAAAF/e/6s=")</f>
        <v>#VALUE!</v>
      </c>
      <c r="FQ30" t="e">
        <f>AND(Answers!L86,"AAAAAF/e/6w=")</f>
        <v>#VALUE!</v>
      </c>
      <c r="FR30" t="e">
        <f>AND(Answers!M86,"AAAAAF/e/60=")</f>
        <v>#VALUE!</v>
      </c>
      <c r="FS30" t="e">
        <f>AND(Answers!N86,"AAAAAF/e/64=")</f>
        <v>#VALUE!</v>
      </c>
      <c r="FT30" t="e">
        <f>AND(Answers!O86,"AAAAAF/e/68=")</f>
        <v>#VALUE!</v>
      </c>
      <c r="FU30" t="e">
        <f>AND(Answers!P86,"AAAAAF/e/7A=")</f>
        <v>#VALUE!</v>
      </c>
      <c r="FV30" t="e">
        <f>AND(Answers!Q86,"AAAAAF/e/7E=")</f>
        <v>#VALUE!</v>
      </c>
      <c r="FW30" t="e">
        <f>AND(Answers!R86,"AAAAAF/e/7I=")</f>
        <v>#VALUE!</v>
      </c>
      <c r="FX30" t="e">
        <f>AND(Answers!S86,"AAAAAF/e/7M=")</f>
        <v>#VALUE!</v>
      </c>
      <c r="FY30" t="e">
        <f>AND(Answers!T86,"AAAAAF/e/7Q=")</f>
        <v>#VALUE!</v>
      </c>
      <c r="FZ30" t="e">
        <f>AND(Answers!U86,"AAAAAF/e/7U=")</f>
        <v>#VALUE!</v>
      </c>
      <c r="GA30" t="e">
        <f>AND(Answers!V86,"AAAAAF/e/7Y=")</f>
        <v>#VALUE!</v>
      </c>
      <c r="GB30" t="e">
        <f>AND(Answers!X86,"AAAAAF/e/7c=")</f>
        <v>#VALUE!</v>
      </c>
      <c r="GC30" t="e">
        <f>AND(Answers!Y86,"AAAAAF/e/7g=")</f>
        <v>#VALUE!</v>
      </c>
      <c r="GD30" t="e">
        <f>AND(Answers!Z86,"AAAAAF/e/7k=")</f>
        <v>#VALUE!</v>
      </c>
      <c r="GE30" t="e">
        <f>AND(Answers!AA86,"AAAAAF/e/7o=")</f>
        <v>#VALUE!</v>
      </c>
      <c r="GF30" t="e">
        <f>AND(Answers!AB86,"AAAAAF/e/7s=")</f>
        <v>#VALUE!</v>
      </c>
      <c r="GG30" t="e">
        <f>AND(Answers!AC86,"AAAAAF/e/7w=")</f>
        <v>#VALUE!</v>
      </c>
      <c r="GH30" t="e">
        <f>AND(Answers!AD86,"AAAAAF/e/70=")</f>
        <v>#VALUE!</v>
      </c>
      <c r="GI30" t="e">
        <f>AND(Answers!AE86,"AAAAAF/e/74=")</f>
        <v>#VALUE!</v>
      </c>
      <c r="GJ30" t="e">
        <f>AND(Answers!AF86,"AAAAAF/e/78=")</f>
        <v>#VALUE!</v>
      </c>
      <c r="GK30" t="e">
        <f>AND(Answers!AH86,"AAAAAF/e/8A=")</f>
        <v>#VALUE!</v>
      </c>
      <c r="GL30" t="e">
        <f>AND(Answers!AI86,"AAAAAF/e/8E=")</f>
        <v>#VALUE!</v>
      </c>
      <c r="GM30" t="e">
        <f>AND(Answers!AK86,"AAAAAF/e/8I=")</f>
        <v>#VALUE!</v>
      </c>
      <c r="GN30" t="e">
        <f>AND(Answers!#REF!,"AAAAAF/e/8M=")</f>
        <v>#REF!</v>
      </c>
      <c r="GO30" t="e">
        <f>AND(Answers!AR86,"AAAAAF/e/8Q=")</f>
        <v>#VALUE!</v>
      </c>
      <c r="GP30" t="e">
        <f>AND(Answers!AS86,"AAAAAF/e/8U=")</f>
        <v>#VALUE!</v>
      </c>
      <c r="GQ30" t="e">
        <f>AND(Answers!AT86,"AAAAAF/e/8Y=")</f>
        <v>#VALUE!</v>
      </c>
      <c r="GR30" t="e">
        <f>AND(Answers!AU86,"AAAAAF/e/8c=")</f>
        <v>#VALUE!</v>
      </c>
      <c r="GS30" t="e">
        <f>AND(Answers!AW86,"AAAAAF/e/8g=")</f>
        <v>#VALUE!</v>
      </c>
      <c r="GT30" t="e">
        <f>AND(Answers!AX86,"AAAAAF/e/8k=")</f>
        <v>#VALUE!</v>
      </c>
      <c r="GU30" t="e">
        <f>AND(Answers!AY86,"AAAAAF/e/8o=")</f>
        <v>#VALUE!</v>
      </c>
      <c r="GV30" t="e">
        <f>AND(Answers!AZ86,"AAAAAF/e/8s=")</f>
        <v>#VALUE!</v>
      </c>
      <c r="GW30" t="e">
        <f>AND(Answers!BA86,"AAAAAF/e/8w=")</f>
        <v>#VALUE!</v>
      </c>
      <c r="GX30" t="e">
        <f>AND(Answers!BB86,"AAAAAF/e/80=")</f>
        <v>#VALUE!</v>
      </c>
      <c r="GY30" t="e">
        <f>AND(Answers!BC86,"AAAAAF/e/84=")</f>
        <v>#VALUE!</v>
      </c>
      <c r="GZ30" t="e">
        <f>AND(Answers!BD86,"AAAAAF/e/88=")</f>
        <v>#VALUE!</v>
      </c>
      <c r="HA30" t="e">
        <f>AND(Answers!BE86,"AAAAAF/e/9A=")</f>
        <v>#VALUE!</v>
      </c>
      <c r="HB30" t="e">
        <f>AND(Answers!BF86,"AAAAAF/e/9E=")</f>
        <v>#VALUE!</v>
      </c>
      <c r="HC30" t="e">
        <f>AND(Answers!BG86,"AAAAAF/e/9I=")</f>
        <v>#VALUE!</v>
      </c>
      <c r="HD30" t="e">
        <f>AND(Answers!BH86,"AAAAAF/e/9M=")</f>
        <v>#VALUE!</v>
      </c>
      <c r="HE30" t="e">
        <f>AND(Answers!BI86,"AAAAAF/e/9Q=")</f>
        <v>#VALUE!</v>
      </c>
      <c r="HF30" t="e">
        <f>AND(Answers!BK86,"AAAAAF/e/9U=")</f>
        <v>#VALUE!</v>
      </c>
      <c r="HG30" t="e">
        <f>AND(Answers!BL86,"AAAAAF/e/9Y=")</f>
        <v>#VALUE!</v>
      </c>
      <c r="HH30" t="e">
        <f>AND(Answers!BM86,"AAAAAF/e/9c=")</f>
        <v>#VALUE!</v>
      </c>
      <c r="HI30" t="e">
        <f>AND(Answers!BN86,"AAAAAF/e/9g=")</f>
        <v>#VALUE!</v>
      </c>
      <c r="HJ30" t="e">
        <f>AND(Answers!BO86,"AAAAAF/e/9k=")</f>
        <v>#VALUE!</v>
      </c>
      <c r="HK30" t="e">
        <f>AND(Answers!BP86,"AAAAAF/e/9o=")</f>
        <v>#VALUE!</v>
      </c>
      <c r="HL30" t="e">
        <f>AND(Answers!BQ86,"AAAAAF/e/9s=")</f>
        <v>#VALUE!</v>
      </c>
      <c r="HM30" t="e">
        <f>AND(Answers!BR86,"AAAAAF/e/9w=")</f>
        <v>#VALUE!</v>
      </c>
      <c r="HN30" t="e">
        <f>AND(Answers!BS86,"AAAAAF/e/90=")</f>
        <v>#VALUE!</v>
      </c>
      <c r="HO30" t="e">
        <f>AND(Answers!BU86,"AAAAAF/e/94=")</f>
        <v>#VALUE!</v>
      </c>
      <c r="HP30" t="e">
        <f>AND(Answers!BV86,"AAAAAF/e/98=")</f>
        <v>#VALUE!</v>
      </c>
      <c r="HQ30" t="e">
        <f>AND(Answers!#REF!,"AAAAAF/e/+A=")</f>
        <v>#REF!</v>
      </c>
      <c r="HR30" t="e">
        <f>AND(Answers!BW86,"AAAAAF/e/+E=")</f>
        <v>#VALUE!</v>
      </c>
      <c r="HS30" t="e">
        <f>AND(Answers!BX86,"AAAAAF/e/+I=")</f>
        <v>#VALUE!</v>
      </c>
      <c r="HT30" t="e">
        <f>AND(Answers!BY86,"AAAAAF/e/+M=")</f>
        <v>#VALUE!</v>
      </c>
      <c r="HU30" t="e">
        <f>AND(Answers!BZ86,"AAAAAF/e/+Q=")</f>
        <v>#VALUE!</v>
      </c>
      <c r="HV30" t="e">
        <f>IF(Answers!#REF!,"AAAAAF/e/+U=",0)</f>
        <v>#REF!</v>
      </c>
      <c r="HW30" t="e">
        <f>AND(Answers!#REF!,"AAAAAF/e/+Y=")</f>
        <v>#REF!</v>
      </c>
      <c r="HX30" t="e">
        <f>AND(Answers!#REF!,"AAAAAF/e/+c=")</f>
        <v>#REF!</v>
      </c>
      <c r="HY30" t="e">
        <f>AND(Answers!#REF!,"AAAAAF/e/+g=")</f>
        <v>#REF!</v>
      </c>
      <c r="HZ30" t="e">
        <f>AND(Answers!#REF!,"AAAAAF/e/+k=")</f>
        <v>#REF!</v>
      </c>
      <c r="IA30" t="e">
        <f>AND(Answers!#REF!,"AAAAAF/e/+o=")</f>
        <v>#REF!</v>
      </c>
      <c r="IB30" t="e">
        <f>AND(Answers!#REF!,"AAAAAF/e/+s=")</f>
        <v>#REF!</v>
      </c>
      <c r="IC30" t="e">
        <f>AND(Answers!#REF!,"AAAAAF/e/+w=")</f>
        <v>#REF!</v>
      </c>
      <c r="ID30" t="e">
        <f>AND(Answers!#REF!,"AAAAAF/e/+0=")</f>
        <v>#REF!</v>
      </c>
      <c r="IE30" t="e">
        <f>AND(Answers!#REF!,"AAAAAF/e/+4=")</f>
        <v>#REF!</v>
      </c>
      <c r="IF30" t="e">
        <f>AND(Answers!#REF!,"AAAAAF/e/+8=")</f>
        <v>#REF!</v>
      </c>
      <c r="IG30" t="e">
        <f>AND(Answers!#REF!,"AAAAAF/e//A=")</f>
        <v>#REF!</v>
      </c>
      <c r="IH30" t="e">
        <f>AND(Answers!#REF!,"AAAAAF/e//E=")</f>
        <v>#REF!</v>
      </c>
      <c r="II30" t="e">
        <f>AND(Answers!#REF!,"AAAAAF/e//I=")</f>
        <v>#REF!</v>
      </c>
      <c r="IJ30" t="e">
        <f>AND(Answers!#REF!,"AAAAAF/e//M=")</f>
        <v>#REF!</v>
      </c>
      <c r="IK30" t="e">
        <f>AND(Answers!#REF!,"AAAAAF/e//Q=")</f>
        <v>#REF!</v>
      </c>
      <c r="IL30" t="e">
        <f>AND(Answers!#REF!,"AAAAAF/e//U=")</f>
        <v>#REF!</v>
      </c>
      <c r="IM30" t="e">
        <f>AND(Answers!#REF!,"AAAAAF/e//Y=")</f>
        <v>#REF!</v>
      </c>
      <c r="IN30" t="e">
        <f>AND(Answers!#REF!,"AAAAAF/e//c=")</f>
        <v>#REF!</v>
      </c>
      <c r="IO30" t="e">
        <f>AND(Answers!#REF!,"AAAAAF/e//g=")</f>
        <v>#REF!</v>
      </c>
      <c r="IP30" t="e">
        <f>AND(Answers!#REF!,"AAAAAF/e//k=")</f>
        <v>#REF!</v>
      </c>
      <c r="IQ30" t="e">
        <f>AND(Answers!#REF!,"AAAAAF/e//o=")</f>
        <v>#REF!</v>
      </c>
      <c r="IR30" t="e">
        <f>AND(Answers!#REF!,"AAAAAF/e//s=")</f>
        <v>#REF!</v>
      </c>
      <c r="IS30" t="e">
        <f>AND(Answers!#REF!,"AAAAAF/e//w=")</f>
        <v>#REF!</v>
      </c>
      <c r="IT30" t="e">
        <f>AND(Answers!#REF!,"AAAAAF/e//0=")</f>
        <v>#REF!</v>
      </c>
      <c r="IU30" t="e">
        <f>AND(Answers!#REF!,"AAAAAF/e//4=")</f>
        <v>#REF!</v>
      </c>
      <c r="IV30" t="e">
        <f>AND(Answers!#REF!,"AAAAAF/e//8=")</f>
        <v>#REF!</v>
      </c>
    </row>
    <row r="31" spans="1:256" x14ac:dyDescent="0.15">
      <c r="A31" t="e">
        <f>AND(Answers!#REF!,"AAAAAFr/9gA=")</f>
        <v>#REF!</v>
      </c>
      <c r="B31" t="e">
        <f>AND(Answers!#REF!,"AAAAAFr/9gE=")</f>
        <v>#REF!</v>
      </c>
      <c r="C31" t="e">
        <f>AND(Answers!#REF!,"AAAAAFr/9gI=")</f>
        <v>#REF!</v>
      </c>
      <c r="D31" t="e">
        <f>AND(Answers!#REF!,"AAAAAFr/9gM=")</f>
        <v>#REF!</v>
      </c>
      <c r="E31" t="e">
        <f>AND(Answers!#REF!,"AAAAAFr/9gQ=")</f>
        <v>#REF!</v>
      </c>
      <c r="F31" t="e">
        <f>AND(Answers!#REF!,"AAAAAFr/9gU=")</f>
        <v>#REF!</v>
      </c>
      <c r="G31" t="e">
        <f>AND(Answers!#REF!,"AAAAAFr/9gY=")</f>
        <v>#REF!</v>
      </c>
      <c r="H31" t="e">
        <f>AND(Answers!#REF!,"AAAAAFr/9gc=")</f>
        <v>#REF!</v>
      </c>
      <c r="I31" t="e">
        <f>AND(Answers!#REF!,"AAAAAFr/9gg=")</f>
        <v>#REF!</v>
      </c>
      <c r="J31" t="e">
        <f>AND(Answers!#REF!,"AAAAAFr/9gk=")</f>
        <v>#REF!</v>
      </c>
      <c r="K31" t="e">
        <f>AND(Answers!#REF!,"AAAAAFr/9go=")</f>
        <v>#REF!</v>
      </c>
      <c r="L31" t="e">
        <f>AND(Answers!#REF!,"AAAAAFr/9gs=")</f>
        <v>#REF!</v>
      </c>
      <c r="M31" t="e">
        <f>AND(Answers!#REF!,"AAAAAFr/9gw=")</f>
        <v>#REF!</v>
      </c>
      <c r="N31" t="e">
        <f>AND(Answers!#REF!,"AAAAAFr/9g0=")</f>
        <v>#REF!</v>
      </c>
      <c r="O31" t="e">
        <f>AND(Answers!#REF!,"AAAAAFr/9g4=")</f>
        <v>#REF!</v>
      </c>
      <c r="P31" t="e">
        <f>AND(Answers!#REF!,"AAAAAFr/9g8=")</f>
        <v>#REF!</v>
      </c>
      <c r="Q31" t="e">
        <f>AND(Answers!#REF!,"AAAAAFr/9hA=")</f>
        <v>#REF!</v>
      </c>
      <c r="R31" t="e">
        <f>AND(Answers!#REF!,"AAAAAFr/9hE=")</f>
        <v>#REF!</v>
      </c>
      <c r="S31" t="e">
        <f>AND(Answers!#REF!,"AAAAAFr/9hI=")</f>
        <v>#REF!</v>
      </c>
      <c r="T31" t="e">
        <f>AND(Answers!#REF!,"AAAAAFr/9hM=")</f>
        <v>#REF!</v>
      </c>
      <c r="U31" t="e">
        <f>AND(Answers!#REF!,"AAAAAFr/9hQ=")</f>
        <v>#REF!</v>
      </c>
      <c r="V31" t="e">
        <f>AND(Answers!#REF!,"AAAAAFr/9hU=")</f>
        <v>#REF!</v>
      </c>
      <c r="W31" t="e">
        <f>AND(Answers!#REF!,"AAAAAFr/9hY=")</f>
        <v>#REF!</v>
      </c>
      <c r="X31" t="e">
        <f>AND(Answers!#REF!,"AAAAAFr/9hc=")</f>
        <v>#REF!</v>
      </c>
      <c r="Y31" t="e">
        <f>AND(Answers!#REF!,"AAAAAFr/9hg=")</f>
        <v>#REF!</v>
      </c>
      <c r="Z31" t="e">
        <f>AND(Answers!#REF!,"AAAAAFr/9hk=")</f>
        <v>#REF!</v>
      </c>
      <c r="AA31" t="e">
        <f>AND(Answers!#REF!,"AAAAAFr/9ho=")</f>
        <v>#REF!</v>
      </c>
      <c r="AB31" t="e">
        <f>AND(Answers!#REF!,"AAAAAFr/9hs=")</f>
        <v>#REF!</v>
      </c>
      <c r="AC31" t="e">
        <f>AND(Answers!#REF!,"AAAAAFr/9hw=")</f>
        <v>#REF!</v>
      </c>
      <c r="AD31" t="e">
        <f>AND(Answers!#REF!,"AAAAAFr/9h0=")</f>
        <v>#REF!</v>
      </c>
      <c r="AE31" t="e">
        <f>AND(Answers!#REF!,"AAAAAFr/9h4=")</f>
        <v>#REF!</v>
      </c>
      <c r="AF31" t="e">
        <f>AND(Answers!#REF!,"AAAAAFr/9h8=")</f>
        <v>#REF!</v>
      </c>
      <c r="AG31" t="e">
        <f>AND(Answers!#REF!,"AAAAAFr/9iA=")</f>
        <v>#REF!</v>
      </c>
      <c r="AH31" t="e">
        <f>AND(Answers!#REF!,"AAAAAFr/9iE=")</f>
        <v>#REF!</v>
      </c>
      <c r="AI31" t="e">
        <f>AND(Answers!#REF!,"AAAAAFr/9iI=")</f>
        <v>#REF!</v>
      </c>
      <c r="AJ31" t="e">
        <f>AND(Answers!#REF!,"AAAAAFr/9iM=")</f>
        <v>#REF!</v>
      </c>
      <c r="AK31" t="e">
        <f>AND(Answers!#REF!,"AAAAAFr/9iQ=")</f>
        <v>#REF!</v>
      </c>
      <c r="AL31" t="e">
        <f>AND(Answers!#REF!,"AAAAAFr/9iU=")</f>
        <v>#REF!</v>
      </c>
      <c r="AM31" t="e">
        <f>AND(Answers!#REF!,"AAAAAFr/9iY=")</f>
        <v>#REF!</v>
      </c>
      <c r="AN31" t="e">
        <f>AND(Answers!#REF!,"AAAAAFr/9ic=")</f>
        <v>#REF!</v>
      </c>
      <c r="AO31" t="e">
        <f>AND(Answers!#REF!,"AAAAAFr/9ig=")</f>
        <v>#REF!</v>
      </c>
      <c r="AP31" t="e">
        <f>IF(Answers!87:87,"AAAAAFr/9ik=",0)</f>
        <v>#VALUE!</v>
      </c>
      <c r="AQ31" t="e">
        <f>AND(Answers!A87,"AAAAAFr/9io=")</f>
        <v>#VALUE!</v>
      </c>
      <c r="AR31" t="e">
        <f>AND(Answers!B87,"AAAAAFr/9is=")</f>
        <v>#VALUE!</v>
      </c>
      <c r="AS31" t="e">
        <f>AND(Answers!C87,"AAAAAFr/9iw=")</f>
        <v>#VALUE!</v>
      </c>
      <c r="AT31" t="e">
        <f>AND(Answers!D87,"AAAAAFr/9i0=")</f>
        <v>#VALUE!</v>
      </c>
      <c r="AU31" t="e">
        <f>AND(Answers!E87,"AAAAAFr/9i4=")</f>
        <v>#VALUE!</v>
      </c>
      <c r="AV31" t="e">
        <f>AND(Answers!F87,"AAAAAFr/9i8=")</f>
        <v>#VALUE!</v>
      </c>
      <c r="AW31" t="e">
        <f>AND(Answers!G87,"AAAAAFr/9jA=")</f>
        <v>#VALUE!</v>
      </c>
      <c r="AX31" t="e">
        <f>AND(Answers!H87,"AAAAAFr/9jE=")</f>
        <v>#VALUE!</v>
      </c>
      <c r="AY31" t="e">
        <f>AND(Answers!J87,"AAAAAFr/9jI=")</f>
        <v>#VALUE!</v>
      </c>
      <c r="AZ31" t="e">
        <f>AND(Answers!K87,"AAAAAFr/9jM=")</f>
        <v>#VALUE!</v>
      </c>
      <c r="BA31" t="e">
        <f>AND(Answers!L87,"AAAAAFr/9jQ=")</f>
        <v>#VALUE!</v>
      </c>
      <c r="BB31" t="e">
        <f>AND(Answers!M87,"AAAAAFr/9jU=")</f>
        <v>#VALUE!</v>
      </c>
      <c r="BC31" t="e">
        <f>AND(Answers!N87,"AAAAAFr/9jY=")</f>
        <v>#VALUE!</v>
      </c>
      <c r="BD31" t="e">
        <f>AND(Answers!O87,"AAAAAFr/9jc=")</f>
        <v>#VALUE!</v>
      </c>
      <c r="BE31" t="e">
        <f>AND(Answers!P87,"AAAAAFr/9jg=")</f>
        <v>#VALUE!</v>
      </c>
      <c r="BF31" t="e">
        <f>AND(Answers!Q87,"AAAAAFr/9jk=")</f>
        <v>#VALUE!</v>
      </c>
      <c r="BG31" t="e">
        <f>AND(Answers!R87,"AAAAAFr/9jo=")</f>
        <v>#VALUE!</v>
      </c>
      <c r="BH31" t="e">
        <f>AND(Answers!S87,"AAAAAFr/9js=")</f>
        <v>#VALUE!</v>
      </c>
      <c r="BI31" t="e">
        <f>AND(Answers!T87,"AAAAAFr/9jw=")</f>
        <v>#VALUE!</v>
      </c>
      <c r="BJ31" t="e">
        <f>AND(Answers!U87,"AAAAAFr/9j0=")</f>
        <v>#VALUE!</v>
      </c>
      <c r="BK31" t="e">
        <f>AND(Answers!V87,"AAAAAFr/9j4=")</f>
        <v>#VALUE!</v>
      </c>
      <c r="BL31" t="e">
        <f>AND(Answers!X87,"AAAAAFr/9j8=")</f>
        <v>#VALUE!</v>
      </c>
      <c r="BM31" t="e">
        <f>AND(Answers!Y87,"AAAAAFr/9kA=")</f>
        <v>#VALUE!</v>
      </c>
      <c r="BN31" t="e">
        <f>AND(Answers!Z87,"AAAAAFr/9kE=")</f>
        <v>#VALUE!</v>
      </c>
      <c r="BO31" t="e">
        <f>AND(Answers!AA87,"AAAAAFr/9kI=")</f>
        <v>#VALUE!</v>
      </c>
      <c r="BP31" t="e">
        <f>AND(Answers!AB87,"AAAAAFr/9kM=")</f>
        <v>#VALUE!</v>
      </c>
      <c r="BQ31" t="e">
        <f>AND(Answers!AC87,"AAAAAFr/9kQ=")</f>
        <v>#VALUE!</v>
      </c>
      <c r="BR31" t="e">
        <f>AND(Answers!AD87,"AAAAAFr/9kU=")</f>
        <v>#VALUE!</v>
      </c>
      <c r="BS31" t="e">
        <f>AND(Answers!AE87,"AAAAAFr/9kY=")</f>
        <v>#VALUE!</v>
      </c>
      <c r="BT31" t="e">
        <f>AND(Answers!AF87,"AAAAAFr/9kc=")</f>
        <v>#VALUE!</v>
      </c>
      <c r="BU31" t="e">
        <f>AND(Answers!AH87,"AAAAAFr/9kg=")</f>
        <v>#VALUE!</v>
      </c>
      <c r="BV31" t="e">
        <f>AND(Answers!AI87,"AAAAAFr/9kk=")</f>
        <v>#VALUE!</v>
      </c>
      <c r="BW31" t="e">
        <f>AND(Answers!AK87,"AAAAAFr/9ko=")</f>
        <v>#VALUE!</v>
      </c>
      <c r="BX31" t="e">
        <f>AND(Answers!#REF!,"AAAAAFr/9ks=")</f>
        <v>#REF!</v>
      </c>
      <c r="BY31" t="e">
        <f>AND(Answers!AR87,"AAAAAFr/9kw=")</f>
        <v>#VALUE!</v>
      </c>
      <c r="BZ31" t="e">
        <f>AND(Answers!AS87,"AAAAAFr/9k0=")</f>
        <v>#VALUE!</v>
      </c>
      <c r="CA31" t="e">
        <f>AND(Answers!AT87,"AAAAAFr/9k4=")</f>
        <v>#VALUE!</v>
      </c>
      <c r="CB31" t="e">
        <f>AND(Answers!AU87,"AAAAAFr/9k8=")</f>
        <v>#VALUE!</v>
      </c>
      <c r="CC31" t="e">
        <f>AND(Answers!AW87,"AAAAAFr/9lA=")</f>
        <v>#VALUE!</v>
      </c>
      <c r="CD31" t="e">
        <f>AND(Answers!AX87,"AAAAAFr/9lE=")</f>
        <v>#VALUE!</v>
      </c>
      <c r="CE31" t="e">
        <f>AND(Answers!AY87,"AAAAAFr/9lI=")</f>
        <v>#VALUE!</v>
      </c>
      <c r="CF31" t="e">
        <f>AND(Answers!AZ87,"AAAAAFr/9lM=")</f>
        <v>#VALUE!</v>
      </c>
      <c r="CG31" t="e">
        <f>AND(Answers!BA87,"AAAAAFr/9lQ=")</f>
        <v>#VALUE!</v>
      </c>
      <c r="CH31" t="e">
        <f>AND(Answers!BB87,"AAAAAFr/9lU=")</f>
        <v>#VALUE!</v>
      </c>
      <c r="CI31" t="e">
        <f>AND(Answers!BC87,"AAAAAFr/9lY=")</f>
        <v>#VALUE!</v>
      </c>
      <c r="CJ31" t="e">
        <f>AND(Answers!BD87,"AAAAAFr/9lc=")</f>
        <v>#VALUE!</v>
      </c>
      <c r="CK31" t="e">
        <f>AND(Answers!BE87,"AAAAAFr/9lg=")</f>
        <v>#VALUE!</v>
      </c>
      <c r="CL31" t="e">
        <f>AND(Answers!BF87,"AAAAAFr/9lk=")</f>
        <v>#VALUE!</v>
      </c>
      <c r="CM31" t="e">
        <f>AND(Answers!BG87,"AAAAAFr/9lo=")</f>
        <v>#VALUE!</v>
      </c>
      <c r="CN31" t="e">
        <f>AND(Answers!BH87,"AAAAAFr/9ls=")</f>
        <v>#VALUE!</v>
      </c>
      <c r="CO31" t="e">
        <f>AND(Answers!BI87,"AAAAAFr/9lw=")</f>
        <v>#VALUE!</v>
      </c>
      <c r="CP31" t="e">
        <f>AND(Answers!BK87,"AAAAAFr/9l0=")</f>
        <v>#VALUE!</v>
      </c>
      <c r="CQ31" t="e">
        <f>AND(Answers!BL87,"AAAAAFr/9l4=")</f>
        <v>#VALUE!</v>
      </c>
      <c r="CR31" t="e">
        <f>AND(Answers!BM87,"AAAAAFr/9l8=")</f>
        <v>#VALUE!</v>
      </c>
      <c r="CS31" t="e">
        <f>AND(Answers!BN87,"AAAAAFr/9mA=")</f>
        <v>#VALUE!</v>
      </c>
      <c r="CT31" t="e">
        <f>AND(Answers!BO87,"AAAAAFr/9mE=")</f>
        <v>#VALUE!</v>
      </c>
      <c r="CU31" t="e">
        <f>AND(Answers!BP87,"AAAAAFr/9mI=")</f>
        <v>#VALUE!</v>
      </c>
      <c r="CV31" t="e">
        <f>AND(Answers!BQ87,"AAAAAFr/9mM=")</f>
        <v>#VALUE!</v>
      </c>
      <c r="CW31" t="e">
        <f>AND(Answers!BR87,"AAAAAFr/9mQ=")</f>
        <v>#VALUE!</v>
      </c>
      <c r="CX31" t="e">
        <f>AND(Answers!BS87,"AAAAAFr/9mU=")</f>
        <v>#VALUE!</v>
      </c>
      <c r="CY31" t="e">
        <f>AND(Answers!BU87,"AAAAAFr/9mY=")</f>
        <v>#VALUE!</v>
      </c>
      <c r="CZ31" t="e">
        <f>AND(Answers!BV87,"AAAAAFr/9mc=")</f>
        <v>#VALUE!</v>
      </c>
      <c r="DA31" t="e">
        <f>AND(Answers!#REF!,"AAAAAFr/9mg=")</f>
        <v>#REF!</v>
      </c>
      <c r="DB31" t="e">
        <f>AND(Answers!BW87,"AAAAAFr/9mk=")</f>
        <v>#VALUE!</v>
      </c>
      <c r="DC31" t="e">
        <f>AND(Answers!BX87,"AAAAAFr/9mo=")</f>
        <v>#VALUE!</v>
      </c>
      <c r="DD31" t="e">
        <f>AND(Answers!BY87,"AAAAAFr/9ms=")</f>
        <v>#VALUE!</v>
      </c>
      <c r="DE31" t="e">
        <f>AND(Answers!BZ87,"AAAAAFr/9mw=")</f>
        <v>#VALUE!</v>
      </c>
      <c r="DF31">
        <f>IF(Answers!88:88,"AAAAAFr/9m0=",0)</f>
        <v>0</v>
      </c>
      <c r="DG31" t="e">
        <f>AND(Answers!A88,"AAAAAFr/9m4=")</f>
        <v>#VALUE!</v>
      </c>
      <c r="DH31" t="e">
        <f>AND(Answers!B88,"AAAAAFr/9m8=")</f>
        <v>#VALUE!</v>
      </c>
      <c r="DI31" t="e">
        <f>AND(Answers!C88,"AAAAAFr/9nA=")</f>
        <v>#VALUE!</v>
      </c>
      <c r="DJ31" t="e">
        <f>AND(Answers!D88,"AAAAAFr/9nE=")</f>
        <v>#VALUE!</v>
      </c>
      <c r="DK31" t="e">
        <f>AND(Answers!E88,"AAAAAFr/9nI=")</f>
        <v>#VALUE!</v>
      </c>
      <c r="DL31" t="e">
        <f>AND(Answers!F88,"AAAAAFr/9nM=")</f>
        <v>#VALUE!</v>
      </c>
      <c r="DM31" t="e">
        <f>AND(Answers!G88,"AAAAAFr/9nQ=")</f>
        <v>#VALUE!</v>
      </c>
      <c r="DN31" t="e">
        <f>AND(Answers!H88,"AAAAAFr/9nU=")</f>
        <v>#VALUE!</v>
      </c>
      <c r="DO31" t="e">
        <f>AND(Answers!J88,"AAAAAFr/9nY=")</f>
        <v>#VALUE!</v>
      </c>
      <c r="DP31" t="e">
        <f>AND(Answers!K88,"AAAAAFr/9nc=")</f>
        <v>#VALUE!</v>
      </c>
      <c r="DQ31" t="e">
        <f>AND(Answers!L88,"AAAAAFr/9ng=")</f>
        <v>#VALUE!</v>
      </c>
      <c r="DR31" t="e">
        <f>AND(Answers!M88,"AAAAAFr/9nk=")</f>
        <v>#VALUE!</v>
      </c>
      <c r="DS31" t="e">
        <f>AND(Answers!N88,"AAAAAFr/9no=")</f>
        <v>#VALUE!</v>
      </c>
      <c r="DT31" t="e">
        <f>AND(Answers!O88,"AAAAAFr/9ns=")</f>
        <v>#VALUE!</v>
      </c>
      <c r="DU31" t="e">
        <f>AND(Answers!P88,"AAAAAFr/9nw=")</f>
        <v>#VALUE!</v>
      </c>
      <c r="DV31" t="e">
        <f>AND(Answers!Q88,"AAAAAFr/9n0=")</f>
        <v>#VALUE!</v>
      </c>
      <c r="DW31" t="e">
        <f>AND(Answers!R88,"AAAAAFr/9n4=")</f>
        <v>#VALUE!</v>
      </c>
      <c r="DX31" t="e">
        <f>AND(Answers!S88,"AAAAAFr/9n8=")</f>
        <v>#VALUE!</v>
      </c>
      <c r="DY31" t="e">
        <f>AND(Answers!T88,"AAAAAFr/9oA=")</f>
        <v>#VALUE!</v>
      </c>
      <c r="DZ31" t="e">
        <f>AND(Answers!U88,"AAAAAFr/9oE=")</f>
        <v>#VALUE!</v>
      </c>
      <c r="EA31" t="e">
        <f>AND(Answers!V88,"AAAAAFr/9oI=")</f>
        <v>#VALUE!</v>
      </c>
      <c r="EB31" t="e">
        <f>AND(Answers!X88,"AAAAAFr/9oM=")</f>
        <v>#VALUE!</v>
      </c>
      <c r="EC31" t="e">
        <f>AND(Answers!Y88,"AAAAAFr/9oQ=")</f>
        <v>#VALUE!</v>
      </c>
      <c r="ED31" t="e">
        <f>AND(Answers!Z88,"AAAAAFr/9oU=")</f>
        <v>#VALUE!</v>
      </c>
      <c r="EE31" t="e">
        <f>AND(Answers!AA88,"AAAAAFr/9oY=")</f>
        <v>#VALUE!</v>
      </c>
      <c r="EF31" t="e">
        <f>AND(Answers!AB88,"AAAAAFr/9oc=")</f>
        <v>#VALUE!</v>
      </c>
      <c r="EG31" t="e">
        <f>AND(Answers!AC88,"AAAAAFr/9og=")</f>
        <v>#VALUE!</v>
      </c>
      <c r="EH31" t="e">
        <f>AND(Answers!AD88,"AAAAAFr/9ok=")</f>
        <v>#VALUE!</v>
      </c>
      <c r="EI31" t="e">
        <f>AND(Answers!AE88,"AAAAAFr/9oo=")</f>
        <v>#VALUE!</v>
      </c>
      <c r="EJ31" t="e">
        <f>AND(Answers!AF88,"AAAAAFr/9os=")</f>
        <v>#VALUE!</v>
      </c>
      <c r="EK31" t="e">
        <f>AND(Answers!AH88,"AAAAAFr/9ow=")</f>
        <v>#VALUE!</v>
      </c>
      <c r="EL31" t="e">
        <f>AND(Answers!AI88,"AAAAAFr/9o0=")</f>
        <v>#VALUE!</v>
      </c>
      <c r="EM31" t="e">
        <f>AND(Answers!AK88,"AAAAAFr/9o4=")</f>
        <v>#VALUE!</v>
      </c>
      <c r="EN31" t="e">
        <f>AND(Answers!#REF!,"AAAAAFr/9o8=")</f>
        <v>#REF!</v>
      </c>
      <c r="EO31" t="e">
        <f>AND(Answers!AR88,"AAAAAFr/9pA=")</f>
        <v>#VALUE!</v>
      </c>
      <c r="EP31" t="e">
        <f>AND(Answers!AS88,"AAAAAFr/9pE=")</f>
        <v>#VALUE!</v>
      </c>
      <c r="EQ31" t="e">
        <f>AND(Answers!AT88,"AAAAAFr/9pI=")</f>
        <v>#VALUE!</v>
      </c>
      <c r="ER31" t="e">
        <f>AND(Answers!AU88,"AAAAAFr/9pM=")</f>
        <v>#VALUE!</v>
      </c>
      <c r="ES31" t="e">
        <f>AND(Answers!AW88,"AAAAAFr/9pQ=")</f>
        <v>#VALUE!</v>
      </c>
      <c r="ET31" t="e">
        <f>AND(Answers!AX88,"AAAAAFr/9pU=")</f>
        <v>#VALUE!</v>
      </c>
      <c r="EU31" t="e">
        <f>AND(Answers!AY88,"AAAAAFr/9pY=")</f>
        <v>#VALUE!</v>
      </c>
      <c r="EV31" t="e">
        <f>AND(Answers!AZ88,"AAAAAFr/9pc=")</f>
        <v>#VALUE!</v>
      </c>
      <c r="EW31" t="e">
        <f>AND(Answers!BA88,"AAAAAFr/9pg=")</f>
        <v>#VALUE!</v>
      </c>
      <c r="EX31" t="e">
        <f>AND(Answers!BB88,"AAAAAFr/9pk=")</f>
        <v>#VALUE!</v>
      </c>
      <c r="EY31" t="e">
        <f>AND(Answers!BC88,"AAAAAFr/9po=")</f>
        <v>#VALUE!</v>
      </c>
      <c r="EZ31" t="e">
        <f>AND(Answers!BD88,"AAAAAFr/9ps=")</f>
        <v>#VALUE!</v>
      </c>
      <c r="FA31" t="e">
        <f>AND(Answers!BE88,"AAAAAFr/9pw=")</f>
        <v>#VALUE!</v>
      </c>
      <c r="FB31" t="e">
        <f>AND(Answers!BF88,"AAAAAFr/9p0=")</f>
        <v>#VALUE!</v>
      </c>
      <c r="FC31" t="e">
        <f>AND(Answers!BG88,"AAAAAFr/9p4=")</f>
        <v>#VALUE!</v>
      </c>
      <c r="FD31" t="e">
        <f>AND(Answers!BH88,"AAAAAFr/9p8=")</f>
        <v>#VALUE!</v>
      </c>
      <c r="FE31" t="e">
        <f>AND(Answers!BI88,"AAAAAFr/9qA=")</f>
        <v>#VALUE!</v>
      </c>
      <c r="FF31" t="e">
        <f>AND(Answers!BK88,"AAAAAFr/9qE=")</f>
        <v>#VALUE!</v>
      </c>
      <c r="FG31" t="e">
        <f>AND(Answers!BL88,"AAAAAFr/9qI=")</f>
        <v>#VALUE!</v>
      </c>
      <c r="FH31" t="e">
        <f>AND(Answers!BM88,"AAAAAFr/9qM=")</f>
        <v>#VALUE!</v>
      </c>
      <c r="FI31" t="e">
        <f>AND(Answers!BN88,"AAAAAFr/9qQ=")</f>
        <v>#VALUE!</v>
      </c>
      <c r="FJ31" t="e">
        <f>AND(Answers!BO88,"AAAAAFr/9qU=")</f>
        <v>#VALUE!</v>
      </c>
      <c r="FK31" t="e">
        <f>AND(Answers!BP88,"AAAAAFr/9qY=")</f>
        <v>#VALUE!</v>
      </c>
      <c r="FL31" t="e">
        <f>AND(Answers!BQ88,"AAAAAFr/9qc=")</f>
        <v>#VALUE!</v>
      </c>
      <c r="FM31" t="e">
        <f>AND(Answers!BR88,"AAAAAFr/9qg=")</f>
        <v>#VALUE!</v>
      </c>
      <c r="FN31" t="e">
        <f>AND(Answers!BS88,"AAAAAFr/9qk=")</f>
        <v>#VALUE!</v>
      </c>
      <c r="FO31" t="e">
        <f>AND(Answers!BU88,"AAAAAFr/9qo=")</f>
        <v>#VALUE!</v>
      </c>
      <c r="FP31" t="e">
        <f>AND(Answers!BV88,"AAAAAFr/9qs=")</f>
        <v>#VALUE!</v>
      </c>
      <c r="FQ31" t="e">
        <f>AND(Answers!#REF!,"AAAAAFr/9qw=")</f>
        <v>#REF!</v>
      </c>
      <c r="FR31" t="e">
        <f>AND(Answers!BW88,"AAAAAFr/9q0=")</f>
        <v>#VALUE!</v>
      </c>
      <c r="FS31" t="e">
        <f>AND(Answers!BX88,"AAAAAFr/9q4=")</f>
        <v>#VALUE!</v>
      </c>
      <c r="FT31" t="e">
        <f>AND(Answers!BY88,"AAAAAFr/9q8=")</f>
        <v>#VALUE!</v>
      </c>
      <c r="FU31" t="e">
        <f>AND(Answers!BZ88,"AAAAAFr/9rA=")</f>
        <v>#VALUE!</v>
      </c>
      <c r="FV31">
        <f>IF(Answers!89:89,"AAAAAFr/9rE=",0)</f>
        <v>0</v>
      </c>
      <c r="FW31" t="e">
        <f>AND(Answers!A89,"AAAAAFr/9rI=")</f>
        <v>#VALUE!</v>
      </c>
      <c r="FX31" t="e">
        <f>AND(Answers!B89,"AAAAAFr/9rM=")</f>
        <v>#VALUE!</v>
      </c>
      <c r="FY31" t="e">
        <f>AND(Answers!C89,"AAAAAFr/9rQ=")</f>
        <v>#VALUE!</v>
      </c>
      <c r="FZ31" t="e">
        <f>AND(Answers!D89,"AAAAAFr/9rU=")</f>
        <v>#VALUE!</v>
      </c>
      <c r="GA31" t="e">
        <f>AND(Answers!E89,"AAAAAFr/9rY=")</f>
        <v>#VALUE!</v>
      </c>
      <c r="GB31" t="e">
        <f>AND(Answers!F89,"AAAAAFr/9rc=")</f>
        <v>#VALUE!</v>
      </c>
      <c r="GC31" t="e">
        <f>AND(Answers!G89,"AAAAAFr/9rg=")</f>
        <v>#VALUE!</v>
      </c>
      <c r="GD31" t="e">
        <f>AND(Answers!H89,"AAAAAFr/9rk=")</f>
        <v>#VALUE!</v>
      </c>
      <c r="GE31" t="e">
        <f>AND(Answers!J89,"AAAAAFr/9ro=")</f>
        <v>#VALUE!</v>
      </c>
      <c r="GF31" t="e">
        <f>AND(Answers!K89,"AAAAAFr/9rs=")</f>
        <v>#VALUE!</v>
      </c>
      <c r="GG31" t="e">
        <f>AND(Answers!L89,"AAAAAFr/9rw=")</f>
        <v>#VALUE!</v>
      </c>
      <c r="GH31" t="e">
        <f>AND(Answers!M89,"AAAAAFr/9r0=")</f>
        <v>#VALUE!</v>
      </c>
      <c r="GI31" t="e">
        <f>AND(Answers!N89,"AAAAAFr/9r4=")</f>
        <v>#VALUE!</v>
      </c>
      <c r="GJ31" t="e">
        <f>AND(Answers!O89,"AAAAAFr/9r8=")</f>
        <v>#VALUE!</v>
      </c>
      <c r="GK31" t="e">
        <f>AND(Answers!P89,"AAAAAFr/9sA=")</f>
        <v>#VALUE!</v>
      </c>
      <c r="GL31" t="e">
        <f>AND(Answers!Q89,"AAAAAFr/9sE=")</f>
        <v>#VALUE!</v>
      </c>
      <c r="GM31" t="e">
        <f>AND(Answers!R89,"AAAAAFr/9sI=")</f>
        <v>#VALUE!</v>
      </c>
      <c r="GN31" t="e">
        <f>AND(Answers!S89,"AAAAAFr/9sM=")</f>
        <v>#VALUE!</v>
      </c>
      <c r="GO31" t="e">
        <f>AND(Answers!T89,"AAAAAFr/9sQ=")</f>
        <v>#VALUE!</v>
      </c>
      <c r="GP31" t="e">
        <f>AND(Answers!U89,"AAAAAFr/9sU=")</f>
        <v>#VALUE!</v>
      </c>
      <c r="GQ31" t="e">
        <f>AND(Answers!V89,"AAAAAFr/9sY=")</f>
        <v>#VALUE!</v>
      </c>
      <c r="GR31" t="e">
        <f>AND(Answers!X89,"AAAAAFr/9sc=")</f>
        <v>#VALUE!</v>
      </c>
      <c r="GS31" t="e">
        <f>AND(Answers!Y89,"AAAAAFr/9sg=")</f>
        <v>#VALUE!</v>
      </c>
      <c r="GT31" t="e">
        <f>AND(Answers!Z89,"AAAAAFr/9sk=")</f>
        <v>#VALUE!</v>
      </c>
      <c r="GU31" t="e">
        <f>AND(Answers!AA89,"AAAAAFr/9so=")</f>
        <v>#VALUE!</v>
      </c>
      <c r="GV31" t="e">
        <f>AND(Answers!AB89,"AAAAAFr/9ss=")</f>
        <v>#VALUE!</v>
      </c>
      <c r="GW31" t="e">
        <f>AND(Answers!AC89,"AAAAAFr/9sw=")</f>
        <v>#VALUE!</v>
      </c>
      <c r="GX31" t="e">
        <f>AND(Answers!AD89,"AAAAAFr/9s0=")</f>
        <v>#VALUE!</v>
      </c>
      <c r="GY31" t="e">
        <f>AND(Answers!AE89,"AAAAAFr/9s4=")</f>
        <v>#VALUE!</v>
      </c>
      <c r="GZ31" t="e">
        <f>AND(Answers!AF89,"AAAAAFr/9s8=")</f>
        <v>#VALUE!</v>
      </c>
      <c r="HA31" t="e">
        <f>AND(Answers!AH89,"AAAAAFr/9tA=")</f>
        <v>#VALUE!</v>
      </c>
      <c r="HB31" t="e">
        <f>AND(Answers!AI89,"AAAAAFr/9tE=")</f>
        <v>#VALUE!</v>
      </c>
      <c r="HC31" t="e">
        <f>AND(Answers!AK89,"AAAAAFr/9tI=")</f>
        <v>#VALUE!</v>
      </c>
      <c r="HD31" t="e">
        <f>AND(Answers!#REF!,"AAAAAFr/9tM=")</f>
        <v>#REF!</v>
      </c>
      <c r="HE31" t="e">
        <f>AND(Answers!AR89,"AAAAAFr/9tQ=")</f>
        <v>#VALUE!</v>
      </c>
      <c r="HF31" t="e">
        <f>AND(Answers!AS89,"AAAAAFr/9tU=")</f>
        <v>#VALUE!</v>
      </c>
      <c r="HG31" t="e">
        <f>AND(Answers!AT89,"AAAAAFr/9tY=")</f>
        <v>#VALUE!</v>
      </c>
      <c r="HH31" t="e">
        <f>AND(Answers!AU89,"AAAAAFr/9tc=")</f>
        <v>#VALUE!</v>
      </c>
      <c r="HI31" t="e">
        <f>AND(Answers!AW89,"AAAAAFr/9tg=")</f>
        <v>#VALUE!</v>
      </c>
      <c r="HJ31" t="e">
        <f>AND(Answers!AX89,"AAAAAFr/9tk=")</f>
        <v>#VALUE!</v>
      </c>
      <c r="HK31" t="e">
        <f>AND(Answers!AY89,"AAAAAFr/9to=")</f>
        <v>#VALUE!</v>
      </c>
      <c r="HL31" t="e">
        <f>AND(Answers!AZ89,"AAAAAFr/9ts=")</f>
        <v>#VALUE!</v>
      </c>
      <c r="HM31" t="e">
        <f>AND(Answers!BA89,"AAAAAFr/9tw=")</f>
        <v>#VALUE!</v>
      </c>
      <c r="HN31" t="e">
        <f>AND(Answers!BB89,"AAAAAFr/9t0=")</f>
        <v>#VALUE!</v>
      </c>
      <c r="HO31" t="e">
        <f>AND(Answers!BC89,"AAAAAFr/9t4=")</f>
        <v>#VALUE!</v>
      </c>
      <c r="HP31" t="e">
        <f>AND(Answers!BD89,"AAAAAFr/9t8=")</f>
        <v>#VALUE!</v>
      </c>
      <c r="HQ31" t="e">
        <f>AND(Answers!BE89,"AAAAAFr/9uA=")</f>
        <v>#VALUE!</v>
      </c>
      <c r="HR31" t="e">
        <f>AND(Answers!BF89,"AAAAAFr/9uE=")</f>
        <v>#VALUE!</v>
      </c>
      <c r="HS31" t="e">
        <f>AND(Answers!BG89,"AAAAAFr/9uI=")</f>
        <v>#VALUE!</v>
      </c>
      <c r="HT31" t="e">
        <f>AND(Answers!BH89,"AAAAAFr/9uM=")</f>
        <v>#VALUE!</v>
      </c>
      <c r="HU31" t="e">
        <f>AND(Answers!BI89,"AAAAAFr/9uQ=")</f>
        <v>#VALUE!</v>
      </c>
      <c r="HV31" t="e">
        <f>AND(Answers!BK89,"AAAAAFr/9uU=")</f>
        <v>#VALUE!</v>
      </c>
      <c r="HW31" t="e">
        <f>AND(Answers!BL89,"AAAAAFr/9uY=")</f>
        <v>#VALUE!</v>
      </c>
      <c r="HX31" t="e">
        <f>AND(Answers!BM89,"AAAAAFr/9uc=")</f>
        <v>#VALUE!</v>
      </c>
      <c r="HY31" t="e">
        <f>AND(Answers!BN89,"AAAAAFr/9ug=")</f>
        <v>#VALUE!</v>
      </c>
      <c r="HZ31" t="e">
        <f>AND(Answers!BO89,"AAAAAFr/9uk=")</f>
        <v>#VALUE!</v>
      </c>
      <c r="IA31" t="e">
        <f>AND(Answers!BP89,"AAAAAFr/9uo=")</f>
        <v>#VALUE!</v>
      </c>
      <c r="IB31" t="e">
        <f>AND(Answers!BQ89,"AAAAAFr/9us=")</f>
        <v>#VALUE!</v>
      </c>
      <c r="IC31" t="e">
        <f>AND(Answers!BR89,"AAAAAFr/9uw=")</f>
        <v>#VALUE!</v>
      </c>
      <c r="ID31" t="e">
        <f>AND(Answers!BS89,"AAAAAFr/9u0=")</f>
        <v>#VALUE!</v>
      </c>
      <c r="IE31" t="e">
        <f>AND(Answers!BU89,"AAAAAFr/9u4=")</f>
        <v>#VALUE!</v>
      </c>
      <c r="IF31" t="e">
        <f>AND(Answers!BV89,"AAAAAFr/9u8=")</f>
        <v>#VALUE!</v>
      </c>
      <c r="IG31" t="e">
        <f>AND(Answers!#REF!,"AAAAAFr/9vA=")</f>
        <v>#REF!</v>
      </c>
      <c r="IH31" t="e">
        <f>AND(Answers!BW89,"AAAAAFr/9vE=")</f>
        <v>#VALUE!</v>
      </c>
      <c r="II31" t="e">
        <f>AND(Answers!BX89,"AAAAAFr/9vI=")</f>
        <v>#VALUE!</v>
      </c>
      <c r="IJ31" t="e">
        <f>AND(Answers!BY89,"AAAAAFr/9vM=")</f>
        <v>#VALUE!</v>
      </c>
      <c r="IK31" t="e">
        <f>AND(Answers!BZ89,"AAAAAFr/9vQ=")</f>
        <v>#VALUE!</v>
      </c>
      <c r="IL31">
        <f>IF(Answers!90:90,"AAAAAFr/9vU=",0)</f>
        <v>0</v>
      </c>
      <c r="IM31" t="e">
        <f>AND(Answers!A90,"AAAAAFr/9vY=")</f>
        <v>#VALUE!</v>
      </c>
      <c r="IN31" t="e">
        <f>AND(Answers!B90,"AAAAAFr/9vc=")</f>
        <v>#VALUE!</v>
      </c>
      <c r="IO31" t="e">
        <f>AND(Answers!C90,"AAAAAFr/9vg=")</f>
        <v>#VALUE!</v>
      </c>
      <c r="IP31" t="e">
        <f>AND(Answers!D90,"AAAAAFr/9vk=")</f>
        <v>#VALUE!</v>
      </c>
      <c r="IQ31" t="e">
        <f>AND(Answers!E90,"AAAAAFr/9vo=")</f>
        <v>#VALUE!</v>
      </c>
      <c r="IR31" t="e">
        <f>AND(Answers!F90,"AAAAAFr/9vs=")</f>
        <v>#VALUE!</v>
      </c>
      <c r="IS31" t="e">
        <f>AND(Answers!G90,"AAAAAFr/9vw=")</f>
        <v>#VALUE!</v>
      </c>
      <c r="IT31" t="e">
        <f>AND(Answers!H90,"AAAAAFr/9v0=")</f>
        <v>#VALUE!</v>
      </c>
      <c r="IU31" t="e">
        <f>AND(Answers!J90,"AAAAAFr/9v4=")</f>
        <v>#VALUE!</v>
      </c>
      <c r="IV31" t="e">
        <f>AND(Answers!K90,"AAAAAFr/9v8=")</f>
        <v>#VALUE!</v>
      </c>
    </row>
    <row r="32" spans="1:256" x14ac:dyDescent="0.15">
      <c r="A32" t="e">
        <f>AND(Answers!L90,"AAAAAG32UwA=")</f>
        <v>#VALUE!</v>
      </c>
      <c r="B32" t="e">
        <f>AND(Answers!M90,"AAAAAG32UwE=")</f>
        <v>#VALUE!</v>
      </c>
      <c r="C32" t="e">
        <f>AND(Answers!N90,"AAAAAG32UwI=")</f>
        <v>#VALUE!</v>
      </c>
      <c r="D32" t="e">
        <f>AND(Answers!O90,"AAAAAG32UwM=")</f>
        <v>#VALUE!</v>
      </c>
      <c r="E32" t="e">
        <f>AND(Answers!P90,"AAAAAG32UwQ=")</f>
        <v>#VALUE!</v>
      </c>
      <c r="F32" t="e">
        <f>AND(Answers!Q90,"AAAAAG32UwU=")</f>
        <v>#VALUE!</v>
      </c>
      <c r="G32" t="e">
        <f>AND(Answers!R90,"AAAAAG32UwY=")</f>
        <v>#VALUE!</v>
      </c>
      <c r="H32" t="e">
        <f>AND(Answers!S90,"AAAAAG32Uwc=")</f>
        <v>#VALUE!</v>
      </c>
      <c r="I32" t="e">
        <f>AND(Answers!T90,"AAAAAG32Uwg=")</f>
        <v>#VALUE!</v>
      </c>
      <c r="J32" t="e">
        <f>AND(Answers!U90,"AAAAAG32Uwk=")</f>
        <v>#VALUE!</v>
      </c>
      <c r="K32" t="e">
        <f>AND(Answers!V90,"AAAAAG32Uwo=")</f>
        <v>#VALUE!</v>
      </c>
      <c r="L32" t="e">
        <f>AND(Answers!X90,"AAAAAG32Uws=")</f>
        <v>#VALUE!</v>
      </c>
      <c r="M32" t="e">
        <f>AND(Answers!Y90,"AAAAAG32Uww=")</f>
        <v>#VALUE!</v>
      </c>
      <c r="N32" t="e">
        <f>AND(Answers!Z90,"AAAAAG32Uw0=")</f>
        <v>#VALUE!</v>
      </c>
      <c r="O32" t="e">
        <f>AND(Answers!AA90,"AAAAAG32Uw4=")</f>
        <v>#VALUE!</v>
      </c>
      <c r="P32" t="e">
        <f>AND(Answers!AB90,"AAAAAG32Uw8=")</f>
        <v>#VALUE!</v>
      </c>
      <c r="Q32" t="e">
        <f>AND(Answers!AC90,"AAAAAG32UxA=")</f>
        <v>#VALUE!</v>
      </c>
      <c r="R32" t="e">
        <f>AND(Answers!AD90,"AAAAAG32UxE=")</f>
        <v>#VALUE!</v>
      </c>
      <c r="S32" t="e">
        <f>AND(Answers!AE90,"AAAAAG32UxI=")</f>
        <v>#VALUE!</v>
      </c>
      <c r="T32" t="e">
        <f>AND(Answers!AF90,"AAAAAG32UxM=")</f>
        <v>#VALUE!</v>
      </c>
      <c r="U32" t="e">
        <f>AND(Answers!AH90,"AAAAAG32UxQ=")</f>
        <v>#VALUE!</v>
      </c>
      <c r="V32" t="e">
        <f>AND(Answers!AI90,"AAAAAG32UxU=")</f>
        <v>#VALUE!</v>
      </c>
      <c r="W32" t="e">
        <f>AND(Answers!AK90,"AAAAAG32UxY=")</f>
        <v>#VALUE!</v>
      </c>
      <c r="X32" t="e">
        <f>AND(Answers!#REF!,"AAAAAG32Uxc=")</f>
        <v>#REF!</v>
      </c>
      <c r="Y32" t="e">
        <f>AND(Answers!AR90,"AAAAAG32Uxg=")</f>
        <v>#VALUE!</v>
      </c>
      <c r="Z32" t="e">
        <f>AND(Answers!AS90,"AAAAAG32Uxk=")</f>
        <v>#VALUE!</v>
      </c>
      <c r="AA32" t="e">
        <f>AND(Answers!AT90,"AAAAAG32Uxo=")</f>
        <v>#VALUE!</v>
      </c>
      <c r="AB32" t="e">
        <f>AND(Answers!AU90,"AAAAAG32Uxs=")</f>
        <v>#VALUE!</v>
      </c>
      <c r="AC32" t="e">
        <f>AND(Answers!AW90,"AAAAAG32Uxw=")</f>
        <v>#VALUE!</v>
      </c>
      <c r="AD32" t="e">
        <f>AND(Answers!AX90,"AAAAAG32Ux0=")</f>
        <v>#VALUE!</v>
      </c>
      <c r="AE32" t="e">
        <f>AND(Answers!AY90,"AAAAAG32Ux4=")</f>
        <v>#VALUE!</v>
      </c>
      <c r="AF32" t="e">
        <f>AND(Answers!AZ90,"AAAAAG32Ux8=")</f>
        <v>#VALUE!</v>
      </c>
      <c r="AG32" t="e">
        <f>AND(Answers!BA90,"AAAAAG32UyA=")</f>
        <v>#VALUE!</v>
      </c>
      <c r="AH32" t="e">
        <f>AND(Answers!BB90,"AAAAAG32UyE=")</f>
        <v>#VALUE!</v>
      </c>
      <c r="AI32" t="e">
        <f>AND(Answers!BC90,"AAAAAG32UyI=")</f>
        <v>#VALUE!</v>
      </c>
      <c r="AJ32" t="e">
        <f>AND(Answers!BD90,"AAAAAG32UyM=")</f>
        <v>#VALUE!</v>
      </c>
      <c r="AK32" t="e">
        <f>AND(Answers!BE90,"AAAAAG32UyQ=")</f>
        <v>#VALUE!</v>
      </c>
      <c r="AL32" t="e">
        <f>AND(Answers!BF90,"AAAAAG32UyU=")</f>
        <v>#VALUE!</v>
      </c>
      <c r="AM32" t="e">
        <f>AND(Answers!BG90,"AAAAAG32UyY=")</f>
        <v>#VALUE!</v>
      </c>
      <c r="AN32" t="e">
        <f>AND(Answers!BH90,"AAAAAG32Uyc=")</f>
        <v>#VALUE!</v>
      </c>
      <c r="AO32" t="e">
        <f>AND(Answers!BI90,"AAAAAG32Uyg=")</f>
        <v>#VALUE!</v>
      </c>
      <c r="AP32" t="e">
        <f>AND(Answers!BK90,"AAAAAG32Uyk=")</f>
        <v>#VALUE!</v>
      </c>
      <c r="AQ32" t="e">
        <f>AND(Answers!BL90,"AAAAAG32Uyo=")</f>
        <v>#VALUE!</v>
      </c>
      <c r="AR32" t="e">
        <f>AND(Answers!BM90,"AAAAAG32Uys=")</f>
        <v>#VALUE!</v>
      </c>
      <c r="AS32" t="e">
        <f>AND(Answers!BN90,"AAAAAG32Uyw=")</f>
        <v>#VALUE!</v>
      </c>
      <c r="AT32" t="e">
        <f>AND(Answers!BO90,"AAAAAG32Uy0=")</f>
        <v>#VALUE!</v>
      </c>
      <c r="AU32" t="e">
        <f>AND(Answers!BP90,"AAAAAG32Uy4=")</f>
        <v>#VALUE!</v>
      </c>
      <c r="AV32" t="e">
        <f>AND(Answers!BQ90,"AAAAAG32Uy8=")</f>
        <v>#VALUE!</v>
      </c>
      <c r="AW32" t="e">
        <f>AND(Answers!BR90,"AAAAAG32UzA=")</f>
        <v>#VALUE!</v>
      </c>
      <c r="AX32" t="e">
        <f>AND(Answers!BS90,"AAAAAG32UzE=")</f>
        <v>#VALUE!</v>
      </c>
      <c r="AY32" t="e">
        <f>AND(Answers!BU90,"AAAAAG32UzI=")</f>
        <v>#VALUE!</v>
      </c>
      <c r="AZ32" t="e">
        <f>AND(Answers!BV90,"AAAAAG32UzM=")</f>
        <v>#VALUE!</v>
      </c>
      <c r="BA32" t="e">
        <f>AND(Answers!#REF!,"AAAAAG32UzQ=")</f>
        <v>#REF!</v>
      </c>
      <c r="BB32" t="e">
        <f>AND(Answers!BW90,"AAAAAG32UzU=")</f>
        <v>#VALUE!</v>
      </c>
      <c r="BC32" t="e">
        <f>AND(Answers!BX90,"AAAAAG32UzY=")</f>
        <v>#VALUE!</v>
      </c>
      <c r="BD32" t="e">
        <f>AND(Answers!BY90,"AAAAAG32Uzc=")</f>
        <v>#VALUE!</v>
      </c>
      <c r="BE32" t="e">
        <f>AND(Answers!BZ90,"AAAAAG32Uzg=")</f>
        <v>#VALUE!</v>
      </c>
      <c r="BF32" t="str">
        <f>IF(Answers!91:91,"AAAAAG32Uzk=",0)</f>
        <v>AAAAAG32Uzk=</v>
      </c>
      <c r="BG32" t="e">
        <f>AND(Answers!A91,"AAAAAG32Uzo=")</f>
        <v>#VALUE!</v>
      </c>
      <c r="BH32" t="e">
        <f>AND(Answers!B91,"AAAAAG32Uzs=")</f>
        <v>#VALUE!</v>
      </c>
      <c r="BI32" t="e">
        <f>AND(Answers!C91,"AAAAAG32Uzw=")</f>
        <v>#VALUE!</v>
      </c>
      <c r="BJ32" t="e">
        <f>AND(Answers!D91,"AAAAAG32Uz0=")</f>
        <v>#VALUE!</v>
      </c>
      <c r="BK32" t="e">
        <f>AND(Answers!E91,"AAAAAG32Uz4=")</f>
        <v>#VALUE!</v>
      </c>
      <c r="BL32" t="e">
        <f>AND(Answers!F91,"AAAAAG32Uz8=")</f>
        <v>#VALUE!</v>
      </c>
      <c r="BM32" t="e">
        <f>AND(Answers!G91,"AAAAAG32U0A=")</f>
        <v>#VALUE!</v>
      </c>
      <c r="BN32" t="e">
        <f>AND(Answers!H91,"AAAAAG32U0E=")</f>
        <v>#VALUE!</v>
      </c>
      <c r="BO32" t="e">
        <f>AND(Answers!J91,"AAAAAG32U0I=")</f>
        <v>#VALUE!</v>
      </c>
      <c r="BP32" t="e">
        <f>AND(Answers!K91,"AAAAAG32U0M=")</f>
        <v>#VALUE!</v>
      </c>
      <c r="BQ32" t="e">
        <f>AND(Answers!L91,"AAAAAG32U0Q=")</f>
        <v>#VALUE!</v>
      </c>
      <c r="BR32" t="e">
        <f>AND(Answers!M91,"AAAAAG32U0U=")</f>
        <v>#VALUE!</v>
      </c>
      <c r="BS32" t="e">
        <f>AND(Answers!N91,"AAAAAG32U0Y=")</f>
        <v>#VALUE!</v>
      </c>
      <c r="BT32" t="e">
        <f>AND(Answers!O91,"AAAAAG32U0c=")</f>
        <v>#VALUE!</v>
      </c>
      <c r="BU32" t="e">
        <f>AND(Answers!P91,"AAAAAG32U0g=")</f>
        <v>#VALUE!</v>
      </c>
      <c r="BV32" t="e">
        <f>AND(Answers!Q91,"AAAAAG32U0k=")</f>
        <v>#VALUE!</v>
      </c>
      <c r="BW32" t="e">
        <f>AND(Answers!R91,"AAAAAG32U0o=")</f>
        <v>#VALUE!</v>
      </c>
      <c r="BX32" t="e">
        <f>AND(Answers!S91,"AAAAAG32U0s=")</f>
        <v>#VALUE!</v>
      </c>
      <c r="BY32" t="e">
        <f>AND(Answers!T91,"AAAAAG32U0w=")</f>
        <v>#VALUE!</v>
      </c>
      <c r="BZ32" t="e">
        <f>AND(Answers!U91,"AAAAAG32U00=")</f>
        <v>#VALUE!</v>
      </c>
      <c r="CA32" t="e">
        <f>AND(Answers!V91,"AAAAAG32U04=")</f>
        <v>#VALUE!</v>
      </c>
      <c r="CB32" t="e">
        <f>AND(Answers!X91,"AAAAAG32U08=")</f>
        <v>#VALUE!</v>
      </c>
      <c r="CC32" t="e">
        <f>AND(Answers!Y91,"AAAAAG32U1A=")</f>
        <v>#VALUE!</v>
      </c>
      <c r="CD32" t="e">
        <f>AND(Answers!Z91,"AAAAAG32U1E=")</f>
        <v>#VALUE!</v>
      </c>
      <c r="CE32" t="e">
        <f>AND(Answers!AA91,"AAAAAG32U1I=")</f>
        <v>#VALUE!</v>
      </c>
      <c r="CF32" t="e">
        <f>AND(Answers!AB91,"AAAAAG32U1M=")</f>
        <v>#VALUE!</v>
      </c>
      <c r="CG32" t="e">
        <f>AND(Answers!AC91,"AAAAAG32U1Q=")</f>
        <v>#VALUE!</v>
      </c>
      <c r="CH32" t="e">
        <f>AND(Answers!AD91,"AAAAAG32U1U=")</f>
        <v>#VALUE!</v>
      </c>
      <c r="CI32" t="e">
        <f>AND(Answers!AE91,"AAAAAG32U1Y=")</f>
        <v>#VALUE!</v>
      </c>
      <c r="CJ32" t="e">
        <f>AND(Answers!AF91,"AAAAAG32U1c=")</f>
        <v>#VALUE!</v>
      </c>
      <c r="CK32" t="e">
        <f>AND(Answers!AH91,"AAAAAG32U1g=")</f>
        <v>#VALUE!</v>
      </c>
      <c r="CL32" t="e">
        <f>AND(Answers!AI91,"AAAAAG32U1k=")</f>
        <v>#VALUE!</v>
      </c>
      <c r="CM32" t="e">
        <f>AND(Answers!AK91,"AAAAAG32U1o=")</f>
        <v>#VALUE!</v>
      </c>
      <c r="CN32" t="e">
        <f>AND(Answers!#REF!,"AAAAAG32U1s=")</f>
        <v>#REF!</v>
      </c>
      <c r="CO32" t="e">
        <f>AND(Answers!AR91,"AAAAAG32U1w=")</f>
        <v>#VALUE!</v>
      </c>
      <c r="CP32" t="e">
        <f>AND(Answers!AS91,"AAAAAG32U10=")</f>
        <v>#VALUE!</v>
      </c>
      <c r="CQ32" t="e">
        <f>AND(Answers!AT91,"AAAAAG32U14=")</f>
        <v>#VALUE!</v>
      </c>
      <c r="CR32" t="e">
        <f>AND(Answers!AU91,"AAAAAG32U18=")</f>
        <v>#VALUE!</v>
      </c>
      <c r="CS32" t="e">
        <f>AND(Answers!AW91,"AAAAAG32U2A=")</f>
        <v>#VALUE!</v>
      </c>
      <c r="CT32" t="e">
        <f>AND(Answers!AX91,"AAAAAG32U2E=")</f>
        <v>#VALUE!</v>
      </c>
      <c r="CU32" t="e">
        <f>AND(Answers!AY91,"AAAAAG32U2I=")</f>
        <v>#VALUE!</v>
      </c>
      <c r="CV32" t="e">
        <f>AND(Answers!AZ91,"AAAAAG32U2M=")</f>
        <v>#VALUE!</v>
      </c>
      <c r="CW32" t="e">
        <f>AND(Answers!BA91,"AAAAAG32U2Q=")</f>
        <v>#VALUE!</v>
      </c>
      <c r="CX32" t="e">
        <f>AND(Answers!BB91,"AAAAAG32U2U=")</f>
        <v>#VALUE!</v>
      </c>
      <c r="CY32" t="e">
        <f>AND(Answers!BC91,"AAAAAG32U2Y=")</f>
        <v>#VALUE!</v>
      </c>
      <c r="CZ32" t="e">
        <f>AND(Answers!BD91,"AAAAAG32U2c=")</f>
        <v>#VALUE!</v>
      </c>
      <c r="DA32" t="e">
        <f>AND(Answers!BE91,"AAAAAG32U2g=")</f>
        <v>#VALUE!</v>
      </c>
      <c r="DB32" t="e">
        <f>AND(Answers!BF91,"AAAAAG32U2k=")</f>
        <v>#VALUE!</v>
      </c>
      <c r="DC32" t="e">
        <f>AND(Answers!BG91,"AAAAAG32U2o=")</f>
        <v>#VALUE!</v>
      </c>
      <c r="DD32" t="e">
        <f>AND(Answers!BH91,"AAAAAG32U2s=")</f>
        <v>#VALUE!</v>
      </c>
      <c r="DE32" t="e">
        <f>AND(Answers!BI91,"AAAAAG32U2w=")</f>
        <v>#VALUE!</v>
      </c>
      <c r="DF32" t="e">
        <f>AND(Answers!BK91,"AAAAAG32U20=")</f>
        <v>#VALUE!</v>
      </c>
      <c r="DG32" t="e">
        <f>AND(Answers!BL91,"AAAAAG32U24=")</f>
        <v>#VALUE!</v>
      </c>
      <c r="DH32" t="e">
        <f>AND(Answers!BM91,"AAAAAG32U28=")</f>
        <v>#VALUE!</v>
      </c>
      <c r="DI32" t="e">
        <f>AND(Answers!BN91,"AAAAAG32U3A=")</f>
        <v>#VALUE!</v>
      </c>
      <c r="DJ32" t="e">
        <f>AND(Answers!BO91,"AAAAAG32U3E=")</f>
        <v>#VALUE!</v>
      </c>
      <c r="DK32" t="e">
        <f>AND(Answers!BP91,"AAAAAG32U3I=")</f>
        <v>#VALUE!</v>
      </c>
      <c r="DL32" t="e">
        <f>AND(Answers!BQ91,"AAAAAG32U3M=")</f>
        <v>#VALUE!</v>
      </c>
      <c r="DM32" t="e">
        <f>AND(Answers!BR91,"AAAAAG32U3Q=")</f>
        <v>#VALUE!</v>
      </c>
      <c r="DN32" t="e">
        <f>AND(Answers!BS91,"AAAAAG32U3U=")</f>
        <v>#VALUE!</v>
      </c>
      <c r="DO32" t="e">
        <f>AND(Answers!BU91,"AAAAAG32U3Y=")</f>
        <v>#VALUE!</v>
      </c>
      <c r="DP32" t="e">
        <f>AND(Answers!BV91,"AAAAAG32U3c=")</f>
        <v>#VALUE!</v>
      </c>
      <c r="DQ32" t="e">
        <f>AND(Answers!#REF!,"AAAAAG32U3g=")</f>
        <v>#REF!</v>
      </c>
      <c r="DR32" t="e">
        <f>AND(Answers!BW91,"AAAAAG32U3k=")</f>
        <v>#VALUE!</v>
      </c>
      <c r="DS32" t="e">
        <f>AND(Answers!BX91,"AAAAAG32U3o=")</f>
        <v>#VALUE!</v>
      </c>
      <c r="DT32" t="e">
        <f>AND(Answers!BY91,"AAAAAG32U3s=")</f>
        <v>#VALUE!</v>
      </c>
      <c r="DU32" t="e">
        <f>AND(Answers!BZ91,"AAAAAG32U3w=")</f>
        <v>#VALUE!</v>
      </c>
      <c r="DV32">
        <f>IF(Answers!92:92,"AAAAAG32U30=",0)</f>
        <v>0</v>
      </c>
      <c r="DW32" t="e">
        <f>AND(Answers!A92,"AAAAAG32U34=")</f>
        <v>#VALUE!</v>
      </c>
      <c r="DX32" t="e">
        <f>AND(Answers!B92,"AAAAAG32U38=")</f>
        <v>#VALUE!</v>
      </c>
      <c r="DY32" t="e">
        <f>AND(Answers!C92,"AAAAAG32U4A=")</f>
        <v>#VALUE!</v>
      </c>
      <c r="DZ32" t="e">
        <f>AND(Answers!D92,"AAAAAG32U4E=")</f>
        <v>#VALUE!</v>
      </c>
      <c r="EA32" t="e">
        <f>AND(Answers!E92,"AAAAAG32U4I=")</f>
        <v>#VALUE!</v>
      </c>
      <c r="EB32" t="e">
        <f>AND(Answers!F92,"AAAAAG32U4M=")</f>
        <v>#VALUE!</v>
      </c>
      <c r="EC32" t="e">
        <f>AND(Answers!G92,"AAAAAG32U4Q=")</f>
        <v>#VALUE!</v>
      </c>
      <c r="ED32" t="e">
        <f>AND(Answers!H92,"AAAAAG32U4U=")</f>
        <v>#VALUE!</v>
      </c>
      <c r="EE32" t="e">
        <f>AND(Answers!J92,"AAAAAG32U4Y=")</f>
        <v>#VALUE!</v>
      </c>
      <c r="EF32" t="e">
        <f>AND(Answers!K92,"AAAAAG32U4c=")</f>
        <v>#VALUE!</v>
      </c>
      <c r="EG32" t="e">
        <f>AND(Answers!L92,"AAAAAG32U4g=")</f>
        <v>#VALUE!</v>
      </c>
      <c r="EH32" t="e">
        <f>AND(Answers!M92,"AAAAAG32U4k=")</f>
        <v>#VALUE!</v>
      </c>
      <c r="EI32" t="e">
        <f>AND(Answers!N92,"AAAAAG32U4o=")</f>
        <v>#VALUE!</v>
      </c>
      <c r="EJ32" t="e">
        <f>AND(Answers!O92,"AAAAAG32U4s=")</f>
        <v>#VALUE!</v>
      </c>
      <c r="EK32" t="e">
        <f>AND(Answers!P92,"AAAAAG32U4w=")</f>
        <v>#VALUE!</v>
      </c>
      <c r="EL32" t="e">
        <f>AND(Answers!Q92,"AAAAAG32U40=")</f>
        <v>#VALUE!</v>
      </c>
      <c r="EM32" t="e">
        <f>AND(Answers!R92,"AAAAAG32U44=")</f>
        <v>#VALUE!</v>
      </c>
      <c r="EN32" t="e">
        <f>AND(Answers!S92,"AAAAAG32U48=")</f>
        <v>#VALUE!</v>
      </c>
      <c r="EO32" t="e">
        <f>AND(Answers!T92,"AAAAAG32U5A=")</f>
        <v>#VALUE!</v>
      </c>
      <c r="EP32" t="e">
        <f>AND(Answers!U92,"AAAAAG32U5E=")</f>
        <v>#VALUE!</v>
      </c>
      <c r="EQ32" t="e">
        <f>AND(Answers!V92,"AAAAAG32U5I=")</f>
        <v>#VALUE!</v>
      </c>
      <c r="ER32" t="e">
        <f>AND(Answers!X92,"AAAAAG32U5M=")</f>
        <v>#VALUE!</v>
      </c>
      <c r="ES32" t="e">
        <f>AND(Answers!Y92,"AAAAAG32U5Q=")</f>
        <v>#VALUE!</v>
      </c>
      <c r="ET32" t="e">
        <f>AND(Answers!Z92,"AAAAAG32U5U=")</f>
        <v>#VALUE!</v>
      </c>
      <c r="EU32" t="e">
        <f>AND(Answers!AA92,"AAAAAG32U5Y=")</f>
        <v>#VALUE!</v>
      </c>
      <c r="EV32" t="e">
        <f>AND(Answers!AB92,"AAAAAG32U5c=")</f>
        <v>#VALUE!</v>
      </c>
      <c r="EW32" t="e">
        <f>AND(Answers!AC92,"AAAAAG32U5g=")</f>
        <v>#VALUE!</v>
      </c>
      <c r="EX32" t="e">
        <f>AND(Answers!AD92,"AAAAAG32U5k=")</f>
        <v>#VALUE!</v>
      </c>
      <c r="EY32" t="e">
        <f>AND(Answers!AE92,"AAAAAG32U5o=")</f>
        <v>#VALUE!</v>
      </c>
      <c r="EZ32" t="e">
        <f>AND(Answers!AF92,"AAAAAG32U5s=")</f>
        <v>#VALUE!</v>
      </c>
      <c r="FA32" t="e">
        <f>AND(Answers!AH92,"AAAAAG32U5w=")</f>
        <v>#VALUE!</v>
      </c>
      <c r="FB32" t="e">
        <f>AND(Answers!AI92,"AAAAAG32U50=")</f>
        <v>#VALUE!</v>
      </c>
      <c r="FC32" t="e">
        <f>AND(Answers!AK92,"AAAAAG32U54=")</f>
        <v>#VALUE!</v>
      </c>
      <c r="FD32" t="e">
        <f>AND(Answers!#REF!,"AAAAAG32U58=")</f>
        <v>#REF!</v>
      </c>
      <c r="FE32" t="e">
        <f>AND(Answers!AR92,"AAAAAG32U6A=")</f>
        <v>#VALUE!</v>
      </c>
      <c r="FF32" t="e">
        <f>AND(Answers!AS92,"AAAAAG32U6E=")</f>
        <v>#VALUE!</v>
      </c>
      <c r="FG32" t="e">
        <f>AND(Answers!AT92,"AAAAAG32U6I=")</f>
        <v>#VALUE!</v>
      </c>
      <c r="FH32" t="e">
        <f>AND(Answers!AU92,"AAAAAG32U6M=")</f>
        <v>#VALUE!</v>
      </c>
      <c r="FI32" t="e">
        <f>AND(Answers!AW92,"AAAAAG32U6Q=")</f>
        <v>#VALUE!</v>
      </c>
      <c r="FJ32" t="e">
        <f>AND(Answers!AX92,"AAAAAG32U6U=")</f>
        <v>#VALUE!</v>
      </c>
      <c r="FK32" t="e">
        <f>AND(Answers!AY92,"AAAAAG32U6Y=")</f>
        <v>#VALUE!</v>
      </c>
      <c r="FL32" t="e">
        <f>AND(Answers!AZ92,"AAAAAG32U6c=")</f>
        <v>#VALUE!</v>
      </c>
      <c r="FM32" t="e">
        <f>AND(Answers!BA92,"AAAAAG32U6g=")</f>
        <v>#VALUE!</v>
      </c>
      <c r="FN32" t="e">
        <f>AND(Answers!BB92,"AAAAAG32U6k=")</f>
        <v>#VALUE!</v>
      </c>
      <c r="FO32" t="e">
        <f>AND(Answers!BC92,"AAAAAG32U6o=")</f>
        <v>#VALUE!</v>
      </c>
      <c r="FP32" t="e">
        <f>AND(Answers!BD92,"AAAAAG32U6s=")</f>
        <v>#VALUE!</v>
      </c>
      <c r="FQ32" t="e">
        <f>AND(Answers!BE92,"AAAAAG32U6w=")</f>
        <v>#VALUE!</v>
      </c>
      <c r="FR32" t="e">
        <f>AND(Answers!BF92,"AAAAAG32U60=")</f>
        <v>#VALUE!</v>
      </c>
      <c r="FS32" t="e">
        <f>AND(Answers!BG92,"AAAAAG32U64=")</f>
        <v>#VALUE!</v>
      </c>
      <c r="FT32" t="e">
        <f>AND(Answers!BH92,"AAAAAG32U68=")</f>
        <v>#VALUE!</v>
      </c>
      <c r="FU32" t="e">
        <f>AND(Answers!BI92,"AAAAAG32U7A=")</f>
        <v>#VALUE!</v>
      </c>
      <c r="FV32" t="e">
        <f>AND(Answers!BK92,"AAAAAG32U7E=")</f>
        <v>#VALUE!</v>
      </c>
      <c r="FW32" t="e">
        <f>AND(Answers!BL92,"AAAAAG32U7I=")</f>
        <v>#VALUE!</v>
      </c>
      <c r="FX32" t="e">
        <f>AND(Answers!BM92,"AAAAAG32U7M=")</f>
        <v>#VALUE!</v>
      </c>
      <c r="FY32" t="e">
        <f>AND(Answers!BN92,"AAAAAG32U7Q=")</f>
        <v>#VALUE!</v>
      </c>
      <c r="FZ32" t="e">
        <f>AND(Answers!BO92,"AAAAAG32U7U=")</f>
        <v>#VALUE!</v>
      </c>
      <c r="GA32" t="e">
        <f>AND(Answers!BP92,"AAAAAG32U7Y=")</f>
        <v>#VALUE!</v>
      </c>
      <c r="GB32" t="e">
        <f>AND(Answers!BQ92,"AAAAAG32U7c=")</f>
        <v>#VALUE!</v>
      </c>
      <c r="GC32" t="e">
        <f>AND(Answers!BR92,"AAAAAG32U7g=")</f>
        <v>#VALUE!</v>
      </c>
      <c r="GD32" t="e">
        <f>AND(Answers!BS92,"AAAAAG32U7k=")</f>
        <v>#VALUE!</v>
      </c>
      <c r="GE32" t="e">
        <f>AND(Answers!BU92,"AAAAAG32U7o=")</f>
        <v>#VALUE!</v>
      </c>
      <c r="GF32" t="e">
        <f>AND(Answers!BV92,"AAAAAG32U7s=")</f>
        <v>#VALUE!</v>
      </c>
      <c r="GG32" t="e">
        <f>AND(Answers!#REF!,"AAAAAG32U7w=")</f>
        <v>#REF!</v>
      </c>
      <c r="GH32" t="e">
        <f>AND(Answers!BW92,"AAAAAG32U70=")</f>
        <v>#VALUE!</v>
      </c>
      <c r="GI32" t="e">
        <f>AND(Answers!BX92,"AAAAAG32U74=")</f>
        <v>#VALUE!</v>
      </c>
      <c r="GJ32" t="e">
        <f>AND(Answers!BY92,"AAAAAG32U78=")</f>
        <v>#VALUE!</v>
      </c>
      <c r="GK32" t="e">
        <f>AND(Answers!BZ92,"AAAAAG32U8A=")</f>
        <v>#VALUE!</v>
      </c>
      <c r="GL32">
        <f>IF(Answers!93:93,"AAAAAG32U8E=",0)</f>
        <v>0</v>
      </c>
      <c r="GM32" t="e">
        <f>AND(Answers!A93,"AAAAAG32U8I=")</f>
        <v>#VALUE!</v>
      </c>
      <c r="GN32" t="e">
        <f>AND(Answers!B93,"AAAAAG32U8M=")</f>
        <v>#VALUE!</v>
      </c>
      <c r="GO32" t="e">
        <f>AND(Answers!C93,"AAAAAG32U8Q=")</f>
        <v>#VALUE!</v>
      </c>
      <c r="GP32" t="e">
        <f>AND(Answers!D93,"AAAAAG32U8U=")</f>
        <v>#VALUE!</v>
      </c>
      <c r="GQ32" t="e">
        <f>AND(Answers!E93,"AAAAAG32U8Y=")</f>
        <v>#VALUE!</v>
      </c>
      <c r="GR32" t="e">
        <f>AND(Answers!F93,"AAAAAG32U8c=")</f>
        <v>#VALUE!</v>
      </c>
      <c r="GS32" t="e">
        <f>AND(Answers!G93,"AAAAAG32U8g=")</f>
        <v>#VALUE!</v>
      </c>
      <c r="GT32" t="e">
        <f>AND(Answers!H93,"AAAAAG32U8k=")</f>
        <v>#VALUE!</v>
      </c>
      <c r="GU32" t="e">
        <f>AND(Answers!J93,"AAAAAG32U8o=")</f>
        <v>#VALUE!</v>
      </c>
      <c r="GV32" t="e">
        <f>AND(Answers!K93,"AAAAAG32U8s=")</f>
        <v>#VALUE!</v>
      </c>
      <c r="GW32" t="e">
        <f>AND(Answers!L93,"AAAAAG32U8w=")</f>
        <v>#VALUE!</v>
      </c>
      <c r="GX32" t="e">
        <f>AND(Answers!M93,"AAAAAG32U80=")</f>
        <v>#VALUE!</v>
      </c>
      <c r="GY32" t="e">
        <f>AND(Answers!N93,"AAAAAG32U84=")</f>
        <v>#VALUE!</v>
      </c>
      <c r="GZ32" t="e">
        <f>AND(Answers!O93,"AAAAAG32U88=")</f>
        <v>#VALUE!</v>
      </c>
      <c r="HA32" t="e">
        <f>AND(Answers!P93,"AAAAAG32U9A=")</f>
        <v>#VALUE!</v>
      </c>
      <c r="HB32" t="e">
        <f>AND(Answers!Q93,"AAAAAG32U9E=")</f>
        <v>#VALUE!</v>
      </c>
      <c r="HC32" t="e">
        <f>AND(Answers!R93,"AAAAAG32U9I=")</f>
        <v>#VALUE!</v>
      </c>
      <c r="HD32" t="e">
        <f>AND(Answers!S93,"AAAAAG32U9M=")</f>
        <v>#VALUE!</v>
      </c>
      <c r="HE32" t="e">
        <f>AND(Answers!T93,"AAAAAG32U9Q=")</f>
        <v>#VALUE!</v>
      </c>
      <c r="HF32" t="e">
        <f>AND(Answers!U93,"AAAAAG32U9U=")</f>
        <v>#VALUE!</v>
      </c>
      <c r="HG32" t="e">
        <f>AND(Answers!V93,"AAAAAG32U9Y=")</f>
        <v>#VALUE!</v>
      </c>
      <c r="HH32" t="e">
        <f>AND(Answers!X93,"AAAAAG32U9c=")</f>
        <v>#VALUE!</v>
      </c>
      <c r="HI32" t="e">
        <f>AND(Answers!Y93,"AAAAAG32U9g=")</f>
        <v>#VALUE!</v>
      </c>
      <c r="HJ32" t="e">
        <f>AND(Answers!Z93,"AAAAAG32U9k=")</f>
        <v>#VALUE!</v>
      </c>
      <c r="HK32" t="e">
        <f>AND(Answers!AA93,"AAAAAG32U9o=")</f>
        <v>#VALUE!</v>
      </c>
      <c r="HL32" t="e">
        <f>AND(Answers!AB93,"AAAAAG32U9s=")</f>
        <v>#VALUE!</v>
      </c>
      <c r="HM32" t="e">
        <f>AND(Answers!AC93,"AAAAAG32U9w=")</f>
        <v>#VALUE!</v>
      </c>
      <c r="HN32" t="e">
        <f>AND(Answers!AD93,"AAAAAG32U90=")</f>
        <v>#VALUE!</v>
      </c>
      <c r="HO32" t="e">
        <f>AND(Answers!AE93,"AAAAAG32U94=")</f>
        <v>#VALUE!</v>
      </c>
      <c r="HP32" t="e">
        <f>AND(Answers!AF93,"AAAAAG32U98=")</f>
        <v>#VALUE!</v>
      </c>
      <c r="HQ32" t="e">
        <f>AND(Answers!AH93,"AAAAAG32U+A=")</f>
        <v>#VALUE!</v>
      </c>
      <c r="HR32" t="e">
        <f>AND(Answers!AI93,"AAAAAG32U+E=")</f>
        <v>#VALUE!</v>
      </c>
      <c r="HS32" t="e">
        <f>AND(Answers!AK93,"AAAAAG32U+I=")</f>
        <v>#VALUE!</v>
      </c>
      <c r="HT32" t="e">
        <f>AND(Answers!#REF!,"AAAAAG32U+M=")</f>
        <v>#REF!</v>
      </c>
      <c r="HU32" t="e">
        <f>AND(Answers!AR93,"AAAAAG32U+Q=")</f>
        <v>#VALUE!</v>
      </c>
      <c r="HV32" t="e">
        <f>AND(Answers!AS93,"AAAAAG32U+U=")</f>
        <v>#VALUE!</v>
      </c>
      <c r="HW32" t="e">
        <f>AND(Answers!AT93,"AAAAAG32U+Y=")</f>
        <v>#VALUE!</v>
      </c>
      <c r="HX32" t="e">
        <f>AND(Answers!AU93,"AAAAAG32U+c=")</f>
        <v>#VALUE!</v>
      </c>
      <c r="HY32" t="e">
        <f>AND(Answers!AW93,"AAAAAG32U+g=")</f>
        <v>#VALUE!</v>
      </c>
      <c r="HZ32" t="e">
        <f>AND(Answers!AX93,"AAAAAG32U+k=")</f>
        <v>#VALUE!</v>
      </c>
      <c r="IA32" t="e">
        <f>AND(Answers!AY93,"AAAAAG32U+o=")</f>
        <v>#VALUE!</v>
      </c>
      <c r="IB32" t="e">
        <f>AND(Answers!AZ93,"AAAAAG32U+s=")</f>
        <v>#VALUE!</v>
      </c>
      <c r="IC32" t="e">
        <f>AND(Answers!BA93,"AAAAAG32U+w=")</f>
        <v>#VALUE!</v>
      </c>
      <c r="ID32" t="e">
        <f>AND(Answers!BB93,"AAAAAG32U+0=")</f>
        <v>#VALUE!</v>
      </c>
      <c r="IE32" t="e">
        <f>AND(Answers!BC93,"AAAAAG32U+4=")</f>
        <v>#VALUE!</v>
      </c>
      <c r="IF32" t="e">
        <f>AND(Answers!BD93,"AAAAAG32U+8=")</f>
        <v>#VALUE!</v>
      </c>
      <c r="IG32" t="e">
        <f>AND(Answers!BE93,"AAAAAG32U/A=")</f>
        <v>#VALUE!</v>
      </c>
      <c r="IH32" t="e">
        <f>AND(Answers!BF93,"AAAAAG32U/E=")</f>
        <v>#VALUE!</v>
      </c>
      <c r="II32" t="e">
        <f>AND(Answers!BG93,"AAAAAG32U/I=")</f>
        <v>#VALUE!</v>
      </c>
      <c r="IJ32" t="e">
        <f>AND(Answers!BH93,"AAAAAG32U/M=")</f>
        <v>#VALUE!</v>
      </c>
      <c r="IK32" t="e">
        <f>AND(Answers!BI93,"AAAAAG32U/Q=")</f>
        <v>#VALUE!</v>
      </c>
      <c r="IL32" t="e">
        <f>AND(Answers!BK93,"AAAAAG32U/U=")</f>
        <v>#VALUE!</v>
      </c>
      <c r="IM32" t="e">
        <f>AND(Answers!BL93,"AAAAAG32U/Y=")</f>
        <v>#VALUE!</v>
      </c>
      <c r="IN32" t="e">
        <f>AND(Answers!BM93,"AAAAAG32U/c=")</f>
        <v>#VALUE!</v>
      </c>
      <c r="IO32" t="e">
        <f>AND(Answers!BN93,"AAAAAG32U/g=")</f>
        <v>#VALUE!</v>
      </c>
      <c r="IP32" t="e">
        <f>AND(Answers!BO93,"AAAAAG32U/k=")</f>
        <v>#VALUE!</v>
      </c>
      <c r="IQ32" t="e">
        <f>AND(Answers!BP93,"AAAAAG32U/o=")</f>
        <v>#VALUE!</v>
      </c>
      <c r="IR32" t="e">
        <f>AND(Answers!BQ93,"AAAAAG32U/s=")</f>
        <v>#VALUE!</v>
      </c>
      <c r="IS32" t="e">
        <f>AND(Answers!BR93,"AAAAAG32U/w=")</f>
        <v>#VALUE!</v>
      </c>
      <c r="IT32" t="e">
        <f>AND(Answers!BS93,"AAAAAG32U/0=")</f>
        <v>#VALUE!</v>
      </c>
      <c r="IU32" t="e">
        <f>AND(Answers!BU93,"AAAAAG32U/4=")</f>
        <v>#VALUE!</v>
      </c>
      <c r="IV32" t="e">
        <f>AND(Answers!BV93,"AAAAAG32U/8=")</f>
        <v>#VALUE!</v>
      </c>
    </row>
    <row r="33" spans="1:256" x14ac:dyDescent="0.15">
      <c r="A33" t="e">
        <f>AND(Answers!#REF!,"AAAAAHf//wA=")</f>
        <v>#REF!</v>
      </c>
      <c r="B33" t="e">
        <f>AND(Answers!BW93,"AAAAAHf//wE=")</f>
        <v>#VALUE!</v>
      </c>
      <c r="C33" t="e">
        <f>AND(Answers!BX93,"AAAAAHf//wI=")</f>
        <v>#VALUE!</v>
      </c>
      <c r="D33" t="e">
        <f>AND(Answers!BY93,"AAAAAHf//wM=")</f>
        <v>#VALUE!</v>
      </c>
      <c r="E33" t="e">
        <f>AND(Answers!BZ93,"AAAAAHf//wQ=")</f>
        <v>#VALUE!</v>
      </c>
      <c r="F33" t="e">
        <f>IF(Answers!94:94,"AAAAAHf//wU=",0)</f>
        <v>#VALUE!</v>
      </c>
      <c r="G33" t="e">
        <f>AND(Answers!A94,"AAAAAHf//wY=")</f>
        <v>#VALUE!</v>
      </c>
      <c r="H33" t="e">
        <f>AND(Answers!B94,"AAAAAHf//wc=")</f>
        <v>#VALUE!</v>
      </c>
      <c r="I33" t="e">
        <f>AND(Answers!C94,"AAAAAHf//wg=")</f>
        <v>#VALUE!</v>
      </c>
      <c r="J33" t="e">
        <f>AND(Answers!D94,"AAAAAHf//wk=")</f>
        <v>#VALUE!</v>
      </c>
      <c r="K33" t="e">
        <f>AND(Answers!E94,"AAAAAHf//wo=")</f>
        <v>#VALUE!</v>
      </c>
      <c r="L33" t="e">
        <f>AND(Answers!F94,"AAAAAHf//ws=")</f>
        <v>#VALUE!</v>
      </c>
      <c r="M33" t="e">
        <f>AND(Answers!G94,"AAAAAHf//ww=")</f>
        <v>#VALUE!</v>
      </c>
      <c r="N33" t="e">
        <f>AND(Answers!H94,"AAAAAHf//w0=")</f>
        <v>#VALUE!</v>
      </c>
      <c r="O33" t="e">
        <f>AND(Answers!J94,"AAAAAHf//w4=")</f>
        <v>#VALUE!</v>
      </c>
      <c r="P33" t="e">
        <f>AND(Answers!K94,"AAAAAHf//w8=")</f>
        <v>#VALUE!</v>
      </c>
      <c r="Q33" t="e">
        <f>AND(Answers!L94,"AAAAAHf//xA=")</f>
        <v>#VALUE!</v>
      </c>
      <c r="R33" t="e">
        <f>AND(Answers!M94,"AAAAAHf//xE=")</f>
        <v>#VALUE!</v>
      </c>
      <c r="S33" t="e">
        <f>AND(Answers!N94,"AAAAAHf//xI=")</f>
        <v>#VALUE!</v>
      </c>
      <c r="T33" t="e">
        <f>AND(Answers!O94,"AAAAAHf//xM=")</f>
        <v>#VALUE!</v>
      </c>
      <c r="U33" t="e">
        <f>AND(Answers!P94,"AAAAAHf//xQ=")</f>
        <v>#VALUE!</v>
      </c>
      <c r="V33" t="e">
        <f>AND(Answers!Q94,"AAAAAHf//xU=")</f>
        <v>#VALUE!</v>
      </c>
      <c r="W33" t="e">
        <f>AND(Answers!R94,"AAAAAHf//xY=")</f>
        <v>#VALUE!</v>
      </c>
      <c r="X33" t="e">
        <f>AND(Answers!S94,"AAAAAHf//xc=")</f>
        <v>#VALUE!</v>
      </c>
      <c r="Y33" t="e">
        <f>AND(Answers!T94,"AAAAAHf//xg=")</f>
        <v>#VALUE!</v>
      </c>
      <c r="Z33" t="e">
        <f>AND(Answers!U94,"AAAAAHf//xk=")</f>
        <v>#VALUE!</v>
      </c>
      <c r="AA33" t="e">
        <f>AND(Answers!V94,"AAAAAHf//xo=")</f>
        <v>#VALUE!</v>
      </c>
      <c r="AB33" t="e">
        <f>AND(Answers!X94,"AAAAAHf//xs=")</f>
        <v>#VALUE!</v>
      </c>
      <c r="AC33" t="e">
        <f>AND(Answers!Y94,"AAAAAHf//xw=")</f>
        <v>#VALUE!</v>
      </c>
      <c r="AD33" t="e">
        <f>AND(Answers!Z94,"AAAAAHf//x0=")</f>
        <v>#VALUE!</v>
      </c>
      <c r="AE33" t="e">
        <f>AND(Answers!AA94,"AAAAAHf//x4=")</f>
        <v>#VALUE!</v>
      </c>
      <c r="AF33" t="e">
        <f>AND(Answers!AB94,"AAAAAHf//x8=")</f>
        <v>#VALUE!</v>
      </c>
      <c r="AG33" t="e">
        <f>AND(Answers!AC94,"AAAAAHf//yA=")</f>
        <v>#VALUE!</v>
      </c>
      <c r="AH33" t="e">
        <f>AND(Answers!AD94,"AAAAAHf//yE=")</f>
        <v>#VALUE!</v>
      </c>
      <c r="AI33" t="e">
        <f>AND(Answers!AE94,"AAAAAHf//yI=")</f>
        <v>#VALUE!</v>
      </c>
      <c r="AJ33" t="e">
        <f>AND(Answers!AF94,"AAAAAHf//yM=")</f>
        <v>#VALUE!</v>
      </c>
      <c r="AK33" t="e">
        <f>AND(Answers!AH94,"AAAAAHf//yQ=")</f>
        <v>#VALUE!</v>
      </c>
      <c r="AL33" t="e">
        <f>AND(Answers!AI94,"AAAAAHf//yU=")</f>
        <v>#VALUE!</v>
      </c>
      <c r="AM33" t="e">
        <f>AND(Answers!AK94,"AAAAAHf//yY=")</f>
        <v>#VALUE!</v>
      </c>
      <c r="AN33" t="e">
        <f>AND(Answers!#REF!,"AAAAAHf//yc=")</f>
        <v>#REF!</v>
      </c>
      <c r="AO33" t="e">
        <f>AND(Answers!AR94,"AAAAAHf//yg=")</f>
        <v>#VALUE!</v>
      </c>
      <c r="AP33" t="e">
        <f>AND(Answers!AS94,"AAAAAHf//yk=")</f>
        <v>#VALUE!</v>
      </c>
      <c r="AQ33" t="e">
        <f>AND(Answers!AT94,"AAAAAHf//yo=")</f>
        <v>#VALUE!</v>
      </c>
      <c r="AR33" t="e">
        <f>AND(Answers!AU94,"AAAAAHf//ys=")</f>
        <v>#VALUE!</v>
      </c>
      <c r="AS33" t="e">
        <f>AND(Answers!AW94,"AAAAAHf//yw=")</f>
        <v>#VALUE!</v>
      </c>
      <c r="AT33" t="e">
        <f>AND(Answers!AX94,"AAAAAHf//y0=")</f>
        <v>#VALUE!</v>
      </c>
      <c r="AU33" t="e">
        <f>AND(Answers!AY94,"AAAAAHf//y4=")</f>
        <v>#VALUE!</v>
      </c>
      <c r="AV33" t="e">
        <f>AND(Answers!AZ94,"AAAAAHf//y8=")</f>
        <v>#VALUE!</v>
      </c>
      <c r="AW33" t="e">
        <f>AND(Answers!BA94,"AAAAAHf//zA=")</f>
        <v>#VALUE!</v>
      </c>
      <c r="AX33" t="e">
        <f>AND(Answers!BB94,"AAAAAHf//zE=")</f>
        <v>#VALUE!</v>
      </c>
      <c r="AY33" t="e">
        <f>AND(Answers!BC94,"AAAAAHf//zI=")</f>
        <v>#VALUE!</v>
      </c>
      <c r="AZ33" t="e">
        <f>AND(Answers!BD94,"AAAAAHf//zM=")</f>
        <v>#VALUE!</v>
      </c>
      <c r="BA33" t="e">
        <f>AND(Answers!BE94,"AAAAAHf//zQ=")</f>
        <v>#VALUE!</v>
      </c>
      <c r="BB33" t="e">
        <f>AND(Answers!BF94,"AAAAAHf//zU=")</f>
        <v>#VALUE!</v>
      </c>
      <c r="BC33" t="e">
        <f>AND(Answers!BG94,"AAAAAHf//zY=")</f>
        <v>#VALUE!</v>
      </c>
      <c r="BD33" t="e">
        <f>AND(Answers!BH94,"AAAAAHf//zc=")</f>
        <v>#VALUE!</v>
      </c>
      <c r="BE33" t="e">
        <f>AND(Answers!BI94,"AAAAAHf//zg=")</f>
        <v>#VALUE!</v>
      </c>
      <c r="BF33" t="e">
        <f>AND(Answers!BK94,"AAAAAHf//zk=")</f>
        <v>#VALUE!</v>
      </c>
      <c r="BG33" t="e">
        <f>AND(Answers!BL94,"AAAAAHf//zo=")</f>
        <v>#VALUE!</v>
      </c>
      <c r="BH33" t="e">
        <f>AND(Answers!BM94,"AAAAAHf//zs=")</f>
        <v>#VALUE!</v>
      </c>
      <c r="BI33" t="e">
        <f>AND(Answers!BN94,"AAAAAHf//zw=")</f>
        <v>#VALUE!</v>
      </c>
      <c r="BJ33" t="e">
        <f>AND(Answers!BO94,"AAAAAHf//z0=")</f>
        <v>#VALUE!</v>
      </c>
      <c r="BK33" t="e">
        <f>AND(Answers!BP94,"AAAAAHf//z4=")</f>
        <v>#VALUE!</v>
      </c>
      <c r="BL33" t="e">
        <f>AND(Answers!BQ94,"AAAAAHf//z8=")</f>
        <v>#VALUE!</v>
      </c>
      <c r="BM33" t="e">
        <f>AND(Answers!BR94,"AAAAAHf//0A=")</f>
        <v>#VALUE!</v>
      </c>
      <c r="BN33" t="e">
        <f>AND(Answers!BS94,"AAAAAHf//0E=")</f>
        <v>#VALUE!</v>
      </c>
      <c r="BO33" t="e">
        <f>AND(Answers!BU94,"AAAAAHf//0I=")</f>
        <v>#VALUE!</v>
      </c>
      <c r="BP33" t="e">
        <f>AND(Answers!BV94,"AAAAAHf//0M=")</f>
        <v>#VALUE!</v>
      </c>
      <c r="BQ33" t="e">
        <f>AND(Answers!#REF!,"AAAAAHf//0Q=")</f>
        <v>#REF!</v>
      </c>
      <c r="BR33" t="e">
        <f>AND(Answers!BW94,"AAAAAHf//0U=")</f>
        <v>#VALUE!</v>
      </c>
      <c r="BS33" t="e">
        <f>AND(Answers!BX94,"AAAAAHf//0Y=")</f>
        <v>#VALUE!</v>
      </c>
      <c r="BT33" t="e">
        <f>AND(Answers!BY94,"AAAAAHf//0c=")</f>
        <v>#VALUE!</v>
      </c>
      <c r="BU33" t="e">
        <f>AND(Answers!BZ94,"AAAAAHf//0g=")</f>
        <v>#VALUE!</v>
      </c>
      <c r="BV33" t="str">
        <f>IF(Answers!95:95,"AAAAAHf//0k=",0)</f>
        <v>AAAAAHf//0k=</v>
      </c>
      <c r="BW33" t="e">
        <f>AND(Answers!A95,"AAAAAHf//0o=")</f>
        <v>#VALUE!</v>
      </c>
      <c r="BX33" t="e">
        <f>AND(Answers!B95,"AAAAAHf//0s=")</f>
        <v>#VALUE!</v>
      </c>
      <c r="BY33" t="e">
        <f>AND(Answers!C95,"AAAAAHf//0w=")</f>
        <v>#VALUE!</v>
      </c>
      <c r="BZ33" t="e">
        <f>AND(Answers!D95,"AAAAAHf//00=")</f>
        <v>#VALUE!</v>
      </c>
      <c r="CA33" t="e">
        <f>AND(Answers!E95,"AAAAAHf//04=")</f>
        <v>#VALUE!</v>
      </c>
      <c r="CB33" t="e">
        <f>AND(Answers!F95,"AAAAAHf//08=")</f>
        <v>#VALUE!</v>
      </c>
      <c r="CC33" t="e">
        <f>AND(Answers!G95,"AAAAAHf//1A=")</f>
        <v>#VALUE!</v>
      </c>
      <c r="CD33" t="e">
        <f>AND(Answers!H95,"AAAAAHf//1E=")</f>
        <v>#VALUE!</v>
      </c>
      <c r="CE33" t="e">
        <f>AND(Answers!J95,"AAAAAHf//1I=")</f>
        <v>#VALUE!</v>
      </c>
      <c r="CF33" t="e">
        <f>AND(Answers!K95,"AAAAAHf//1M=")</f>
        <v>#VALUE!</v>
      </c>
      <c r="CG33" t="e">
        <f>AND(Answers!L95,"AAAAAHf//1Q=")</f>
        <v>#VALUE!</v>
      </c>
      <c r="CH33" t="e">
        <f>AND(Answers!M95,"AAAAAHf//1U=")</f>
        <v>#VALUE!</v>
      </c>
      <c r="CI33" t="e">
        <f>AND(Answers!N95,"AAAAAHf//1Y=")</f>
        <v>#VALUE!</v>
      </c>
      <c r="CJ33" t="e">
        <f>AND(Answers!O95,"AAAAAHf//1c=")</f>
        <v>#VALUE!</v>
      </c>
      <c r="CK33" t="e">
        <f>AND(Answers!P95,"AAAAAHf//1g=")</f>
        <v>#VALUE!</v>
      </c>
      <c r="CL33" t="e">
        <f>AND(Answers!Q95,"AAAAAHf//1k=")</f>
        <v>#VALUE!</v>
      </c>
      <c r="CM33" t="e">
        <f>AND(Answers!R95,"AAAAAHf//1o=")</f>
        <v>#VALUE!</v>
      </c>
      <c r="CN33" t="e">
        <f>AND(Answers!S95,"AAAAAHf//1s=")</f>
        <v>#VALUE!</v>
      </c>
      <c r="CO33" t="e">
        <f>AND(Answers!T95,"AAAAAHf//1w=")</f>
        <v>#VALUE!</v>
      </c>
      <c r="CP33" t="e">
        <f>AND(Answers!U95,"AAAAAHf//10=")</f>
        <v>#VALUE!</v>
      </c>
      <c r="CQ33" t="e">
        <f>AND(Answers!V95,"AAAAAHf//14=")</f>
        <v>#VALUE!</v>
      </c>
      <c r="CR33" t="e">
        <f>AND(Answers!X95,"AAAAAHf//18=")</f>
        <v>#VALUE!</v>
      </c>
      <c r="CS33" t="e">
        <f>AND(Answers!Y95,"AAAAAHf//2A=")</f>
        <v>#VALUE!</v>
      </c>
      <c r="CT33" t="e">
        <f>AND(Answers!Z95,"AAAAAHf//2E=")</f>
        <v>#VALUE!</v>
      </c>
      <c r="CU33" t="e">
        <f>AND(Answers!AA95,"AAAAAHf//2I=")</f>
        <v>#VALUE!</v>
      </c>
      <c r="CV33" t="e">
        <f>AND(Answers!AB95,"AAAAAHf//2M=")</f>
        <v>#VALUE!</v>
      </c>
      <c r="CW33" t="e">
        <f>AND(Answers!AC95,"AAAAAHf//2Q=")</f>
        <v>#VALUE!</v>
      </c>
      <c r="CX33" t="e">
        <f>AND(Answers!AD95,"AAAAAHf//2U=")</f>
        <v>#VALUE!</v>
      </c>
      <c r="CY33" t="e">
        <f>AND(Answers!AE95,"AAAAAHf//2Y=")</f>
        <v>#VALUE!</v>
      </c>
      <c r="CZ33" t="e">
        <f>AND(Answers!AF95,"AAAAAHf//2c=")</f>
        <v>#VALUE!</v>
      </c>
      <c r="DA33" t="e">
        <f>AND(Answers!AH95,"AAAAAHf//2g=")</f>
        <v>#VALUE!</v>
      </c>
      <c r="DB33" t="e">
        <f>AND(Answers!AI95,"AAAAAHf//2k=")</f>
        <v>#VALUE!</v>
      </c>
      <c r="DC33" t="e">
        <f>AND(Answers!AK95,"AAAAAHf//2o=")</f>
        <v>#VALUE!</v>
      </c>
      <c r="DD33" t="e">
        <f>AND(Answers!#REF!,"AAAAAHf//2s=")</f>
        <v>#REF!</v>
      </c>
      <c r="DE33" t="e">
        <f>AND(Answers!AR95,"AAAAAHf//2w=")</f>
        <v>#VALUE!</v>
      </c>
      <c r="DF33" t="e">
        <f>AND(Answers!AS95,"AAAAAHf//20=")</f>
        <v>#VALUE!</v>
      </c>
      <c r="DG33" t="e">
        <f>AND(Answers!AT95,"AAAAAHf//24=")</f>
        <v>#VALUE!</v>
      </c>
      <c r="DH33" t="e">
        <f>AND(Answers!AU95,"AAAAAHf//28=")</f>
        <v>#VALUE!</v>
      </c>
      <c r="DI33" t="e">
        <f>AND(Answers!AW95,"AAAAAHf//3A=")</f>
        <v>#VALUE!</v>
      </c>
      <c r="DJ33" t="e">
        <f>AND(Answers!AX95,"AAAAAHf//3E=")</f>
        <v>#VALUE!</v>
      </c>
      <c r="DK33" t="e">
        <f>AND(Answers!AY95,"AAAAAHf//3I=")</f>
        <v>#VALUE!</v>
      </c>
      <c r="DL33" t="e">
        <f>AND(Answers!AZ95,"AAAAAHf//3M=")</f>
        <v>#VALUE!</v>
      </c>
      <c r="DM33" t="e">
        <f>AND(Answers!BA95,"AAAAAHf//3Q=")</f>
        <v>#VALUE!</v>
      </c>
      <c r="DN33" t="e">
        <f>AND(Answers!BB95,"AAAAAHf//3U=")</f>
        <v>#VALUE!</v>
      </c>
      <c r="DO33" t="e">
        <f>AND(Answers!BC95,"AAAAAHf//3Y=")</f>
        <v>#VALUE!</v>
      </c>
      <c r="DP33" t="e">
        <f>AND(Answers!BD95,"AAAAAHf//3c=")</f>
        <v>#VALUE!</v>
      </c>
      <c r="DQ33" t="e">
        <f>AND(Answers!BE95,"AAAAAHf//3g=")</f>
        <v>#VALUE!</v>
      </c>
      <c r="DR33" t="e">
        <f>AND(Answers!BF95,"AAAAAHf//3k=")</f>
        <v>#VALUE!</v>
      </c>
      <c r="DS33" t="e">
        <f>AND(Answers!BG95,"AAAAAHf//3o=")</f>
        <v>#VALUE!</v>
      </c>
      <c r="DT33" t="e">
        <f>AND(Answers!BH95,"AAAAAHf//3s=")</f>
        <v>#VALUE!</v>
      </c>
      <c r="DU33" t="e">
        <f>AND(Answers!BI95,"AAAAAHf//3w=")</f>
        <v>#VALUE!</v>
      </c>
      <c r="DV33" t="e">
        <f>AND(Answers!BK95,"AAAAAHf//30=")</f>
        <v>#VALUE!</v>
      </c>
      <c r="DW33" t="e">
        <f>AND(Answers!BL95,"AAAAAHf//34=")</f>
        <v>#VALUE!</v>
      </c>
      <c r="DX33" t="e">
        <f>AND(Answers!BM95,"AAAAAHf//38=")</f>
        <v>#VALUE!</v>
      </c>
      <c r="DY33" t="e">
        <f>AND(Answers!BN95,"AAAAAHf//4A=")</f>
        <v>#VALUE!</v>
      </c>
      <c r="DZ33" t="e">
        <f>AND(Answers!BO95,"AAAAAHf//4E=")</f>
        <v>#VALUE!</v>
      </c>
      <c r="EA33" t="e">
        <f>AND(Answers!BP95,"AAAAAHf//4I=")</f>
        <v>#VALUE!</v>
      </c>
      <c r="EB33" t="e">
        <f>AND(Answers!BQ95,"AAAAAHf//4M=")</f>
        <v>#VALUE!</v>
      </c>
      <c r="EC33" t="e">
        <f>AND(Answers!BR95,"AAAAAHf//4Q=")</f>
        <v>#VALUE!</v>
      </c>
      <c r="ED33" t="e">
        <f>AND(Answers!BS95,"AAAAAHf//4U=")</f>
        <v>#VALUE!</v>
      </c>
      <c r="EE33" t="e">
        <f>AND(Answers!BU95,"AAAAAHf//4Y=")</f>
        <v>#VALUE!</v>
      </c>
      <c r="EF33" t="e">
        <f>AND(Answers!BV95,"AAAAAHf//4c=")</f>
        <v>#VALUE!</v>
      </c>
      <c r="EG33" t="e">
        <f>AND(Answers!#REF!,"AAAAAHf//4g=")</f>
        <v>#REF!</v>
      </c>
      <c r="EH33" t="e">
        <f>AND(Answers!BW95,"AAAAAHf//4k=")</f>
        <v>#VALUE!</v>
      </c>
      <c r="EI33" t="e">
        <f>AND(Answers!BX95,"AAAAAHf//4o=")</f>
        <v>#VALUE!</v>
      </c>
      <c r="EJ33" t="e">
        <f>AND(Answers!BY95,"AAAAAHf//4s=")</f>
        <v>#VALUE!</v>
      </c>
      <c r="EK33" t="e">
        <f>AND(Answers!BZ95,"AAAAAHf//4w=")</f>
        <v>#VALUE!</v>
      </c>
      <c r="EL33">
        <f>IF(Answers!96:96,"AAAAAHf//40=",0)</f>
        <v>0</v>
      </c>
      <c r="EM33" t="e">
        <f>AND(Answers!A96,"AAAAAHf//44=")</f>
        <v>#VALUE!</v>
      </c>
      <c r="EN33" t="e">
        <f>AND(Answers!B96,"AAAAAHf//48=")</f>
        <v>#VALUE!</v>
      </c>
      <c r="EO33" t="e">
        <f>AND(Answers!C96,"AAAAAHf//5A=")</f>
        <v>#VALUE!</v>
      </c>
      <c r="EP33" t="e">
        <f>AND(Answers!D96,"AAAAAHf//5E=")</f>
        <v>#VALUE!</v>
      </c>
      <c r="EQ33" t="e">
        <f>AND(Answers!E96,"AAAAAHf//5I=")</f>
        <v>#VALUE!</v>
      </c>
      <c r="ER33" t="e">
        <f>AND(Answers!F96,"AAAAAHf//5M=")</f>
        <v>#VALUE!</v>
      </c>
      <c r="ES33" t="e">
        <f>AND(Answers!G96,"AAAAAHf//5Q=")</f>
        <v>#VALUE!</v>
      </c>
      <c r="ET33" t="e">
        <f>AND(Answers!H96,"AAAAAHf//5U=")</f>
        <v>#VALUE!</v>
      </c>
      <c r="EU33" t="e">
        <f>AND(Answers!J96,"AAAAAHf//5Y=")</f>
        <v>#VALUE!</v>
      </c>
      <c r="EV33" t="e">
        <f>AND(Answers!K96,"AAAAAHf//5c=")</f>
        <v>#VALUE!</v>
      </c>
      <c r="EW33" t="e">
        <f>AND(Answers!L96,"AAAAAHf//5g=")</f>
        <v>#VALUE!</v>
      </c>
      <c r="EX33" t="e">
        <f>AND(Answers!M96,"AAAAAHf//5k=")</f>
        <v>#VALUE!</v>
      </c>
      <c r="EY33" t="e">
        <f>AND(Answers!N96,"AAAAAHf//5o=")</f>
        <v>#VALUE!</v>
      </c>
      <c r="EZ33" t="e">
        <f>AND(Answers!O96,"AAAAAHf//5s=")</f>
        <v>#VALUE!</v>
      </c>
      <c r="FA33" t="e">
        <f>AND(Answers!P96,"AAAAAHf//5w=")</f>
        <v>#VALUE!</v>
      </c>
      <c r="FB33" t="e">
        <f>AND(Answers!Q96,"AAAAAHf//50=")</f>
        <v>#VALUE!</v>
      </c>
      <c r="FC33" t="e">
        <f>AND(Answers!R96,"AAAAAHf//54=")</f>
        <v>#VALUE!</v>
      </c>
      <c r="FD33" t="e">
        <f>AND(Answers!S96,"AAAAAHf//58=")</f>
        <v>#VALUE!</v>
      </c>
      <c r="FE33" t="e">
        <f>AND(Answers!T96,"AAAAAHf//6A=")</f>
        <v>#VALUE!</v>
      </c>
      <c r="FF33" t="e">
        <f>AND(Answers!U96,"AAAAAHf//6E=")</f>
        <v>#VALUE!</v>
      </c>
      <c r="FG33" t="e">
        <f>AND(Answers!V96,"AAAAAHf//6I=")</f>
        <v>#VALUE!</v>
      </c>
      <c r="FH33" t="e">
        <f>AND(Answers!X96,"AAAAAHf//6M=")</f>
        <v>#VALUE!</v>
      </c>
      <c r="FI33" t="e">
        <f>AND(Answers!Y96,"AAAAAHf//6Q=")</f>
        <v>#VALUE!</v>
      </c>
      <c r="FJ33" t="e">
        <f>AND(Answers!Z96,"AAAAAHf//6U=")</f>
        <v>#VALUE!</v>
      </c>
      <c r="FK33" t="e">
        <f>AND(Answers!AA96,"AAAAAHf//6Y=")</f>
        <v>#VALUE!</v>
      </c>
      <c r="FL33" t="e">
        <f>AND(Answers!AB96,"AAAAAHf//6c=")</f>
        <v>#VALUE!</v>
      </c>
      <c r="FM33" t="e">
        <f>AND(Answers!AC96,"AAAAAHf//6g=")</f>
        <v>#VALUE!</v>
      </c>
      <c r="FN33" t="e">
        <f>AND(Answers!AD96,"AAAAAHf//6k=")</f>
        <v>#VALUE!</v>
      </c>
      <c r="FO33" t="e">
        <f>AND(Answers!AE96,"AAAAAHf//6o=")</f>
        <v>#VALUE!</v>
      </c>
      <c r="FP33" t="e">
        <f>AND(Answers!AF96,"AAAAAHf//6s=")</f>
        <v>#VALUE!</v>
      </c>
      <c r="FQ33" t="e">
        <f>AND(Answers!AH96,"AAAAAHf//6w=")</f>
        <v>#VALUE!</v>
      </c>
      <c r="FR33" t="e">
        <f>AND(Answers!AI96,"AAAAAHf//60=")</f>
        <v>#VALUE!</v>
      </c>
      <c r="FS33" t="e">
        <f>AND(Answers!AK96,"AAAAAHf//64=")</f>
        <v>#VALUE!</v>
      </c>
      <c r="FT33" t="e">
        <f>AND(Answers!#REF!,"AAAAAHf//68=")</f>
        <v>#REF!</v>
      </c>
      <c r="FU33" t="e">
        <f>AND(Answers!AR96,"AAAAAHf//7A=")</f>
        <v>#VALUE!</v>
      </c>
      <c r="FV33" t="e">
        <f>AND(Answers!AS96,"AAAAAHf//7E=")</f>
        <v>#VALUE!</v>
      </c>
      <c r="FW33" t="e">
        <f>AND(Answers!AT96,"AAAAAHf//7I=")</f>
        <v>#VALUE!</v>
      </c>
      <c r="FX33" t="e">
        <f>AND(Answers!AU96,"AAAAAHf//7M=")</f>
        <v>#VALUE!</v>
      </c>
      <c r="FY33" t="e">
        <f>AND(Answers!AW96,"AAAAAHf//7Q=")</f>
        <v>#VALUE!</v>
      </c>
      <c r="FZ33" t="e">
        <f>AND(Answers!AX96,"AAAAAHf//7U=")</f>
        <v>#VALUE!</v>
      </c>
      <c r="GA33" t="e">
        <f>AND(Answers!AY96,"AAAAAHf//7Y=")</f>
        <v>#VALUE!</v>
      </c>
      <c r="GB33" t="e">
        <f>AND(Answers!AZ96,"AAAAAHf//7c=")</f>
        <v>#VALUE!</v>
      </c>
      <c r="GC33" t="e">
        <f>AND(Answers!BA96,"AAAAAHf//7g=")</f>
        <v>#VALUE!</v>
      </c>
      <c r="GD33" t="e">
        <f>AND(Answers!BB96,"AAAAAHf//7k=")</f>
        <v>#VALUE!</v>
      </c>
      <c r="GE33" t="e">
        <f>AND(Answers!BC96,"AAAAAHf//7o=")</f>
        <v>#VALUE!</v>
      </c>
      <c r="GF33" t="e">
        <f>AND(Answers!BD96,"AAAAAHf//7s=")</f>
        <v>#VALUE!</v>
      </c>
      <c r="GG33" t="e">
        <f>AND(Answers!BE96,"AAAAAHf//7w=")</f>
        <v>#VALUE!</v>
      </c>
      <c r="GH33" t="e">
        <f>AND(Answers!BF96,"AAAAAHf//70=")</f>
        <v>#VALUE!</v>
      </c>
      <c r="GI33" t="e">
        <f>AND(Answers!BG96,"AAAAAHf//74=")</f>
        <v>#VALUE!</v>
      </c>
      <c r="GJ33" t="e">
        <f>AND(Answers!BH96,"AAAAAHf//78=")</f>
        <v>#VALUE!</v>
      </c>
      <c r="GK33" t="e">
        <f>AND(Answers!BI96,"AAAAAHf//8A=")</f>
        <v>#VALUE!</v>
      </c>
      <c r="GL33" t="e">
        <f>AND(Answers!BK96,"AAAAAHf//8E=")</f>
        <v>#VALUE!</v>
      </c>
      <c r="GM33" t="e">
        <f>AND(Answers!BL96,"AAAAAHf//8I=")</f>
        <v>#VALUE!</v>
      </c>
      <c r="GN33" t="e">
        <f>AND(Answers!BM96,"AAAAAHf//8M=")</f>
        <v>#VALUE!</v>
      </c>
      <c r="GO33" t="e">
        <f>AND(Answers!BN96,"AAAAAHf//8Q=")</f>
        <v>#VALUE!</v>
      </c>
      <c r="GP33" t="e">
        <f>AND(Answers!BO96,"AAAAAHf//8U=")</f>
        <v>#VALUE!</v>
      </c>
      <c r="GQ33" t="e">
        <f>AND(Answers!BP96,"AAAAAHf//8Y=")</f>
        <v>#VALUE!</v>
      </c>
      <c r="GR33" t="e">
        <f>AND(Answers!BQ96,"AAAAAHf//8c=")</f>
        <v>#VALUE!</v>
      </c>
      <c r="GS33" t="e">
        <f>AND(Answers!BR96,"AAAAAHf//8g=")</f>
        <v>#VALUE!</v>
      </c>
      <c r="GT33" t="e">
        <f>AND(Answers!BS96,"AAAAAHf//8k=")</f>
        <v>#VALUE!</v>
      </c>
      <c r="GU33" t="e">
        <f>AND(Answers!BU96,"AAAAAHf//8o=")</f>
        <v>#VALUE!</v>
      </c>
      <c r="GV33" t="e">
        <f>AND(Answers!BV96,"AAAAAHf//8s=")</f>
        <v>#VALUE!</v>
      </c>
      <c r="GW33" t="e">
        <f>AND(Answers!#REF!,"AAAAAHf//8w=")</f>
        <v>#REF!</v>
      </c>
      <c r="GX33" t="e">
        <f>AND(Answers!BW96,"AAAAAHf//80=")</f>
        <v>#VALUE!</v>
      </c>
      <c r="GY33" t="e">
        <f>AND(Answers!BX96,"AAAAAHf//84=")</f>
        <v>#VALUE!</v>
      </c>
      <c r="GZ33" t="e">
        <f>AND(Answers!BY96,"AAAAAHf//88=")</f>
        <v>#VALUE!</v>
      </c>
      <c r="HA33" t="e">
        <f>AND(Answers!BZ96,"AAAAAHf//9A=")</f>
        <v>#VALUE!</v>
      </c>
      <c r="HB33">
        <f>IF(Answers!97:97,"AAAAAHf//9E=",0)</f>
        <v>0</v>
      </c>
      <c r="HC33" t="e">
        <f>AND(Answers!A97,"AAAAAHf//9I=")</f>
        <v>#VALUE!</v>
      </c>
      <c r="HD33" t="e">
        <f>AND(Answers!B97,"AAAAAHf//9M=")</f>
        <v>#VALUE!</v>
      </c>
      <c r="HE33" t="e">
        <f>AND(Answers!C97,"AAAAAHf//9Q=")</f>
        <v>#VALUE!</v>
      </c>
      <c r="HF33" t="e">
        <f>AND(Answers!D97,"AAAAAHf//9U=")</f>
        <v>#VALUE!</v>
      </c>
      <c r="HG33" t="e">
        <f>AND(Answers!E97,"AAAAAHf//9Y=")</f>
        <v>#VALUE!</v>
      </c>
      <c r="HH33" t="e">
        <f>AND(Answers!F97,"AAAAAHf//9c=")</f>
        <v>#VALUE!</v>
      </c>
      <c r="HI33" t="e">
        <f>AND(Answers!G97,"AAAAAHf//9g=")</f>
        <v>#VALUE!</v>
      </c>
      <c r="HJ33" t="e">
        <f>AND(Answers!H97,"AAAAAHf//9k=")</f>
        <v>#VALUE!</v>
      </c>
      <c r="HK33" t="e">
        <f>AND(Answers!J97,"AAAAAHf//9o=")</f>
        <v>#VALUE!</v>
      </c>
      <c r="HL33" t="e">
        <f>AND(Answers!K97,"AAAAAHf//9s=")</f>
        <v>#VALUE!</v>
      </c>
      <c r="HM33" t="e">
        <f>AND(Answers!L97,"AAAAAHf//9w=")</f>
        <v>#VALUE!</v>
      </c>
      <c r="HN33" t="e">
        <f>AND(Answers!M97,"AAAAAHf//90=")</f>
        <v>#VALUE!</v>
      </c>
      <c r="HO33" t="e">
        <f>AND(Answers!N97,"AAAAAHf//94=")</f>
        <v>#VALUE!</v>
      </c>
      <c r="HP33" t="e">
        <f>AND(Answers!O97,"AAAAAHf//98=")</f>
        <v>#VALUE!</v>
      </c>
      <c r="HQ33" t="e">
        <f>AND(Answers!P97,"AAAAAHf//+A=")</f>
        <v>#VALUE!</v>
      </c>
      <c r="HR33" t="e">
        <f>AND(Answers!Q97,"AAAAAHf//+E=")</f>
        <v>#VALUE!</v>
      </c>
      <c r="HS33" t="e">
        <f>AND(Answers!R97,"AAAAAHf//+I=")</f>
        <v>#VALUE!</v>
      </c>
      <c r="HT33" t="e">
        <f>AND(Answers!S97,"AAAAAHf//+M=")</f>
        <v>#VALUE!</v>
      </c>
      <c r="HU33" t="e">
        <f>AND(Answers!T97,"AAAAAHf//+Q=")</f>
        <v>#VALUE!</v>
      </c>
      <c r="HV33" t="e">
        <f>AND(Answers!U97,"AAAAAHf//+U=")</f>
        <v>#VALUE!</v>
      </c>
      <c r="HW33" t="e">
        <f>AND(Answers!V97,"AAAAAHf//+Y=")</f>
        <v>#VALUE!</v>
      </c>
      <c r="HX33" t="e">
        <f>AND(Answers!X97,"AAAAAHf//+c=")</f>
        <v>#VALUE!</v>
      </c>
      <c r="HY33" t="e">
        <f>AND(Answers!Y97,"AAAAAHf//+g=")</f>
        <v>#VALUE!</v>
      </c>
      <c r="HZ33" t="e">
        <f>AND(Answers!Z97,"AAAAAHf//+k=")</f>
        <v>#VALUE!</v>
      </c>
      <c r="IA33" t="e">
        <f>AND(Answers!AA97,"AAAAAHf//+o=")</f>
        <v>#VALUE!</v>
      </c>
      <c r="IB33" t="e">
        <f>AND(Answers!AB97,"AAAAAHf//+s=")</f>
        <v>#VALUE!</v>
      </c>
      <c r="IC33" t="e">
        <f>AND(Answers!AC97,"AAAAAHf//+w=")</f>
        <v>#VALUE!</v>
      </c>
      <c r="ID33" t="e">
        <f>AND(Answers!AD97,"AAAAAHf//+0=")</f>
        <v>#VALUE!</v>
      </c>
      <c r="IE33" t="e">
        <f>AND(Answers!AE97,"AAAAAHf//+4=")</f>
        <v>#VALUE!</v>
      </c>
      <c r="IF33" t="e">
        <f>AND(Answers!AF97,"AAAAAHf//+8=")</f>
        <v>#VALUE!</v>
      </c>
      <c r="IG33" t="e">
        <f>AND(Answers!AH97,"AAAAAHf///A=")</f>
        <v>#VALUE!</v>
      </c>
      <c r="IH33" t="e">
        <f>AND(Answers!AI97,"AAAAAHf///E=")</f>
        <v>#VALUE!</v>
      </c>
      <c r="II33" t="e">
        <f>AND(Answers!AK97,"AAAAAHf///I=")</f>
        <v>#VALUE!</v>
      </c>
      <c r="IJ33" t="e">
        <f>AND(Answers!#REF!,"AAAAAHf///M=")</f>
        <v>#REF!</v>
      </c>
      <c r="IK33" t="e">
        <f>AND(Answers!AR97,"AAAAAHf///Q=")</f>
        <v>#VALUE!</v>
      </c>
      <c r="IL33" t="e">
        <f>AND(Answers!AS97,"AAAAAHf///U=")</f>
        <v>#VALUE!</v>
      </c>
      <c r="IM33" t="e">
        <f>AND(Answers!AT97,"AAAAAHf///Y=")</f>
        <v>#VALUE!</v>
      </c>
      <c r="IN33" t="e">
        <f>AND(Answers!AU97,"AAAAAHf///c=")</f>
        <v>#VALUE!</v>
      </c>
      <c r="IO33" t="e">
        <f>AND(Answers!AW97,"AAAAAHf///g=")</f>
        <v>#VALUE!</v>
      </c>
      <c r="IP33" t="e">
        <f>AND(Answers!AX97,"AAAAAHf///k=")</f>
        <v>#VALUE!</v>
      </c>
      <c r="IQ33" t="e">
        <f>AND(Answers!AY97,"AAAAAHf///o=")</f>
        <v>#VALUE!</v>
      </c>
      <c r="IR33" t="e">
        <f>AND(Answers!AZ97,"AAAAAHf///s=")</f>
        <v>#VALUE!</v>
      </c>
      <c r="IS33" t="e">
        <f>AND(Answers!BA97,"AAAAAHf///w=")</f>
        <v>#VALUE!</v>
      </c>
      <c r="IT33" t="e">
        <f>AND(Answers!BB97,"AAAAAHf///0=")</f>
        <v>#VALUE!</v>
      </c>
      <c r="IU33" t="e">
        <f>AND(Answers!BC97,"AAAAAHf///4=")</f>
        <v>#VALUE!</v>
      </c>
      <c r="IV33" t="e">
        <f>AND(Answers!BD97,"AAAAAHf///8=")</f>
        <v>#VALUE!</v>
      </c>
    </row>
    <row r="34" spans="1:256" x14ac:dyDescent="0.15">
      <c r="A34" t="e">
        <f>AND(Answers!BE97,"AAAAAD/fvgA=")</f>
        <v>#VALUE!</v>
      </c>
      <c r="B34" t="e">
        <f>AND(Answers!BF97,"AAAAAD/fvgE=")</f>
        <v>#VALUE!</v>
      </c>
      <c r="C34" t="e">
        <f>AND(Answers!BG97,"AAAAAD/fvgI=")</f>
        <v>#VALUE!</v>
      </c>
      <c r="D34" t="e">
        <f>AND(Answers!BH97,"AAAAAD/fvgM=")</f>
        <v>#VALUE!</v>
      </c>
      <c r="E34" t="e">
        <f>AND(Answers!BI97,"AAAAAD/fvgQ=")</f>
        <v>#VALUE!</v>
      </c>
      <c r="F34" t="e">
        <f>AND(Answers!BK97,"AAAAAD/fvgU=")</f>
        <v>#VALUE!</v>
      </c>
      <c r="G34" t="e">
        <f>AND(Answers!BL97,"AAAAAD/fvgY=")</f>
        <v>#VALUE!</v>
      </c>
      <c r="H34" t="e">
        <f>AND(Answers!BM97,"AAAAAD/fvgc=")</f>
        <v>#VALUE!</v>
      </c>
      <c r="I34" t="e">
        <f>AND(Answers!BN97,"AAAAAD/fvgg=")</f>
        <v>#VALUE!</v>
      </c>
      <c r="J34" t="e">
        <f>AND(Answers!BO97,"AAAAAD/fvgk=")</f>
        <v>#VALUE!</v>
      </c>
      <c r="K34" t="e">
        <f>AND(Answers!BP97,"AAAAAD/fvgo=")</f>
        <v>#VALUE!</v>
      </c>
      <c r="L34" t="e">
        <f>AND(Answers!BQ97,"AAAAAD/fvgs=")</f>
        <v>#VALUE!</v>
      </c>
      <c r="M34" t="e">
        <f>AND(Answers!BR97,"AAAAAD/fvgw=")</f>
        <v>#VALUE!</v>
      </c>
      <c r="N34" t="e">
        <f>AND(Answers!BS97,"AAAAAD/fvg0=")</f>
        <v>#VALUE!</v>
      </c>
      <c r="O34" t="e">
        <f>AND(Answers!BU97,"AAAAAD/fvg4=")</f>
        <v>#VALUE!</v>
      </c>
      <c r="P34" t="e">
        <f>AND(Answers!BV97,"AAAAAD/fvg8=")</f>
        <v>#VALUE!</v>
      </c>
      <c r="Q34" t="e">
        <f>AND(Answers!#REF!,"AAAAAD/fvhA=")</f>
        <v>#REF!</v>
      </c>
      <c r="R34" t="e">
        <f>AND(Answers!BW97,"AAAAAD/fvhE=")</f>
        <v>#VALUE!</v>
      </c>
      <c r="S34" t="e">
        <f>AND(Answers!BX97,"AAAAAD/fvhI=")</f>
        <v>#VALUE!</v>
      </c>
      <c r="T34" t="e">
        <f>AND(Answers!BY97,"AAAAAD/fvhM=")</f>
        <v>#VALUE!</v>
      </c>
      <c r="U34" t="e">
        <f>AND(Answers!BZ97,"AAAAAD/fvhQ=")</f>
        <v>#VALUE!</v>
      </c>
      <c r="V34" t="str">
        <f>IF(Answers!98:98,"AAAAAD/fvhU=",0)</f>
        <v>AAAAAD/fvhU=</v>
      </c>
      <c r="W34" t="e">
        <f>AND(Answers!A98,"AAAAAD/fvhY=")</f>
        <v>#VALUE!</v>
      </c>
      <c r="X34" t="e">
        <f>AND(Answers!B98,"AAAAAD/fvhc=")</f>
        <v>#VALUE!</v>
      </c>
      <c r="Y34" t="e">
        <f>AND(Answers!C98,"AAAAAD/fvhg=")</f>
        <v>#VALUE!</v>
      </c>
      <c r="Z34" t="e">
        <f>AND(Answers!D98,"AAAAAD/fvhk=")</f>
        <v>#VALUE!</v>
      </c>
      <c r="AA34" t="e">
        <f>AND(Answers!E98,"AAAAAD/fvho=")</f>
        <v>#VALUE!</v>
      </c>
      <c r="AB34" t="e">
        <f>AND(Answers!F98,"AAAAAD/fvhs=")</f>
        <v>#VALUE!</v>
      </c>
      <c r="AC34" t="e">
        <f>AND(Answers!G98,"AAAAAD/fvhw=")</f>
        <v>#VALUE!</v>
      </c>
      <c r="AD34" t="e">
        <f>AND(Answers!H98,"AAAAAD/fvh0=")</f>
        <v>#VALUE!</v>
      </c>
      <c r="AE34" t="e">
        <f>AND(Answers!J98,"AAAAAD/fvh4=")</f>
        <v>#VALUE!</v>
      </c>
      <c r="AF34" t="e">
        <f>AND(Answers!K98,"AAAAAD/fvh8=")</f>
        <v>#VALUE!</v>
      </c>
      <c r="AG34" t="e">
        <f>AND(Answers!L98,"AAAAAD/fviA=")</f>
        <v>#VALUE!</v>
      </c>
      <c r="AH34" t="e">
        <f>AND(Answers!M98,"AAAAAD/fviE=")</f>
        <v>#VALUE!</v>
      </c>
      <c r="AI34" t="e">
        <f>AND(Answers!N98,"AAAAAD/fviI=")</f>
        <v>#VALUE!</v>
      </c>
      <c r="AJ34" t="e">
        <f>AND(Answers!O98,"AAAAAD/fviM=")</f>
        <v>#VALUE!</v>
      </c>
      <c r="AK34" t="e">
        <f>AND(Answers!P98,"AAAAAD/fviQ=")</f>
        <v>#VALUE!</v>
      </c>
      <c r="AL34" t="e">
        <f>AND(Answers!Q98,"AAAAAD/fviU=")</f>
        <v>#VALUE!</v>
      </c>
      <c r="AM34" t="e">
        <f>AND(Answers!R98,"AAAAAD/fviY=")</f>
        <v>#VALUE!</v>
      </c>
      <c r="AN34" t="e">
        <f>AND(Answers!S98,"AAAAAD/fvic=")</f>
        <v>#VALUE!</v>
      </c>
      <c r="AO34" t="e">
        <f>AND(Answers!T98,"AAAAAD/fvig=")</f>
        <v>#VALUE!</v>
      </c>
      <c r="AP34" t="e">
        <f>AND(Answers!U98,"AAAAAD/fvik=")</f>
        <v>#VALUE!</v>
      </c>
      <c r="AQ34" t="e">
        <f>AND(Answers!V98,"AAAAAD/fvio=")</f>
        <v>#VALUE!</v>
      </c>
      <c r="AR34" t="e">
        <f>AND(Answers!X98,"AAAAAD/fvis=")</f>
        <v>#VALUE!</v>
      </c>
      <c r="AS34" t="e">
        <f>AND(Answers!Y98,"AAAAAD/fviw=")</f>
        <v>#VALUE!</v>
      </c>
      <c r="AT34" t="e">
        <f>AND(Answers!Z98,"AAAAAD/fvi0=")</f>
        <v>#VALUE!</v>
      </c>
      <c r="AU34" t="e">
        <f>AND(Answers!AA98,"AAAAAD/fvi4=")</f>
        <v>#VALUE!</v>
      </c>
      <c r="AV34" t="e">
        <f>AND(Answers!AB98,"AAAAAD/fvi8=")</f>
        <v>#VALUE!</v>
      </c>
      <c r="AW34" t="e">
        <f>AND(Answers!AC98,"AAAAAD/fvjA=")</f>
        <v>#VALUE!</v>
      </c>
      <c r="AX34" t="e">
        <f>AND(Answers!AD98,"AAAAAD/fvjE=")</f>
        <v>#VALUE!</v>
      </c>
      <c r="AY34" t="e">
        <f>AND(Answers!AE98,"AAAAAD/fvjI=")</f>
        <v>#VALUE!</v>
      </c>
      <c r="AZ34" t="e">
        <f>AND(Answers!AF98,"AAAAAD/fvjM=")</f>
        <v>#VALUE!</v>
      </c>
      <c r="BA34" t="e">
        <f>AND(Answers!AH98,"AAAAAD/fvjQ=")</f>
        <v>#VALUE!</v>
      </c>
      <c r="BB34" t="e">
        <f>AND(Answers!AI98,"AAAAAD/fvjU=")</f>
        <v>#VALUE!</v>
      </c>
      <c r="BC34" t="e">
        <f>AND(Answers!AK98,"AAAAAD/fvjY=")</f>
        <v>#VALUE!</v>
      </c>
      <c r="BD34" t="e">
        <f>AND(Answers!#REF!,"AAAAAD/fvjc=")</f>
        <v>#REF!</v>
      </c>
      <c r="BE34" t="e">
        <f>AND(Answers!AR98,"AAAAAD/fvjg=")</f>
        <v>#VALUE!</v>
      </c>
      <c r="BF34" t="e">
        <f>AND(Answers!AS98,"AAAAAD/fvjk=")</f>
        <v>#VALUE!</v>
      </c>
      <c r="BG34" t="e">
        <f>AND(Answers!AT98,"AAAAAD/fvjo=")</f>
        <v>#VALUE!</v>
      </c>
      <c r="BH34" t="e">
        <f>AND(Answers!AU98,"AAAAAD/fvjs=")</f>
        <v>#VALUE!</v>
      </c>
      <c r="BI34" t="e">
        <f>AND(Answers!AW98,"AAAAAD/fvjw=")</f>
        <v>#VALUE!</v>
      </c>
      <c r="BJ34" t="e">
        <f>AND(Answers!AX98,"AAAAAD/fvj0=")</f>
        <v>#VALUE!</v>
      </c>
      <c r="BK34" t="e">
        <f>AND(Answers!AY98,"AAAAAD/fvj4=")</f>
        <v>#VALUE!</v>
      </c>
      <c r="BL34" t="e">
        <f>AND(Answers!AZ98,"AAAAAD/fvj8=")</f>
        <v>#VALUE!</v>
      </c>
      <c r="BM34" t="e">
        <f>AND(Answers!BA98,"AAAAAD/fvkA=")</f>
        <v>#VALUE!</v>
      </c>
      <c r="BN34" t="e">
        <f>AND(Answers!BB98,"AAAAAD/fvkE=")</f>
        <v>#VALUE!</v>
      </c>
      <c r="BO34" t="e">
        <f>AND(Answers!BC98,"AAAAAD/fvkI=")</f>
        <v>#VALUE!</v>
      </c>
      <c r="BP34" t="e">
        <f>AND(Answers!BD98,"AAAAAD/fvkM=")</f>
        <v>#VALUE!</v>
      </c>
      <c r="BQ34" t="e">
        <f>AND(Answers!BE98,"AAAAAD/fvkQ=")</f>
        <v>#VALUE!</v>
      </c>
      <c r="BR34" t="e">
        <f>AND(Answers!BF98,"AAAAAD/fvkU=")</f>
        <v>#VALUE!</v>
      </c>
      <c r="BS34" t="e">
        <f>AND(Answers!BG98,"AAAAAD/fvkY=")</f>
        <v>#VALUE!</v>
      </c>
      <c r="BT34" t="e">
        <f>AND(Answers!BH98,"AAAAAD/fvkc=")</f>
        <v>#VALUE!</v>
      </c>
      <c r="BU34" t="e">
        <f>AND(Answers!BI98,"AAAAAD/fvkg=")</f>
        <v>#VALUE!</v>
      </c>
      <c r="BV34" t="e">
        <f>AND(Answers!BK98,"AAAAAD/fvkk=")</f>
        <v>#VALUE!</v>
      </c>
      <c r="BW34" t="e">
        <f>AND(Answers!BL98,"AAAAAD/fvko=")</f>
        <v>#VALUE!</v>
      </c>
      <c r="BX34" t="e">
        <f>AND(Answers!BM98,"AAAAAD/fvks=")</f>
        <v>#VALUE!</v>
      </c>
      <c r="BY34" t="e">
        <f>AND(Answers!BN98,"AAAAAD/fvkw=")</f>
        <v>#VALUE!</v>
      </c>
      <c r="BZ34" t="e">
        <f>AND(Answers!BO98,"AAAAAD/fvk0=")</f>
        <v>#VALUE!</v>
      </c>
      <c r="CA34" t="e">
        <f>AND(Answers!BP98,"AAAAAD/fvk4=")</f>
        <v>#VALUE!</v>
      </c>
      <c r="CB34" t="e">
        <f>AND(Answers!BQ98,"AAAAAD/fvk8=")</f>
        <v>#VALUE!</v>
      </c>
      <c r="CC34" t="e">
        <f>AND(Answers!BR98,"AAAAAD/fvlA=")</f>
        <v>#VALUE!</v>
      </c>
      <c r="CD34" t="e">
        <f>AND(Answers!BS98,"AAAAAD/fvlE=")</f>
        <v>#VALUE!</v>
      </c>
      <c r="CE34" t="e">
        <f>AND(Answers!BU98,"AAAAAD/fvlI=")</f>
        <v>#VALUE!</v>
      </c>
      <c r="CF34" t="e">
        <f>AND(Answers!BV98,"AAAAAD/fvlM=")</f>
        <v>#VALUE!</v>
      </c>
      <c r="CG34" t="e">
        <f>AND(Answers!#REF!,"AAAAAD/fvlQ=")</f>
        <v>#REF!</v>
      </c>
      <c r="CH34" t="e">
        <f>AND(Answers!BW98,"AAAAAD/fvlU=")</f>
        <v>#VALUE!</v>
      </c>
      <c r="CI34" t="e">
        <f>AND(Answers!BX98,"AAAAAD/fvlY=")</f>
        <v>#VALUE!</v>
      </c>
      <c r="CJ34" t="e">
        <f>AND(Answers!BY98,"AAAAAD/fvlc=")</f>
        <v>#VALUE!</v>
      </c>
      <c r="CK34" t="e">
        <f>AND(Answers!BZ98,"AAAAAD/fvlg=")</f>
        <v>#VALUE!</v>
      </c>
      <c r="CL34">
        <f>IF(Answers!99:99,"AAAAAD/fvlk=",0)</f>
        <v>0</v>
      </c>
      <c r="CM34" t="e">
        <f>AND(Answers!A99,"AAAAAD/fvlo=")</f>
        <v>#VALUE!</v>
      </c>
      <c r="CN34" t="e">
        <f>AND(Answers!B99,"AAAAAD/fvls=")</f>
        <v>#VALUE!</v>
      </c>
      <c r="CO34" t="e">
        <f>AND(Answers!C99,"AAAAAD/fvlw=")</f>
        <v>#VALUE!</v>
      </c>
      <c r="CP34" t="e">
        <f>AND(Answers!D99,"AAAAAD/fvl0=")</f>
        <v>#VALUE!</v>
      </c>
      <c r="CQ34" t="e">
        <f>AND(Answers!E99,"AAAAAD/fvl4=")</f>
        <v>#VALUE!</v>
      </c>
      <c r="CR34" t="e">
        <f>AND(Answers!F99,"AAAAAD/fvl8=")</f>
        <v>#VALUE!</v>
      </c>
      <c r="CS34" t="e">
        <f>AND(Answers!G99,"AAAAAD/fvmA=")</f>
        <v>#VALUE!</v>
      </c>
      <c r="CT34" t="e">
        <f>AND(Answers!H99,"AAAAAD/fvmE=")</f>
        <v>#VALUE!</v>
      </c>
      <c r="CU34" t="e">
        <f>AND(Answers!J99,"AAAAAD/fvmI=")</f>
        <v>#VALUE!</v>
      </c>
      <c r="CV34" t="e">
        <f>AND(Answers!K99,"AAAAAD/fvmM=")</f>
        <v>#VALUE!</v>
      </c>
      <c r="CW34" t="e">
        <f>AND(Answers!L99,"AAAAAD/fvmQ=")</f>
        <v>#VALUE!</v>
      </c>
      <c r="CX34" t="e">
        <f>AND(Answers!M99,"AAAAAD/fvmU=")</f>
        <v>#VALUE!</v>
      </c>
      <c r="CY34" t="e">
        <f>AND(Answers!N99,"AAAAAD/fvmY=")</f>
        <v>#VALUE!</v>
      </c>
      <c r="CZ34" t="e">
        <f>AND(Answers!O99,"AAAAAD/fvmc=")</f>
        <v>#VALUE!</v>
      </c>
      <c r="DA34" t="e">
        <f>AND(Answers!P99,"AAAAAD/fvmg=")</f>
        <v>#VALUE!</v>
      </c>
      <c r="DB34" t="e">
        <f>AND(Answers!Q99,"AAAAAD/fvmk=")</f>
        <v>#VALUE!</v>
      </c>
      <c r="DC34" t="e">
        <f>AND(Answers!R99,"AAAAAD/fvmo=")</f>
        <v>#VALUE!</v>
      </c>
      <c r="DD34" t="e">
        <f>AND(Answers!S99,"AAAAAD/fvms=")</f>
        <v>#VALUE!</v>
      </c>
      <c r="DE34" t="e">
        <f>AND(Answers!T99,"AAAAAD/fvmw=")</f>
        <v>#VALUE!</v>
      </c>
      <c r="DF34" t="e">
        <f>AND(Answers!U99,"AAAAAD/fvm0=")</f>
        <v>#VALUE!</v>
      </c>
      <c r="DG34" t="e">
        <f>AND(Answers!V99,"AAAAAD/fvm4=")</f>
        <v>#VALUE!</v>
      </c>
      <c r="DH34" t="e">
        <f>AND(Answers!X99,"AAAAAD/fvm8=")</f>
        <v>#VALUE!</v>
      </c>
      <c r="DI34" t="e">
        <f>AND(Answers!Y99,"AAAAAD/fvnA=")</f>
        <v>#VALUE!</v>
      </c>
      <c r="DJ34" t="e">
        <f>AND(Answers!Z99,"AAAAAD/fvnE=")</f>
        <v>#VALUE!</v>
      </c>
      <c r="DK34" t="e">
        <f>AND(Answers!AA99,"AAAAAD/fvnI=")</f>
        <v>#VALUE!</v>
      </c>
      <c r="DL34" t="e">
        <f>AND(Answers!AB99,"AAAAAD/fvnM=")</f>
        <v>#VALUE!</v>
      </c>
      <c r="DM34" t="e">
        <f>AND(Answers!AC99,"AAAAAD/fvnQ=")</f>
        <v>#VALUE!</v>
      </c>
      <c r="DN34" t="e">
        <f>AND(Answers!AD99,"AAAAAD/fvnU=")</f>
        <v>#VALUE!</v>
      </c>
      <c r="DO34" t="e">
        <f>AND(Answers!AE99,"AAAAAD/fvnY=")</f>
        <v>#VALUE!</v>
      </c>
      <c r="DP34" t="e">
        <f>AND(Answers!AF99,"AAAAAD/fvnc=")</f>
        <v>#VALUE!</v>
      </c>
      <c r="DQ34" t="e">
        <f>AND(Answers!AH99,"AAAAAD/fvng=")</f>
        <v>#VALUE!</v>
      </c>
      <c r="DR34" t="e">
        <f>AND(Answers!AI99,"AAAAAD/fvnk=")</f>
        <v>#VALUE!</v>
      </c>
      <c r="DS34" t="e">
        <f>AND(Answers!AK99,"AAAAAD/fvno=")</f>
        <v>#VALUE!</v>
      </c>
      <c r="DT34" t="e">
        <f>AND(Answers!#REF!,"AAAAAD/fvns=")</f>
        <v>#REF!</v>
      </c>
      <c r="DU34" t="e">
        <f>AND(Answers!AR99,"AAAAAD/fvnw=")</f>
        <v>#VALUE!</v>
      </c>
      <c r="DV34" t="e">
        <f>AND(Answers!AS99,"AAAAAD/fvn0=")</f>
        <v>#VALUE!</v>
      </c>
      <c r="DW34" t="e">
        <f>AND(Answers!AT99,"AAAAAD/fvn4=")</f>
        <v>#VALUE!</v>
      </c>
      <c r="DX34" t="e">
        <f>AND(Answers!AU99,"AAAAAD/fvn8=")</f>
        <v>#VALUE!</v>
      </c>
      <c r="DY34" t="e">
        <f>AND(Answers!AW99,"AAAAAD/fvoA=")</f>
        <v>#VALUE!</v>
      </c>
      <c r="DZ34" t="e">
        <f>AND(Answers!AX99,"AAAAAD/fvoE=")</f>
        <v>#VALUE!</v>
      </c>
      <c r="EA34" t="e">
        <f>AND(Answers!AY99,"AAAAAD/fvoI=")</f>
        <v>#VALUE!</v>
      </c>
      <c r="EB34" t="e">
        <f>AND(Answers!AZ99,"AAAAAD/fvoM=")</f>
        <v>#VALUE!</v>
      </c>
      <c r="EC34" t="e">
        <f>AND(Answers!BA99,"AAAAAD/fvoQ=")</f>
        <v>#VALUE!</v>
      </c>
      <c r="ED34" t="e">
        <f>AND(Answers!BB99,"AAAAAD/fvoU=")</f>
        <v>#VALUE!</v>
      </c>
      <c r="EE34" t="e">
        <f>AND(Answers!BC99,"AAAAAD/fvoY=")</f>
        <v>#VALUE!</v>
      </c>
      <c r="EF34" t="e">
        <f>AND(Answers!BD99,"AAAAAD/fvoc=")</f>
        <v>#VALUE!</v>
      </c>
      <c r="EG34" t="e">
        <f>AND(Answers!BE99,"AAAAAD/fvog=")</f>
        <v>#VALUE!</v>
      </c>
      <c r="EH34" t="e">
        <f>AND(Answers!BF99,"AAAAAD/fvok=")</f>
        <v>#VALUE!</v>
      </c>
      <c r="EI34" t="e">
        <f>AND(Answers!BG99,"AAAAAD/fvoo=")</f>
        <v>#VALUE!</v>
      </c>
      <c r="EJ34" t="e">
        <f>AND(Answers!BH99,"AAAAAD/fvos=")</f>
        <v>#VALUE!</v>
      </c>
      <c r="EK34" t="e">
        <f>AND(Answers!BI99,"AAAAAD/fvow=")</f>
        <v>#VALUE!</v>
      </c>
      <c r="EL34" t="e">
        <f>AND(Answers!BK99,"AAAAAD/fvo0=")</f>
        <v>#VALUE!</v>
      </c>
      <c r="EM34" t="e">
        <f>AND(Answers!BL99,"AAAAAD/fvo4=")</f>
        <v>#VALUE!</v>
      </c>
      <c r="EN34" t="e">
        <f>AND(Answers!BM99,"AAAAAD/fvo8=")</f>
        <v>#VALUE!</v>
      </c>
      <c r="EO34" t="e">
        <f>AND(Answers!BN99,"AAAAAD/fvpA=")</f>
        <v>#VALUE!</v>
      </c>
      <c r="EP34" t="e">
        <f>AND(Answers!BO99,"AAAAAD/fvpE=")</f>
        <v>#VALUE!</v>
      </c>
      <c r="EQ34" t="e">
        <f>AND(Answers!BP99,"AAAAAD/fvpI=")</f>
        <v>#VALUE!</v>
      </c>
      <c r="ER34" t="e">
        <f>AND(Answers!BQ99,"AAAAAD/fvpM=")</f>
        <v>#VALUE!</v>
      </c>
      <c r="ES34" t="e">
        <f>AND(Answers!BR99,"AAAAAD/fvpQ=")</f>
        <v>#VALUE!</v>
      </c>
      <c r="ET34" t="e">
        <f>AND(Answers!BS99,"AAAAAD/fvpU=")</f>
        <v>#VALUE!</v>
      </c>
      <c r="EU34" t="e">
        <f>AND(Answers!BU99,"AAAAAD/fvpY=")</f>
        <v>#VALUE!</v>
      </c>
      <c r="EV34" t="e">
        <f>AND(Answers!BV99,"AAAAAD/fvpc=")</f>
        <v>#VALUE!</v>
      </c>
      <c r="EW34" t="e">
        <f>AND(Answers!#REF!,"AAAAAD/fvpg=")</f>
        <v>#REF!</v>
      </c>
      <c r="EX34" t="e">
        <f>AND(Answers!BW99,"AAAAAD/fvpk=")</f>
        <v>#VALUE!</v>
      </c>
      <c r="EY34" t="e">
        <f>AND(Answers!BX99,"AAAAAD/fvpo=")</f>
        <v>#VALUE!</v>
      </c>
      <c r="EZ34" t="e">
        <f>AND(Answers!BY99,"AAAAAD/fvps=")</f>
        <v>#VALUE!</v>
      </c>
      <c r="FA34" t="e">
        <f>AND(Answers!BZ99,"AAAAAD/fvpw=")</f>
        <v>#VALUE!</v>
      </c>
      <c r="FB34">
        <f>IF(Answers!100:100,"AAAAAD/fvp0=",0)</f>
        <v>0</v>
      </c>
      <c r="FC34" t="e">
        <f>AND(Answers!A100,"AAAAAD/fvp4=")</f>
        <v>#VALUE!</v>
      </c>
      <c r="FD34" t="e">
        <f>AND(Answers!B100,"AAAAAD/fvp8=")</f>
        <v>#VALUE!</v>
      </c>
      <c r="FE34" t="e">
        <f>AND(Answers!C100,"AAAAAD/fvqA=")</f>
        <v>#VALUE!</v>
      </c>
      <c r="FF34" t="e">
        <f>AND(Answers!D100,"AAAAAD/fvqE=")</f>
        <v>#VALUE!</v>
      </c>
      <c r="FG34" t="e">
        <f>AND(Answers!E100,"AAAAAD/fvqI=")</f>
        <v>#VALUE!</v>
      </c>
      <c r="FH34" t="e">
        <f>AND(Answers!F100,"AAAAAD/fvqM=")</f>
        <v>#VALUE!</v>
      </c>
      <c r="FI34" t="e">
        <f>AND(Answers!G100,"AAAAAD/fvqQ=")</f>
        <v>#VALUE!</v>
      </c>
      <c r="FJ34" t="e">
        <f>AND(Answers!H100,"AAAAAD/fvqU=")</f>
        <v>#VALUE!</v>
      </c>
      <c r="FK34" t="e">
        <f>AND(Answers!J100,"AAAAAD/fvqY=")</f>
        <v>#VALUE!</v>
      </c>
      <c r="FL34" t="e">
        <f>AND(Answers!K100,"AAAAAD/fvqc=")</f>
        <v>#VALUE!</v>
      </c>
      <c r="FM34" t="e">
        <f>AND(Answers!L100,"AAAAAD/fvqg=")</f>
        <v>#VALUE!</v>
      </c>
      <c r="FN34" t="e">
        <f>AND(Answers!M100,"AAAAAD/fvqk=")</f>
        <v>#VALUE!</v>
      </c>
      <c r="FO34" t="e">
        <f>AND(Answers!N100,"AAAAAD/fvqo=")</f>
        <v>#VALUE!</v>
      </c>
      <c r="FP34" t="e">
        <f>AND(Answers!O100,"AAAAAD/fvqs=")</f>
        <v>#VALUE!</v>
      </c>
      <c r="FQ34" t="e">
        <f>AND(Answers!P100,"AAAAAD/fvqw=")</f>
        <v>#VALUE!</v>
      </c>
      <c r="FR34" t="e">
        <f>AND(Answers!Q100,"AAAAAD/fvq0=")</f>
        <v>#VALUE!</v>
      </c>
      <c r="FS34" t="e">
        <f>AND(Answers!R100,"AAAAAD/fvq4=")</f>
        <v>#VALUE!</v>
      </c>
      <c r="FT34" t="e">
        <f>AND(Answers!S100,"AAAAAD/fvq8=")</f>
        <v>#VALUE!</v>
      </c>
      <c r="FU34" t="e">
        <f>AND(Answers!T100,"AAAAAD/fvrA=")</f>
        <v>#VALUE!</v>
      </c>
      <c r="FV34" t="e">
        <f>AND(Answers!U100,"AAAAAD/fvrE=")</f>
        <v>#VALUE!</v>
      </c>
      <c r="FW34" t="e">
        <f>AND(Answers!V100,"AAAAAD/fvrI=")</f>
        <v>#VALUE!</v>
      </c>
      <c r="FX34" t="e">
        <f>AND(Answers!X100,"AAAAAD/fvrM=")</f>
        <v>#VALUE!</v>
      </c>
      <c r="FY34" t="e">
        <f>AND(Answers!Y100,"AAAAAD/fvrQ=")</f>
        <v>#VALUE!</v>
      </c>
      <c r="FZ34" t="e">
        <f>AND(Answers!Z100,"AAAAAD/fvrU=")</f>
        <v>#VALUE!</v>
      </c>
      <c r="GA34" t="e">
        <f>AND(Answers!AA100,"AAAAAD/fvrY=")</f>
        <v>#VALUE!</v>
      </c>
      <c r="GB34" t="e">
        <f>AND(Answers!AB100,"AAAAAD/fvrc=")</f>
        <v>#VALUE!</v>
      </c>
      <c r="GC34" t="e">
        <f>AND(Answers!AC100,"AAAAAD/fvrg=")</f>
        <v>#VALUE!</v>
      </c>
      <c r="GD34" t="e">
        <f>AND(Answers!AD100,"AAAAAD/fvrk=")</f>
        <v>#VALUE!</v>
      </c>
      <c r="GE34" t="e">
        <f>AND(Answers!AE100,"AAAAAD/fvro=")</f>
        <v>#VALUE!</v>
      </c>
      <c r="GF34" t="e">
        <f>AND(Answers!AF100,"AAAAAD/fvrs=")</f>
        <v>#VALUE!</v>
      </c>
      <c r="GG34" t="e">
        <f>AND(Answers!AH100,"AAAAAD/fvrw=")</f>
        <v>#VALUE!</v>
      </c>
      <c r="GH34" t="e">
        <f>AND(Answers!AI100,"AAAAAD/fvr0=")</f>
        <v>#VALUE!</v>
      </c>
      <c r="GI34" t="e">
        <f>AND(Answers!AK100,"AAAAAD/fvr4=")</f>
        <v>#VALUE!</v>
      </c>
      <c r="GJ34" t="e">
        <f>AND(Answers!#REF!,"AAAAAD/fvr8=")</f>
        <v>#REF!</v>
      </c>
      <c r="GK34" t="e">
        <f>AND(Answers!AR100,"AAAAAD/fvsA=")</f>
        <v>#VALUE!</v>
      </c>
      <c r="GL34" t="e">
        <f>AND(Answers!AS100,"AAAAAD/fvsE=")</f>
        <v>#VALUE!</v>
      </c>
      <c r="GM34" t="e">
        <f>AND(Answers!AT100,"AAAAAD/fvsI=")</f>
        <v>#VALUE!</v>
      </c>
      <c r="GN34" t="e">
        <f>AND(Answers!AU100,"AAAAAD/fvsM=")</f>
        <v>#VALUE!</v>
      </c>
      <c r="GO34" t="e">
        <f>AND(Answers!AW100,"AAAAAD/fvsQ=")</f>
        <v>#VALUE!</v>
      </c>
      <c r="GP34" t="e">
        <f>AND(Answers!AX100,"AAAAAD/fvsU=")</f>
        <v>#VALUE!</v>
      </c>
      <c r="GQ34" t="e">
        <f>AND(Answers!AY100,"AAAAAD/fvsY=")</f>
        <v>#VALUE!</v>
      </c>
      <c r="GR34" t="e">
        <f>AND(Answers!AZ100,"AAAAAD/fvsc=")</f>
        <v>#VALUE!</v>
      </c>
      <c r="GS34" t="e">
        <f>AND(Answers!BA100,"AAAAAD/fvsg=")</f>
        <v>#VALUE!</v>
      </c>
      <c r="GT34" t="e">
        <f>AND(Answers!BB100,"AAAAAD/fvsk=")</f>
        <v>#VALUE!</v>
      </c>
      <c r="GU34" t="e">
        <f>AND(Answers!BC100,"AAAAAD/fvso=")</f>
        <v>#VALUE!</v>
      </c>
      <c r="GV34" t="e">
        <f>AND(Answers!BD100,"AAAAAD/fvss=")</f>
        <v>#VALUE!</v>
      </c>
      <c r="GW34" t="e">
        <f>AND(Answers!BE100,"AAAAAD/fvsw=")</f>
        <v>#VALUE!</v>
      </c>
      <c r="GX34" t="e">
        <f>AND(Answers!BF100,"AAAAAD/fvs0=")</f>
        <v>#VALUE!</v>
      </c>
      <c r="GY34" t="e">
        <f>AND(Answers!BG100,"AAAAAD/fvs4=")</f>
        <v>#VALUE!</v>
      </c>
      <c r="GZ34" t="e">
        <f>AND(Answers!BH100,"AAAAAD/fvs8=")</f>
        <v>#VALUE!</v>
      </c>
      <c r="HA34" t="e">
        <f>AND(Answers!BI100,"AAAAAD/fvtA=")</f>
        <v>#VALUE!</v>
      </c>
      <c r="HB34" t="e">
        <f>AND(Answers!BK100,"AAAAAD/fvtE=")</f>
        <v>#VALUE!</v>
      </c>
      <c r="HC34" t="e">
        <f>AND(Answers!BL100,"AAAAAD/fvtI=")</f>
        <v>#VALUE!</v>
      </c>
      <c r="HD34" t="e">
        <f>AND(Answers!BM100,"AAAAAD/fvtM=")</f>
        <v>#VALUE!</v>
      </c>
      <c r="HE34" t="e">
        <f>AND(Answers!BN100,"AAAAAD/fvtQ=")</f>
        <v>#VALUE!</v>
      </c>
      <c r="HF34" t="e">
        <f>AND(Answers!BO100,"AAAAAD/fvtU=")</f>
        <v>#VALUE!</v>
      </c>
      <c r="HG34" t="e">
        <f>AND(Answers!BP100,"AAAAAD/fvtY=")</f>
        <v>#VALUE!</v>
      </c>
      <c r="HH34" t="e">
        <f>AND(Answers!BQ100,"AAAAAD/fvtc=")</f>
        <v>#VALUE!</v>
      </c>
      <c r="HI34" t="e">
        <f>AND(Answers!BR100,"AAAAAD/fvtg=")</f>
        <v>#VALUE!</v>
      </c>
      <c r="HJ34" t="e">
        <f>AND(Answers!BS100,"AAAAAD/fvtk=")</f>
        <v>#VALUE!</v>
      </c>
      <c r="HK34" t="e">
        <f>AND(Answers!BU100,"AAAAAD/fvto=")</f>
        <v>#VALUE!</v>
      </c>
      <c r="HL34" t="e">
        <f>AND(Answers!BV100,"AAAAAD/fvts=")</f>
        <v>#VALUE!</v>
      </c>
      <c r="HM34" t="e">
        <f>AND(Answers!#REF!,"AAAAAD/fvtw=")</f>
        <v>#REF!</v>
      </c>
      <c r="HN34" t="e">
        <f>AND(Answers!BW100,"AAAAAD/fvt0=")</f>
        <v>#VALUE!</v>
      </c>
      <c r="HO34" t="e">
        <f>AND(Answers!BX100,"AAAAAD/fvt4=")</f>
        <v>#VALUE!</v>
      </c>
      <c r="HP34" t="e">
        <f>AND(Answers!BY100,"AAAAAD/fvt8=")</f>
        <v>#VALUE!</v>
      </c>
      <c r="HQ34" t="e">
        <f>AND(Answers!BZ100,"AAAAAD/fvuA=")</f>
        <v>#VALUE!</v>
      </c>
      <c r="HR34">
        <f>IF(Answers!101:101,"AAAAAD/fvuE=",0)</f>
        <v>0</v>
      </c>
      <c r="HS34" t="e">
        <f>AND(Answers!A101,"AAAAAD/fvuI=")</f>
        <v>#VALUE!</v>
      </c>
      <c r="HT34" t="e">
        <f>AND(Answers!B101,"AAAAAD/fvuM=")</f>
        <v>#VALUE!</v>
      </c>
      <c r="HU34" t="e">
        <f>AND(Answers!C101,"AAAAAD/fvuQ=")</f>
        <v>#VALUE!</v>
      </c>
      <c r="HV34" t="e">
        <f>AND(Answers!D101,"AAAAAD/fvuU=")</f>
        <v>#VALUE!</v>
      </c>
      <c r="HW34" t="e">
        <f>AND(Answers!E101,"AAAAAD/fvuY=")</f>
        <v>#VALUE!</v>
      </c>
      <c r="HX34" t="e">
        <f>AND(Answers!F101,"AAAAAD/fvuc=")</f>
        <v>#VALUE!</v>
      </c>
      <c r="HY34" t="e">
        <f>AND(Answers!G101,"AAAAAD/fvug=")</f>
        <v>#VALUE!</v>
      </c>
      <c r="HZ34" t="e">
        <f>AND(Answers!H101,"AAAAAD/fvuk=")</f>
        <v>#VALUE!</v>
      </c>
      <c r="IA34" t="e">
        <f>AND(Answers!J101,"AAAAAD/fvuo=")</f>
        <v>#VALUE!</v>
      </c>
      <c r="IB34" t="e">
        <f>AND(Answers!K101,"AAAAAD/fvus=")</f>
        <v>#VALUE!</v>
      </c>
      <c r="IC34" t="e">
        <f>AND(Answers!L101,"AAAAAD/fvuw=")</f>
        <v>#VALUE!</v>
      </c>
      <c r="ID34" t="e">
        <f>AND(Answers!M101,"AAAAAD/fvu0=")</f>
        <v>#VALUE!</v>
      </c>
      <c r="IE34" t="e">
        <f>AND(Answers!N101,"AAAAAD/fvu4=")</f>
        <v>#VALUE!</v>
      </c>
      <c r="IF34" t="e">
        <f>AND(Answers!O101,"AAAAAD/fvu8=")</f>
        <v>#VALUE!</v>
      </c>
      <c r="IG34" t="e">
        <f>AND(Answers!P101,"AAAAAD/fvvA=")</f>
        <v>#VALUE!</v>
      </c>
      <c r="IH34" t="e">
        <f>AND(Answers!Q101,"AAAAAD/fvvE=")</f>
        <v>#VALUE!</v>
      </c>
      <c r="II34" t="e">
        <f>AND(Answers!R101,"AAAAAD/fvvI=")</f>
        <v>#VALUE!</v>
      </c>
      <c r="IJ34" t="e">
        <f>AND(Answers!S101,"AAAAAD/fvvM=")</f>
        <v>#VALUE!</v>
      </c>
      <c r="IK34" t="e">
        <f>AND(Answers!T101,"AAAAAD/fvvQ=")</f>
        <v>#VALUE!</v>
      </c>
      <c r="IL34" t="e">
        <f>AND(Answers!U101,"AAAAAD/fvvU=")</f>
        <v>#VALUE!</v>
      </c>
      <c r="IM34" t="e">
        <f>AND(Answers!V101,"AAAAAD/fvvY=")</f>
        <v>#VALUE!</v>
      </c>
      <c r="IN34" t="e">
        <f>AND(Answers!X101,"AAAAAD/fvvc=")</f>
        <v>#VALUE!</v>
      </c>
      <c r="IO34" t="e">
        <f>AND(Answers!Y101,"AAAAAD/fvvg=")</f>
        <v>#VALUE!</v>
      </c>
      <c r="IP34" t="e">
        <f>AND(Answers!Z101,"AAAAAD/fvvk=")</f>
        <v>#VALUE!</v>
      </c>
      <c r="IQ34" t="e">
        <f>AND(Answers!AA101,"AAAAAD/fvvo=")</f>
        <v>#VALUE!</v>
      </c>
      <c r="IR34" t="e">
        <f>AND(Answers!AB101,"AAAAAD/fvvs=")</f>
        <v>#VALUE!</v>
      </c>
      <c r="IS34" t="e">
        <f>AND(Answers!AC101,"AAAAAD/fvvw=")</f>
        <v>#VALUE!</v>
      </c>
      <c r="IT34" t="e">
        <f>AND(Answers!AD101,"AAAAAD/fvv0=")</f>
        <v>#VALUE!</v>
      </c>
      <c r="IU34" t="e">
        <f>AND(Answers!AE101,"AAAAAD/fvv4=")</f>
        <v>#VALUE!</v>
      </c>
      <c r="IV34" t="e">
        <f>AND(Answers!AF101,"AAAAAD/fvv8=")</f>
        <v>#VALUE!</v>
      </c>
    </row>
    <row r="35" spans="1:256" x14ac:dyDescent="0.15">
      <c r="A35" t="e">
        <f>AND(Answers!AH101,"AAAAAG7b/wA=")</f>
        <v>#VALUE!</v>
      </c>
      <c r="B35" t="e">
        <f>AND(Answers!AI101,"AAAAAG7b/wE=")</f>
        <v>#VALUE!</v>
      </c>
      <c r="C35" t="e">
        <f>AND(Answers!AK101,"AAAAAG7b/wI=")</f>
        <v>#VALUE!</v>
      </c>
      <c r="D35" t="e">
        <f>AND(Answers!#REF!,"AAAAAG7b/wM=")</f>
        <v>#REF!</v>
      </c>
      <c r="E35" t="e">
        <f>AND(Answers!AR101,"AAAAAG7b/wQ=")</f>
        <v>#VALUE!</v>
      </c>
      <c r="F35" t="e">
        <f>AND(Answers!AS101,"AAAAAG7b/wU=")</f>
        <v>#VALUE!</v>
      </c>
      <c r="G35" t="e">
        <f>AND(Answers!AT101,"AAAAAG7b/wY=")</f>
        <v>#VALUE!</v>
      </c>
      <c r="H35" t="e">
        <f>AND(Answers!AU101,"AAAAAG7b/wc=")</f>
        <v>#VALUE!</v>
      </c>
      <c r="I35" t="e">
        <f>AND(Answers!AW101,"AAAAAG7b/wg=")</f>
        <v>#VALUE!</v>
      </c>
      <c r="J35" t="e">
        <f>AND(Answers!AX101,"AAAAAG7b/wk=")</f>
        <v>#VALUE!</v>
      </c>
      <c r="K35" t="e">
        <f>AND(Answers!AY101,"AAAAAG7b/wo=")</f>
        <v>#VALUE!</v>
      </c>
      <c r="L35" t="e">
        <f>AND(Answers!AZ101,"AAAAAG7b/ws=")</f>
        <v>#VALUE!</v>
      </c>
      <c r="M35" t="e">
        <f>AND(Answers!BA101,"AAAAAG7b/ww=")</f>
        <v>#VALUE!</v>
      </c>
      <c r="N35" t="e">
        <f>AND(Answers!BB101,"AAAAAG7b/w0=")</f>
        <v>#VALUE!</v>
      </c>
      <c r="O35" t="e">
        <f>AND(Answers!BC101,"AAAAAG7b/w4=")</f>
        <v>#VALUE!</v>
      </c>
      <c r="P35" t="e">
        <f>AND(Answers!BD101,"AAAAAG7b/w8=")</f>
        <v>#VALUE!</v>
      </c>
      <c r="Q35" t="e">
        <f>AND(Answers!BE101,"AAAAAG7b/xA=")</f>
        <v>#VALUE!</v>
      </c>
      <c r="R35" t="e">
        <f>AND(Answers!BF101,"AAAAAG7b/xE=")</f>
        <v>#VALUE!</v>
      </c>
      <c r="S35" t="e">
        <f>AND(Answers!BG101,"AAAAAG7b/xI=")</f>
        <v>#VALUE!</v>
      </c>
      <c r="T35" t="e">
        <f>AND(Answers!BH101,"AAAAAG7b/xM=")</f>
        <v>#VALUE!</v>
      </c>
      <c r="U35" t="e">
        <f>AND(Answers!BI101,"AAAAAG7b/xQ=")</f>
        <v>#VALUE!</v>
      </c>
      <c r="V35" t="e">
        <f>AND(Answers!BK101,"AAAAAG7b/xU=")</f>
        <v>#VALUE!</v>
      </c>
      <c r="W35" t="e">
        <f>AND(Answers!BL101,"AAAAAG7b/xY=")</f>
        <v>#VALUE!</v>
      </c>
      <c r="X35" t="e">
        <f>AND(Answers!BM101,"AAAAAG7b/xc=")</f>
        <v>#VALUE!</v>
      </c>
      <c r="Y35" t="e">
        <f>AND(Answers!BN101,"AAAAAG7b/xg=")</f>
        <v>#VALUE!</v>
      </c>
      <c r="Z35" t="e">
        <f>AND(Answers!BO101,"AAAAAG7b/xk=")</f>
        <v>#VALUE!</v>
      </c>
      <c r="AA35" t="e">
        <f>AND(Answers!BP101,"AAAAAG7b/xo=")</f>
        <v>#VALUE!</v>
      </c>
      <c r="AB35" t="e">
        <f>AND(Answers!BQ101,"AAAAAG7b/xs=")</f>
        <v>#VALUE!</v>
      </c>
      <c r="AC35" t="e">
        <f>AND(Answers!BR101,"AAAAAG7b/xw=")</f>
        <v>#VALUE!</v>
      </c>
      <c r="AD35" t="e">
        <f>AND(Answers!BS101,"AAAAAG7b/x0=")</f>
        <v>#VALUE!</v>
      </c>
      <c r="AE35" t="e">
        <f>AND(Answers!BU101,"AAAAAG7b/x4=")</f>
        <v>#VALUE!</v>
      </c>
      <c r="AF35" t="e">
        <f>AND(Answers!BV101,"AAAAAG7b/x8=")</f>
        <v>#VALUE!</v>
      </c>
      <c r="AG35" t="e">
        <f>AND(Answers!#REF!,"AAAAAG7b/yA=")</f>
        <v>#REF!</v>
      </c>
      <c r="AH35" t="e">
        <f>AND(Answers!BW101,"AAAAAG7b/yE=")</f>
        <v>#VALUE!</v>
      </c>
      <c r="AI35" t="e">
        <f>AND(Answers!BX101,"AAAAAG7b/yI=")</f>
        <v>#VALUE!</v>
      </c>
      <c r="AJ35" t="e">
        <f>AND(Answers!BY101,"AAAAAG7b/yM=")</f>
        <v>#VALUE!</v>
      </c>
      <c r="AK35" t="e">
        <f>AND(Answers!BZ101,"AAAAAG7b/yQ=")</f>
        <v>#VALUE!</v>
      </c>
      <c r="AL35" t="str">
        <f>IF(Answers!102:102,"AAAAAG7b/yU=",0)</f>
        <v>AAAAAG7b/yU=</v>
      </c>
      <c r="AM35" t="e">
        <f>AND(Answers!A102,"AAAAAG7b/yY=")</f>
        <v>#VALUE!</v>
      </c>
      <c r="AN35" t="e">
        <f>AND(Answers!B102,"AAAAAG7b/yc=")</f>
        <v>#VALUE!</v>
      </c>
      <c r="AO35" t="e">
        <f>AND(Answers!C102,"AAAAAG7b/yg=")</f>
        <v>#VALUE!</v>
      </c>
      <c r="AP35" t="e">
        <f>AND(Answers!D102,"AAAAAG7b/yk=")</f>
        <v>#VALUE!</v>
      </c>
      <c r="AQ35" t="e">
        <f>AND(Answers!E102,"AAAAAG7b/yo=")</f>
        <v>#VALUE!</v>
      </c>
      <c r="AR35" t="e">
        <f>AND(Answers!F102,"AAAAAG7b/ys=")</f>
        <v>#VALUE!</v>
      </c>
      <c r="AS35" t="e">
        <f>AND(Answers!G102,"AAAAAG7b/yw=")</f>
        <v>#VALUE!</v>
      </c>
      <c r="AT35" t="e">
        <f>AND(Answers!H102,"AAAAAG7b/y0=")</f>
        <v>#VALUE!</v>
      </c>
      <c r="AU35" t="e">
        <f>AND(Answers!J102,"AAAAAG7b/y4=")</f>
        <v>#VALUE!</v>
      </c>
      <c r="AV35" t="e">
        <f>AND(Answers!K102,"AAAAAG7b/y8=")</f>
        <v>#VALUE!</v>
      </c>
      <c r="AW35" t="e">
        <f>AND(Answers!L102,"AAAAAG7b/zA=")</f>
        <v>#VALUE!</v>
      </c>
      <c r="AX35" t="e">
        <f>AND(Answers!M102,"AAAAAG7b/zE=")</f>
        <v>#VALUE!</v>
      </c>
      <c r="AY35" t="e">
        <f>AND(Answers!N102,"AAAAAG7b/zI=")</f>
        <v>#VALUE!</v>
      </c>
      <c r="AZ35" t="e">
        <f>AND(Answers!O102,"AAAAAG7b/zM=")</f>
        <v>#VALUE!</v>
      </c>
      <c r="BA35" t="e">
        <f>AND(Answers!P102,"AAAAAG7b/zQ=")</f>
        <v>#VALUE!</v>
      </c>
      <c r="BB35" t="e">
        <f>AND(Answers!Q102,"AAAAAG7b/zU=")</f>
        <v>#VALUE!</v>
      </c>
      <c r="BC35" t="e">
        <f>AND(Answers!R102,"AAAAAG7b/zY=")</f>
        <v>#VALUE!</v>
      </c>
      <c r="BD35" t="e">
        <f>AND(Answers!S102,"AAAAAG7b/zc=")</f>
        <v>#VALUE!</v>
      </c>
      <c r="BE35" t="e">
        <f>AND(Answers!T102,"AAAAAG7b/zg=")</f>
        <v>#VALUE!</v>
      </c>
      <c r="BF35" t="e">
        <f>AND(Answers!U102,"AAAAAG7b/zk=")</f>
        <v>#VALUE!</v>
      </c>
      <c r="BG35" t="e">
        <f>AND(Answers!V102,"AAAAAG7b/zo=")</f>
        <v>#VALUE!</v>
      </c>
      <c r="BH35" t="e">
        <f>AND(Answers!X102,"AAAAAG7b/zs=")</f>
        <v>#VALUE!</v>
      </c>
      <c r="BI35" t="e">
        <f>AND(Answers!Y102,"AAAAAG7b/zw=")</f>
        <v>#VALUE!</v>
      </c>
      <c r="BJ35" t="e">
        <f>AND(Answers!Z102,"AAAAAG7b/z0=")</f>
        <v>#VALUE!</v>
      </c>
      <c r="BK35" t="e">
        <f>AND(Answers!AA102,"AAAAAG7b/z4=")</f>
        <v>#VALUE!</v>
      </c>
      <c r="BL35" t="e">
        <f>AND(Answers!AB102,"AAAAAG7b/z8=")</f>
        <v>#VALUE!</v>
      </c>
      <c r="BM35" t="e">
        <f>AND(Answers!AC102,"AAAAAG7b/0A=")</f>
        <v>#VALUE!</v>
      </c>
      <c r="BN35" t="e">
        <f>AND(Answers!AD102,"AAAAAG7b/0E=")</f>
        <v>#VALUE!</v>
      </c>
      <c r="BO35" t="e">
        <f>AND(Answers!AE102,"AAAAAG7b/0I=")</f>
        <v>#VALUE!</v>
      </c>
      <c r="BP35" t="e">
        <f>AND(Answers!AF102,"AAAAAG7b/0M=")</f>
        <v>#VALUE!</v>
      </c>
      <c r="BQ35" t="e">
        <f>AND(Answers!AH102,"AAAAAG7b/0Q=")</f>
        <v>#VALUE!</v>
      </c>
      <c r="BR35" t="e">
        <f>AND(Answers!AI102,"AAAAAG7b/0U=")</f>
        <v>#VALUE!</v>
      </c>
      <c r="BS35" t="e">
        <f>AND(Answers!AK102,"AAAAAG7b/0Y=")</f>
        <v>#VALUE!</v>
      </c>
      <c r="BT35" t="e">
        <f>AND(Answers!#REF!,"AAAAAG7b/0c=")</f>
        <v>#REF!</v>
      </c>
      <c r="BU35" t="e">
        <f>AND(Answers!AR102,"AAAAAG7b/0g=")</f>
        <v>#VALUE!</v>
      </c>
      <c r="BV35" t="e">
        <f>AND(Answers!AS102,"AAAAAG7b/0k=")</f>
        <v>#VALUE!</v>
      </c>
      <c r="BW35" t="e">
        <f>AND(Answers!AT102,"AAAAAG7b/0o=")</f>
        <v>#VALUE!</v>
      </c>
      <c r="BX35" t="e">
        <f>AND(Answers!AU102,"AAAAAG7b/0s=")</f>
        <v>#VALUE!</v>
      </c>
      <c r="BY35" t="e">
        <f>AND(Answers!AW102,"AAAAAG7b/0w=")</f>
        <v>#VALUE!</v>
      </c>
      <c r="BZ35" t="e">
        <f>AND(Answers!AX102,"AAAAAG7b/00=")</f>
        <v>#VALUE!</v>
      </c>
      <c r="CA35" t="e">
        <f>AND(Answers!AY102,"AAAAAG7b/04=")</f>
        <v>#VALUE!</v>
      </c>
      <c r="CB35" t="e">
        <f>AND(Answers!AZ102,"AAAAAG7b/08=")</f>
        <v>#VALUE!</v>
      </c>
      <c r="CC35" t="e">
        <f>AND(Answers!BA102,"AAAAAG7b/1A=")</f>
        <v>#VALUE!</v>
      </c>
      <c r="CD35" t="e">
        <f>AND(Answers!BB102,"AAAAAG7b/1E=")</f>
        <v>#VALUE!</v>
      </c>
      <c r="CE35" t="e">
        <f>AND(Answers!BC102,"AAAAAG7b/1I=")</f>
        <v>#VALUE!</v>
      </c>
      <c r="CF35" t="e">
        <f>AND(Answers!BD102,"AAAAAG7b/1M=")</f>
        <v>#VALUE!</v>
      </c>
      <c r="CG35" t="e">
        <f>AND(Answers!BE102,"AAAAAG7b/1Q=")</f>
        <v>#VALUE!</v>
      </c>
      <c r="CH35" t="e">
        <f>AND(Answers!BF102,"AAAAAG7b/1U=")</f>
        <v>#VALUE!</v>
      </c>
      <c r="CI35" t="e">
        <f>AND(Answers!BG102,"AAAAAG7b/1Y=")</f>
        <v>#VALUE!</v>
      </c>
      <c r="CJ35" t="e">
        <f>AND(Answers!BH102,"AAAAAG7b/1c=")</f>
        <v>#VALUE!</v>
      </c>
      <c r="CK35" t="e">
        <f>AND(Answers!BI102,"AAAAAG7b/1g=")</f>
        <v>#VALUE!</v>
      </c>
      <c r="CL35" t="e">
        <f>AND(Answers!BK102,"AAAAAG7b/1k=")</f>
        <v>#VALUE!</v>
      </c>
      <c r="CM35" t="e">
        <f>AND(Answers!BL102,"AAAAAG7b/1o=")</f>
        <v>#VALUE!</v>
      </c>
      <c r="CN35" t="e">
        <f>AND(Answers!BM102,"AAAAAG7b/1s=")</f>
        <v>#VALUE!</v>
      </c>
      <c r="CO35" t="e">
        <f>AND(Answers!BN102,"AAAAAG7b/1w=")</f>
        <v>#VALUE!</v>
      </c>
      <c r="CP35" t="e">
        <f>AND(Answers!BO102,"AAAAAG7b/10=")</f>
        <v>#VALUE!</v>
      </c>
      <c r="CQ35" t="e">
        <f>AND(Answers!BP102,"AAAAAG7b/14=")</f>
        <v>#VALUE!</v>
      </c>
      <c r="CR35" t="e">
        <f>AND(Answers!BQ102,"AAAAAG7b/18=")</f>
        <v>#VALUE!</v>
      </c>
      <c r="CS35" t="e">
        <f>AND(Answers!BR102,"AAAAAG7b/2A=")</f>
        <v>#VALUE!</v>
      </c>
      <c r="CT35" t="e">
        <f>AND(Answers!BS102,"AAAAAG7b/2E=")</f>
        <v>#VALUE!</v>
      </c>
      <c r="CU35" t="e">
        <f>AND(Answers!BU102,"AAAAAG7b/2I=")</f>
        <v>#VALUE!</v>
      </c>
      <c r="CV35" t="e">
        <f>AND(Answers!BV102,"AAAAAG7b/2M=")</f>
        <v>#VALUE!</v>
      </c>
      <c r="CW35" t="e">
        <f>AND(Answers!#REF!,"AAAAAG7b/2Q=")</f>
        <v>#REF!</v>
      </c>
      <c r="CX35" t="e">
        <f>AND(Answers!BW102,"AAAAAG7b/2U=")</f>
        <v>#VALUE!</v>
      </c>
      <c r="CY35" t="e">
        <f>AND(Answers!BX102,"AAAAAG7b/2Y=")</f>
        <v>#VALUE!</v>
      </c>
      <c r="CZ35" t="e">
        <f>AND(Answers!BY102,"AAAAAG7b/2c=")</f>
        <v>#VALUE!</v>
      </c>
      <c r="DA35" t="e">
        <f>AND(Answers!BZ102,"AAAAAG7b/2g=")</f>
        <v>#VALUE!</v>
      </c>
      <c r="DB35">
        <f>IF(Answers!103:103,"AAAAAG7b/2k=",0)</f>
        <v>0</v>
      </c>
      <c r="DC35" t="e">
        <f>AND(Answers!A103,"AAAAAG7b/2o=")</f>
        <v>#VALUE!</v>
      </c>
      <c r="DD35" t="e">
        <f>AND(Answers!B103,"AAAAAG7b/2s=")</f>
        <v>#VALUE!</v>
      </c>
      <c r="DE35" t="e">
        <f>AND(Answers!C103,"AAAAAG7b/2w=")</f>
        <v>#VALUE!</v>
      </c>
      <c r="DF35" t="e">
        <f>AND(Answers!D103,"AAAAAG7b/20=")</f>
        <v>#VALUE!</v>
      </c>
      <c r="DG35" t="e">
        <f>AND(Answers!E103,"AAAAAG7b/24=")</f>
        <v>#VALUE!</v>
      </c>
      <c r="DH35" t="e">
        <f>AND(Answers!F103,"AAAAAG7b/28=")</f>
        <v>#VALUE!</v>
      </c>
      <c r="DI35" t="e">
        <f>AND(Answers!G103,"AAAAAG7b/3A=")</f>
        <v>#VALUE!</v>
      </c>
      <c r="DJ35" t="e">
        <f>AND(Answers!H103,"AAAAAG7b/3E=")</f>
        <v>#VALUE!</v>
      </c>
      <c r="DK35" t="e">
        <f>AND(Answers!J103,"AAAAAG7b/3I=")</f>
        <v>#VALUE!</v>
      </c>
      <c r="DL35" t="e">
        <f>AND(Answers!K103,"AAAAAG7b/3M=")</f>
        <v>#VALUE!</v>
      </c>
      <c r="DM35" t="e">
        <f>AND(Answers!L103,"AAAAAG7b/3Q=")</f>
        <v>#VALUE!</v>
      </c>
      <c r="DN35" t="e">
        <f>AND(Answers!M103,"AAAAAG7b/3U=")</f>
        <v>#VALUE!</v>
      </c>
      <c r="DO35" t="e">
        <f>AND(Answers!N103,"AAAAAG7b/3Y=")</f>
        <v>#VALUE!</v>
      </c>
      <c r="DP35" t="e">
        <f>AND(Answers!O103,"AAAAAG7b/3c=")</f>
        <v>#VALUE!</v>
      </c>
      <c r="DQ35" t="e">
        <f>AND(Answers!P103,"AAAAAG7b/3g=")</f>
        <v>#VALUE!</v>
      </c>
      <c r="DR35" t="e">
        <f>AND(Answers!Q103,"AAAAAG7b/3k=")</f>
        <v>#VALUE!</v>
      </c>
      <c r="DS35" t="e">
        <f>AND(Answers!R103,"AAAAAG7b/3o=")</f>
        <v>#VALUE!</v>
      </c>
      <c r="DT35" t="e">
        <f>AND(Answers!S103,"AAAAAG7b/3s=")</f>
        <v>#VALUE!</v>
      </c>
      <c r="DU35" t="e">
        <f>AND(Answers!T103,"AAAAAG7b/3w=")</f>
        <v>#VALUE!</v>
      </c>
      <c r="DV35" t="e">
        <f>AND(Answers!U103,"AAAAAG7b/30=")</f>
        <v>#VALUE!</v>
      </c>
      <c r="DW35" t="e">
        <f>AND(Answers!V103,"AAAAAG7b/34=")</f>
        <v>#VALUE!</v>
      </c>
      <c r="DX35" t="e">
        <f>AND(Answers!X103,"AAAAAG7b/38=")</f>
        <v>#VALUE!</v>
      </c>
      <c r="DY35" t="e">
        <f>AND(Answers!Y103,"AAAAAG7b/4A=")</f>
        <v>#VALUE!</v>
      </c>
      <c r="DZ35" t="e">
        <f>AND(Answers!Z103,"AAAAAG7b/4E=")</f>
        <v>#VALUE!</v>
      </c>
      <c r="EA35" t="e">
        <f>AND(Answers!AA103,"AAAAAG7b/4I=")</f>
        <v>#VALUE!</v>
      </c>
      <c r="EB35" t="e">
        <f>AND(Answers!AB103,"AAAAAG7b/4M=")</f>
        <v>#VALUE!</v>
      </c>
      <c r="EC35" t="e">
        <f>AND(Answers!AC103,"AAAAAG7b/4Q=")</f>
        <v>#VALUE!</v>
      </c>
      <c r="ED35" t="e">
        <f>AND(Answers!AD103,"AAAAAG7b/4U=")</f>
        <v>#VALUE!</v>
      </c>
      <c r="EE35" t="e">
        <f>AND(Answers!AE103,"AAAAAG7b/4Y=")</f>
        <v>#VALUE!</v>
      </c>
      <c r="EF35" t="e">
        <f>AND(Answers!AF103,"AAAAAG7b/4c=")</f>
        <v>#VALUE!</v>
      </c>
      <c r="EG35" t="e">
        <f>AND(Answers!AH103,"AAAAAG7b/4g=")</f>
        <v>#VALUE!</v>
      </c>
      <c r="EH35" t="e">
        <f>AND(Answers!AI103,"AAAAAG7b/4k=")</f>
        <v>#VALUE!</v>
      </c>
      <c r="EI35" t="e">
        <f>AND(Answers!AK103,"AAAAAG7b/4o=")</f>
        <v>#VALUE!</v>
      </c>
      <c r="EJ35" t="e">
        <f>AND(Answers!#REF!,"AAAAAG7b/4s=")</f>
        <v>#REF!</v>
      </c>
      <c r="EK35" t="e">
        <f>AND(Answers!AR103,"AAAAAG7b/4w=")</f>
        <v>#VALUE!</v>
      </c>
      <c r="EL35" t="e">
        <f>AND(Answers!AS103,"AAAAAG7b/40=")</f>
        <v>#VALUE!</v>
      </c>
      <c r="EM35" t="e">
        <f>AND(Answers!AT103,"AAAAAG7b/44=")</f>
        <v>#VALUE!</v>
      </c>
      <c r="EN35" t="e">
        <f>AND(Answers!AU103,"AAAAAG7b/48=")</f>
        <v>#VALUE!</v>
      </c>
      <c r="EO35" t="e">
        <f>AND(Answers!AW103,"AAAAAG7b/5A=")</f>
        <v>#VALUE!</v>
      </c>
      <c r="EP35" t="e">
        <f>AND(Answers!AX103,"AAAAAG7b/5E=")</f>
        <v>#VALUE!</v>
      </c>
      <c r="EQ35" t="e">
        <f>AND(Answers!AY103,"AAAAAG7b/5I=")</f>
        <v>#VALUE!</v>
      </c>
      <c r="ER35" t="e">
        <f>AND(Answers!AZ103,"AAAAAG7b/5M=")</f>
        <v>#VALUE!</v>
      </c>
      <c r="ES35" t="e">
        <f>AND(Answers!BA103,"AAAAAG7b/5Q=")</f>
        <v>#VALUE!</v>
      </c>
      <c r="ET35" t="e">
        <f>AND(Answers!BB103,"AAAAAG7b/5U=")</f>
        <v>#VALUE!</v>
      </c>
      <c r="EU35" t="e">
        <f>AND(Answers!BC103,"AAAAAG7b/5Y=")</f>
        <v>#VALUE!</v>
      </c>
      <c r="EV35" t="e">
        <f>AND(Answers!BD103,"AAAAAG7b/5c=")</f>
        <v>#VALUE!</v>
      </c>
      <c r="EW35" t="e">
        <f>AND(Answers!BE103,"AAAAAG7b/5g=")</f>
        <v>#VALUE!</v>
      </c>
      <c r="EX35" t="e">
        <f>AND(Answers!BF103,"AAAAAG7b/5k=")</f>
        <v>#VALUE!</v>
      </c>
      <c r="EY35" t="e">
        <f>AND(Answers!BG103,"AAAAAG7b/5o=")</f>
        <v>#VALUE!</v>
      </c>
      <c r="EZ35" t="e">
        <f>AND(Answers!BH103,"AAAAAG7b/5s=")</f>
        <v>#VALUE!</v>
      </c>
      <c r="FA35" t="e">
        <f>AND(Answers!BI103,"AAAAAG7b/5w=")</f>
        <v>#VALUE!</v>
      </c>
      <c r="FB35" t="e">
        <f>AND(Answers!BK103,"AAAAAG7b/50=")</f>
        <v>#VALUE!</v>
      </c>
      <c r="FC35" t="e">
        <f>AND(Answers!BL103,"AAAAAG7b/54=")</f>
        <v>#VALUE!</v>
      </c>
      <c r="FD35" t="e">
        <f>AND(Answers!BM103,"AAAAAG7b/58=")</f>
        <v>#VALUE!</v>
      </c>
      <c r="FE35" t="e">
        <f>AND(Answers!BN103,"AAAAAG7b/6A=")</f>
        <v>#VALUE!</v>
      </c>
      <c r="FF35" t="e">
        <f>AND(Answers!BO103,"AAAAAG7b/6E=")</f>
        <v>#VALUE!</v>
      </c>
      <c r="FG35" t="e">
        <f>AND(Answers!BP103,"AAAAAG7b/6I=")</f>
        <v>#VALUE!</v>
      </c>
      <c r="FH35" t="e">
        <f>AND(Answers!BQ103,"AAAAAG7b/6M=")</f>
        <v>#VALUE!</v>
      </c>
      <c r="FI35" t="e">
        <f>AND(Answers!BR103,"AAAAAG7b/6Q=")</f>
        <v>#VALUE!</v>
      </c>
      <c r="FJ35" t="e">
        <f>AND(Answers!BS103,"AAAAAG7b/6U=")</f>
        <v>#VALUE!</v>
      </c>
      <c r="FK35" t="e">
        <f>AND(Answers!BU103,"AAAAAG7b/6Y=")</f>
        <v>#VALUE!</v>
      </c>
      <c r="FL35" t="e">
        <f>AND(Answers!BV103,"AAAAAG7b/6c=")</f>
        <v>#VALUE!</v>
      </c>
      <c r="FM35" t="e">
        <f>AND(Answers!#REF!,"AAAAAG7b/6g=")</f>
        <v>#REF!</v>
      </c>
      <c r="FN35" t="e">
        <f>AND(Answers!BW103,"AAAAAG7b/6k=")</f>
        <v>#VALUE!</v>
      </c>
      <c r="FO35" t="e">
        <f>AND(Answers!BX103,"AAAAAG7b/6o=")</f>
        <v>#VALUE!</v>
      </c>
      <c r="FP35" t="e">
        <f>AND(Answers!BY103,"AAAAAG7b/6s=")</f>
        <v>#VALUE!</v>
      </c>
      <c r="FQ35" t="e">
        <f>AND(Answers!BZ103,"AAAAAG7b/6w=")</f>
        <v>#VALUE!</v>
      </c>
      <c r="FR35">
        <f>IF(Answers!104:104,"AAAAAG7b/60=",0)</f>
        <v>0</v>
      </c>
      <c r="FS35" t="e">
        <f>AND(Answers!A104,"AAAAAG7b/64=")</f>
        <v>#VALUE!</v>
      </c>
      <c r="FT35" t="e">
        <f>AND(Answers!B104,"AAAAAG7b/68=")</f>
        <v>#VALUE!</v>
      </c>
      <c r="FU35" t="e">
        <f>AND(Answers!C104,"AAAAAG7b/7A=")</f>
        <v>#VALUE!</v>
      </c>
      <c r="FV35" t="e">
        <f>AND(Answers!D104,"AAAAAG7b/7E=")</f>
        <v>#VALUE!</v>
      </c>
      <c r="FW35" t="e">
        <f>AND(Answers!E104,"AAAAAG7b/7I=")</f>
        <v>#VALUE!</v>
      </c>
      <c r="FX35" t="e">
        <f>AND(Answers!F104,"AAAAAG7b/7M=")</f>
        <v>#VALUE!</v>
      </c>
      <c r="FY35" t="e">
        <f>AND(Answers!G104,"AAAAAG7b/7Q=")</f>
        <v>#VALUE!</v>
      </c>
      <c r="FZ35" t="e">
        <f>AND(Answers!H104,"AAAAAG7b/7U=")</f>
        <v>#VALUE!</v>
      </c>
      <c r="GA35" t="e">
        <f>AND(Answers!J104,"AAAAAG7b/7Y=")</f>
        <v>#VALUE!</v>
      </c>
      <c r="GB35" t="e">
        <f>AND(Answers!K104,"AAAAAG7b/7c=")</f>
        <v>#VALUE!</v>
      </c>
      <c r="GC35" t="e">
        <f>AND(Answers!L104,"AAAAAG7b/7g=")</f>
        <v>#VALUE!</v>
      </c>
      <c r="GD35" t="e">
        <f>AND(Answers!M104,"AAAAAG7b/7k=")</f>
        <v>#VALUE!</v>
      </c>
      <c r="GE35" t="e">
        <f>AND(Answers!N104,"AAAAAG7b/7o=")</f>
        <v>#VALUE!</v>
      </c>
      <c r="GF35" t="e">
        <f>AND(Answers!O104,"AAAAAG7b/7s=")</f>
        <v>#VALUE!</v>
      </c>
      <c r="GG35" t="e">
        <f>AND(Answers!P104,"AAAAAG7b/7w=")</f>
        <v>#VALUE!</v>
      </c>
      <c r="GH35" t="e">
        <f>AND(Answers!Q104,"AAAAAG7b/70=")</f>
        <v>#VALUE!</v>
      </c>
      <c r="GI35" t="e">
        <f>AND(Answers!R104,"AAAAAG7b/74=")</f>
        <v>#VALUE!</v>
      </c>
      <c r="GJ35" t="e">
        <f>AND(Answers!S104,"AAAAAG7b/78=")</f>
        <v>#VALUE!</v>
      </c>
      <c r="GK35" t="e">
        <f>AND(Answers!T104,"AAAAAG7b/8A=")</f>
        <v>#VALUE!</v>
      </c>
      <c r="GL35" t="e">
        <f>AND(Answers!U104,"AAAAAG7b/8E=")</f>
        <v>#VALUE!</v>
      </c>
      <c r="GM35" t="e">
        <f>AND(Answers!V104,"AAAAAG7b/8I=")</f>
        <v>#VALUE!</v>
      </c>
      <c r="GN35" t="e">
        <f>AND(Answers!X104,"AAAAAG7b/8M=")</f>
        <v>#VALUE!</v>
      </c>
      <c r="GO35" t="e">
        <f>AND(Answers!Y104,"AAAAAG7b/8Q=")</f>
        <v>#VALUE!</v>
      </c>
      <c r="GP35" t="e">
        <f>AND(Answers!Z104,"AAAAAG7b/8U=")</f>
        <v>#VALUE!</v>
      </c>
      <c r="GQ35" t="e">
        <f>AND(Answers!AA104,"AAAAAG7b/8Y=")</f>
        <v>#VALUE!</v>
      </c>
      <c r="GR35" t="e">
        <f>AND(Answers!AB104,"AAAAAG7b/8c=")</f>
        <v>#VALUE!</v>
      </c>
      <c r="GS35" t="e">
        <f>AND(Answers!AC104,"AAAAAG7b/8g=")</f>
        <v>#VALUE!</v>
      </c>
      <c r="GT35" t="e">
        <f>AND(Answers!AD104,"AAAAAG7b/8k=")</f>
        <v>#VALUE!</v>
      </c>
      <c r="GU35" t="e">
        <f>AND(Answers!AE104,"AAAAAG7b/8o=")</f>
        <v>#VALUE!</v>
      </c>
      <c r="GV35" t="e">
        <f>AND(Answers!AF104,"AAAAAG7b/8s=")</f>
        <v>#VALUE!</v>
      </c>
      <c r="GW35" t="e">
        <f>AND(Answers!AH104,"AAAAAG7b/8w=")</f>
        <v>#VALUE!</v>
      </c>
      <c r="GX35" t="e">
        <f>AND(Answers!AI104,"AAAAAG7b/80=")</f>
        <v>#VALUE!</v>
      </c>
      <c r="GY35" t="e">
        <f>AND(Answers!AK104,"AAAAAG7b/84=")</f>
        <v>#VALUE!</v>
      </c>
      <c r="GZ35" t="e">
        <f>AND(Answers!#REF!,"AAAAAG7b/88=")</f>
        <v>#REF!</v>
      </c>
      <c r="HA35" t="e">
        <f>AND(Answers!AR104,"AAAAAG7b/9A=")</f>
        <v>#VALUE!</v>
      </c>
      <c r="HB35" t="e">
        <f>AND(Answers!AS104,"AAAAAG7b/9E=")</f>
        <v>#VALUE!</v>
      </c>
      <c r="HC35" t="e">
        <f>AND(Answers!AT104,"AAAAAG7b/9I=")</f>
        <v>#VALUE!</v>
      </c>
      <c r="HD35" t="e">
        <f>AND(Answers!AU104,"AAAAAG7b/9M=")</f>
        <v>#VALUE!</v>
      </c>
      <c r="HE35" t="e">
        <f>AND(Answers!AW104,"AAAAAG7b/9Q=")</f>
        <v>#VALUE!</v>
      </c>
      <c r="HF35" t="e">
        <f>AND(Answers!AX104,"AAAAAG7b/9U=")</f>
        <v>#VALUE!</v>
      </c>
      <c r="HG35" t="e">
        <f>AND(Answers!AY104,"AAAAAG7b/9Y=")</f>
        <v>#VALUE!</v>
      </c>
      <c r="HH35" t="e">
        <f>AND(Answers!AZ104,"AAAAAG7b/9c=")</f>
        <v>#VALUE!</v>
      </c>
      <c r="HI35" t="e">
        <f>AND(Answers!BA104,"AAAAAG7b/9g=")</f>
        <v>#VALUE!</v>
      </c>
      <c r="HJ35" t="e">
        <f>AND(Answers!BB104,"AAAAAG7b/9k=")</f>
        <v>#VALUE!</v>
      </c>
      <c r="HK35" t="e">
        <f>AND(Answers!BC104,"AAAAAG7b/9o=")</f>
        <v>#VALUE!</v>
      </c>
      <c r="HL35" t="e">
        <f>AND(Answers!BD104,"AAAAAG7b/9s=")</f>
        <v>#VALUE!</v>
      </c>
      <c r="HM35" t="e">
        <f>AND(Answers!BE104,"AAAAAG7b/9w=")</f>
        <v>#VALUE!</v>
      </c>
      <c r="HN35" t="e">
        <f>AND(Answers!BF104,"AAAAAG7b/90=")</f>
        <v>#VALUE!</v>
      </c>
      <c r="HO35" t="e">
        <f>AND(Answers!BG104,"AAAAAG7b/94=")</f>
        <v>#VALUE!</v>
      </c>
      <c r="HP35" t="e">
        <f>AND(Answers!BH104,"AAAAAG7b/98=")</f>
        <v>#VALUE!</v>
      </c>
      <c r="HQ35" t="e">
        <f>AND(Answers!BI104,"AAAAAG7b/+A=")</f>
        <v>#VALUE!</v>
      </c>
      <c r="HR35" t="e">
        <f>AND(Answers!BK104,"AAAAAG7b/+E=")</f>
        <v>#VALUE!</v>
      </c>
      <c r="HS35" t="e">
        <f>AND(Answers!BL104,"AAAAAG7b/+I=")</f>
        <v>#VALUE!</v>
      </c>
      <c r="HT35" t="e">
        <f>AND(Answers!BM104,"AAAAAG7b/+M=")</f>
        <v>#VALUE!</v>
      </c>
      <c r="HU35" t="e">
        <f>AND(Answers!BN104,"AAAAAG7b/+Q=")</f>
        <v>#VALUE!</v>
      </c>
      <c r="HV35" t="e">
        <f>AND(Answers!BO104,"AAAAAG7b/+U=")</f>
        <v>#VALUE!</v>
      </c>
      <c r="HW35" t="e">
        <f>AND(Answers!BP104,"AAAAAG7b/+Y=")</f>
        <v>#VALUE!</v>
      </c>
      <c r="HX35" t="e">
        <f>AND(Answers!BQ104,"AAAAAG7b/+c=")</f>
        <v>#VALUE!</v>
      </c>
      <c r="HY35" t="e">
        <f>AND(Answers!BR104,"AAAAAG7b/+g=")</f>
        <v>#VALUE!</v>
      </c>
      <c r="HZ35" t="e">
        <f>AND(Answers!BS104,"AAAAAG7b/+k=")</f>
        <v>#VALUE!</v>
      </c>
      <c r="IA35" t="e">
        <f>AND(Answers!BU104,"AAAAAG7b/+o=")</f>
        <v>#VALUE!</v>
      </c>
      <c r="IB35" t="e">
        <f>AND(Answers!BV104,"AAAAAG7b/+s=")</f>
        <v>#VALUE!</v>
      </c>
      <c r="IC35" t="e">
        <f>AND(Answers!#REF!,"AAAAAG7b/+w=")</f>
        <v>#REF!</v>
      </c>
      <c r="ID35" t="e">
        <f>AND(Answers!BW104,"AAAAAG7b/+0=")</f>
        <v>#VALUE!</v>
      </c>
      <c r="IE35" t="e">
        <f>AND(Answers!BX104,"AAAAAG7b/+4=")</f>
        <v>#VALUE!</v>
      </c>
      <c r="IF35" t="e">
        <f>AND(Answers!BY104,"AAAAAG7b/+8=")</f>
        <v>#VALUE!</v>
      </c>
      <c r="IG35" t="e">
        <f>AND(Answers!BZ104,"AAAAAG7b//A=")</f>
        <v>#VALUE!</v>
      </c>
      <c r="IH35">
        <f>IF(Answers!105:105,"AAAAAG7b//E=",0)</f>
        <v>0</v>
      </c>
      <c r="II35" t="e">
        <f>AND(Answers!A105,"AAAAAG7b//I=")</f>
        <v>#VALUE!</v>
      </c>
      <c r="IJ35" t="e">
        <f>AND(Answers!B105,"AAAAAG7b//M=")</f>
        <v>#VALUE!</v>
      </c>
      <c r="IK35" t="e">
        <f>AND(Answers!C105,"AAAAAG7b//Q=")</f>
        <v>#VALUE!</v>
      </c>
      <c r="IL35" t="e">
        <f>AND(Answers!D105,"AAAAAG7b//U=")</f>
        <v>#VALUE!</v>
      </c>
      <c r="IM35" t="e">
        <f>AND(Answers!E105,"AAAAAG7b//Y=")</f>
        <v>#VALUE!</v>
      </c>
      <c r="IN35" t="e">
        <f>AND(Answers!F105,"AAAAAG7b//c=")</f>
        <v>#VALUE!</v>
      </c>
      <c r="IO35" t="e">
        <f>AND(Answers!G105,"AAAAAG7b//g=")</f>
        <v>#VALUE!</v>
      </c>
      <c r="IP35" t="e">
        <f>AND(Answers!H105,"AAAAAG7b//k=")</f>
        <v>#VALUE!</v>
      </c>
      <c r="IQ35" t="e">
        <f>AND(Answers!J105,"AAAAAG7b//o=")</f>
        <v>#VALUE!</v>
      </c>
      <c r="IR35" t="e">
        <f>AND(Answers!K105,"AAAAAG7b//s=")</f>
        <v>#VALUE!</v>
      </c>
      <c r="IS35" t="e">
        <f>AND(Answers!L105,"AAAAAG7b//w=")</f>
        <v>#VALUE!</v>
      </c>
      <c r="IT35" t="e">
        <f>AND(Answers!M105,"AAAAAG7b//0=")</f>
        <v>#VALUE!</v>
      </c>
      <c r="IU35" t="e">
        <f>AND(Answers!N105,"AAAAAG7b//4=")</f>
        <v>#VALUE!</v>
      </c>
      <c r="IV35" t="e">
        <f>AND(Answers!O105,"AAAAAG7b//8=")</f>
        <v>#VALUE!</v>
      </c>
    </row>
    <row r="36" spans="1:256" x14ac:dyDescent="0.15">
      <c r="A36" t="e">
        <f>AND(Answers!P105,"AAAAAB9y5QA=")</f>
        <v>#VALUE!</v>
      </c>
      <c r="B36" t="e">
        <f>AND(Answers!Q105,"AAAAAB9y5QE=")</f>
        <v>#VALUE!</v>
      </c>
      <c r="C36" t="e">
        <f>AND(Answers!R105,"AAAAAB9y5QI=")</f>
        <v>#VALUE!</v>
      </c>
      <c r="D36" t="e">
        <f>AND(Answers!S105,"AAAAAB9y5QM=")</f>
        <v>#VALUE!</v>
      </c>
      <c r="E36" t="e">
        <f>AND(Answers!T105,"AAAAAB9y5QQ=")</f>
        <v>#VALUE!</v>
      </c>
      <c r="F36" t="e">
        <f>AND(Answers!U105,"AAAAAB9y5QU=")</f>
        <v>#VALUE!</v>
      </c>
      <c r="G36" t="e">
        <f>AND(Answers!V105,"AAAAAB9y5QY=")</f>
        <v>#VALUE!</v>
      </c>
      <c r="H36" t="e">
        <f>AND(Answers!X105,"AAAAAB9y5Qc=")</f>
        <v>#VALUE!</v>
      </c>
      <c r="I36" t="e">
        <f>AND(Answers!Y105,"AAAAAB9y5Qg=")</f>
        <v>#VALUE!</v>
      </c>
      <c r="J36" t="e">
        <f>AND(Answers!Z105,"AAAAAB9y5Qk=")</f>
        <v>#VALUE!</v>
      </c>
      <c r="K36" t="e">
        <f>AND(Answers!AA105,"AAAAAB9y5Qo=")</f>
        <v>#VALUE!</v>
      </c>
      <c r="L36" t="e">
        <f>AND(Answers!AB105,"AAAAAB9y5Qs=")</f>
        <v>#VALUE!</v>
      </c>
      <c r="M36" t="e">
        <f>AND(Answers!AC105,"AAAAAB9y5Qw=")</f>
        <v>#VALUE!</v>
      </c>
      <c r="N36" t="e">
        <f>AND(Answers!AD105,"AAAAAB9y5Q0=")</f>
        <v>#VALUE!</v>
      </c>
      <c r="O36" t="e">
        <f>AND(Answers!AE105,"AAAAAB9y5Q4=")</f>
        <v>#VALUE!</v>
      </c>
      <c r="P36" t="e">
        <f>AND(Answers!AF105,"AAAAAB9y5Q8=")</f>
        <v>#VALUE!</v>
      </c>
      <c r="Q36" t="e">
        <f>AND(Answers!AH105,"AAAAAB9y5RA=")</f>
        <v>#VALUE!</v>
      </c>
      <c r="R36" t="e">
        <f>AND(Answers!AI105,"AAAAAB9y5RE=")</f>
        <v>#VALUE!</v>
      </c>
      <c r="S36" t="e">
        <f>AND(Answers!AK105,"AAAAAB9y5RI=")</f>
        <v>#VALUE!</v>
      </c>
      <c r="T36" t="e">
        <f>AND(Answers!#REF!,"AAAAAB9y5RM=")</f>
        <v>#REF!</v>
      </c>
      <c r="U36" t="e">
        <f>AND(Answers!AR105,"AAAAAB9y5RQ=")</f>
        <v>#VALUE!</v>
      </c>
      <c r="V36" t="e">
        <f>AND(Answers!AS105,"AAAAAB9y5RU=")</f>
        <v>#VALUE!</v>
      </c>
      <c r="W36" t="e">
        <f>AND(Answers!AT105,"AAAAAB9y5RY=")</f>
        <v>#VALUE!</v>
      </c>
      <c r="X36" t="e">
        <f>AND(Answers!AU105,"AAAAAB9y5Rc=")</f>
        <v>#VALUE!</v>
      </c>
      <c r="Y36" t="e">
        <f>AND(Answers!AW105,"AAAAAB9y5Rg=")</f>
        <v>#VALUE!</v>
      </c>
      <c r="Z36" t="e">
        <f>AND(Answers!AX105,"AAAAAB9y5Rk=")</f>
        <v>#VALUE!</v>
      </c>
      <c r="AA36" t="e">
        <f>AND(Answers!AY105,"AAAAAB9y5Ro=")</f>
        <v>#VALUE!</v>
      </c>
      <c r="AB36" t="e">
        <f>AND(Answers!AZ105,"AAAAAB9y5Rs=")</f>
        <v>#VALUE!</v>
      </c>
      <c r="AC36" t="e">
        <f>AND(Answers!BA105,"AAAAAB9y5Rw=")</f>
        <v>#VALUE!</v>
      </c>
      <c r="AD36" t="e">
        <f>AND(Answers!BB105,"AAAAAB9y5R0=")</f>
        <v>#VALUE!</v>
      </c>
      <c r="AE36" t="e">
        <f>AND(Answers!BC105,"AAAAAB9y5R4=")</f>
        <v>#VALUE!</v>
      </c>
      <c r="AF36" t="e">
        <f>AND(Answers!BD105,"AAAAAB9y5R8=")</f>
        <v>#VALUE!</v>
      </c>
      <c r="AG36" t="e">
        <f>AND(Answers!BE105,"AAAAAB9y5SA=")</f>
        <v>#VALUE!</v>
      </c>
      <c r="AH36" t="e">
        <f>AND(Answers!BF105,"AAAAAB9y5SE=")</f>
        <v>#VALUE!</v>
      </c>
      <c r="AI36" t="e">
        <f>AND(Answers!BG105,"AAAAAB9y5SI=")</f>
        <v>#VALUE!</v>
      </c>
      <c r="AJ36" t="e">
        <f>AND(Answers!BH105,"AAAAAB9y5SM=")</f>
        <v>#VALUE!</v>
      </c>
      <c r="AK36" t="e">
        <f>AND(Answers!BI105,"AAAAAB9y5SQ=")</f>
        <v>#VALUE!</v>
      </c>
      <c r="AL36" t="e">
        <f>AND(Answers!BK105,"AAAAAB9y5SU=")</f>
        <v>#VALUE!</v>
      </c>
      <c r="AM36" t="e">
        <f>AND(Answers!BL105,"AAAAAB9y5SY=")</f>
        <v>#VALUE!</v>
      </c>
      <c r="AN36" t="e">
        <f>AND(Answers!BM105,"AAAAAB9y5Sc=")</f>
        <v>#VALUE!</v>
      </c>
      <c r="AO36" t="e">
        <f>AND(Answers!BN105,"AAAAAB9y5Sg=")</f>
        <v>#VALUE!</v>
      </c>
      <c r="AP36" t="e">
        <f>AND(Answers!BO105,"AAAAAB9y5Sk=")</f>
        <v>#VALUE!</v>
      </c>
      <c r="AQ36" t="e">
        <f>AND(Answers!BP105,"AAAAAB9y5So=")</f>
        <v>#VALUE!</v>
      </c>
      <c r="AR36" t="e">
        <f>AND(Answers!BQ105,"AAAAAB9y5Ss=")</f>
        <v>#VALUE!</v>
      </c>
      <c r="AS36" t="e">
        <f>AND(Answers!BR105,"AAAAAB9y5Sw=")</f>
        <v>#VALUE!</v>
      </c>
      <c r="AT36" t="e">
        <f>AND(Answers!BS105,"AAAAAB9y5S0=")</f>
        <v>#VALUE!</v>
      </c>
      <c r="AU36" t="e">
        <f>AND(Answers!BU105,"AAAAAB9y5S4=")</f>
        <v>#VALUE!</v>
      </c>
      <c r="AV36" t="e">
        <f>AND(Answers!BV105,"AAAAAB9y5S8=")</f>
        <v>#VALUE!</v>
      </c>
      <c r="AW36" t="e">
        <f>AND(Answers!#REF!,"AAAAAB9y5TA=")</f>
        <v>#REF!</v>
      </c>
      <c r="AX36" t="e">
        <f>AND(Answers!BW105,"AAAAAB9y5TE=")</f>
        <v>#VALUE!</v>
      </c>
      <c r="AY36" t="e">
        <f>AND(Answers!BX105,"AAAAAB9y5TI=")</f>
        <v>#VALUE!</v>
      </c>
      <c r="AZ36" t="e">
        <f>AND(Answers!BY105,"AAAAAB9y5TM=")</f>
        <v>#VALUE!</v>
      </c>
      <c r="BA36" t="e">
        <f>AND(Answers!BZ105,"AAAAAB9y5TQ=")</f>
        <v>#VALUE!</v>
      </c>
      <c r="BB36">
        <f>IF(Answers!106:106,"AAAAAB9y5TU=",0)</f>
        <v>0</v>
      </c>
      <c r="BC36" t="e">
        <f>AND(Answers!A106,"AAAAAB9y5TY=")</f>
        <v>#VALUE!</v>
      </c>
      <c r="BD36" t="e">
        <f>AND(Answers!B106,"AAAAAB9y5Tc=")</f>
        <v>#VALUE!</v>
      </c>
      <c r="BE36" t="e">
        <f>AND(Answers!C106,"AAAAAB9y5Tg=")</f>
        <v>#VALUE!</v>
      </c>
      <c r="BF36" t="e">
        <f>AND(Answers!D106,"AAAAAB9y5Tk=")</f>
        <v>#VALUE!</v>
      </c>
      <c r="BG36" t="e">
        <f>AND(Answers!E106,"AAAAAB9y5To=")</f>
        <v>#VALUE!</v>
      </c>
      <c r="BH36" t="e">
        <f>AND(Answers!F106,"AAAAAB9y5Ts=")</f>
        <v>#VALUE!</v>
      </c>
      <c r="BI36" t="e">
        <f>AND(Answers!G106,"AAAAAB9y5Tw=")</f>
        <v>#VALUE!</v>
      </c>
      <c r="BJ36" t="e">
        <f>AND(Answers!H106,"AAAAAB9y5T0=")</f>
        <v>#VALUE!</v>
      </c>
      <c r="BK36" t="e">
        <f>AND(Answers!J106,"AAAAAB9y5T4=")</f>
        <v>#VALUE!</v>
      </c>
      <c r="BL36" t="e">
        <f>AND(Answers!K106,"AAAAAB9y5T8=")</f>
        <v>#VALUE!</v>
      </c>
      <c r="BM36" t="e">
        <f>AND(Answers!L106,"AAAAAB9y5UA=")</f>
        <v>#VALUE!</v>
      </c>
      <c r="BN36" t="e">
        <f>AND(Answers!M106,"AAAAAB9y5UE=")</f>
        <v>#VALUE!</v>
      </c>
      <c r="BO36" t="e">
        <f>AND(Answers!N106,"AAAAAB9y5UI=")</f>
        <v>#VALUE!</v>
      </c>
      <c r="BP36" t="e">
        <f>AND(Answers!O106,"AAAAAB9y5UM=")</f>
        <v>#VALUE!</v>
      </c>
      <c r="BQ36" t="e">
        <f>AND(Answers!P106,"AAAAAB9y5UQ=")</f>
        <v>#VALUE!</v>
      </c>
      <c r="BR36" t="e">
        <f>AND(Answers!Q106,"AAAAAB9y5UU=")</f>
        <v>#VALUE!</v>
      </c>
      <c r="BS36" t="e">
        <f>AND(Answers!R106,"AAAAAB9y5UY=")</f>
        <v>#VALUE!</v>
      </c>
      <c r="BT36" t="e">
        <f>AND(Answers!S106,"AAAAAB9y5Uc=")</f>
        <v>#VALUE!</v>
      </c>
      <c r="BU36" t="e">
        <f>AND(Answers!T106,"AAAAAB9y5Ug=")</f>
        <v>#VALUE!</v>
      </c>
      <c r="BV36" t="e">
        <f>AND(Answers!U106,"AAAAAB9y5Uk=")</f>
        <v>#VALUE!</v>
      </c>
      <c r="BW36" t="e">
        <f>AND(Answers!V106,"AAAAAB9y5Uo=")</f>
        <v>#VALUE!</v>
      </c>
      <c r="BX36" t="e">
        <f>AND(Answers!X106,"AAAAAB9y5Us=")</f>
        <v>#VALUE!</v>
      </c>
      <c r="BY36" t="e">
        <f>AND(Answers!Y106,"AAAAAB9y5Uw=")</f>
        <v>#VALUE!</v>
      </c>
      <c r="BZ36" t="e">
        <f>AND(Answers!Z106,"AAAAAB9y5U0=")</f>
        <v>#VALUE!</v>
      </c>
      <c r="CA36" t="e">
        <f>AND(Answers!AA106,"AAAAAB9y5U4=")</f>
        <v>#VALUE!</v>
      </c>
      <c r="CB36" t="e">
        <f>AND(Answers!AB106,"AAAAAB9y5U8=")</f>
        <v>#VALUE!</v>
      </c>
      <c r="CC36" t="e">
        <f>AND(Answers!AC106,"AAAAAB9y5VA=")</f>
        <v>#VALUE!</v>
      </c>
      <c r="CD36" t="e">
        <f>AND(Answers!AD106,"AAAAAB9y5VE=")</f>
        <v>#VALUE!</v>
      </c>
      <c r="CE36" t="e">
        <f>AND(Answers!AE106,"AAAAAB9y5VI=")</f>
        <v>#VALUE!</v>
      </c>
      <c r="CF36" t="e">
        <f>AND(Answers!AF106,"AAAAAB9y5VM=")</f>
        <v>#VALUE!</v>
      </c>
      <c r="CG36" t="e">
        <f>AND(Answers!AH106,"AAAAAB9y5VQ=")</f>
        <v>#VALUE!</v>
      </c>
      <c r="CH36" t="e">
        <f>AND(Answers!AI106,"AAAAAB9y5VU=")</f>
        <v>#VALUE!</v>
      </c>
      <c r="CI36" t="e">
        <f>AND(Answers!AK106,"AAAAAB9y5VY=")</f>
        <v>#VALUE!</v>
      </c>
      <c r="CJ36" t="e">
        <f>AND(Answers!#REF!,"AAAAAB9y5Vc=")</f>
        <v>#REF!</v>
      </c>
      <c r="CK36" t="e">
        <f>AND(Answers!AR106,"AAAAAB9y5Vg=")</f>
        <v>#VALUE!</v>
      </c>
      <c r="CL36" t="e">
        <f>AND(Answers!AS106,"AAAAAB9y5Vk=")</f>
        <v>#VALUE!</v>
      </c>
      <c r="CM36" t="e">
        <f>AND(Answers!AT106,"AAAAAB9y5Vo=")</f>
        <v>#VALUE!</v>
      </c>
      <c r="CN36" t="e">
        <f>AND(Answers!AU106,"AAAAAB9y5Vs=")</f>
        <v>#VALUE!</v>
      </c>
      <c r="CO36" t="e">
        <f>AND(Answers!AW106,"AAAAAB9y5Vw=")</f>
        <v>#VALUE!</v>
      </c>
      <c r="CP36" t="e">
        <f>AND(Answers!AX106,"AAAAAB9y5V0=")</f>
        <v>#VALUE!</v>
      </c>
      <c r="CQ36" t="e">
        <f>AND(Answers!AY106,"AAAAAB9y5V4=")</f>
        <v>#VALUE!</v>
      </c>
      <c r="CR36" t="e">
        <f>AND(Answers!AZ106,"AAAAAB9y5V8=")</f>
        <v>#VALUE!</v>
      </c>
      <c r="CS36" t="e">
        <f>AND(Answers!BA106,"AAAAAB9y5WA=")</f>
        <v>#VALUE!</v>
      </c>
      <c r="CT36" t="e">
        <f>AND(Answers!BB106,"AAAAAB9y5WE=")</f>
        <v>#VALUE!</v>
      </c>
      <c r="CU36" t="e">
        <f>AND(Answers!BC106,"AAAAAB9y5WI=")</f>
        <v>#VALUE!</v>
      </c>
      <c r="CV36" t="e">
        <f>AND(Answers!BD106,"AAAAAB9y5WM=")</f>
        <v>#VALUE!</v>
      </c>
      <c r="CW36" t="e">
        <f>AND(Answers!BE106,"AAAAAB9y5WQ=")</f>
        <v>#VALUE!</v>
      </c>
      <c r="CX36" t="e">
        <f>AND(Answers!BF106,"AAAAAB9y5WU=")</f>
        <v>#VALUE!</v>
      </c>
      <c r="CY36" t="e">
        <f>AND(Answers!BG106,"AAAAAB9y5WY=")</f>
        <v>#VALUE!</v>
      </c>
      <c r="CZ36" t="e">
        <f>AND(Answers!BH106,"AAAAAB9y5Wc=")</f>
        <v>#VALUE!</v>
      </c>
      <c r="DA36" t="e">
        <f>AND(Answers!BI106,"AAAAAB9y5Wg=")</f>
        <v>#VALUE!</v>
      </c>
      <c r="DB36" t="e">
        <f>AND(Answers!BK106,"AAAAAB9y5Wk=")</f>
        <v>#VALUE!</v>
      </c>
      <c r="DC36" t="e">
        <f>AND(Answers!BL106,"AAAAAB9y5Wo=")</f>
        <v>#VALUE!</v>
      </c>
      <c r="DD36" t="e">
        <f>AND(Answers!BM106,"AAAAAB9y5Ws=")</f>
        <v>#VALUE!</v>
      </c>
      <c r="DE36" t="e">
        <f>AND(Answers!BN106,"AAAAAB9y5Ww=")</f>
        <v>#VALUE!</v>
      </c>
      <c r="DF36" t="e">
        <f>AND(Answers!BO106,"AAAAAB9y5W0=")</f>
        <v>#VALUE!</v>
      </c>
      <c r="DG36" t="e">
        <f>AND(Answers!BP106,"AAAAAB9y5W4=")</f>
        <v>#VALUE!</v>
      </c>
      <c r="DH36" t="e">
        <f>AND(Answers!BQ106,"AAAAAB9y5W8=")</f>
        <v>#VALUE!</v>
      </c>
      <c r="DI36" t="e">
        <f>AND(Answers!BR106,"AAAAAB9y5XA=")</f>
        <v>#VALUE!</v>
      </c>
      <c r="DJ36" t="e">
        <f>AND(Answers!BS106,"AAAAAB9y5XE=")</f>
        <v>#VALUE!</v>
      </c>
      <c r="DK36" t="e">
        <f>AND(Answers!BU106,"AAAAAB9y5XI=")</f>
        <v>#VALUE!</v>
      </c>
      <c r="DL36" t="e">
        <f>AND(Answers!BV106,"AAAAAB9y5XM=")</f>
        <v>#VALUE!</v>
      </c>
      <c r="DM36" t="e">
        <f>AND(Answers!#REF!,"AAAAAB9y5XQ=")</f>
        <v>#REF!</v>
      </c>
      <c r="DN36" t="e">
        <f>AND(Answers!BW106,"AAAAAB9y5XU=")</f>
        <v>#VALUE!</v>
      </c>
      <c r="DO36" t="e">
        <f>AND(Answers!BX106,"AAAAAB9y5XY=")</f>
        <v>#VALUE!</v>
      </c>
      <c r="DP36" t="e">
        <f>AND(Answers!BY106,"AAAAAB9y5Xc=")</f>
        <v>#VALUE!</v>
      </c>
      <c r="DQ36" t="e">
        <f>AND(Answers!BZ106,"AAAAAB9y5Xg=")</f>
        <v>#VALUE!</v>
      </c>
      <c r="DR36">
        <f>IF(Answers!107:107,"AAAAAB9y5Xk=",0)</f>
        <v>0</v>
      </c>
      <c r="DS36" t="e">
        <f>AND(Answers!A107,"AAAAAB9y5Xo=")</f>
        <v>#VALUE!</v>
      </c>
      <c r="DT36" t="e">
        <f>AND(Answers!B107,"AAAAAB9y5Xs=")</f>
        <v>#VALUE!</v>
      </c>
      <c r="DU36" t="e">
        <f>AND(Answers!C107,"AAAAAB9y5Xw=")</f>
        <v>#VALUE!</v>
      </c>
      <c r="DV36" t="e">
        <f>AND(Answers!D107,"AAAAAB9y5X0=")</f>
        <v>#VALUE!</v>
      </c>
      <c r="DW36" t="e">
        <f>AND(Answers!E107,"AAAAAB9y5X4=")</f>
        <v>#VALUE!</v>
      </c>
      <c r="DX36" t="e">
        <f>AND(Answers!F107,"AAAAAB9y5X8=")</f>
        <v>#VALUE!</v>
      </c>
      <c r="DY36" t="e">
        <f>AND(Answers!G107,"AAAAAB9y5YA=")</f>
        <v>#VALUE!</v>
      </c>
      <c r="DZ36" t="e">
        <f>AND(Answers!H107,"AAAAAB9y5YE=")</f>
        <v>#VALUE!</v>
      </c>
      <c r="EA36" t="e">
        <f>AND(Answers!J107,"AAAAAB9y5YI=")</f>
        <v>#VALUE!</v>
      </c>
      <c r="EB36" t="e">
        <f>AND(Answers!K107,"AAAAAB9y5YM=")</f>
        <v>#VALUE!</v>
      </c>
      <c r="EC36" t="e">
        <f>AND(Answers!L107,"AAAAAB9y5YQ=")</f>
        <v>#VALUE!</v>
      </c>
      <c r="ED36" t="e">
        <f>AND(Answers!M107,"AAAAAB9y5YU=")</f>
        <v>#VALUE!</v>
      </c>
      <c r="EE36" t="e">
        <f>AND(Answers!N107,"AAAAAB9y5YY=")</f>
        <v>#VALUE!</v>
      </c>
      <c r="EF36" t="e">
        <f>AND(Answers!O107,"AAAAAB9y5Yc=")</f>
        <v>#VALUE!</v>
      </c>
      <c r="EG36" t="e">
        <f>AND(Answers!P107,"AAAAAB9y5Yg=")</f>
        <v>#VALUE!</v>
      </c>
      <c r="EH36" t="e">
        <f>AND(Answers!Q107,"AAAAAB9y5Yk=")</f>
        <v>#VALUE!</v>
      </c>
      <c r="EI36" t="e">
        <f>AND(Answers!R107,"AAAAAB9y5Yo=")</f>
        <v>#VALUE!</v>
      </c>
      <c r="EJ36" t="e">
        <f>AND(Answers!S107,"AAAAAB9y5Ys=")</f>
        <v>#VALUE!</v>
      </c>
      <c r="EK36" t="e">
        <f>AND(Answers!T107,"AAAAAB9y5Yw=")</f>
        <v>#VALUE!</v>
      </c>
      <c r="EL36" t="e">
        <f>AND(Answers!U107,"AAAAAB9y5Y0=")</f>
        <v>#VALUE!</v>
      </c>
      <c r="EM36" t="e">
        <f>AND(Answers!V107,"AAAAAB9y5Y4=")</f>
        <v>#VALUE!</v>
      </c>
      <c r="EN36" t="e">
        <f>AND(Answers!X107,"AAAAAB9y5Y8=")</f>
        <v>#VALUE!</v>
      </c>
      <c r="EO36" t="e">
        <f>AND(Answers!Y107,"AAAAAB9y5ZA=")</f>
        <v>#VALUE!</v>
      </c>
      <c r="EP36" t="e">
        <f>AND(Answers!Z107,"AAAAAB9y5ZE=")</f>
        <v>#VALUE!</v>
      </c>
      <c r="EQ36" t="e">
        <f>AND(Answers!AA107,"AAAAAB9y5ZI=")</f>
        <v>#VALUE!</v>
      </c>
      <c r="ER36" t="e">
        <f>AND(Answers!AB107,"AAAAAB9y5ZM=")</f>
        <v>#VALUE!</v>
      </c>
      <c r="ES36" t="e">
        <f>AND(Answers!AC107,"AAAAAB9y5ZQ=")</f>
        <v>#VALUE!</v>
      </c>
      <c r="ET36" t="e">
        <f>AND(Answers!AD107,"AAAAAB9y5ZU=")</f>
        <v>#VALUE!</v>
      </c>
      <c r="EU36" t="e">
        <f>AND(Answers!AE107,"AAAAAB9y5ZY=")</f>
        <v>#VALUE!</v>
      </c>
      <c r="EV36" t="e">
        <f>AND(Answers!AF107,"AAAAAB9y5Zc=")</f>
        <v>#VALUE!</v>
      </c>
      <c r="EW36" t="e">
        <f>AND(Answers!AH107,"AAAAAB9y5Zg=")</f>
        <v>#VALUE!</v>
      </c>
      <c r="EX36" t="e">
        <f>AND(Answers!AI107,"AAAAAB9y5Zk=")</f>
        <v>#VALUE!</v>
      </c>
      <c r="EY36" t="e">
        <f>AND(Answers!AK107,"AAAAAB9y5Zo=")</f>
        <v>#VALUE!</v>
      </c>
      <c r="EZ36" t="e">
        <f>AND(Answers!#REF!,"AAAAAB9y5Zs=")</f>
        <v>#REF!</v>
      </c>
      <c r="FA36" t="e">
        <f>AND(Answers!AR107,"AAAAAB9y5Zw=")</f>
        <v>#VALUE!</v>
      </c>
      <c r="FB36" t="e">
        <f>AND(Answers!AS107,"AAAAAB9y5Z0=")</f>
        <v>#VALUE!</v>
      </c>
      <c r="FC36" t="e">
        <f>AND(Answers!AT107,"AAAAAB9y5Z4=")</f>
        <v>#VALUE!</v>
      </c>
      <c r="FD36" t="e">
        <f>AND(Answers!AU107,"AAAAAB9y5Z8=")</f>
        <v>#VALUE!</v>
      </c>
      <c r="FE36" t="e">
        <f>AND(Answers!AW107,"AAAAAB9y5aA=")</f>
        <v>#VALUE!</v>
      </c>
      <c r="FF36" t="e">
        <f>AND(Answers!AX107,"AAAAAB9y5aE=")</f>
        <v>#VALUE!</v>
      </c>
      <c r="FG36" t="e">
        <f>AND(Answers!AY107,"AAAAAB9y5aI=")</f>
        <v>#VALUE!</v>
      </c>
      <c r="FH36" t="e">
        <f>AND(Answers!AZ107,"AAAAAB9y5aM=")</f>
        <v>#VALUE!</v>
      </c>
      <c r="FI36" t="e">
        <f>AND(Answers!BA107,"AAAAAB9y5aQ=")</f>
        <v>#VALUE!</v>
      </c>
      <c r="FJ36" t="e">
        <f>AND(Answers!BB107,"AAAAAB9y5aU=")</f>
        <v>#VALUE!</v>
      </c>
      <c r="FK36" t="e">
        <f>AND(Answers!BC107,"AAAAAB9y5aY=")</f>
        <v>#VALUE!</v>
      </c>
      <c r="FL36" t="e">
        <f>AND(Answers!BD107,"AAAAAB9y5ac=")</f>
        <v>#VALUE!</v>
      </c>
      <c r="FM36" t="e">
        <f>AND(Answers!BE107,"AAAAAB9y5ag=")</f>
        <v>#VALUE!</v>
      </c>
      <c r="FN36" t="e">
        <f>AND(Answers!BF107,"AAAAAB9y5ak=")</f>
        <v>#VALUE!</v>
      </c>
      <c r="FO36" t="e">
        <f>AND(Answers!BG107,"AAAAAB9y5ao=")</f>
        <v>#VALUE!</v>
      </c>
      <c r="FP36" t="e">
        <f>AND(Answers!BH107,"AAAAAB9y5as=")</f>
        <v>#VALUE!</v>
      </c>
      <c r="FQ36" t="e">
        <f>AND(Answers!BI107,"AAAAAB9y5aw=")</f>
        <v>#VALUE!</v>
      </c>
      <c r="FR36" t="e">
        <f>AND(Answers!BK107,"AAAAAB9y5a0=")</f>
        <v>#VALUE!</v>
      </c>
      <c r="FS36" t="e">
        <f>AND(Answers!BL107,"AAAAAB9y5a4=")</f>
        <v>#VALUE!</v>
      </c>
      <c r="FT36" t="e">
        <f>AND(Answers!BM107,"AAAAAB9y5a8=")</f>
        <v>#VALUE!</v>
      </c>
      <c r="FU36" t="e">
        <f>AND(Answers!BN107,"AAAAAB9y5bA=")</f>
        <v>#VALUE!</v>
      </c>
      <c r="FV36" t="e">
        <f>AND(Answers!BO107,"AAAAAB9y5bE=")</f>
        <v>#VALUE!</v>
      </c>
      <c r="FW36" t="e">
        <f>AND(Answers!BP107,"AAAAAB9y5bI=")</f>
        <v>#VALUE!</v>
      </c>
      <c r="FX36" t="e">
        <f>AND(Answers!BQ107,"AAAAAB9y5bM=")</f>
        <v>#VALUE!</v>
      </c>
      <c r="FY36" t="e">
        <f>AND(Answers!BR107,"AAAAAB9y5bQ=")</f>
        <v>#VALUE!</v>
      </c>
      <c r="FZ36" t="e">
        <f>AND(Answers!BS107,"AAAAAB9y5bU=")</f>
        <v>#VALUE!</v>
      </c>
      <c r="GA36" t="e">
        <f>AND(Answers!BU107,"AAAAAB9y5bY=")</f>
        <v>#VALUE!</v>
      </c>
      <c r="GB36" t="e">
        <f>AND(Answers!BV107,"AAAAAB9y5bc=")</f>
        <v>#VALUE!</v>
      </c>
      <c r="GC36" t="e">
        <f>AND(Answers!#REF!,"AAAAAB9y5bg=")</f>
        <v>#REF!</v>
      </c>
      <c r="GD36" t="e">
        <f>AND(Answers!BW107,"AAAAAB9y5bk=")</f>
        <v>#VALUE!</v>
      </c>
      <c r="GE36" t="e">
        <f>AND(Answers!BX107,"AAAAAB9y5bo=")</f>
        <v>#VALUE!</v>
      </c>
      <c r="GF36" t="e">
        <f>AND(Answers!BY107,"AAAAAB9y5bs=")</f>
        <v>#VALUE!</v>
      </c>
      <c r="GG36" t="e">
        <f>AND(Answers!BZ107,"AAAAAB9y5bw=")</f>
        <v>#VALUE!</v>
      </c>
      <c r="GH36">
        <f>IF(Answers!108:108,"AAAAAB9y5b0=",0)</f>
        <v>0</v>
      </c>
      <c r="GI36" t="e">
        <f>AND(Answers!A108,"AAAAAB9y5b4=")</f>
        <v>#VALUE!</v>
      </c>
      <c r="GJ36" t="e">
        <f>AND(Answers!B108,"AAAAAB9y5b8=")</f>
        <v>#VALUE!</v>
      </c>
      <c r="GK36" t="e">
        <f>AND(Answers!C108,"AAAAAB9y5cA=")</f>
        <v>#VALUE!</v>
      </c>
      <c r="GL36" t="e">
        <f>AND(Answers!D108,"AAAAAB9y5cE=")</f>
        <v>#VALUE!</v>
      </c>
      <c r="GM36" t="e">
        <f>AND(Answers!E108,"AAAAAB9y5cI=")</f>
        <v>#VALUE!</v>
      </c>
      <c r="GN36" t="e">
        <f>AND(Answers!F108,"AAAAAB9y5cM=")</f>
        <v>#VALUE!</v>
      </c>
      <c r="GO36" t="e">
        <f>AND(Answers!G108,"AAAAAB9y5cQ=")</f>
        <v>#VALUE!</v>
      </c>
      <c r="GP36" t="e">
        <f>AND(Answers!H108,"AAAAAB9y5cU=")</f>
        <v>#VALUE!</v>
      </c>
      <c r="GQ36" t="e">
        <f>AND(Answers!J108,"AAAAAB9y5cY=")</f>
        <v>#VALUE!</v>
      </c>
      <c r="GR36" t="e">
        <f>AND(Answers!K108,"AAAAAB9y5cc=")</f>
        <v>#VALUE!</v>
      </c>
      <c r="GS36" t="e">
        <f>AND(Answers!L108,"AAAAAB9y5cg=")</f>
        <v>#VALUE!</v>
      </c>
      <c r="GT36" t="e">
        <f>AND(Answers!M108,"AAAAAB9y5ck=")</f>
        <v>#VALUE!</v>
      </c>
      <c r="GU36" t="e">
        <f>AND(Answers!N108,"AAAAAB9y5co=")</f>
        <v>#VALUE!</v>
      </c>
      <c r="GV36" t="e">
        <f>AND(Answers!O108,"AAAAAB9y5cs=")</f>
        <v>#VALUE!</v>
      </c>
      <c r="GW36" t="e">
        <f>AND(Answers!P108,"AAAAAB9y5cw=")</f>
        <v>#VALUE!</v>
      </c>
      <c r="GX36" t="e">
        <f>AND(Answers!Q108,"AAAAAB9y5c0=")</f>
        <v>#VALUE!</v>
      </c>
      <c r="GY36" t="e">
        <f>AND(Answers!R108,"AAAAAB9y5c4=")</f>
        <v>#VALUE!</v>
      </c>
      <c r="GZ36" t="e">
        <f>AND(Answers!S108,"AAAAAB9y5c8=")</f>
        <v>#VALUE!</v>
      </c>
      <c r="HA36" t="e">
        <f>AND(Answers!T108,"AAAAAB9y5dA=")</f>
        <v>#VALUE!</v>
      </c>
      <c r="HB36" t="e">
        <f>AND(Answers!U108,"AAAAAB9y5dE=")</f>
        <v>#VALUE!</v>
      </c>
      <c r="HC36" t="e">
        <f>AND(Answers!V108,"AAAAAB9y5dI=")</f>
        <v>#VALUE!</v>
      </c>
      <c r="HD36" t="e">
        <f>AND(Answers!X108,"AAAAAB9y5dM=")</f>
        <v>#VALUE!</v>
      </c>
      <c r="HE36" t="e">
        <f>AND(Answers!Y108,"AAAAAB9y5dQ=")</f>
        <v>#VALUE!</v>
      </c>
      <c r="HF36" t="e">
        <f>AND(Answers!Z108,"AAAAAB9y5dU=")</f>
        <v>#VALUE!</v>
      </c>
      <c r="HG36" t="e">
        <f>AND(Answers!AA108,"AAAAAB9y5dY=")</f>
        <v>#VALUE!</v>
      </c>
      <c r="HH36" t="e">
        <f>AND(Answers!AB108,"AAAAAB9y5dc=")</f>
        <v>#VALUE!</v>
      </c>
      <c r="HI36" t="e">
        <f>AND(Answers!AC108,"AAAAAB9y5dg=")</f>
        <v>#VALUE!</v>
      </c>
      <c r="HJ36" t="e">
        <f>AND(Answers!AD108,"AAAAAB9y5dk=")</f>
        <v>#VALUE!</v>
      </c>
      <c r="HK36" t="e">
        <f>AND(Answers!AE108,"AAAAAB9y5do=")</f>
        <v>#VALUE!</v>
      </c>
      <c r="HL36" t="e">
        <f>AND(Answers!AF108,"AAAAAB9y5ds=")</f>
        <v>#VALUE!</v>
      </c>
      <c r="HM36" t="e">
        <f>AND(Answers!AH108,"AAAAAB9y5dw=")</f>
        <v>#VALUE!</v>
      </c>
      <c r="HN36" t="e">
        <f>AND(Answers!AI108,"AAAAAB9y5d0=")</f>
        <v>#VALUE!</v>
      </c>
      <c r="HO36" t="e">
        <f>AND(Answers!AK108,"AAAAAB9y5d4=")</f>
        <v>#VALUE!</v>
      </c>
      <c r="HP36" t="e">
        <f>AND(Answers!#REF!,"AAAAAB9y5d8=")</f>
        <v>#REF!</v>
      </c>
      <c r="HQ36" t="e">
        <f>AND(Answers!AR108,"AAAAAB9y5eA=")</f>
        <v>#VALUE!</v>
      </c>
      <c r="HR36" t="e">
        <f>AND(Answers!AS108,"AAAAAB9y5eE=")</f>
        <v>#VALUE!</v>
      </c>
      <c r="HS36" t="e">
        <f>AND(Answers!AT108,"AAAAAB9y5eI=")</f>
        <v>#VALUE!</v>
      </c>
      <c r="HT36" t="e">
        <f>AND(Answers!AU108,"AAAAAB9y5eM=")</f>
        <v>#VALUE!</v>
      </c>
      <c r="HU36" t="e">
        <f>AND(Answers!AW108,"AAAAAB9y5eQ=")</f>
        <v>#VALUE!</v>
      </c>
      <c r="HV36" t="e">
        <f>AND(Answers!AX108,"AAAAAB9y5eU=")</f>
        <v>#VALUE!</v>
      </c>
      <c r="HW36" t="e">
        <f>AND(Answers!AY108,"AAAAAB9y5eY=")</f>
        <v>#VALUE!</v>
      </c>
      <c r="HX36" t="e">
        <f>AND(Answers!AZ108,"AAAAAB9y5ec=")</f>
        <v>#VALUE!</v>
      </c>
      <c r="HY36" t="e">
        <f>AND(Answers!BA108,"AAAAAB9y5eg=")</f>
        <v>#VALUE!</v>
      </c>
      <c r="HZ36" t="e">
        <f>AND(Answers!BB108,"AAAAAB9y5ek=")</f>
        <v>#VALUE!</v>
      </c>
      <c r="IA36" t="e">
        <f>AND(Answers!BC108,"AAAAAB9y5eo=")</f>
        <v>#VALUE!</v>
      </c>
      <c r="IB36" t="e">
        <f>AND(Answers!BD108,"AAAAAB9y5es=")</f>
        <v>#VALUE!</v>
      </c>
      <c r="IC36" t="e">
        <f>AND(Answers!BE108,"AAAAAB9y5ew=")</f>
        <v>#VALUE!</v>
      </c>
      <c r="ID36" t="e">
        <f>AND(Answers!BF108,"AAAAAB9y5e0=")</f>
        <v>#VALUE!</v>
      </c>
      <c r="IE36" t="e">
        <f>AND(Answers!BG108,"AAAAAB9y5e4=")</f>
        <v>#VALUE!</v>
      </c>
      <c r="IF36" t="e">
        <f>AND(Answers!BH108,"AAAAAB9y5e8=")</f>
        <v>#VALUE!</v>
      </c>
      <c r="IG36" t="e">
        <f>AND(Answers!BI108,"AAAAAB9y5fA=")</f>
        <v>#VALUE!</v>
      </c>
      <c r="IH36" t="e">
        <f>AND(Answers!BK108,"AAAAAB9y5fE=")</f>
        <v>#VALUE!</v>
      </c>
      <c r="II36" t="e">
        <f>AND(Answers!BL108,"AAAAAB9y5fI=")</f>
        <v>#VALUE!</v>
      </c>
      <c r="IJ36" t="e">
        <f>AND(Answers!BM108,"AAAAAB9y5fM=")</f>
        <v>#VALUE!</v>
      </c>
      <c r="IK36" t="e">
        <f>AND(Answers!BN108,"AAAAAB9y5fQ=")</f>
        <v>#VALUE!</v>
      </c>
      <c r="IL36" t="e">
        <f>AND(Answers!BO108,"AAAAAB9y5fU=")</f>
        <v>#VALUE!</v>
      </c>
      <c r="IM36" t="e">
        <f>AND(Answers!BP108,"AAAAAB9y5fY=")</f>
        <v>#VALUE!</v>
      </c>
      <c r="IN36" t="e">
        <f>AND(Answers!BQ108,"AAAAAB9y5fc=")</f>
        <v>#VALUE!</v>
      </c>
      <c r="IO36" t="e">
        <f>AND(Answers!BR108,"AAAAAB9y5fg=")</f>
        <v>#VALUE!</v>
      </c>
      <c r="IP36" t="e">
        <f>AND(Answers!BS108,"AAAAAB9y5fk=")</f>
        <v>#VALUE!</v>
      </c>
      <c r="IQ36" t="e">
        <f>AND(Answers!BU108,"AAAAAB9y5fo=")</f>
        <v>#VALUE!</v>
      </c>
      <c r="IR36" t="e">
        <f>AND(Answers!BV108,"AAAAAB9y5fs=")</f>
        <v>#VALUE!</v>
      </c>
      <c r="IS36" t="e">
        <f>AND(Answers!#REF!,"AAAAAB9y5fw=")</f>
        <v>#REF!</v>
      </c>
      <c r="IT36" t="e">
        <f>AND(Answers!BW108,"AAAAAB9y5f0=")</f>
        <v>#VALUE!</v>
      </c>
      <c r="IU36" t="e">
        <f>AND(Answers!BX108,"AAAAAB9y5f4=")</f>
        <v>#VALUE!</v>
      </c>
      <c r="IV36" t="e">
        <f>AND(Answers!BY108,"AAAAAB9y5f8=")</f>
        <v>#VALUE!</v>
      </c>
    </row>
    <row r="37" spans="1:256" x14ac:dyDescent="0.15">
      <c r="A37" t="e">
        <f>AND(Answers!BZ108,"AAAAAG/v2AA=")</f>
        <v>#VALUE!</v>
      </c>
      <c r="B37">
        <f>IF(Answers!109:109,"AAAAAG/v2AE=",0)</f>
        <v>0</v>
      </c>
      <c r="C37" t="e">
        <f>AND(Answers!A109,"AAAAAG/v2AI=")</f>
        <v>#VALUE!</v>
      </c>
      <c r="D37" t="e">
        <f>AND(Answers!B109,"AAAAAG/v2AM=")</f>
        <v>#VALUE!</v>
      </c>
      <c r="E37" t="e">
        <f>AND(Answers!C109,"AAAAAG/v2AQ=")</f>
        <v>#VALUE!</v>
      </c>
      <c r="F37" t="e">
        <f>AND(Answers!D109,"AAAAAG/v2AU=")</f>
        <v>#VALUE!</v>
      </c>
      <c r="G37" t="e">
        <f>AND(Answers!E109,"AAAAAG/v2AY=")</f>
        <v>#VALUE!</v>
      </c>
      <c r="H37" t="e">
        <f>AND(Answers!F109,"AAAAAG/v2Ac=")</f>
        <v>#VALUE!</v>
      </c>
      <c r="I37" t="e">
        <f>AND(Answers!G109,"AAAAAG/v2Ag=")</f>
        <v>#VALUE!</v>
      </c>
      <c r="J37" t="e">
        <f>AND(Answers!H109,"AAAAAG/v2Ak=")</f>
        <v>#VALUE!</v>
      </c>
      <c r="K37" t="e">
        <f>AND(Answers!J109,"AAAAAG/v2Ao=")</f>
        <v>#VALUE!</v>
      </c>
      <c r="L37" t="e">
        <f>AND(Answers!K109,"AAAAAG/v2As=")</f>
        <v>#VALUE!</v>
      </c>
      <c r="M37" t="e">
        <f>AND(Answers!L109,"AAAAAG/v2Aw=")</f>
        <v>#VALUE!</v>
      </c>
      <c r="N37" t="e">
        <f>AND(Answers!M109,"AAAAAG/v2A0=")</f>
        <v>#VALUE!</v>
      </c>
      <c r="O37" t="e">
        <f>AND(Answers!N109,"AAAAAG/v2A4=")</f>
        <v>#VALUE!</v>
      </c>
      <c r="P37" t="e">
        <f>AND(Answers!O109,"AAAAAG/v2A8=")</f>
        <v>#VALUE!</v>
      </c>
      <c r="Q37" t="e">
        <f>AND(Answers!P109,"AAAAAG/v2BA=")</f>
        <v>#VALUE!</v>
      </c>
      <c r="R37" t="e">
        <f>AND(Answers!Q109,"AAAAAG/v2BE=")</f>
        <v>#VALUE!</v>
      </c>
      <c r="S37" t="e">
        <f>AND(Answers!R109,"AAAAAG/v2BI=")</f>
        <v>#VALUE!</v>
      </c>
      <c r="T37" t="e">
        <f>AND(Answers!S109,"AAAAAG/v2BM=")</f>
        <v>#VALUE!</v>
      </c>
      <c r="U37" t="e">
        <f>AND(Answers!T109,"AAAAAG/v2BQ=")</f>
        <v>#VALUE!</v>
      </c>
      <c r="V37" t="e">
        <f>AND(Answers!U109,"AAAAAG/v2BU=")</f>
        <v>#VALUE!</v>
      </c>
      <c r="W37" t="e">
        <f>AND(Answers!V109,"AAAAAG/v2BY=")</f>
        <v>#VALUE!</v>
      </c>
      <c r="X37" t="e">
        <f>AND(Answers!X109,"AAAAAG/v2Bc=")</f>
        <v>#VALUE!</v>
      </c>
      <c r="Y37" t="e">
        <f>AND(Answers!Y109,"AAAAAG/v2Bg=")</f>
        <v>#VALUE!</v>
      </c>
      <c r="Z37" t="e">
        <f>AND(Answers!Z109,"AAAAAG/v2Bk=")</f>
        <v>#VALUE!</v>
      </c>
      <c r="AA37" t="e">
        <f>AND(Answers!AA109,"AAAAAG/v2Bo=")</f>
        <v>#VALUE!</v>
      </c>
      <c r="AB37" t="e">
        <f>AND(Answers!AB109,"AAAAAG/v2Bs=")</f>
        <v>#VALUE!</v>
      </c>
      <c r="AC37" t="e">
        <f>AND(Answers!AC109,"AAAAAG/v2Bw=")</f>
        <v>#VALUE!</v>
      </c>
      <c r="AD37" t="e">
        <f>AND(Answers!AD109,"AAAAAG/v2B0=")</f>
        <v>#VALUE!</v>
      </c>
      <c r="AE37" t="e">
        <f>AND(Answers!AE109,"AAAAAG/v2B4=")</f>
        <v>#VALUE!</v>
      </c>
      <c r="AF37" t="e">
        <f>AND(Answers!AF109,"AAAAAG/v2B8=")</f>
        <v>#VALUE!</v>
      </c>
      <c r="AG37" t="e">
        <f>AND(Answers!AH109,"AAAAAG/v2CA=")</f>
        <v>#VALUE!</v>
      </c>
      <c r="AH37" t="e">
        <f>AND(Answers!AI109,"AAAAAG/v2CE=")</f>
        <v>#VALUE!</v>
      </c>
      <c r="AI37" t="e">
        <f>AND(Answers!AK109,"AAAAAG/v2CI=")</f>
        <v>#VALUE!</v>
      </c>
      <c r="AJ37" t="e">
        <f>AND(Answers!#REF!,"AAAAAG/v2CM=")</f>
        <v>#REF!</v>
      </c>
      <c r="AK37" t="e">
        <f>AND(Answers!AR109,"AAAAAG/v2CQ=")</f>
        <v>#VALUE!</v>
      </c>
      <c r="AL37" t="e">
        <f>AND(Answers!AS109,"AAAAAG/v2CU=")</f>
        <v>#VALUE!</v>
      </c>
      <c r="AM37" t="e">
        <f>AND(Answers!AT109,"AAAAAG/v2CY=")</f>
        <v>#VALUE!</v>
      </c>
      <c r="AN37" t="e">
        <f>AND(Answers!AU109,"AAAAAG/v2Cc=")</f>
        <v>#VALUE!</v>
      </c>
      <c r="AO37" t="e">
        <f>AND(Answers!AW109,"AAAAAG/v2Cg=")</f>
        <v>#VALUE!</v>
      </c>
      <c r="AP37" t="e">
        <f>AND(Answers!AX109,"AAAAAG/v2Ck=")</f>
        <v>#VALUE!</v>
      </c>
      <c r="AQ37" t="e">
        <f>AND(Answers!AY109,"AAAAAG/v2Co=")</f>
        <v>#VALUE!</v>
      </c>
      <c r="AR37" t="e">
        <f>AND(Answers!AZ109,"AAAAAG/v2Cs=")</f>
        <v>#VALUE!</v>
      </c>
      <c r="AS37" t="e">
        <f>AND(Answers!BA109,"AAAAAG/v2Cw=")</f>
        <v>#VALUE!</v>
      </c>
      <c r="AT37" t="e">
        <f>AND(Answers!BB109,"AAAAAG/v2C0=")</f>
        <v>#VALUE!</v>
      </c>
      <c r="AU37" t="e">
        <f>AND(Answers!BC109,"AAAAAG/v2C4=")</f>
        <v>#VALUE!</v>
      </c>
      <c r="AV37" t="e">
        <f>AND(Answers!BD109,"AAAAAG/v2C8=")</f>
        <v>#VALUE!</v>
      </c>
      <c r="AW37" t="e">
        <f>AND(Answers!BE109,"AAAAAG/v2DA=")</f>
        <v>#VALUE!</v>
      </c>
      <c r="AX37" t="e">
        <f>AND(Answers!BF109,"AAAAAG/v2DE=")</f>
        <v>#VALUE!</v>
      </c>
      <c r="AY37" t="e">
        <f>AND(Answers!BG109,"AAAAAG/v2DI=")</f>
        <v>#VALUE!</v>
      </c>
      <c r="AZ37" t="e">
        <f>AND(Answers!BH109,"AAAAAG/v2DM=")</f>
        <v>#VALUE!</v>
      </c>
      <c r="BA37" t="e">
        <f>AND(Answers!BI109,"AAAAAG/v2DQ=")</f>
        <v>#VALUE!</v>
      </c>
      <c r="BB37" t="e">
        <f>AND(Answers!BK109,"AAAAAG/v2DU=")</f>
        <v>#VALUE!</v>
      </c>
      <c r="BC37" t="e">
        <f>AND(Answers!BL109,"AAAAAG/v2DY=")</f>
        <v>#VALUE!</v>
      </c>
      <c r="BD37" t="e">
        <f>AND(Answers!BM109,"AAAAAG/v2Dc=")</f>
        <v>#VALUE!</v>
      </c>
      <c r="BE37" t="e">
        <f>AND(Answers!BN109,"AAAAAG/v2Dg=")</f>
        <v>#VALUE!</v>
      </c>
      <c r="BF37" t="e">
        <f>AND(Answers!BO109,"AAAAAG/v2Dk=")</f>
        <v>#VALUE!</v>
      </c>
      <c r="BG37" t="e">
        <f>AND(Answers!BP109,"AAAAAG/v2Do=")</f>
        <v>#VALUE!</v>
      </c>
      <c r="BH37" t="e">
        <f>AND(Answers!BQ109,"AAAAAG/v2Ds=")</f>
        <v>#VALUE!</v>
      </c>
      <c r="BI37" t="e">
        <f>AND(Answers!BR109,"AAAAAG/v2Dw=")</f>
        <v>#VALUE!</v>
      </c>
      <c r="BJ37" t="e">
        <f>AND(Answers!BS109,"AAAAAG/v2D0=")</f>
        <v>#VALUE!</v>
      </c>
      <c r="BK37" t="e">
        <f>AND(Answers!BU109,"AAAAAG/v2D4=")</f>
        <v>#VALUE!</v>
      </c>
      <c r="BL37" t="e">
        <f>AND(Answers!BV109,"AAAAAG/v2D8=")</f>
        <v>#VALUE!</v>
      </c>
      <c r="BM37" t="e">
        <f>AND(Answers!#REF!,"AAAAAG/v2EA=")</f>
        <v>#REF!</v>
      </c>
      <c r="BN37" t="e">
        <f>AND(Answers!BW109,"AAAAAG/v2EE=")</f>
        <v>#VALUE!</v>
      </c>
      <c r="BO37" t="e">
        <f>AND(Answers!BX109,"AAAAAG/v2EI=")</f>
        <v>#VALUE!</v>
      </c>
      <c r="BP37" t="e">
        <f>AND(Answers!BY109,"AAAAAG/v2EM=")</f>
        <v>#VALUE!</v>
      </c>
      <c r="BQ37" t="e">
        <f>AND(Answers!BZ109,"AAAAAG/v2EQ=")</f>
        <v>#VALUE!</v>
      </c>
      <c r="BR37">
        <f>IF(Answers!110:110,"AAAAAG/v2EU=",0)</f>
        <v>0</v>
      </c>
      <c r="BS37" t="e">
        <f>AND(Answers!A110,"AAAAAG/v2EY=")</f>
        <v>#VALUE!</v>
      </c>
      <c r="BT37" t="e">
        <f>AND(Answers!B110,"AAAAAG/v2Ec=")</f>
        <v>#VALUE!</v>
      </c>
      <c r="BU37" t="e">
        <f>AND(Answers!C110,"AAAAAG/v2Eg=")</f>
        <v>#VALUE!</v>
      </c>
      <c r="BV37" t="e">
        <f>AND(Answers!D110,"AAAAAG/v2Ek=")</f>
        <v>#VALUE!</v>
      </c>
      <c r="BW37" t="e">
        <f>AND(Answers!E110,"AAAAAG/v2Eo=")</f>
        <v>#VALUE!</v>
      </c>
      <c r="BX37" t="e">
        <f>AND(Answers!F110,"AAAAAG/v2Es=")</f>
        <v>#VALUE!</v>
      </c>
      <c r="BY37" t="e">
        <f>AND(Answers!G110,"AAAAAG/v2Ew=")</f>
        <v>#VALUE!</v>
      </c>
      <c r="BZ37" t="e">
        <f>AND(Answers!H110,"AAAAAG/v2E0=")</f>
        <v>#VALUE!</v>
      </c>
      <c r="CA37" t="e">
        <f>AND(Answers!J110,"AAAAAG/v2E4=")</f>
        <v>#VALUE!</v>
      </c>
      <c r="CB37" t="e">
        <f>AND(Answers!K110,"AAAAAG/v2E8=")</f>
        <v>#VALUE!</v>
      </c>
      <c r="CC37" t="e">
        <f>AND(Answers!L110,"AAAAAG/v2FA=")</f>
        <v>#VALUE!</v>
      </c>
      <c r="CD37" t="e">
        <f>AND(Answers!M110,"AAAAAG/v2FE=")</f>
        <v>#VALUE!</v>
      </c>
      <c r="CE37" t="e">
        <f>AND(Answers!N110,"AAAAAG/v2FI=")</f>
        <v>#VALUE!</v>
      </c>
      <c r="CF37" t="e">
        <f>AND(Answers!O110,"AAAAAG/v2FM=")</f>
        <v>#VALUE!</v>
      </c>
      <c r="CG37" t="e">
        <f>AND(Answers!P110,"AAAAAG/v2FQ=")</f>
        <v>#VALUE!</v>
      </c>
      <c r="CH37" t="e">
        <f>AND(Answers!Q110,"AAAAAG/v2FU=")</f>
        <v>#VALUE!</v>
      </c>
      <c r="CI37" t="e">
        <f>AND(Answers!R110,"AAAAAG/v2FY=")</f>
        <v>#VALUE!</v>
      </c>
      <c r="CJ37" t="e">
        <f>AND(Answers!S110,"AAAAAG/v2Fc=")</f>
        <v>#VALUE!</v>
      </c>
      <c r="CK37" t="e">
        <f>AND(Answers!T110,"AAAAAG/v2Fg=")</f>
        <v>#VALUE!</v>
      </c>
      <c r="CL37" t="e">
        <f>AND(Answers!U110,"AAAAAG/v2Fk=")</f>
        <v>#VALUE!</v>
      </c>
      <c r="CM37" t="e">
        <f>AND(Answers!V110,"AAAAAG/v2Fo=")</f>
        <v>#VALUE!</v>
      </c>
      <c r="CN37" t="e">
        <f>AND(Answers!X110,"AAAAAG/v2Fs=")</f>
        <v>#VALUE!</v>
      </c>
      <c r="CO37" t="e">
        <f>AND(Answers!Y110,"AAAAAG/v2Fw=")</f>
        <v>#VALUE!</v>
      </c>
      <c r="CP37" t="e">
        <f>AND(Answers!Z110,"AAAAAG/v2F0=")</f>
        <v>#VALUE!</v>
      </c>
      <c r="CQ37" t="e">
        <f>AND(Answers!AA110,"AAAAAG/v2F4=")</f>
        <v>#VALUE!</v>
      </c>
      <c r="CR37" t="e">
        <f>AND(Answers!AB110,"AAAAAG/v2F8=")</f>
        <v>#VALUE!</v>
      </c>
      <c r="CS37" t="e">
        <f>AND(Answers!AC110,"AAAAAG/v2GA=")</f>
        <v>#VALUE!</v>
      </c>
      <c r="CT37" t="e">
        <f>AND(Answers!AD110,"AAAAAG/v2GE=")</f>
        <v>#VALUE!</v>
      </c>
      <c r="CU37" t="e">
        <f>AND(Answers!AE110,"AAAAAG/v2GI=")</f>
        <v>#VALUE!</v>
      </c>
      <c r="CV37" t="e">
        <f>AND(Answers!AF110,"AAAAAG/v2GM=")</f>
        <v>#VALUE!</v>
      </c>
      <c r="CW37" t="e">
        <f>AND(Answers!AH110,"AAAAAG/v2GQ=")</f>
        <v>#VALUE!</v>
      </c>
      <c r="CX37" t="e">
        <f>AND(Answers!AI110,"AAAAAG/v2GU=")</f>
        <v>#VALUE!</v>
      </c>
      <c r="CY37" t="e">
        <f>AND(Answers!AK110,"AAAAAG/v2GY=")</f>
        <v>#VALUE!</v>
      </c>
      <c r="CZ37" t="e">
        <f>AND(Answers!#REF!,"AAAAAG/v2Gc=")</f>
        <v>#REF!</v>
      </c>
      <c r="DA37" t="e">
        <f>AND(Answers!AR110,"AAAAAG/v2Gg=")</f>
        <v>#VALUE!</v>
      </c>
      <c r="DB37" t="e">
        <f>AND(Answers!AS110,"AAAAAG/v2Gk=")</f>
        <v>#VALUE!</v>
      </c>
      <c r="DC37" t="e">
        <f>AND(Answers!AT110,"AAAAAG/v2Go=")</f>
        <v>#VALUE!</v>
      </c>
      <c r="DD37" t="e">
        <f>AND(Answers!AU110,"AAAAAG/v2Gs=")</f>
        <v>#VALUE!</v>
      </c>
      <c r="DE37" t="e">
        <f>AND(Answers!AW110,"AAAAAG/v2Gw=")</f>
        <v>#VALUE!</v>
      </c>
      <c r="DF37" t="e">
        <f>AND(Answers!AX110,"AAAAAG/v2G0=")</f>
        <v>#VALUE!</v>
      </c>
      <c r="DG37" t="e">
        <f>AND(Answers!AY110,"AAAAAG/v2G4=")</f>
        <v>#VALUE!</v>
      </c>
      <c r="DH37" t="e">
        <f>AND(Answers!AZ110,"AAAAAG/v2G8=")</f>
        <v>#VALUE!</v>
      </c>
      <c r="DI37" t="e">
        <f>AND(Answers!BA110,"AAAAAG/v2HA=")</f>
        <v>#VALUE!</v>
      </c>
      <c r="DJ37" t="e">
        <f>AND(Answers!BB110,"AAAAAG/v2HE=")</f>
        <v>#VALUE!</v>
      </c>
      <c r="DK37" t="e">
        <f>AND(Answers!BC110,"AAAAAG/v2HI=")</f>
        <v>#VALUE!</v>
      </c>
      <c r="DL37" t="e">
        <f>AND(Answers!BD110,"AAAAAG/v2HM=")</f>
        <v>#VALUE!</v>
      </c>
      <c r="DM37" t="e">
        <f>AND(Answers!BE110,"AAAAAG/v2HQ=")</f>
        <v>#VALUE!</v>
      </c>
      <c r="DN37" t="e">
        <f>AND(Answers!BF110,"AAAAAG/v2HU=")</f>
        <v>#VALUE!</v>
      </c>
      <c r="DO37" t="e">
        <f>AND(Answers!BG110,"AAAAAG/v2HY=")</f>
        <v>#VALUE!</v>
      </c>
      <c r="DP37" t="e">
        <f>AND(Answers!BH110,"AAAAAG/v2Hc=")</f>
        <v>#VALUE!</v>
      </c>
      <c r="DQ37" t="e">
        <f>AND(Answers!BI110,"AAAAAG/v2Hg=")</f>
        <v>#VALUE!</v>
      </c>
      <c r="DR37" t="e">
        <f>AND(Answers!BK110,"AAAAAG/v2Hk=")</f>
        <v>#VALUE!</v>
      </c>
      <c r="DS37" t="e">
        <f>AND(Answers!BL110,"AAAAAG/v2Ho=")</f>
        <v>#VALUE!</v>
      </c>
      <c r="DT37" t="e">
        <f>AND(Answers!BM110,"AAAAAG/v2Hs=")</f>
        <v>#VALUE!</v>
      </c>
      <c r="DU37" t="e">
        <f>AND(Answers!BN110,"AAAAAG/v2Hw=")</f>
        <v>#VALUE!</v>
      </c>
      <c r="DV37" t="e">
        <f>AND(Answers!BO110,"AAAAAG/v2H0=")</f>
        <v>#VALUE!</v>
      </c>
      <c r="DW37" t="e">
        <f>AND(Answers!BP110,"AAAAAG/v2H4=")</f>
        <v>#VALUE!</v>
      </c>
      <c r="DX37" t="e">
        <f>AND(Answers!BQ110,"AAAAAG/v2H8=")</f>
        <v>#VALUE!</v>
      </c>
      <c r="DY37" t="e">
        <f>AND(Answers!BR110,"AAAAAG/v2IA=")</f>
        <v>#VALUE!</v>
      </c>
      <c r="DZ37" t="e">
        <f>AND(Answers!BS110,"AAAAAG/v2IE=")</f>
        <v>#VALUE!</v>
      </c>
      <c r="EA37" t="e">
        <f>AND(Answers!BU110,"AAAAAG/v2II=")</f>
        <v>#VALUE!</v>
      </c>
      <c r="EB37" t="e">
        <f>AND(Answers!BV110,"AAAAAG/v2IM=")</f>
        <v>#VALUE!</v>
      </c>
      <c r="EC37" t="e">
        <f>AND(Answers!#REF!,"AAAAAG/v2IQ=")</f>
        <v>#REF!</v>
      </c>
      <c r="ED37" t="e">
        <f>AND(Answers!BW110,"AAAAAG/v2IU=")</f>
        <v>#VALUE!</v>
      </c>
      <c r="EE37" t="e">
        <f>AND(Answers!BX110,"AAAAAG/v2IY=")</f>
        <v>#VALUE!</v>
      </c>
      <c r="EF37" t="e">
        <f>AND(Answers!BY110,"AAAAAG/v2Ic=")</f>
        <v>#VALUE!</v>
      </c>
      <c r="EG37" t="e">
        <f>AND(Answers!BZ110,"AAAAAG/v2Ig=")</f>
        <v>#VALUE!</v>
      </c>
      <c r="EH37">
        <f>IF(Answers!111:111,"AAAAAG/v2Ik=",0)</f>
        <v>0</v>
      </c>
      <c r="EI37" t="e">
        <f>AND(Answers!A111,"AAAAAG/v2Io=")</f>
        <v>#VALUE!</v>
      </c>
      <c r="EJ37" t="e">
        <f>AND(Answers!B111,"AAAAAG/v2Is=")</f>
        <v>#VALUE!</v>
      </c>
      <c r="EK37" t="e">
        <f>AND(Answers!C111,"AAAAAG/v2Iw=")</f>
        <v>#VALUE!</v>
      </c>
      <c r="EL37" t="e">
        <f>AND(Answers!D111,"AAAAAG/v2I0=")</f>
        <v>#VALUE!</v>
      </c>
      <c r="EM37" t="e">
        <f>AND(Answers!E111,"AAAAAG/v2I4=")</f>
        <v>#VALUE!</v>
      </c>
      <c r="EN37" t="e">
        <f>AND(Answers!F111,"AAAAAG/v2I8=")</f>
        <v>#VALUE!</v>
      </c>
      <c r="EO37" t="e">
        <f>AND(Answers!G111,"AAAAAG/v2JA=")</f>
        <v>#VALUE!</v>
      </c>
      <c r="EP37" t="e">
        <f>AND(Answers!H111,"AAAAAG/v2JE=")</f>
        <v>#VALUE!</v>
      </c>
      <c r="EQ37" t="e">
        <f>AND(Answers!J111,"AAAAAG/v2JI=")</f>
        <v>#VALUE!</v>
      </c>
      <c r="ER37" t="e">
        <f>AND(Answers!K111,"AAAAAG/v2JM=")</f>
        <v>#VALUE!</v>
      </c>
      <c r="ES37" t="e">
        <f>AND(Answers!L111,"AAAAAG/v2JQ=")</f>
        <v>#VALUE!</v>
      </c>
      <c r="ET37" t="e">
        <f>AND(Answers!M111,"AAAAAG/v2JU=")</f>
        <v>#VALUE!</v>
      </c>
      <c r="EU37" t="e">
        <f>AND(Answers!N111,"AAAAAG/v2JY=")</f>
        <v>#VALUE!</v>
      </c>
      <c r="EV37" t="e">
        <f>AND(Answers!O111,"AAAAAG/v2Jc=")</f>
        <v>#VALUE!</v>
      </c>
      <c r="EW37" t="e">
        <f>AND(Answers!P111,"AAAAAG/v2Jg=")</f>
        <v>#VALUE!</v>
      </c>
      <c r="EX37" t="e">
        <f>AND(Answers!Q111,"AAAAAG/v2Jk=")</f>
        <v>#VALUE!</v>
      </c>
      <c r="EY37" t="e">
        <f>AND(Answers!R111,"AAAAAG/v2Jo=")</f>
        <v>#VALUE!</v>
      </c>
      <c r="EZ37" t="e">
        <f>AND(Answers!S111,"AAAAAG/v2Js=")</f>
        <v>#VALUE!</v>
      </c>
      <c r="FA37" t="e">
        <f>AND(Answers!T111,"AAAAAG/v2Jw=")</f>
        <v>#VALUE!</v>
      </c>
      <c r="FB37" t="e">
        <f>AND(Answers!U111,"AAAAAG/v2J0=")</f>
        <v>#VALUE!</v>
      </c>
      <c r="FC37" t="e">
        <f>AND(Answers!V111,"AAAAAG/v2J4=")</f>
        <v>#VALUE!</v>
      </c>
      <c r="FD37" t="e">
        <f>AND(Answers!X111,"AAAAAG/v2J8=")</f>
        <v>#VALUE!</v>
      </c>
      <c r="FE37" t="e">
        <f>AND(Answers!Y111,"AAAAAG/v2KA=")</f>
        <v>#VALUE!</v>
      </c>
      <c r="FF37" t="e">
        <f>AND(Answers!Z111,"AAAAAG/v2KE=")</f>
        <v>#VALUE!</v>
      </c>
      <c r="FG37" t="e">
        <f>AND(Answers!AA111,"AAAAAG/v2KI=")</f>
        <v>#VALUE!</v>
      </c>
      <c r="FH37" t="e">
        <f>AND(Answers!AB111,"AAAAAG/v2KM=")</f>
        <v>#VALUE!</v>
      </c>
      <c r="FI37" t="e">
        <f>AND(Answers!AC111,"AAAAAG/v2KQ=")</f>
        <v>#VALUE!</v>
      </c>
      <c r="FJ37" t="e">
        <f>AND(Answers!AD111,"AAAAAG/v2KU=")</f>
        <v>#VALUE!</v>
      </c>
      <c r="FK37" t="e">
        <f>AND(Answers!AE111,"AAAAAG/v2KY=")</f>
        <v>#VALUE!</v>
      </c>
      <c r="FL37" t="e">
        <f>AND(Answers!AF111,"AAAAAG/v2Kc=")</f>
        <v>#VALUE!</v>
      </c>
      <c r="FM37" t="e">
        <f>AND(Answers!AH111,"AAAAAG/v2Kg=")</f>
        <v>#VALUE!</v>
      </c>
      <c r="FN37" t="e">
        <f>AND(Answers!AI111,"AAAAAG/v2Kk=")</f>
        <v>#VALUE!</v>
      </c>
      <c r="FO37" t="e">
        <f>AND(Answers!AK111,"AAAAAG/v2Ko=")</f>
        <v>#VALUE!</v>
      </c>
      <c r="FP37" t="e">
        <f>AND(Answers!#REF!,"AAAAAG/v2Ks=")</f>
        <v>#REF!</v>
      </c>
      <c r="FQ37" t="e">
        <f>AND(Answers!AR111,"AAAAAG/v2Kw=")</f>
        <v>#VALUE!</v>
      </c>
      <c r="FR37" t="e">
        <f>AND(Answers!AS111,"AAAAAG/v2K0=")</f>
        <v>#VALUE!</v>
      </c>
      <c r="FS37" t="e">
        <f>AND(Answers!AT111,"AAAAAG/v2K4=")</f>
        <v>#VALUE!</v>
      </c>
      <c r="FT37" t="e">
        <f>AND(Answers!AU111,"AAAAAG/v2K8=")</f>
        <v>#VALUE!</v>
      </c>
      <c r="FU37" t="e">
        <f>AND(Answers!AW111,"AAAAAG/v2LA=")</f>
        <v>#VALUE!</v>
      </c>
      <c r="FV37" t="e">
        <f>AND(Answers!AX111,"AAAAAG/v2LE=")</f>
        <v>#VALUE!</v>
      </c>
      <c r="FW37" t="e">
        <f>AND(Answers!AY111,"AAAAAG/v2LI=")</f>
        <v>#VALUE!</v>
      </c>
      <c r="FX37" t="e">
        <f>AND(Answers!AZ111,"AAAAAG/v2LM=")</f>
        <v>#VALUE!</v>
      </c>
      <c r="FY37" t="e">
        <f>AND(Answers!BA111,"AAAAAG/v2LQ=")</f>
        <v>#VALUE!</v>
      </c>
      <c r="FZ37" t="e">
        <f>AND(Answers!BB111,"AAAAAG/v2LU=")</f>
        <v>#VALUE!</v>
      </c>
      <c r="GA37" t="e">
        <f>AND(Answers!BC111,"AAAAAG/v2LY=")</f>
        <v>#VALUE!</v>
      </c>
      <c r="GB37" t="e">
        <f>AND(Answers!BD111,"AAAAAG/v2Lc=")</f>
        <v>#VALUE!</v>
      </c>
      <c r="GC37" t="e">
        <f>AND(Answers!BE111,"AAAAAG/v2Lg=")</f>
        <v>#VALUE!</v>
      </c>
      <c r="GD37" t="e">
        <f>AND(Answers!BF111,"AAAAAG/v2Lk=")</f>
        <v>#VALUE!</v>
      </c>
      <c r="GE37" t="e">
        <f>AND(Answers!BG111,"AAAAAG/v2Lo=")</f>
        <v>#VALUE!</v>
      </c>
      <c r="GF37" t="e">
        <f>AND(Answers!BH111,"AAAAAG/v2Ls=")</f>
        <v>#VALUE!</v>
      </c>
      <c r="GG37" t="e">
        <f>AND(Answers!BI111,"AAAAAG/v2Lw=")</f>
        <v>#VALUE!</v>
      </c>
      <c r="GH37" t="e">
        <f>AND(Answers!BK111,"AAAAAG/v2L0=")</f>
        <v>#VALUE!</v>
      </c>
      <c r="GI37" t="e">
        <f>AND(Answers!BL111,"AAAAAG/v2L4=")</f>
        <v>#VALUE!</v>
      </c>
      <c r="GJ37" t="e">
        <f>AND(Answers!BM111,"AAAAAG/v2L8=")</f>
        <v>#VALUE!</v>
      </c>
      <c r="GK37" t="e">
        <f>AND(Answers!BN111,"AAAAAG/v2MA=")</f>
        <v>#VALUE!</v>
      </c>
      <c r="GL37" t="e">
        <f>AND(Answers!BO111,"AAAAAG/v2ME=")</f>
        <v>#VALUE!</v>
      </c>
      <c r="GM37" t="e">
        <f>AND(Answers!BP111,"AAAAAG/v2MI=")</f>
        <v>#VALUE!</v>
      </c>
      <c r="GN37" t="e">
        <f>AND(Answers!BQ111,"AAAAAG/v2MM=")</f>
        <v>#VALUE!</v>
      </c>
      <c r="GO37" t="e">
        <f>AND(Answers!BR111,"AAAAAG/v2MQ=")</f>
        <v>#VALUE!</v>
      </c>
      <c r="GP37" t="e">
        <f>AND(Answers!BS111,"AAAAAG/v2MU=")</f>
        <v>#VALUE!</v>
      </c>
      <c r="GQ37" t="e">
        <f>AND(Answers!BU111,"AAAAAG/v2MY=")</f>
        <v>#VALUE!</v>
      </c>
      <c r="GR37" t="e">
        <f>AND(Answers!BV111,"AAAAAG/v2Mc=")</f>
        <v>#VALUE!</v>
      </c>
      <c r="GS37" t="e">
        <f>AND(Answers!#REF!,"AAAAAG/v2Mg=")</f>
        <v>#REF!</v>
      </c>
      <c r="GT37" t="e">
        <f>AND(Answers!BW111,"AAAAAG/v2Mk=")</f>
        <v>#VALUE!</v>
      </c>
      <c r="GU37" t="e">
        <f>AND(Answers!BX111,"AAAAAG/v2Mo=")</f>
        <v>#VALUE!</v>
      </c>
      <c r="GV37" t="e">
        <f>AND(Answers!BY111,"AAAAAG/v2Ms=")</f>
        <v>#VALUE!</v>
      </c>
      <c r="GW37" t="e">
        <f>AND(Answers!BZ111,"AAAAAG/v2Mw=")</f>
        <v>#VALUE!</v>
      </c>
      <c r="GX37">
        <f>IF(Answers!112:112,"AAAAAG/v2M0=",0)</f>
        <v>0</v>
      </c>
      <c r="GY37" t="e">
        <f>AND(Answers!A112,"AAAAAG/v2M4=")</f>
        <v>#VALUE!</v>
      </c>
      <c r="GZ37" t="e">
        <f>AND(Answers!B112,"AAAAAG/v2M8=")</f>
        <v>#VALUE!</v>
      </c>
      <c r="HA37" t="e">
        <f>AND(Answers!C112,"AAAAAG/v2NA=")</f>
        <v>#VALUE!</v>
      </c>
      <c r="HB37" t="e">
        <f>AND(Answers!D112,"AAAAAG/v2NE=")</f>
        <v>#VALUE!</v>
      </c>
      <c r="HC37" t="e">
        <f>AND(Answers!E112,"AAAAAG/v2NI=")</f>
        <v>#VALUE!</v>
      </c>
      <c r="HD37" t="e">
        <f>AND(Answers!F112,"AAAAAG/v2NM=")</f>
        <v>#VALUE!</v>
      </c>
      <c r="HE37" t="e">
        <f>AND(Answers!G112,"AAAAAG/v2NQ=")</f>
        <v>#VALUE!</v>
      </c>
      <c r="HF37" t="e">
        <f>AND(Answers!H112,"AAAAAG/v2NU=")</f>
        <v>#VALUE!</v>
      </c>
      <c r="HG37" t="e">
        <f>AND(Answers!J112,"AAAAAG/v2NY=")</f>
        <v>#VALUE!</v>
      </c>
      <c r="HH37" t="e">
        <f>AND(Answers!K112,"AAAAAG/v2Nc=")</f>
        <v>#VALUE!</v>
      </c>
      <c r="HI37" t="e">
        <f>AND(Answers!L112,"AAAAAG/v2Ng=")</f>
        <v>#VALUE!</v>
      </c>
      <c r="HJ37" t="e">
        <f>AND(Answers!M112,"AAAAAG/v2Nk=")</f>
        <v>#VALUE!</v>
      </c>
      <c r="HK37" t="e">
        <f>AND(Answers!N112,"AAAAAG/v2No=")</f>
        <v>#VALUE!</v>
      </c>
      <c r="HL37" t="e">
        <f>AND(Answers!O112,"AAAAAG/v2Ns=")</f>
        <v>#VALUE!</v>
      </c>
      <c r="HM37" t="e">
        <f>AND(Answers!P112,"AAAAAG/v2Nw=")</f>
        <v>#VALUE!</v>
      </c>
      <c r="HN37" t="e">
        <f>AND(Answers!Q112,"AAAAAG/v2N0=")</f>
        <v>#VALUE!</v>
      </c>
      <c r="HO37" t="e">
        <f>AND(Answers!R112,"AAAAAG/v2N4=")</f>
        <v>#VALUE!</v>
      </c>
      <c r="HP37" t="e">
        <f>AND(Answers!S112,"AAAAAG/v2N8=")</f>
        <v>#VALUE!</v>
      </c>
      <c r="HQ37" t="e">
        <f>AND(Answers!T112,"AAAAAG/v2OA=")</f>
        <v>#VALUE!</v>
      </c>
      <c r="HR37" t="e">
        <f>AND(Answers!U112,"AAAAAG/v2OE=")</f>
        <v>#VALUE!</v>
      </c>
      <c r="HS37" t="e">
        <f>AND(Answers!V112,"AAAAAG/v2OI=")</f>
        <v>#VALUE!</v>
      </c>
      <c r="HT37" t="e">
        <f>AND(Answers!X112,"AAAAAG/v2OM=")</f>
        <v>#VALUE!</v>
      </c>
      <c r="HU37" t="e">
        <f>AND(Answers!Y112,"AAAAAG/v2OQ=")</f>
        <v>#VALUE!</v>
      </c>
      <c r="HV37" t="e">
        <f>AND(Answers!Z112,"AAAAAG/v2OU=")</f>
        <v>#VALUE!</v>
      </c>
      <c r="HW37" t="e">
        <f>AND(Answers!AA112,"AAAAAG/v2OY=")</f>
        <v>#VALUE!</v>
      </c>
      <c r="HX37" t="e">
        <f>AND(Answers!AB112,"AAAAAG/v2Oc=")</f>
        <v>#VALUE!</v>
      </c>
      <c r="HY37" t="e">
        <f>AND(Answers!AC112,"AAAAAG/v2Og=")</f>
        <v>#VALUE!</v>
      </c>
      <c r="HZ37" t="e">
        <f>AND(Answers!AD112,"AAAAAG/v2Ok=")</f>
        <v>#VALUE!</v>
      </c>
      <c r="IA37" t="e">
        <f>AND(Answers!AE112,"AAAAAG/v2Oo=")</f>
        <v>#VALUE!</v>
      </c>
      <c r="IB37" t="e">
        <f>AND(Answers!AF112,"AAAAAG/v2Os=")</f>
        <v>#VALUE!</v>
      </c>
      <c r="IC37" t="e">
        <f>AND(Answers!AH112,"AAAAAG/v2Ow=")</f>
        <v>#VALUE!</v>
      </c>
      <c r="ID37" t="e">
        <f>AND(Answers!AI112,"AAAAAG/v2O0=")</f>
        <v>#VALUE!</v>
      </c>
      <c r="IE37" t="e">
        <f>AND(Answers!AK112,"AAAAAG/v2O4=")</f>
        <v>#VALUE!</v>
      </c>
      <c r="IF37" t="e">
        <f>AND(Answers!#REF!,"AAAAAG/v2O8=")</f>
        <v>#REF!</v>
      </c>
      <c r="IG37" t="e">
        <f>AND(Answers!AR112,"AAAAAG/v2PA=")</f>
        <v>#VALUE!</v>
      </c>
      <c r="IH37" t="e">
        <f>AND(Answers!AS112,"AAAAAG/v2PE=")</f>
        <v>#VALUE!</v>
      </c>
      <c r="II37" t="e">
        <f>AND(Answers!AT112,"AAAAAG/v2PI=")</f>
        <v>#VALUE!</v>
      </c>
      <c r="IJ37" t="e">
        <f>AND(Answers!AU112,"AAAAAG/v2PM=")</f>
        <v>#VALUE!</v>
      </c>
      <c r="IK37" t="e">
        <f>AND(Answers!AW112,"AAAAAG/v2PQ=")</f>
        <v>#VALUE!</v>
      </c>
      <c r="IL37" t="e">
        <f>AND(Answers!AX112,"AAAAAG/v2PU=")</f>
        <v>#VALUE!</v>
      </c>
      <c r="IM37" t="e">
        <f>AND(Answers!AY112,"AAAAAG/v2PY=")</f>
        <v>#VALUE!</v>
      </c>
      <c r="IN37" t="e">
        <f>AND(Answers!AZ112,"AAAAAG/v2Pc=")</f>
        <v>#VALUE!</v>
      </c>
      <c r="IO37" t="e">
        <f>AND(Answers!BA112,"AAAAAG/v2Pg=")</f>
        <v>#VALUE!</v>
      </c>
      <c r="IP37" t="e">
        <f>AND(Answers!BB112,"AAAAAG/v2Pk=")</f>
        <v>#VALUE!</v>
      </c>
      <c r="IQ37" t="e">
        <f>AND(Answers!BC112,"AAAAAG/v2Po=")</f>
        <v>#VALUE!</v>
      </c>
      <c r="IR37" t="e">
        <f>AND(Answers!BD112,"AAAAAG/v2Ps=")</f>
        <v>#VALUE!</v>
      </c>
      <c r="IS37" t="e">
        <f>AND(Answers!BE112,"AAAAAG/v2Pw=")</f>
        <v>#VALUE!</v>
      </c>
      <c r="IT37" t="e">
        <f>AND(Answers!BF112,"AAAAAG/v2P0=")</f>
        <v>#VALUE!</v>
      </c>
      <c r="IU37" t="e">
        <f>AND(Answers!BG112,"AAAAAG/v2P4=")</f>
        <v>#VALUE!</v>
      </c>
      <c r="IV37" t="e">
        <f>AND(Answers!BH112,"AAAAAG/v2P8=")</f>
        <v>#VALUE!</v>
      </c>
    </row>
    <row r="38" spans="1:256" x14ac:dyDescent="0.15">
      <c r="A38" t="e">
        <f>AND(Answers!BI112,"AAAAAHr3+wA=")</f>
        <v>#VALUE!</v>
      </c>
      <c r="B38" t="e">
        <f>AND(Answers!BK112,"AAAAAHr3+wE=")</f>
        <v>#VALUE!</v>
      </c>
      <c r="C38" t="e">
        <f>AND(Answers!BL112,"AAAAAHr3+wI=")</f>
        <v>#VALUE!</v>
      </c>
      <c r="D38" t="e">
        <f>AND(Answers!BM112,"AAAAAHr3+wM=")</f>
        <v>#VALUE!</v>
      </c>
      <c r="E38" t="e">
        <f>AND(Answers!BN112,"AAAAAHr3+wQ=")</f>
        <v>#VALUE!</v>
      </c>
      <c r="F38" t="e">
        <f>AND(Answers!BO112,"AAAAAHr3+wU=")</f>
        <v>#VALUE!</v>
      </c>
      <c r="G38" t="e">
        <f>AND(Answers!BP112,"AAAAAHr3+wY=")</f>
        <v>#VALUE!</v>
      </c>
      <c r="H38" t="e">
        <f>AND(Answers!BQ112,"AAAAAHr3+wc=")</f>
        <v>#VALUE!</v>
      </c>
      <c r="I38" t="e">
        <f>AND(Answers!BR112,"AAAAAHr3+wg=")</f>
        <v>#VALUE!</v>
      </c>
      <c r="J38" t="e">
        <f>AND(Answers!BS112,"AAAAAHr3+wk=")</f>
        <v>#VALUE!</v>
      </c>
      <c r="K38" t="e">
        <f>AND(Answers!BU112,"AAAAAHr3+wo=")</f>
        <v>#VALUE!</v>
      </c>
      <c r="L38" t="e">
        <f>AND(Answers!BV112,"AAAAAHr3+ws=")</f>
        <v>#VALUE!</v>
      </c>
      <c r="M38" t="e">
        <f>AND(Answers!#REF!,"AAAAAHr3+ww=")</f>
        <v>#REF!</v>
      </c>
      <c r="N38" t="e">
        <f>AND(Answers!BW112,"AAAAAHr3+w0=")</f>
        <v>#VALUE!</v>
      </c>
      <c r="O38" t="e">
        <f>AND(Answers!BX112,"AAAAAHr3+w4=")</f>
        <v>#VALUE!</v>
      </c>
      <c r="P38" t="e">
        <f>AND(Answers!BY112,"AAAAAHr3+w8=")</f>
        <v>#VALUE!</v>
      </c>
      <c r="Q38" t="e">
        <f>AND(Answers!BZ112,"AAAAAHr3+xA=")</f>
        <v>#VALUE!</v>
      </c>
      <c r="R38">
        <f>IF(Answers!113:113,"AAAAAHr3+xE=",0)</f>
        <v>0</v>
      </c>
      <c r="S38" t="e">
        <f>AND(Answers!A113,"AAAAAHr3+xI=")</f>
        <v>#VALUE!</v>
      </c>
      <c r="T38" t="e">
        <f>AND(Answers!B113,"AAAAAHr3+xM=")</f>
        <v>#VALUE!</v>
      </c>
      <c r="U38" t="e">
        <f>AND(Answers!C113,"AAAAAHr3+xQ=")</f>
        <v>#VALUE!</v>
      </c>
      <c r="V38" t="e">
        <f>AND(Answers!D113,"AAAAAHr3+xU=")</f>
        <v>#VALUE!</v>
      </c>
      <c r="W38" t="e">
        <f>AND(Answers!E113,"AAAAAHr3+xY=")</f>
        <v>#VALUE!</v>
      </c>
      <c r="X38" t="e">
        <f>AND(Answers!F113,"AAAAAHr3+xc=")</f>
        <v>#VALUE!</v>
      </c>
      <c r="Y38" t="e">
        <f>AND(Answers!G113,"AAAAAHr3+xg=")</f>
        <v>#VALUE!</v>
      </c>
      <c r="Z38" t="e">
        <f>AND(Answers!H113,"AAAAAHr3+xk=")</f>
        <v>#VALUE!</v>
      </c>
      <c r="AA38" t="e">
        <f>AND(Answers!J113,"AAAAAHr3+xo=")</f>
        <v>#VALUE!</v>
      </c>
      <c r="AB38" t="e">
        <f>AND(Answers!K113,"AAAAAHr3+xs=")</f>
        <v>#VALUE!</v>
      </c>
      <c r="AC38" t="e">
        <f>AND(Answers!L113,"AAAAAHr3+xw=")</f>
        <v>#VALUE!</v>
      </c>
      <c r="AD38" t="e">
        <f>AND(Answers!M113,"AAAAAHr3+x0=")</f>
        <v>#VALUE!</v>
      </c>
      <c r="AE38" t="e">
        <f>AND(Answers!N113,"AAAAAHr3+x4=")</f>
        <v>#VALUE!</v>
      </c>
      <c r="AF38" t="e">
        <f>AND(Answers!O113,"AAAAAHr3+x8=")</f>
        <v>#VALUE!</v>
      </c>
      <c r="AG38" t="e">
        <f>AND(Answers!P113,"AAAAAHr3+yA=")</f>
        <v>#VALUE!</v>
      </c>
      <c r="AH38" t="e">
        <f>AND(Answers!Q113,"AAAAAHr3+yE=")</f>
        <v>#VALUE!</v>
      </c>
      <c r="AI38" t="e">
        <f>AND(Answers!R113,"AAAAAHr3+yI=")</f>
        <v>#VALUE!</v>
      </c>
      <c r="AJ38" t="e">
        <f>AND(Answers!S113,"AAAAAHr3+yM=")</f>
        <v>#VALUE!</v>
      </c>
      <c r="AK38" t="e">
        <f>AND(Answers!T113,"AAAAAHr3+yQ=")</f>
        <v>#VALUE!</v>
      </c>
      <c r="AL38" t="e">
        <f>AND(Answers!U113,"AAAAAHr3+yU=")</f>
        <v>#VALUE!</v>
      </c>
      <c r="AM38" t="e">
        <f>AND(Answers!V113,"AAAAAHr3+yY=")</f>
        <v>#VALUE!</v>
      </c>
      <c r="AN38" t="e">
        <f>AND(Answers!X113,"AAAAAHr3+yc=")</f>
        <v>#VALUE!</v>
      </c>
      <c r="AO38" t="e">
        <f>AND(Answers!Y113,"AAAAAHr3+yg=")</f>
        <v>#VALUE!</v>
      </c>
      <c r="AP38" t="e">
        <f>AND(Answers!Z113,"AAAAAHr3+yk=")</f>
        <v>#VALUE!</v>
      </c>
      <c r="AQ38" t="e">
        <f>AND(Answers!AA113,"AAAAAHr3+yo=")</f>
        <v>#VALUE!</v>
      </c>
      <c r="AR38" t="e">
        <f>AND(Answers!AB113,"AAAAAHr3+ys=")</f>
        <v>#VALUE!</v>
      </c>
      <c r="AS38" t="e">
        <f>AND(Answers!AC113,"AAAAAHr3+yw=")</f>
        <v>#VALUE!</v>
      </c>
      <c r="AT38" t="e">
        <f>AND(Answers!AD113,"AAAAAHr3+y0=")</f>
        <v>#VALUE!</v>
      </c>
      <c r="AU38" t="e">
        <f>AND(Answers!AE113,"AAAAAHr3+y4=")</f>
        <v>#VALUE!</v>
      </c>
      <c r="AV38" t="e">
        <f>AND(Answers!AF113,"AAAAAHr3+y8=")</f>
        <v>#VALUE!</v>
      </c>
      <c r="AW38" t="e">
        <f>AND(Answers!AH113,"AAAAAHr3+zA=")</f>
        <v>#VALUE!</v>
      </c>
      <c r="AX38" t="e">
        <f>AND(Answers!AI113,"AAAAAHr3+zE=")</f>
        <v>#VALUE!</v>
      </c>
      <c r="AY38" t="e">
        <f>AND(Answers!AK113,"AAAAAHr3+zI=")</f>
        <v>#VALUE!</v>
      </c>
      <c r="AZ38" t="e">
        <f>AND(Answers!#REF!,"AAAAAHr3+zM=")</f>
        <v>#REF!</v>
      </c>
      <c r="BA38" t="e">
        <f>AND(Answers!AR113,"AAAAAHr3+zQ=")</f>
        <v>#VALUE!</v>
      </c>
      <c r="BB38" t="e">
        <f>AND(Answers!AS113,"AAAAAHr3+zU=")</f>
        <v>#VALUE!</v>
      </c>
      <c r="BC38" t="e">
        <f>AND(Answers!AT113,"AAAAAHr3+zY=")</f>
        <v>#VALUE!</v>
      </c>
      <c r="BD38" t="e">
        <f>AND(Answers!AU113,"AAAAAHr3+zc=")</f>
        <v>#VALUE!</v>
      </c>
      <c r="BE38" t="e">
        <f>AND(Answers!AW113,"AAAAAHr3+zg=")</f>
        <v>#VALUE!</v>
      </c>
      <c r="BF38" t="e">
        <f>AND(Answers!AX113,"AAAAAHr3+zk=")</f>
        <v>#VALUE!</v>
      </c>
      <c r="BG38" t="e">
        <f>AND(Answers!AY113,"AAAAAHr3+zo=")</f>
        <v>#VALUE!</v>
      </c>
      <c r="BH38" t="e">
        <f>AND(Answers!AZ113,"AAAAAHr3+zs=")</f>
        <v>#VALUE!</v>
      </c>
      <c r="BI38" t="e">
        <f>AND(Answers!BA113,"AAAAAHr3+zw=")</f>
        <v>#VALUE!</v>
      </c>
      <c r="BJ38" t="e">
        <f>AND(Answers!BB113,"AAAAAHr3+z0=")</f>
        <v>#VALUE!</v>
      </c>
      <c r="BK38" t="e">
        <f>AND(Answers!BC113,"AAAAAHr3+z4=")</f>
        <v>#VALUE!</v>
      </c>
      <c r="BL38" t="e">
        <f>AND(Answers!BD113,"AAAAAHr3+z8=")</f>
        <v>#VALUE!</v>
      </c>
      <c r="BM38" t="e">
        <f>AND(Answers!BE113,"AAAAAHr3+0A=")</f>
        <v>#VALUE!</v>
      </c>
      <c r="BN38" t="e">
        <f>AND(Answers!BF113,"AAAAAHr3+0E=")</f>
        <v>#VALUE!</v>
      </c>
      <c r="BO38" t="e">
        <f>AND(Answers!BG113,"AAAAAHr3+0I=")</f>
        <v>#VALUE!</v>
      </c>
      <c r="BP38" t="e">
        <f>AND(Answers!BH113,"AAAAAHr3+0M=")</f>
        <v>#VALUE!</v>
      </c>
      <c r="BQ38" t="e">
        <f>AND(Answers!BI113,"AAAAAHr3+0Q=")</f>
        <v>#VALUE!</v>
      </c>
      <c r="BR38" t="e">
        <f>AND(Answers!BK113,"AAAAAHr3+0U=")</f>
        <v>#VALUE!</v>
      </c>
      <c r="BS38" t="e">
        <f>AND(Answers!BL113,"AAAAAHr3+0Y=")</f>
        <v>#VALUE!</v>
      </c>
      <c r="BT38" t="e">
        <f>AND(Answers!BM113,"AAAAAHr3+0c=")</f>
        <v>#VALUE!</v>
      </c>
      <c r="BU38" t="e">
        <f>AND(Answers!BN113,"AAAAAHr3+0g=")</f>
        <v>#VALUE!</v>
      </c>
      <c r="BV38" t="e">
        <f>AND(Answers!BO113,"AAAAAHr3+0k=")</f>
        <v>#VALUE!</v>
      </c>
      <c r="BW38" t="e">
        <f>AND(Answers!BP113,"AAAAAHr3+0o=")</f>
        <v>#VALUE!</v>
      </c>
      <c r="BX38" t="e">
        <f>AND(Answers!BQ113,"AAAAAHr3+0s=")</f>
        <v>#VALUE!</v>
      </c>
      <c r="BY38" t="e">
        <f>AND(Answers!BR113,"AAAAAHr3+0w=")</f>
        <v>#VALUE!</v>
      </c>
      <c r="BZ38" t="e">
        <f>AND(Answers!BS113,"AAAAAHr3+00=")</f>
        <v>#VALUE!</v>
      </c>
      <c r="CA38" t="e">
        <f>AND(Answers!BU113,"AAAAAHr3+04=")</f>
        <v>#VALUE!</v>
      </c>
      <c r="CB38" t="e">
        <f>AND(Answers!BV113,"AAAAAHr3+08=")</f>
        <v>#VALUE!</v>
      </c>
      <c r="CC38" t="e">
        <f>AND(Answers!#REF!,"AAAAAHr3+1A=")</f>
        <v>#REF!</v>
      </c>
      <c r="CD38" t="e">
        <f>AND(Answers!BW113,"AAAAAHr3+1E=")</f>
        <v>#VALUE!</v>
      </c>
      <c r="CE38" t="e">
        <f>AND(Answers!BX113,"AAAAAHr3+1I=")</f>
        <v>#VALUE!</v>
      </c>
      <c r="CF38" t="e">
        <f>AND(Answers!BY113,"AAAAAHr3+1M=")</f>
        <v>#VALUE!</v>
      </c>
      <c r="CG38" t="e">
        <f>AND(Answers!BZ113,"AAAAAHr3+1Q=")</f>
        <v>#VALUE!</v>
      </c>
      <c r="CH38">
        <f>IF(Answers!114:114,"AAAAAHr3+1U=",0)</f>
        <v>0</v>
      </c>
      <c r="CI38" t="e">
        <f>AND(Answers!A114,"AAAAAHr3+1Y=")</f>
        <v>#VALUE!</v>
      </c>
      <c r="CJ38" t="e">
        <f>AND(Answers!B114,"AAAAAHr3+1c=")</f>
        <v>#VALUE!</v>
      </c>
      <c r="CK38" t="e">
        <f>AND(Answers!C114,"AAAAAHr3+1g=")</f>
        <v>#VALUE!</v>
      </c>
      <c r="CL38" t="e">
        <f>AND(Answers!D114,"AAAAAHr3+1k=")</f>
        <v>#VALUE!</v>
      </c>
      <c r="CM38" t="e">
        <f>AND(Answers!E114,"AAAAAHr3+1o=")</f>
        <v>#VALUE!</v>
      </c>
      <c r="CN38" t="e">
        <f>AND(Answers!F114,"AAAAAHr3+1s=")</f>
        <v>#VALUE!</v>
      </c>
      <c r="CO38" t="e">
        <f>AND(Answers!G114,"AAAAAHr3+1w=")</f>
        <v>#VALUE!</v>
      </c>
      <c r="CP38" t="e">
        <f>AND(Answers!H114,"AAAAAHr3+10=")</f>
        <v>#VALUE!</v>
      </c>
      <c r="CQ38" t="e">
        <f>AND(Answers!J114,"AAAAAHr3+14=")</f>
        <v>#VALUE!</v>
      </c>
      <c r="CR38" t="e">
        <f>AND(Answers!K114,"AAAAAHr3+18=")</f>
        <v>#VALUE!</v>
      </c>
      <c r="CS38" t="e">
        <f>AND(Answers!L114,"AAAAAHr3+2A=")</f>
        <v>#VALUE!</v>
      </c>
      <c r="CT38" t="e">
        <f>AND(Answers!M114,"AAAAAHr3+2E=")</f>
        <v>#VALUE!</v>
      </c>
      <c r="CU38" t="e">
        <f>AND(Answers!N114,"AAAAAHr3+2I=")</f>
        <v>#VALUE!</v>
      </c>
      <c r="CV38" t="e">
        <f>AND(Answers!O114,"AAAAAHr3+2M=")</f>
        <v>#VALUE!</v>
      </c>
      <c r="CW38" t="e">
        <f>AND(Answers!P114,"AAAAAHr3+2Q=")</f>
        <v>#VALUE!</v>
      </c>
      <c r="CX38" t="e">
        <f>AND(Answers!Q114,"AAAAAHr3+2U=")</f>
        <v>#VALUE!</v>
      </c>
      <c r="CY38" t="e">
        <f>AND(Answers!R114,"AAAAAHr3+2Y=")</f>
        <v>#VALUE!</v>
      </c>
      <c r="CZ38" t="e">
        <f>AND(Answers!S114,"AAAAAHr3+2c=")</f>
        <v>#VALUE!</v>
      </c>
      <c r="DA38" t="e">
        <f>AND(Answers!T114,"AAAAAHr3+2g=")</f>
        <v>#VALUE!</v>
      </c>
      <c r="DB38" t="e">
        <f>AND(Answers!U114,"AAAAAHr3+2k=")</f>
        <v>#VALUE!</v>
      </c>
      <c r="DC38" t="e">
        <f>AND(Answers!V114,"AAAAAHr3+2o=")</f>
        <v>#VALUE!</v>
      </c>
      <c r="DD38" t="e">
        <f>AND(Answers!X114,"AAAAAHr3+2s=")</f>
        <v>#VALUE!</v>
      </c>
      <c r="DE38" t="e">
        <f>AND(Answers!Y114,"AAAAAHr3+2w=")</f>
        <v>#VALUE!</v>
      </c>
      <c r="DF38" t="e">
        <f>AND(Answers!Z114,"AAAAAHr3+20=")</f>
        <v>#VALUE!</v>
      </c>
      <c r="DG38" t="e">
        <f>AND(Answers!AA114,"AAAAAHr3+24=")</f>
        <v>#VALUE!</v>
      </c>
      <c r="DH38" t="e">
        <f>AND(Answers!AB114,"AAAAAHr3+28=")</f>
        <v>#VALUE!</v>
      </c>
      <c r="DI38" t="e">
        <f>AND(Answers!AC114,"AAAAAHr3+3A=")</f>
        <v>#VALUE!</v>
      </c>
      <c r="DJ38" t="e">
        <f>AND(Answers!AD114,"AAAAAHr3+3E=")</f>
        <v>#VALUE!</v>
      </c>
      <c r="DK38" t="e">
        <f>AND(Answers!AE114,"AAAAAHr3+3I=")</f>
        <v>#VALUE!</v>
      </c>
      <c r="DL38" t="e">
        <f>AND(Answers!AF114,"AAAAAHr3+3M=")</f>
        <v>#VALUE!</v>
      </c>
      <c r="DM38" t="e">
        <f>AND(Answers!AH114,"AAAAAHr3+3Q=")</f>
        <v>#VALUE!</v>
      </c>
      <c r="DN38" t="e">
        <f>AND(Answers!AI114,"AAAAAHr3+3U=")</f>
        <v>#VALUE!</v>
      </c>
      <c r="DO38" t="e">
        <f>AND(Answers!AK114,"AAAAAHr3+3Y=")</f>
        <v>#VALUE!</v>
      </c>
      <c r="DP38" t="e">
        <f>AND(Answers!#REF!,"AAAAAHr3+3c=")</f>
        <v>#REF!</v>
      </c>
      <c r="DQ38" t="e">
        <f>AND(Answers!AR114,"AAAAAHr3+3g=")</f>
        <v>#VALUE!</v>
      </c>
      <c r="DR38" t="e">
        <f>AND(Answers!AS114,"AAAAAHr3+3k=")</f>
        <v>#VALUE!</v>
      </c>
      <c r="DS38" t="e">
        <f>AND(Answers!AT114,"AAAAAHr3+3o=")</f>
        <v>#VALUE!</v>
      </c>
      <c r="DT38" t="e">
        <f>AND(Answers!AU114,"AAAAAHr3+3s=")</f>
        <v>#VALUE!</v>
      </c>
      <c r="DU38" t="e">
        <f>AND(Answers!AW114,"AAAAAHr3+3w=")</f>
        <v>#VALUE!</v>
      </c>
      <c r="DV38" t="e">
        <f>AND(Answers!AX114,"AAAAAHr3+30=")</f>
        <v>#VALUE!</v>
      </c>
      <c r="DW38" t="e">
        <f>AND(Answers!AY114,"AAAAAHr3+34=")</f>
        <v>#VALUE!</v>
      </c>
      <c r="DX38" t="e">
        <f>AND(Answers!AZ114,"AAAAAHr3+38=")</f>
        <v>#VALUE!</v>
      </c>
      <c r="DY38" t="e">
        <f>AND(Answers!BA114,"AAAAAHr3+4A=")</f>
        <v>#VALUE!</v>
      </c>
      <c r="DZ38" t="e">
        <f>AND(Answers!BB114,"AAAAAHr3+4E=")</f>
        <v>#VALUE!</v>
      </c>
      <c r="EA38" t="e">
        <f>AND(Answers!BC114,"AAAAAHr3+4I=")</f>
        <v>#VALUE!</v>
      </c>
      <c r="EB38" t="e">
        <f>AND(Answers!BD114,"AAAAAHr3+4M=")</f>
        <v>#VALUE!</v>
      </c>
      <c r="EC38" t="e">
        <f>AND(Answers!BE114,"AAAAAHr3+4Q=")</f>
        <v>#VALUE!</v>
      </c>
      <c r="ED38" t="e">
        <f>AND(Answers!BF114,"AAAAAHr3+4U=")</f>
        <v>#VALUE!</v>
      </c>
      <c r="EE38" t="e">
        <f>AND(Answers!BG114,"AAAAAHr3+4Y=")</f>
        <v>#VALUE!</v>
      </c>
      <c r="EF38" t="e">
        <f>AND(Answers!BH114,"AAAAAHr3+4c=")</f>
        <v>#VALUE!</v>
      </c>
      <c r="EG38" t="e">
        <f>AND(Answers!BI114,"AAAAAHr3+4g=")</f>
        <v>#VALUE!</v>
      </c>
      <c r="EH38" t="e">
        <f>AND(Answers!BK114,"AAAAAHr3+4k=")</f>
        <v>#VALUE!</v>
      </c>
      <c r="EI38" t="e">
        <f>AND(Answers!BL114,"AAAAAHr3+4o=")</f>
        <v>#VALUE!</v>
      </c>
      <c r="EJ38" t="e">
        <f>AND(Answers!BM114,"AAAAAHr3+4s=")</f>
        <v>#VALUE!</v>
      </c>
      <c r="EK38" t="e">
        <f>AND(Answers!BN114,"AAAAAHr3+4w=")</f>
        <v>#VALUE!</v>
      </c>
      <c r="EL38" t="e">
        <f>AND(Answers!BO114,"AAAAAHr3+40=")</f>
        <v>#VALUE!</v>
      </c>
      <c r="EM38" t="e">
        <f>AND(Answers!BP114,"AAAAAHr3+44=")</f>
        <v>#VALUE!</v>
      </c>
      <c r="EN38" t="e">
        <f>AND(Answers!BQ114,"AAAAAHr3+48=")</f>
        <v>#VALUE!</v>
      </c>
      <c r="EO38" t="e">
        <f>AND(Answers!BR114,"AAAAAHr3+5A=")</f>
        <v>#VALUE!</v>
      </c>
      <c r="EP38" t="e">
        <f>AND(Answers!BS114,"AAAAAHr3+5E=")</f>
        <v>#VALUE!</v>
      </c>
      <c r="EQ38" t="e">
        <f>AND(Answers!BU114,"AAAAAHr3+5I=")</f>
        <v>#VALUE!</v>
      </c>
      <c r="ER38" t="e">
        <f>AND(Answers!BV114,"AAAAAHr3+5M=")</f>
        <v>#VALUE!</v>
      </c>
      <c r="ES38" t="e">
        <f>AND(Answers!#REF!,"AAAAAHr3+5Q=")</f>
        <v>#REF!</v>
      </c>
      <c r="ET38" t="e">
        <f>AND(Answers!BW114,"AAAAAHr3+5U=")</f>
        <v>#VALUE!</v>
      </c>
      <c r="EU38" t="e">
        <f>AND(Answers!BX114,"AAAAAHr3+5Y=")</f>
        <v>#VALUE!</v>
      </c>
      <c r="EV38" t="e">
        <f>AND(Answers!BY114,"AAAAAHr3+5c=")</f>
        <v>#VALUE!</v>
      </c>
      <c r="EW38" t="e">
        <f>AND(Answers!BZ114,"AAAAAHr3+5g=")</f>
        <v>#VALUE!</v>
      </c>
      <c r="EX38">
        <f>IF(Answers!115:115,"AAAAAHr3+5k=",0)</f>
        <v>0</v>
      </c>
      <c r="EY38" t="e">
        <f>AND(Answers!A115,"AAAAAHr3+5o=")</f>
        <v>#VALUE!</v>
      </c>
      <c r="EZ38" t="e">
        <f>AND(Answers!B115,"AAAAAHr3+5s=")</f>
        <v>#VALUE!</v>
      </c>
      <c r="FA38" t="e">
        <f>AND(Answers!C115,"AAAAAHr3+5w=")</f>
        <v>#VALUE!</v>
      </c>
      <c r="FB38" t="e">
        <f>AND(Answers!D115,"AAAAAHr3+50=")</f>
        <v>#VALUE!</v>
      </c>
      <c r="FC38" t="e">
        <f>AND(Answers!E115,"AAAAAHr3+54=")</f>
        <v>#VALUE!</v>
      </c>
      <c r="FD38" t="e">
        <f>AND(Answers!F115,"AAAAAHr3+58=")</f>
        <v>#VALUE!</v>
      </c>
      <c r="FE38" t="e">
        <f>AND(Answers!G115,"AAAAAHr3+6A=")</f>
        <v>#VALUE!</v>
      </c>
      <c r="FF38" t="e">
        <f>AND(Answers!H115,"AAAAAHr3+6E=")</f>
        <v>#VALUE!</v>
      </c>
      <c r="FG38" t="e">
        <f>AND(Answers!J115,"AAAAAHr3+6I=")</f>
        <v>#VALUE!</v>
      </c>
      <c r="FH38" t="e">
        <f>AND(Answers!K115,"AAAAAHr3+6M=")</f>
        <v>#VALUE!</v>
      </c>
      <c r="FI38" t="e">
        <f>AND(Answers!L115,"AAAAAHr3+6Q=")</f>
        <v>#VALUE!</v>
      </c>
      <c r="FJ38" t="e">
        <f>AND(Answers!M115,"AAAAAHr3+6U=")</f>
        <v>#VALUE!</v>
      </c>
      <c r="FK38" t="e">
        <f>AND(Answers!N115,"AAAAAHr3+6Y=")</f>
        <v>#VALUE!</v>
      </c>
      <c r="FL38" t="e">
        <f>AND(Answers!O115,"AAAAAHr3+6c=")</f>
        <v>#VALUE!</v>
      </c>
      <c r="FM38" t="e">
        <f>AND(Answers!P115,"AAAAAHr3+6g=")</f>
        <v>#VALUE!</v>
      </c>
      <c r="FN38" t="e">
        <f>AND(Answers!Q115,"AAAAAHr3+6k=")</f>
        <v>#VALUE!</v>
      </c>
      <c r="FO38" t="e">
        <f>AND(Answers!R115,"AAAAAHr3+6o=")</f>
        <v>#VALUE!</v>
      </c>
      <c r="FP38" t="e">
        <f>AND(Answers!S115,"AAAAAHr3+6s=")</f>
        <v>#VALUE!</v>
      </c>
      <c r="FQ38" t="e">
        <f>AND(Answers!T115,"AAAAAHr3+6w=")</f>
        <v>#VALUE!</v>
      </c>
      <c r="FR38" t="e">
        <f>AND(Answers!U115,"AAAAAHr3+60=")</f>
        <v>#VALUE!</v>
      </c>
      <c r="FS38" t="e">
        <f>AND(Answers!V115,"AAAAAHr3+64=")</f>
        <v>#VALUE!</v>
      </c>
      <c r="FT38" t="e">
        <f>AND(Answers!X115,"AAAAAHr3+68=")</f>
        <v>#VALUE!</v>
      </c>
      <c r="FU38" t="e">
        <f>AND(Answers!Y115,"AAAAAHr3+7A=")</f>
        <v>#VALUE!</v>
      </c>
      <c r="FV38" t="e">
        <f>AND(Answers!Z115,"AAAAAHr3+7E=")</f>
        <v>#VALUE!</v>
      </c>
      <c r="FW38" t="e">
        <f>AND(Answers!AA115,"AAAAAHr3+7I=")</f>
        <v>#VALUE!</v>
      </c>
      <c r="FX38" t="e">
        <f>AND(Answers!AB115,"AAAAAHr3+7M=")</f>
        <v>#VALUE!</v>
      </c>
      <c r="FY38" t="e">
        <f>AND(Answers!AC115,"AAAAAHr3+7Q=")</f>
        <v>#VALUE!</v>
      </c>
      <c r="FZ38" t="e">
        <f>AND(Answers!AD115,"AAAAAHr3+7U=")</f>
        <v>#VALUE!</v>
      </c>
      <c r="GA38" t="e">
        <f>AND(Answers!AE115,"AAAAAHr3+7Y=")</f>
        <v>#VALUE!</v>
      </c>
      <c r="GB38" t="e">
        <f>AND(Answers!AF115,"AAAAAHr3+7c=")</f>
        <v>#VALUE!</v>
      </c>
      <c r="GC38" t="e">
        <f>AND(Answers!AH115,"AAAAAHr3+7g=")</f>
        <v>#VALUE!</v>
      </c>
      <c r="GD38" t="e">
        <f>AND(Answers!AI115,"AAAAAHr3+7k=")</f>
        <v>#VALUE!</v>
      </c>
      <c r="GE38" t="e">
        <f>AND(Answers!AK115,"AAAAAHr3+7o=")</f>
        <v>#VALUE!</v>
      </c>
      <c r="GF38" t="e">
        <f>AND(Answers!#REF!,"AAAAAHr3+7s=")</f>
        <v>#REF!</v>
      </c>
      <c r="GG38" t="e">
        <f>AND(Answers!AR115,"AAAAAHr3+7w=")</f>
        <v>#VALUE!</v>
      </c>
      <c r="GH38" t="e">
        <f>AND(Answers!AS115,"AAAAAHr3+70=")</f>
        <v>#VALUE!</v>
      </c>
      <c r="GI38" t="e">
        <f>AND(Answers!AT115,"AAAAAHr3+74=")</f>
        <v>#VALUE!</v>
      </c>
      <c r="GJ38" t="e">
        <f>AND(Answers!AU115,"AAAAAHr3+78=")</f>
        <v>#VALUE!</v>
      </c>
      <c r="GK38" t="e">
        <f>AND(Answers!AW115,"AAAAAHr3+8A=")</f>
        <v>#VALUE!</v>
      </c>
      <c r="GL38" t="e">
        <f>AND(Answers!AX115,"AAAAAHr3+8E=")</f>
        <v>#VALUE!</v>
      </c>
      <c r="GM38" t="e">
        <f>AND(Answers!AY115,"AAAAAHr3+8I=")</f>
        <v>#VALUE!</v>
      </c>
      <c r="GN38" t="e">
        <f>AND(Answers!AZ115,"AAAAAHr3+8M=")</f>
        <v>#VALUE!</v>
      </c>
      <c r="GO38" t="e">
        <f>AND(Answers!BA115,"AAAAAHr3+8Q=")</f>
        <v>#VALUE!</v>
      </c>
      <c r="GP38" t="e">
        <f>AND(Answers!BB115,"AAAAAHr3+8U=")</f>
        <v>#VALUE!</v>
      </c>
      <c r="GQ38" t="e">
        <f>AND(Answers!BC115,"AAAAAHr3+8Y=")</f>
        <v>#VALUE!</v>
      </c>
      <c r="GR38" t="e">
        <f>AND(Answers!BD115,"AAAAAHr3+8c=")</f>
        <v>#VALUE!</v>
      </c>
      <c r="GS38" t="e">
        <f>AND(Answers!BE115,"AAAAAHr3+8g=")</f>
        <v>#VALUE!</v>
      </c>
      <c r="GT38" t="e">
        <f>AND(Answers!BF115,"AAAAAHr3+8k=")</f>
        <v>#VALUE!</v>
      </c>
      <c r="GU38" t="e">
        <f>AND(Answers!BG115,"AAAAAHr3+8o=")</f>
        <v>#VALUE!</v>
      </c>
      <c r="GV38" t="e">
        <f>AND(Answers!BH115,"AAAAAHr3+8s=")</f>
        <v>#VALUE!</v>
      </c>
      <c r="GW38" t="e">
        <f>AND(Answers!BI115,"AAAAAHr3+8w=")</f>
        <v>#VALUE!</v>
      </c>
      <c r="GX38" t="e">
        <f>AND(Answers!BK115,"AAAAAHr3+80=")</f>
        <v>#VALUE!</v>
      </c>
      <c r="GY38" t="e">
        <f>AND(Answers!BL115,"AAAAAHr3+84=")</f>
        <v>#VALUE!</v>
      </c>
      <c r="GZ38" t="e">
        <f>AND(Answers!BM115,"AAAAAHr3+88=")</f>
        <v>#VALUE!</v>
      </c>
      <c r="HA38" t="e">
        <f>AND(Answers!BN115,"AAAAAHr3+9A=")</f>
        <v>#VALUE!</v>
      </c>
      <c r="HB38" t="e">
        <f>AND(Answers!BO115,"AAAAAHr3+9E=")</f>
        <v>#VALUE!</v>
      </c>
      <c r="HC38" t="e">
        <f>AND(Answers!BP115,"AAAAAHr3+9I=")</f>
        <v>#VALUE!</v>
      </c>
      <c r="HD38" t="e">
        <f>AND(Answers!BQ115,"AAAAAHr3+9M=")</f>
        <v>#VALUE!</v>
      </c>
      <c r="HE38" t="e">
        <f>AND(Answers!BR115,"AAAAAHr3+9Q=")</f>
        <v>#VALUE!</v>
      </c>
      <c r="HF38" t="e">
        <f>AND(Answers!BS115,"AAAAAHr3+9U=")</f>
        <v>#VALUE!</v>
      </c>
      <c r="HG38" t="e">
        <f>AND(Answers!BU115,"AAAAAHr3+9Y=")</f>
        <v>#VALUE!</v>
      </c>
      <c r="HH38" t="e">
        <f>AND(Answers!BV115,"AAAAAHr3+9c=")</f>
        <v>#VALUE!</v>
      </c>
      <c r="HI38" t="e">
        <f>AND(Answers!#REF!,"AAAAAHr3+9g=")</f>
        <v>#REF!</v>
      </c>
      <c r="HJ38" t="e">
        <f>AND(Answers!BW115,"AAAAAHr3+9k=")</f>
        <v>#VALUE!</v>
      </c>
      <c r="HK38" t="e">
        <f>AND(Answers!BX115,"AAAAAHr3+9o=")</f>
        <v>#VALUE!</v>
      </c>
      <c r="HL38" t="e">
        <f>AND(Answers!BY115,"AAAAAHr3+9s=")</f>
        <v>#VALUE!</v>
      </c>
      <c r="HM38" t="e">
        <f>AND(Answers!BZ115,"AAAAAHr3+9w=")</f>
        <v>#VALUE!</v>
      </c>
      <c r="HN38">
        <f>IF(Answers!116:116,"AAAAAHr3+90=",0)</f>
        <v>0</v>
      </c>
      <c r="HO38" t="e">
        <f>AND(Answers!A116,"AAAAAHr3+94=")</f>
        <v>#VALUE!</v>
      </c>
      <c r="HP38" t="e">
        <f>AND(Answers!B116,"AAAAAHr3+98=")</f>
        <v>#VALUE!</v>
      </c>
      <c r="HQ38" t="e">
        <f>AND(Answers!C116,"AAAAAHr3++A=")</f>
        <v>#VALUE!</v>
      </c>
      <c r="HR38" t="e">
        <f>AND(Answers!D116,"AAAAAHr3++E=")</f>
        <v>#VALUE!</v>
      </c>
      <c r="HS38" t="e">
        <f>AND(Answers!E116,"AAAAAHr3++I=")</f>
        <v>#VALUE!</v>
      </c>
      <c r="HT38" t="e">
        <f>AND(Answers!F116,"AAAAAHr3++M=")</f>
        <v>#VALUE!</v>
      </c>
      <c r="HU38" t="e">
        <f>AND(Answers!G116,"AAAAAHr3++Q=")</f>
        <v>#VALUE!</v>
      </c>
      <c r="HV38" t="e">
        <f>AND(Answers!H116,"AAAAAHr3++U=")</f>
        <v>#VALUE!</v>
      </c>
      <c r="HW38" t="e">
        <f>AND(Answers!J116,"AAAAAHr3++Y=")</f>
        <v>#VALUE!</v>
      </c>
      <c r="HX38" t="e">
        <f>AND(Answers!K116,"AAAAAHr3++c=")</f>
        <v>#VALUE!</v>
      </c>
      <c r="HY38" t="e">
        <f>AND(Answers!L116,"AAAAAHr3++g=")</f>
        <v>#VALUE!</v>
      </c>
      <c r="HZ38" t="e">
        <f>AND(Answers!M116,"AAAAAHr3++k=")</f>
        <v>#VALUE!</v>
      </c>
      <c r="IA38" t="e">
        <f>AND(Answers!N116,"AAAAAHr3++o=")</f>
        <v>#VALUE!</v>
      </c>
      <c r="IB38" t="e">
        <f>AND(Answers!O116,"AAAAAHr3++s=")</f>
        <v>#VALUE!</v>
      </c>
      <c r="IC38" t="e">
        <f>AND(Answers!P116,"AAAAAHr3++w=")</f>
        <v>#VALUE!</v>
      </c>
      <c r="ID38" t="e">
        <f>AND(Answers!Q116,"AAAAAHr3++0=")</f>
        <v>#VALUE!</v>
      </c>
      <c r="IE38" t="e">
        <f>AND(Answers!R116,"AAAAAHr3++4=")</f>
        <v>#VALUE!</v>
      </c>
      <c r="IF38" t="e">
        <f>AND(Answers!S116,"AAAAAHr3++8=")</f>
        <v>#VALUE!</v>
      </c>
      <c r="IG38" t="e">
        <f>AND(Answers!T116,"AAAAAHr3+/A=")</f>
        <v>#VALUE!</v>
      </c>
      <c r="IH38" t="e">
        <f>AND(Answers!U116,"AAAAAHr3+/E=")</f>
        <v>#VALUE!</v>
      </c>
      <c r="II38" t="e">
        <f>AND(Answers!V116,"AAAAAHr3+/I=")</f>
        <v>#VALUE!</v>
      </c>
      <c r="IJ38" t="e">
        <f>AND(Answers!X116,"AAAAAHr3+/M=")</f>
        <v>#VALUE!</v>
      </c>
      <c r="IK38" t="e">
        <f>AND(Answers!Y116,"AAAAAHr3+/Q=")</f>
        <v>#VALUE!</v>
      </c>
      <c r="IL38" t="e">
        <f>AND(Answers!Z116,"AAAAAHr3+/U=")</f>
        <v>#VALUE!</v>
      </c>
      <c r="IM38" t="e">
        <f>AND(Answers!AA116,"AAAAAHr3+/Y=")</f>
        <v>#VALUE!</v>
      </c>
      <c r="IN38" t="e">
        <f>AND(Answers!AB116,"AAAAAHr3+/c=")</f>
        <v>#VALUE!</v>
      </c>
      <c r="IO38" t="e">
        <f>AND(Answers!AC116,"AAAAAHr3+/g=")</f>
        <v>#VALUE!</v>
      </c>
      <c r="IP38" t="e">
        <f>AND(Answers!AD116,"AAAAAHr3+/k=")</f>
        <v>#VALUE!</v>
      </c>
      <c r="IQ38" t="e">
        <f>AND(Answers!AE116,"AAAAAHr3+/o=")</f>
        <v>#VALUE!</v>
      </c>
      <c r="IR38" t="e">
        <f>AND(Answers!AF116,"AAAAAHr3+/s=")</f>
        <v>#VALUE!</v>
      </c>
      <c r="IS38" t="e">
        <f>AND(Answers!AH116,"AAAAAHr3+/w=")</f>
        <v>#VALUE!</v>
      </c>
      <c r="IT38" t="e">
        <f>AND(Answers!AI116,"AAAAAHr3+/0=")</f>
        <v>#VALUE!</v>
      </c>
      <c r="IU38" t="e">
        <f>AND(Answers!AK116,"AAAAAHr3+/4=")</f>
        <v>#VALUE!</v>
      </c>
      <c r="IV38" t="e">
        <f>AND(Answers!#REF!,"AAAAAHr3+/8=")</f>
        <v>#REF!</v>
      </c>
    </row>
    <row r="39" spans="1:256" x14ac:dyDescent="0.15">
      <c r="A39" t="e">
        <f>AND(Answers!AR116,"AAAAAHHL2gA=")</f>
        <v>#VALUE!</v>
      </c>
      <c r="B39" t="e">
        <f>AND(Answers!AS116,"AAAAAHHL2gE=")</f>
        <v>#VALUE!</v>
      </c>
      <c r="C39" t="e">
        <f>AND(Answers!AT116,"AAAAAHHL2gI=")</f>
        <v>#VALUE!</v>
      </c>
      <c r="D39" t="e">
        <f>AND(Answers!AU116,"AAAAAHHL2gM=")</f>
        <v>#VALUE!</v>
      </c>
      <c r="E39" t="e">
        <f>AND(Answers!AW116,"AAAAAHHL2gQ=")</f>
        <v>#VALUE!</v>
      </c>
      <c r="F39" t="e">
        <f>AND(Answers!AX116,"AAAAAHHL2gU=")</f>
        <v>#VALUE!</v>
      </c>
      <c r="G39" t="e">
        <f>AND(Answers!AY116,"AAAAAHHL2gY=")</f>
        <v>#VALUE!</v>
      </c>
      <c r="H39" t="e">
        <f>AND(Answers!AZ116,"AAAAAHHL2gc=")</f>
        <v>#VALUE!</v>
      </c>
      <c r="I39" t="e">
        <f>AND(Answers!BA116,"AAAAAHHL2gg=")</f>
        <v>#VALUE!</v>
      </c>
      <c r="J39" t="e">
        <f>AND(Answers!BB116,"AAAAAHHL2gk=")</f>
        <v>#VALUE!</v>
      </c>
      <c r="K39" t="e">
        <f>AND(Answers!BC116,"AAAAAHHL2go=")</f>
        <v>#VALUE!</v>
      </c>
      <c r="L39" t="e">
        <f>AND(Answers!BD116,"AAAAAHHL2gs=")</f>
        <v>#VALUE!</v>
      </c>
      <c r="M39" t="e">
        <f>AND(Answers!BE116,"AAAAAHHL2gw=")</f>
        <v>#VALUE!</v>
      </c>
      <c r="N39" t="e">
        <f>AND(Answers!BF116,"AAAAAHHL2g0=")</f>
        <v>#VALUE!</v>
      </c>
      <c r="O39" t="e">
        <f>AND(Answers!BG116,"AAAAAHHL2g4=")</f>
        <v>#VALUE!</v>
      </c>
      <c r="P39" t="e">
        <f>AND(Answers!BH116,"AAAAAHHL2g8=")</f>
        <v>#VALUE!</v>
      </c>
      <c r="Q39" t="e">
        <f>AND(Answers!BI116,"AAAAAHHL2hA=")</f>
        <v>#VALUE!</v>
      </c>
      <c r="R39" t="e">
        <f>AND(Answers!BK116,"AAAAAHHL2hE=")</f>
        <v>#VALUE!</v>
      </c>
      <c r="S39" t="e">
        <f>AND(Answers!BL116,"AAAAAHHL2hI=")</f>
        <v>#VALUE!</v>
      </c>
      <c r="T39" t="e">
        <f>AND(Answers!BM116,"AAAAAHHL2hM=")</f>
        <v>#VALUE!</v>
      </c>
      <c r="U39" t="e">
        <f>AND(Answers!BN116,"AAAAAHHL2hQ=")</f>
        <v>#VALUE!</v>
      </c>
      <c r="V39" t="e">
        <f>AND(Answers!BO116,"AAAAAHHL2hU=")</f>
        <v>#VALUE!</v>
      </c>
      <c r="W39" t="e">
        <f>AND(Answers!BP116,"AAAAAHHL2hY=")</f>
        <v>#VALUE!</v>
      </c>
      <c r="X39" t="e">
        <f>AND(Answers!BQ116,"AAAAAHHL2hc=")</f>
        <v>#VALUE!</v>
      </c>
      <c r="Y39" t="e">
        <f>AND(Answers!BR116,"AAAAAHHL2hg=")</f>
        <v>#VALUE!</v>
      </c>
      <c r="Z39" t="e">
        <f>AND(Answers!BS116,"AAAAAHHL2hk=")</f>
        <v>#VALUE!</v>
      </c>
      <c r="AA39" t="e">
        <f>AND(Answers!BU116,"AAAAAHHL2ho=")</f>
        <v>#VALUE!</v>
      </c>
      <c r="AB39" t="e">
        <f>AND(Answers!BV116,"AAAAAHHL2hs=")</f>
        <v>#VALUE!</v>
      </c>
      <c r="AC39" t="e">
        <f>AND(Answers!#REF!,"AAAAAHHL2hw=")</f>
        <v>#REF!</v>
      </c>
      <c r="AD39" t="e">
        <f>AND(Answers!BW116,"AAAAAHHL2h0=")</f>
        <v>#VALUE!</v>
      </c>
      <c r="AE39" t="e">
        <f>AND(Answers!BX116,"AAAAAHHL2h4=")</f>
        <v>#VALUE!</v>
      </c>
      <c r="AF39" t="e">
        <f>AND(Answers!BY116,"AAAAAHHL2h8=")</f>
        <v>#VALUE!</v>
      </c>
      <c r="AG39" t="e">
        <f>AND(Answers!BZ116,"AAAAAHHL2iA=")</f>
        <v>#VALUE!</v>
      </c>
      <c r="AH39">
        <f>IF(Answers!117:117,"AAAAAHHL2iE=",0)</f>
        <v>0</v>
      </c>
      <c r="AI39" t="e">
        <f>AND(Answers!A117,"AAAAAHHL2iI=")</f>
        <v>#VALUE!</v>
      </c>
      <c r="AJ39" t="e">
        <f>AND(Answers!B117,"AAAAAHHL2iM=")</f>
        <v>#VALUE!</v>
      </c>
      <c r="AK39" t="e">
        <f>AND(Answers!C117,"AAAAAHHL2iQ=")</f>
        <v>#VALUE!</v>
      </c>
      <c r="AL39" t="e">
        <f>AND(Answers!D117,"AAAAAHHL2iU=")</f>
        <v>#VALUE!</v>
      </c>
      <c r="AM39" t="e">
        <f>AND(Answers!E117,"AAAAAHHL2iY=")</f>
        <v>#VALUE!</v>
      </c>
      <c r="AN39" t="e">
        <f>AND(Answers!F117,"AAAAAHHL2ic=")</f>
        <v>#VALUE!</v>
      </c>
      <c r="AO39" t="e">
        <f>AND(Answers!G117,"AAAAAHHL2ig=")</f>
        <v>#VALUE!</v>
      </c>
      <c r="AP39" t="e">
        <f>AND(Answers!H117,"AAAAAHHL2ik=")</f>
        <v>#VALUE!</v>
      </c>
      <c r="AQ39" t="e">
        <f>AND(Answers!J117,"AAAAAHHL2io=")</f>
        <v>#VALUE!</v>
      </c>
      <c r="AR39" t="e">
        <f>AND(Answers!K117,"AAAAAHHL2is=")</f>
        <v>#VALUE!</v>
      </c>
      <c r="AS39" t="e">
        <f>AND(Answers!L117,"AAAAAHHL2iw=")</f>
        <v>#VALUE!</v>
      </c>
      <c r="AT39" t="e">
        <f>AND(Answers!M117,"AAAAAHHL2i0=")</f>
        <v>#VALUE!</v>
      </c>
      <c r="AU39" t="e">
        <f>AND(Answers!N117,"AAAAAHHL2i4=")</f>
        <v>#VALUE!</v>
      </c>
      <c r="AV39" t="e">
        <f>AND(Answers!O117,"AAAAAHHL2i8=")</f>
        <v>#VALUE!</v>
      </c>
      <c r="AW39" t="e">
        <f>AND(Answers!P117,"AAAAAHHL2jA=")</f>
        <v>#VALUE!</v>
      </c>
      <c r="AX39" t="e">
        <f>AND(Answers!Q117,"AAAAAHHL2jE=")</f>
        <v>#VALUE!</v>
      </c>
      <c r="AY39" t="e">
        <f>AND(Answers!R117,"AAAAAHHL2jI=")</f>
        <v>#VALUE!</v>
      </c>
      <c r="AZ39" t="e">
        <f>AND(Answers!S117,"AAAAAHHL2jM=")</f>
        <v>#VALUE!</v>
      </c>
      <c r="BA39" t="e">
        <f>AND(Answers!T117,"AAAAAHHL2jQ=")</f>
        <v>#VALUE!</v>
      </c>
      <c r="BB39" t="e">
        <f>AND(Answers!U117,"AAAAAHHL2jU=")</f>
        <v>#VALUE!</v>
      </c>
      <c r="BC39" t="e">
        <f>AND(Answers!V117,"AAAAAHHL2jY=")</f>
        <v>#VALUE!</v>
      </c>
      <c r="BD39" t="e">
        <f>AND(Answers!X117,"AAAAAHHL2jc=")</f>
        <v>#VALUE!</v>
      </c>
      <c r="BE39" t="e">
        <f>AND(Answers!Y117,"AAAAAHHL2jg=")</f>
        <v>#VALUE!</v>
      </c>
      <c r="BF39" t="e">
        <f>AND(Answers!Z117,"AAAAAHHL2jk=")</f>
        <v>#VALUE!</v>
      </c>
      <c r="BG39" t="e">
        <f>AND(Answers!AA117,"AAAAAHHL2jo=")</f>
        <v>#VALUE!</v>
      </c>
      <c r="BH39" t="e">
        <f>AND(Answers!AB117,"AAAAAHHL2js=")</f>
        <v>#VALUE!</v>
      </c>
      <c r="BI39" t="e">
        <f>AND(Answers!AC117,"AAAAAHHL2jw=")</f>
        <v>#VALUE!</v>
      </c>
      <c r="BJ39" t="e">
        <f>AND(Answers!AD117,"AAAAAHHL2j0=")</f>
        <v>#VALUE!</v>
      </c>
      <c r="BK39" t="e">
        <f>AND(Answers!AE117,"AAAAAHHL2j4=")</f>
        <v>#VALUE!</v>
      </c>
      <c r="BL39" t="e">
        <f>AND(Answers!AF117,"AAAAAHHL2j8=")</f>
        <v>#VALUE!</v>
      </c>
      <c r="BM39" t="e">
        <f>AND(Answers!AH117,"AAAAAHHL2kA=")</f>
        <v>#VALUE!</v>
      </c>
      <c r="BN39" t="e">
        <f>AND(Answers!AI117,"AAAAAHHL2kE=")</f>
        <v>#VALUE!</v>
      </c>
      <c r="BO39" t="e">
        <f>AND(Answers!AK117,"AAAAAHHL2kI=")</f>
        <v>#VALUE!</v>
      </c>
      <c r="BP39" t="e">
        <f>AND(Answers!#REF!,"AAAAAHHL2kM=")</f>
        <v>#REF!</v>
      </c>
      <c r="BQ39" t="e">
        <f>AND(Answers!AR117,"AAAAAHHL2kQ=")</f>
        <v>#VALUE!</v>
      </c>
      <c r="BR39" t="e">
        <f>AND(Answers!AS117,"AAAAAHHL2kU=")</f>
        <v>#VALUE!</v>
      </c>
      <c r="BS39" t="e">
        <f>AND(Answers!AT117,"AAAAAHHL2kY=")</f>
        <v>#VALUE!</v>
      </c>
      <c r="BT39" t="e">
        <f>AND(Answers!AU117,"AAAAAHHL2kc=")</f>
        <v>#VALUE!</v>
      </c>
      <c r="BU39" t="e">
        <f>AND(Answers!AW117,"AAAAAHHL2kg=")</f>
        <v>#VALUE!</v>
      </c>
      <c r="BV39" t="e">
        <f>AND(Answers!AX117,"AAAAAHHL2kk=")</f>
        <v>#VALUE!</v>
      </c>
      <c r="BW39" t="e">
        <f>AND(Answers!AY117,"AAAAAHHL2ko=")</f>
        <v>#VALUE!</v>
      </c>
      <c r="BX39" t="e">
        <f>AND(Answers!AZ117,"AAAAAHHL2ks=")</f>
        <v>#VALUE!</v>
      </c>
      <c r="BY39" t="e">
        <f>AND(Answers!BA117,"AAAAAHHL2kw=")</f>
        <v>#VALUE!</v>
      </c>
      <c r="BZ39" t="e">
        <f>AND(Answers!BB117,"AAAAAHHL2k0=")</f>
        <v>#VALUE!</v>
      </c>
      <c r="CA39" t="e">
        <f>AND(Answers!BC117,"AAAAAHHL2k4=")</f>
        <v>#VALUE!</v>
      </c>
      <c r="CB39" t="e">
        <f>AND(Answers!BD117,"AAAAAHHL2k8=")</f>
        <v>#VALUE!</v>
      </c>
      <c r="CC39" t="e">
        <f>AND(Answers!BE117,"AAAAAHHL2lA=")</f>
        <v>#VALUE!</v>
      </c>
      <c r="CD39" t="e">
        <f>AND(Answers!BF117,"AAAAAHHL2lE=")</f>
        <v>#VALUE!</v>
      </c>
      <c r="CE39" t="e">
        <f>AND(Answers!BG117,"AAAAAHHL2lI=")</f>
        <v>#VALUE!</v>
      </c>
      <c r="CF39" t="e">
        <f>AND(Answers!BH117,"AAAAAHHL2lM=")</f>
        <v>#VALUE!</v>
      </c>
      <c r="CG39" t="e">
        <f>AND(Answers!BI117,"AAAAAHHL2lQ=")</f>
        <v>#VALUE!</v>
      </c>
      <c r="CH39" t="e">
        <f>AND(Answers!BK117,"AAAAAHHL2lU=")</f>
        <v>#VALUE!</v>
      </c>
      <c r="CI39" t="e">
        <f>AND(Answers!BL117,"AAAAAHHL2lY=")</f>
        <v>#VALUE!</v>
      </c>
      <c r="CJ39" t="e">
        <f>AND(Answers!BM117,"AAAAAHHL2lc=")</f>
        <v>#VALUE!</v>
      </c>
      <c r="CK39" t="e">
        <f>AND(Answers!BN117,"AAAAAHHL2lg=")</f>
        <v>#VALUE!</v>
      </c>
      <c r="CL39" t="e">
        <f>AND(Answers!BO117,"AAAAAHHL2lk=")</f>
        <v>#VALUE!</v>
      </c>
      <c r="CM39" t="e">
        <f>AND(Answers!BP117,"AAAAAHHL2lo=")</f>
        <v>#VALUE!</v>
      </c>
      <c r="CN39" t="e">
        <f>AND(Answers!BQ117,"AAAAAHHL2ls=")</f>
        <v>#VALUE!</v>
      </c>
      <c r="CO39" t="e">
        <f>AND(Answers!BR117,"AAAAAHHL2lw=")</f>
        <v>#VALUE!</v>
      </c>
      <c r="CP39" t="e">
        <f>AND(Answers!BS117,"AAAAAHHL2l0=")</f>
        <v>#VALUE!</v>
      </c>
      <c r="CQ39" t="e">
        <f>AND(Answers!BU117,"AAAAAHHL2l4=")</f>
        <v>#VALUE!</v>
      </c>
      <c r="CR39" t="e">
        <f>AND(Answers!BV117,"AAAAAHHL2l8=")</f>
        <v>#VALUE!</v>
      </c>
      <c r="CS39" t="e">
        <f>AND(Answers!#REF!,"AAAAAHHL2mA=")</f>
        <v>#REF!</v>
      </c>
      <c r="CT39" t="e">
        <f>AND(Answers!BW117,"AAAAAHHL2mE=")</f>
        <v>#VALUE!</v>
      </c>
      <c r="CU39" t="e">
        <f>AND(Answers!BX117,"AAAAAHHL2mI=")</f>
        <v>#VALUE!</v>
      </c>
      <c r="CV39" t="e">
        <f>AND(Answers!BY117,"AAAAAHHL2mM=")</f>
        <v>#VALUE!</v>
      </c>
      <c r="CW39" t="e">
        <f>AND(Answers!BZ117,"AAAAAHHL2mQ=")</f>
        <v>#VALUE!</v>
      </c>
      <c r="CX39">
        <f>IF(Answers!118:118,"AAAAAHHL2mU=",0)</f>
        <v>0</v>
      </c>
      <c r="CY39" t="e">
        <f>AND(Answers!A118,"AAAAAHHL2mY=")</f>
        <v>#VALUE!</v>
      </c>
      <c r="CZ39" t="e">
        <f>AND(Answers!B118,"AAAAAHHL2mc=")</f>
        <v>#VALUE!</v>
      </c>
      <c r="DA39" t="e">
        <f>AND(Answers!C118,"AAAAAHHL2mg=")</f>
        <v>#VALUE!</v>
      </c>
      <c r="DB39" t="e">
        <f>AND(Answers!D118,"AAAAAHHL2mk=")</f>
        <v>#VALUE!</v>
      </c>
      <c r="DC39" t="e">
        <f>AND(Answers!E118,"AAAAAHHL2mo=")</f>
        <v>#VALUE!</v>
      </c>
      <c r="DD39" t="e">
        <f>AND(Answers!F118,"AAAAAHHL2ms=")</f>
        <v>#VALUE!</v>
      </c>
      <c r="DE39" t="e">
        <f>AND(Answers!G118,"AAAAAHHL2mw=")</f>
        <v>#VALUE!</v>
      </c>
      <c r="DF39" t="e">
        <f>AND(Answers!H118,"AAAAAHHL2m0=")</f>
        <v>#VALUE!</v>
      </c>
      <c r="DG39" t="e">
        <f>AND(Answers!J118,"AAAAAHHL2m4=")</f>
        <v>#VALUE!</v>
      </c>
      <c r="DH39" t="e">
        <f>AND(Answers!K118,"AAAAAHHL2m8=")</f>
        <v>#VALUE!</v>
      </c>
      <c r="DI39" t="e">
        <f>AND(Answers!L118,"AAAAAHHL2nA=")</f>
        <v>#VALUE!</v>
      </c>
      <c r="DJ39" t="e">
        <f>AND(Answers!M118,"AAAAAHHL2nE=")</f>
        <v>#VALUE!</v>
      </c>
      <c r="DK39" t="e">
        <f>AND(Answers!N118,"AAAAAHHL2nI=")</f>
        <v>#VALUE!</v>
      </c>
      <c r="DL39" t="e">
        <f>AND(Answers!O118,"AAAAAHHL2nM=")</f>
        <v>#VALUE!</v>
      </c>
      <c r="DM39" t="e">
        <f>AND(Answers!P118,"AAAAAHHL2nQ=")</f>
        <v>#VALUE!</v>
      </c>
      <c r="DN39" t="e">
        <f>AND(Answers!Q118,"AAAAAHHL2nU=")</f>
        <v>#VALUE!</v>
      </c>
      <c r="DO39" t="e">
        <f>AND(Answers!R118,"AAAAAHHL2nY=")</f>
        <v>#VALUE!</v>
      </c>
      <c r="DP39" t="e">
        <f>AND(Answers!S118,"AAAAAHHL2nc=")</f>
        <v>#VALUE!</v>
      </c>
      <c r="DQ39" t="e">
        <f>AND(Answers!T118,"AAAAAHHL2ng=")</f>
        <v>#VALUE!</v>
      </c>
      <c r="DR39" t="e">
        <f>AND(Answers!U118,"AAAAAHHL2nk=")</f>
        <v>#VALUE!</v>
      </c>
      <c r="DS39" t="e">
        <f>AND(Answers!V118,"AAAAAHHL2no=")</f>
        <v>#VALUE!</v>
      </c>
      <c r="DT39" t="e">
        <f>AND(Answers!X118,"AAAAAHHL2ns=")</f>
        <v>#VALUE!</v>
      </c>
      <c r="DU39" t="e">
        <f>AND(Answers!Y118,"AAAAAHHL2nw=")</f>
        <v>#VALUE!</v>
      </c>
      <c r="DV39" t="e">
        <f>AND(Answers!Z118,"AAAAAHHL2n0=")</f>
        <v>#VALUE!</v>
      </c>
      <c r="DW39" t="e">
        <f>AND(Answers!AA118,"AAAAAHHL2n4=")</f>
        <v>#VALUE!</v>
      </c>
      <c r="DX39" t="e">
        <f>AND(Answers!AB118,"AAAAAHHL2n8=")</f>
        <v>#VALUE!</v>
      </c>
      <c r="DY39" t="e">
        <f>AND(Answers!AC118,"AAAAAHHL2oA=")</f>
        <v>#VALUE!</v>
      </c>
      <c r="DZ39" t="e">
        <f>AND(Answers!AD118,"AAAAAHHL2oE=")</f>
        <v>#VALUE!</v>
      </c>
      <c r="EA39" t="e">
        <f>AND(Answers!AE118,"AAAAAHHL2oI=")</f>
        <v>#VALUE!</v>
      </c>
      <c r="EB39" t="e">
        <f>AND(Answers!AF118,"AAAAAHHL2oM=")</f>
        <v>#VALUE!</v>
      </c>
      <c r="EC39" t="e">
        <f>AND(Answers!AH118,"AAAAAHHL2oQ=")</f>
        <v>#VALUE!</v>
      </c>
      <c r="ED39" t="e">
        <f>AND(Answers!AI118,"AAAAAHHL2oU=")</f>
        <v>#VALUE!</v>
      </c>
      <c r="EE39" t="e">
        <f>AND(Answers!AK118,"AAAAAHHL2oY=")</f>
        <v>#VALUE!</v>
      </c>
      <c r="EF39" t="e">
        <f>AND(Answers!#REF!,"AAAAAHHL2oc=")</f>
        <v>#REF!</v>
      </c>
      <c r="EG39" t="e">
        <f>AND(Answers!AR118,"AAAAAHHL2og=")</f>
        <v>#VALUE!</v>
      </c>
      <c r="EH39" t="e">
        <f>AND(Answers!AS118,"AAAAAHHL2ok=")</f>
        <v>#VALUE!</v>
      </c>
      <c r="EI39" t="e">
        <f>AND(Answers!AT118,"AAAAAHHL2oo=")</f>
        <v>#VALUE!</v>
      </c>
      <c r="EJ39" t="e">
        <f>AND(Answers!AU118,"AAAAAHHL2os=")</f>
        <v>#VALUE!</v>
      </c>
      <c r="EK39" t="e">
        <f>AND(Answers!AW118,"AAAAAHHL2ow=")</f>
        <v>#VALUE!</v>
      </c>
      <c r="EL39" t="e">
        <f>AND(Answers!AX118,"AAAAAHHL2o0=")</f>
        <v>#VALUE!</v>
      </c>
      <c r="EM39" t="e">
        <f>AND(Answers!AY118,"AAAAAHHL2o4=")</f>
        <v>#VALUE!</v>
      </c>
      <c r="EN39" t="e">
        <f>AND(Answers!AZ118,"AAAAAHHL2o8=")</f>
        <v>#VALUE!</v>
      </c>
      <c r="EO39" t="e">
        <f>AND(Answers!BA118,"AAAAAHHL2pA=")</f>
        <v>#VALUE!</v>
      </c>
      <c r="EP39" t="e">
        <f>AND(Answers!BB118,"AAAAAHHL2pE=")</f>
        <v>#VALUE!</v>
      </c>
      <c r="EQ39" t="e">
        <f>AND(Answers!BC118,"AAAAAHHL2pI=")</f>
        <v>#VALUE!</v>
      </c>
      <c r="ER39" t="e">
        <f>AND(Answers!BD118,"AAAAAHHL2pM=")</f>
        <v>#VALUE!</v>
      </c>
      <c r="ES39" t="e">
        <f>AND(Answers!BE118,"AAAAAHHL2pQ=")</f>
        <v>#VALUE!</v>
      </c>
      <c r="ET39" t="e">
        <f>AND(Answers!BF118,"AAAAAHHL2pU=")</f>
        <v>#VALUE!</v>
      </c>
      <c r="EU39" t="e">
        <f>AND(Answers!BG118,"AAAAAHHL2pY=")</f>
        <v>#VALUE!</v>
      </c>
      <c r="EV39" t="e">
        <f>AND(Answers!BH118,"AAAAAHHL2pc=")</f>
        <v>#VALUE!</v>
      </c>
      <c r="EW39" t="e">
        <f>AND(Answers!BI118,"AAAAAHHL2pg=")</f>
        <v>#VALUE!</v>
      </c>
      <c r="EX39" t="e">
        <f>AND(Answers!BK118,"AAAAAHHL2pk=")</f>
        <v>#VALUE!</v>
      </c>
      <c r="EY39" t="e">
        <f>AND(Answers!BL118,"AAAAAHHL2po=")</f>
        <v>#VALUE!</v>
      </c>
      <c r="EZ39" t="e">
        <f>AND(Answers!BM118,"AAAAAHHL2ps=")</f>
        <v>#VALUE!</v>
      </c>
      <c r="FA39" t="e">
        <f>AND(Answers!BN118,"AAAAAHHL2pw=")</f>
        <v>#VALUE!</v>
      </c>
      <c r="FB39" t="e">
        <f>AND(Answers!BO118,"AAAAAHHL2p0=")</f>
        <v>#VALUE!</v>
      </c>
      <c r="FC39" t="e">
        <f>AND(Answers!BP118,"AAAAAHHL2p4=")</f>
        <v>#VALUE!</v>
      </c>
      <c r="FD39" t="e">
        <f>AND(Answers!BQ118,"AAAAAHHL2p8=")</f>
        <v>#VALUE!</v>
      </c>
      <c r="FE39" t="e">
        <f>AND(Answers!BR118,"AAAAAHHL2qA=")</f>
        <v>#VALUE!</v>
      </c>
      <c r="FF39" t="e">
        <f>AND(Answers!BS118,"AAAAAHHL2qE=")</f>
        <v>#VALUE!</v>
      </c>
      <c r="FG39" t="e">
        <f>AND(Answers!BU118,"AAAAAHHL2qI=")</f>
        <v>#VALUE!</v>
      </c>
      <c r="FH39" t="e">
        <f>AND(Answers!BV118,"AAAAAHHL2qM=")</f>
        <v>#VALUE!</v>
      </c>
      <c r="FI39" t="e">
        <f>AND(Answers!#REF!,"AAAAAHHL2qQ=")</f>
        <v>#REF!</v>
      </c>
      <c r="FJ39" t="e">
        <f>AND(Answers!BW118,"AAAAAHHL2qU=")</f>
        <v>#VALUE!</v>
      </c>
      <c r="FK39" t="e">
        <f>AND(Answers!BX118,"AAAAAHHL2qY=")</f>
        <v>#VALUE!</v>
      </c>
      <c r="FL39" t="e">
        <f>AND(Answers!BY118,"AAAAAHHL2qc=")</f>
        <v>#VALUE!</v>
      </c>
      <c r="FM39" t="e">
        <f>AND(Answers!BZ118,"AAAAAHHL2qg=")</f>
        <v>#VALUE!</v>
      </c>
      <c r="FN39">
        <f>IF(Answers!119:119,"AAAAAHHL2qk=",0)</f>
        <v>0</v>
      </c>
      <c r="FO39" t="e">
        <f>AND(Answers!A119,"AAAAAHHL2qo=")</f>
        <v>#VALUE!</v>
      </c>
      <c r="FP39" t="e">
        <f>AND(Answers!B119,"AAAAAHHL2qs=")</f>
        <v>#VALUE!</v>
      </c>
      <c r="FQ39" t="e">
        <f>AND(Answers!C119,"AAAAAHHL2qw=")</f>
        <v>#VALUE!</v>
      </c>
      <c r="FR39" t="e">
        <f>AND(Answers!D119,"AAAAAHHL2q0=")</f>
        <v>#VALUE!</v>
      </c>
      <c r="FS39" t="e">
        <f>AND(Answers!E119,"AAAAAHHL2q4=")</f>
        <v>#VALUE!</v>
      </c>
      <c r="FT39" t="e">
        <f>AND(Answers!F119,"AAAAAHHL2q8=")</f>
        <v>#VALUE!</v>
      </c>
      <c r="FU39" t="e">
        <f>AND(Answers!G119,"AAAAAHHL2rA=")</f>
        <v>#VALUE!</v>
      </c>
      <c r="FV39" t="e">
        <f>AND(Answers!H119,"AAAAAHHL2rE=")</f>
        <v>#VALUE!</v>
      </c>
      <c r="FW39" t="e">
        <f>AND(Answers!J119,"AAAAAHHL2rI=")</f>
        <v>#VALUE!</v>
      </c>
      <c r="FX39" t="e">
        <f>AND(Answers!K119,"AAAAAHHL2rM=")</f>
        <v>#VALUE!</v>
      </c>
      <c r="FY39" t="e">
        <f>AND(Answers!L119,"AAAAAHHL2rQ=")</f>
        <v>#VALUE!</v>
      </c>
      <c r="FZ39" t="e">
        <f>AND(Answers!M119,"AAAAAHHL2rU=")</f>
        <v>#VALUE!</v>
      </c>
      <c r="GA39" t="e">
        <f>AND(Answers!N119,"AAAAAHHL2rY=")</f>
        <v>#VALUE!</v>
      </c>
      <c r="GB39" t="e">
        <f>AND(Answers!O119,"AAAAAHHL2rc=")</f>
        <v>#VALUE!</v>
      </c>
      <c r="GC39" t="e">
        <f>AND(Answers!P119,"AAAAAHHL2rg=")</f>
        <v>#VALUE!</v>
      </c>
      <c r="GD39" t="e">
        <f>AND(Answers!Q119,"AAAAAHHL2rk=")</f>
        <v>#VALUE!</v>
      </c>
      <c r="GE39" t="e">
        <f>AND(Answers!R119,"AAAAAHHL2ro=")</f>
        <v>#VALUE!</v>
      </c>
      <c r="GF39" t="e">
        <f>AND(Answers!S119,"AAAAAHHL2rs=")</f>
        <v>#VALUE!</v>
      </c>
      <c r="GG39" t="e">
        <f>AND(Answers!T119,"AAAAAHHL2rw=")</f>
        <v>#VALUE!</v>
      </c>
      <c r="GH39" t="e">
        <f>AND(Answers!U119,"AAAAAHHL2r0=")</f>
        <v>#VALUE!</v>
      </c>
      <c r="GI39" t="e">
        <f>AND(Answers!V119,"AAAAAHHL2r4=")</f>
        <v>#VALUE!</v>
      </c>
      <c r="GJ39" t="e">
        <f>AND(Answers!X119,"AAAAAHHL2r8=")</f>
        <v>#VALUE!</v>
      </c>
      <c r="GK39" t="e">
        <f>AND(Answers!Y119,"AAAAAHHL2sA=")</f>
        <v>#VALUE!</v>
      </c>
      <c r="GL39" t="e">
        <f>AND(Answers!Z119,"AAAAAHHL2sE=")</f>
        <v>#VALUE!</v>
      </c>
      <c r="GM39" t="e">
        <f>AND(Answers!AA119,"AAAAAHHL2sI=")</f>
        <v>#VALUE!</v>
      </c>
      <c r="GN39" t="e">
        <f>AND(Answers!AB119,"AAAAAHHL2sM=")</f>
        <v>#VALUE!</v>
      </c>
      <c r="GO39" t="e">
        <f>AND(Answers!AC119,"AAAAAHHL2sQ=")</f>
        <v>#VALUE!</v>
      </c>
      <c r="GP39" t="e">
        <f>AND(Answers!AD119,"AAAAAHHL2sU=")</f>
        <v>#VALUE!</v>
      </c>
      <c r="GQ39" t="e">
        <f>AND(Answers!AE119,"AAAAAHHL2sY=")</f>
        <v>#VALUE!</v>
      </c>
      <c r="GR39" t="e">
        <f>AND(Answers!AF119,"AAAAAHHL2sc=")</f>
        <v>#VALUE!</v>
      </c>
      <c r="GS39" t="e">
        <f>AND(Answers!AH119,"AAAAAHHL2sg=")</f>
        <v>#VALUE!</v>
      </c>
      <c r="GT39" t="e">
        <f>AND(Answers!AI119,"AAAAAHHL2sk=")</f>
        <v>#VALUE!</v>
      </c>
      <c r="GU39" t="e">
        <f>AND(Answers!AK119,"AAAAAHHL2so=")</f>
        <v>#VALUE!</v>
      </c>
      <c r="GV39" t="e">
        <f>AND(Answers!#REF!,"AAAAAHHL2ss=")</f>
        <v>#REF!</v>
      </c>
      <c r="GW39" t="e">
        <f>AND(Answers!AR119,"AAAAAHHL2sw=")</f>
        <v>#VALUE!</v>
      </c>
      <c r="GX39" t="e">
        <f>AND(Answers!AS119,"AAAAAHHL2s0=")</f>
        <v>#VALUE!</v>
      </c>
      <c r="GY39" t="e">
        <f>AND(Answers!AT119,"AAAAAHHL2s4=")</f>
        <v>#VALUE!</v>
      </c>
      <c r="GZ39" t="e">
        <f>AND(Answers!AU119,"AAAAAHHL2s8=")</f>
        <v>#VALUE!</v>
      </c>
      <c r="HA39" t="e">
        <f>AND(Answers!AW119,"AAAAAHHL2tA=")</f>
        <v>#VALUE!</v>
      </c>
      <c r="HB39" t="e">
        <f>AND(Answers!AX119,"AAAAAHHL2tE=")</f>
        <v>#VALUE!</v>
      </c>
      <c r="HC39" t="e">
        <f>AND(Answers!AY119,"AAAAAHHL2tI=")</f>
        <v>#VALUE!</v>
      </c>
      <c r="HD39" t="e">
        <f>AND(Answers!AZ119,"AAAAAHHL2tM=")</f>
        <v>#VALUE!</v>
      </c>
      <c r="HE39" t="e">
        <f>AND(Answers!BA119,"AAAAAHHL2tQ=")</f>
        <v>#VALUE!</v>
      </c>
      <c r="HF39" t="e">
        <f>AND(Answers!BB119,"AAAAAHHL2tU=")</f>
        <v>#VALUE!</v>
      </c>
      <c r="HG39" t="e">
        <f>AND(Answers!BC119,"AAAAAHHL2tY=")</f>
        <v>#VALUE!</v>
      </c>
      <c r="HH39" t="e">
        <f>AND(Answers!BD119,"AAAAAHHL2tc=")</f>
        <v>#VALUE!</v>
      </c>
      <c r="HI39" t="e">
        <f>AND(Answers!BE119,"AAAAAHHL2tg=")</f>
        <v>#VALUE!</v>
      </c>
      <c r="HJ39" t="e">
        <f>AND(Answers!BF119,"AAAAAHHL2tk=")</f>
        <v>#VALUE!</v>
      </c>
      <c r="HK39" t="e">
        <f>AND(Answers!BG119,"AAAAAHHL2to=")</f>
        <v>#VALUE!</v>
      </c>
      <c r="HL39" t="e">
        <f>AND(Answers!BH119,"AAAAAHHL2ts=")</f>
        <v>#VALUE!</v>
      </c>
      <c r="HM39" t="e">
        <f>AND(Answers!BI119,"AAAAAHHL2tw=")</f>
        <v>#VALUE!</v>
      </c>
      <c r="HN39" t="e">
        <f>AND(Answers!BK119,"AAAAAHHL2t0=")</f>
        <v>#VALUE!</v>
      </c>
      <c r="HO39" t="e">
        <f>AND(Answers!BL119,"AAAAAHHL2t4=")</f>
        <v>#VALUE!</v>
      </c>
      <c r="HP39" t="e">
        <f>AND(Answers!BM119,"AAAAAHHL2t8=")</f>
        <v>#VALUE!</v>
      </c>
      <c r="HQ39" t="e">
        <f>AND(Answers!BN119,"AAAAAHHL2uA=")</f>
        <v>#VALUE!</v>
      </c>
      <c r="HR39" t="e">
        <f>AND(Answers!BO119,"AAAAAHHL2uE=")</f>
        <v>#VALUE!</v>
      </c>
      <c r="HS39" t="e">
        <f>AND(Answers!BP119,"AAAAAHHL2uI=")</f>
        <v>#VALUE!</v>
      </c>
      <c r="HT39" t="e">
        <f>AND(Answers!BQ119,"AAAAAHHL2uM=")</f>
        <v>#VALUE!</v>
      </c>
      <c r="HU39" t="e">
        <f>AND(Answers!BR119,"AAAAAHHL2uQ=")</f>
        <v>#VALUE!</v>
      </c>
      <c r="HV39" t="e">
        <f>AND(Answers!BS119,"AAAAAHHL2uU=")</f>
        <v>#VALUE!</v>
      </c>
      <c r="HW39" t="e">
        <f>AND(Answers!BU119,"AAAAAHHL2uY=")</f>
        <v>#VALUE!</v>
      </c>
      <c r="HX39" t="e">
        <f>AND(Answers!BV119,"AAAAAHHL2uc=")</f>
        <v>#VALUE!</v>
      </c>
      <c r="HY39" t="e">
        <f>AND(Answers!#REF!,"AAAAAHHL2ug=")</f>
        <v>#REF!</v>
      </c>
      <c r="HZ39" t="e">
        <f>AND(Answers!BW119,"AAAAAHHL2uk=")</f>
        <v>#VALUE!</v>
      </c>
      <c r="IA39" t="e">
        <f>AND(Answers!BX119,"AAAAAHHL2uo=")</f>
        <v>#VALUE!</v>
      </c>
      <c r="IB39" t="e">
        <f>AND(Answers!BY119,"AAAAAHHL2us=")</f>
        <v>#VALUE!</v>
      </c>
      <c r="IC39" t="e">
        <f>AND(Answers!BZ119,"AAAAAHHL2uw=")</f>
        <v>#VALUE!</v>
      </c>
      <c r="ID39">
        <f>IF(Answers!120:120,"AAAAAHHL2u0=",0)</f>
        <v>0</v>
      </c>
      <c r="IE39" t="e">
        <f>AND(Answers!A120,"AAAAAHHL2u4=")</f>
        <v>#VALUE!</v>
      </c>
      <c r="IF39" t="e">
        <f>AND(Answers!B120,"AAAAAHHL2u8=")</f>
        <v>#VALUE!</v>
      </c>
      <c r="IG39" t="e">
        <f>AND(Answers!C120,"AAAAAHHL2vA=")</f>
        <v>#VALUE!</v>
      </c>
      <c r="IH39" t="e">
        <f>AND(Answers!D120,"AAAAAHHL2vE=")</f>
        <v>#VALUE!</v>
      </c>
      <c r="II39" t="e">
        <f>AND(Answers!E120,"AAAAAHHL2vI=")</f>
        <v>#VALUE!</v>
      </c>
      <c r="IJ39" t="e">
        <f>AND(Answers!F120,"AAAAAHHL2vM=")</f>
        <v>#VALUE!</v>
      </c>
      <c r="IK39" t="e">
        <f>AND(Answers!G120,"AAAAAHHL2vQ=")</f>
        <v>#VALUE!</v>
      </c>
      <c r="IL39" t="e">
        <f>AND(Answers!H120,"AAAAAHHL2vU=")</f>
        <v>#VALUE!</v>
      </c>
      <c r="IM39" t="e">
        <f>AND(Answers!J120,"AAAAAHHL2vY=")</f>
        <v>#VALUE!</v>
      </c>
      <c r="IN39" t="e">
        <f>AND(Answers!K120,"AAAAAHHL2vc=")</f>
        <v>#VALUE!</v>
      </c>
      <c r="IO39" t="e">
        <f>AND(Answers!L120,"AAAAAHHL2vg=")</f>
        <v>#VALUE!</v>
      </c>
      <c r="IP39" t="e">
        <f>AND(Answers!M120,"AAAAAHHL2vk=")</f>
        <v>#VALUE!</v>
      </c>
      <c r="IQ39" t="e">
        <f>AND(Answers!N120,"AAAAAHHL2vo=")</f>
        <v>#VALUE!</v>
      </c>
      <c r="IR39" t="e">
        <f>AND(Answers!O120,"AAAAAHHL2vs=")</f>
        <v>#VALUE!</v>
      </c>
      <c r="IS39" t="e">
        <f>AND(Answers!P120,"AAAAAHHL2vw=")</f>
        <v>#VALUE!</v>
      </c>
      <c r="IT39" t="e">
        <f>AND(Answers!Q120,"AAAAAHHL2v0=")</f>
        <v>#VALUE!</v>
      </c>
      <c r="IU39" t="e">
        <f>AND(Answers!R120,"AAAAAHHL2v4=")</f>
        <v>#VALUE!</v>
      </c>
      <c r="IV39" t="e">
        <f>AND(Answers!S120,"AAAAAHHL2v8=")</f>
        <v>#VALUE!</v>
      </c>
    </row>
    <row r="40" spans="1:256" x14ac:dyDescent="0.15">
      <c r="A40" t="e">
        <f>AND(Answers!T120,"AAAAAHv/9wA=")</f>
        <v>#VALUE!</v>
      </c>
      <c r="B40" t="e">
        <f>AND(Answers!U120,"AAAAAHv/9wE=")</f>
        <v>#VALUE!</v>
      </c>
      <c r="C40" t="e">
        <f>AND(Answers!V120,"AAAAAHv/9wI=")</f>
        <v>#VALUE!</v>
      </c>
      <c r="D40" t="e">
        <f>AND(Answers!X120,"AAAAAHv/9wM=")</f>
        <v>#VALUE!</v>
      </c>
      <c r="E40" t="e">
        <f>AND(Answers!Y120,"AAAAAHv/9wQ=")</f>
        <v>#VALUE!</v>
      </c>
      <c r="F40" t="e">
        <f>AND(Answers!Z120,"AAAAAHv/9wU=")</f>
        <v>#VALUE!</v>
      </c>
      <c r="G40" t="e">
        <f>AND(Answers!AA120,"AAAAAHv/9wY=")</f>
        <v>#VALUE!</v>
      </c>
      <c r="H40" t="e">
        <f>AND(Answers!AB120,"AAAAAHv/9wc=")</f>
        <v>#VALUE!</v>
      </c>
      <c r="I40" t="e">
        <f>AND(Answers!AC120,"AAAAAHv/9wg=")</f>
        <v>#VALUE!</v>
      </c>
      <c r="J40" t="e">
        <f>AND(Answers!AD120,"AAAAAHv/9wk=")</f>
        <v>#VALUE!</v>
      </c>
      <c r="K40" t="e">
        <f>AND(Answers!AE120,"AAAAAHv/9wo=")</f>
        <v>#VALUE!</v>
      </c>
      <c r="L40" t="e">
        <f>AND(Answers!AF120,"AAAAAHv/9ws=")</f>
        <v>#VALUE!</v>
      </c>
      <c r="M40" t="e">
        <f>AND(Answers!AH120,"AAAAAHv/9ww=")</f>
        <v>#VALUE!</v>
      </c>
      <c r="N40" t="e">
        <f>AND(Answers!AI120,"AAAAAHv/9w0=")</f>
        <v>#VALUE!</v>
      </c>
      <c r="O40" t="e">
        <f>AND(Answers!AK120,"AAAAAHv/9w4=")</f>
        <v>#VALUE!</v>
      </c>
      <c r="P40" t="e">
        <f>AND(Answers!#REF!,"AAAAAHv/9w8=")</f>
        <v>#REF!</v>
      </c>
      <c r="Q40" t="e">
        <f>AND(Answers!AR120,"AAAAAHv/9xA=")</f>
        <v>#VALUE!</v>
      </c>
      <c r="R40" t="e">
        <f>AND(Answers!AS120,"AAAAAHv/9xE=")</f>
        <v>#VALUE!</v>
      </c>
      <c r="S40" t="e">
        <f>AND(Answers!AT120,"AAAAAHv/9xI=")</f>
        <v>#VALUE!</v>
      </c>
      <c r="T40" t="e">
        <f>AND(Answers!AU120,"AAAAAHv/9xM=")</f>
        <v>#VALUE!</v>
      </c>
      <c r="U40" t="e">
        <f>AND(Answers!AW120,"AAAAAHv/9xQ=")</f>
        <v>#VALUE!</v>
      </c>
      <c r="V40" t="e">
        <f>AND(Answers!AX120,"AAAAAHv/9xU=")</f>
        <v>#VALUE!</v>
      </c>
      <c r="W40" t="e">
        <f>AND(Answers!AY120,"AAAAAHv/9xY=")</f>
        <v>#VALUE!</v>
      </c>
      <c r="X40" t="e">
        <f>AND(Answers!AZ120,"AAAAAHv/9xc=")</f>
        <v>#VALUE!</v>
      </c>
      <c r="Y40" t="e">
        <f>AND(Answers!BA120,"AAAAAHv/9xg=")</f>
        <v>#VALUE!</v>
      </c>
      <c r="Z40" t="e">
        <f>AND(Answers!BB120,"AAAAAHv/9xk=")</f>
        <v>#VALUE!</v>
      </c>
      <c r="AA40" t="e">
        <f>AND(Answers!BC120,"AAAAAHv/9xo=")</f>
        <v>#VALUE!</v>
      </c>
      <c r="AB40" t="e">
        <f>AND(Answers!BD120,"AAAAAHv/9xs=")</f>
        <v>#VALUE!</v>
      </c>
      <c r="AC40" t="e">
        <f>AND(Answers!BE120,"AAAAAHv/9xw=")</f>
        <v>#VALUE!</v>
      </c>
      <c r="AD40" t="e">
        <f>AND(Answers!BF120,"AAAAAHv/9x0=")</f>
        <v>#VALUE!</v>
      </c>
      <c r="AE40" t="e">
        <f>AND(Answers!BG120,"AAAAAHv/9x4=")</f>
        <v>#VALUE!</v>
      </c>
      <c r="AF40" t="e">
        <f>AND(Answers!BH120,"AAAAAHv/9x8=")</f>
        <v>#VALUE!</v>
      </c>
      <c r="AG40" t="e">
        <f>AND(Answers!BI120,"AAAAAHv/9yA=")</f>
        <v>#VALUE!</v>
      </c>
      <c r="AH40" t="e">
        <f>AND(Answers!BK120,"AAAAAHv/9yE=")</f>
        <v>#VALUE!</v>
      </c>
      <c r="AI40" t="e">
        <f>AND(Answers!BL120,"AAAAAHv/9yI=")</f>
        <v>#VALUE!</v>
      </c>
      <c r="AJ40" t="e">
        <f>AND(Answers!BM120,"AAAAAHv/9yM=")</f>
        <v>#VALUE!</v>
      </c>
      <c r="AK40" t="e">
        <f>AND(Answers!BN120,"AAAAAHv/9yQ=")</f>
        <v>#VALUE!</v>
      </c>
      <c r="AL40" t="e">
        <f>AND(Answers!BO120,"AAAAAHv/9yU=")</f>
        <v>#VALUE!</v>
      </c>
      <c r="AM40" t="e">
        <f>AND(Answers!BP120,"AAAAAHv/9yY=")</f>
        <v>#VALUE!</v>
      </c>
      <c r="AN40" t="e">
        <f>AND(Answers!BQ120,"AAAAAHv/9yc=")</f>
        <v>#VALUE!</v>
      </c>
      <c r="AO40" t="e">
        <f>AND(Answers!BR120,"AAAAAHv/9yg=")</f>
        <v>#VALUE!</v>
      </c>
      <c r="AP40" t="e">
        <f>AND(Answers!BS120,"AAAAAHv/9yk=")</f>
        <v>#VALUE!</v>
      </c>
      <c r="AQ40" t="e">
        <f>AND(Answers!BU120,"AAAAAHv/9yo=")</f>
        <v>#VALUE!</v>
      </c>
      <c r="AR40" t="e">
        <f>AND(Answers!BV120,"AAAAAHv/9ys=")</f>
        <v>#VALUE!</v>
      </c>
      <c r="AS40" t="e">
        <f>AND(Answers!#REF!,"AAAAAHv/9yw=")</f>
        <v>#REF!</v>
      </c>
      <c r="AT40" t="e">
        <f>AND(Answers!BW120,"AAAAAHv/9y0=")</f>
        <v>#VALUE!</v>
      </c>
      <c r="AU40" t="e">
        <f>AND(Answers!BX120,"AAAAAHv/9y4=")</f>
        <v>#VALUE!</v>
      </c>
      <c r="AV40" t="e">
        <f>AND(Answers!BY120,"AAAAAHv/9y8=")</f>
        <v>#VALUE!</v>
      </c>
      <c r="AW40" t="e">
        <f>AND(Answers!BZ120,"AAAAAHv/9zA=")</f>
        <v>#VALUE!</v>
      </c>
      <c r="AX40">
        <f>IF(Answers!121:121,"AAAAAHv/9zE=",0)</f>
        <v>0</v>
      </c>
      <c r="AY40" t="e">
        <f>AND(Answers!A121,"AAAAAHv/9zI=")</f>
        <v>#VALUE!</v>
      </c>
      <c r="AZ40" t="e">
        <f>AND(Answers!B121,"AAAAAHv/9zM=")</f>
        <v>#VALUE!</v>
      </c>
      <c r="BA40" t="e">
        <f>AND(Answers!C121,"AAAAAHv/9zQ=")</f>
        <v>#VALUE!</v>
      </c>
      <c r="BB40" t="e">
        <f>AND(Answers!D121,"AAAAAHv/9zU=")</f>
        <v>#VALUE!</v>
      </c>
      <c r="BC40" t="e">
        <f>AND(Answers!E121,"AAAAAHv/9zY=")</f>
        <v>#VALUE!</v>
      </c>
      <c r="BD40" t="e">
        <f>AND(Answers!F121,"AAAAAHv/9zc=")</f>
        <v>#VALUE!</v>
      </c>
      <c r="BE40" t="e">
        <f>AND(Answers!G121,"AAAAAHv/9zg=")</f>
        <v>#VALUE!</v>
      </c>
      <c r="BF40" t="e">
        <f>AND(Answers!H121,"AAAAAHv/9zk=")</f>
        <v>#VALUE!</v>
      </c>
      <c r="BG40" t="e">
        <f>AND(Answers!J121,"AAAAAHv/9zo=")</f>
        <v>#VALUE!</v>
      </c>
      <c r="BH40" t="e">
        <f>AND(Answers!K121,"AAAAAHv/9zs=")</f>
        <v>#VALUE!</v>
      </c>
      <c r="BI40" t="e">
        <f>AND(Answers!L121,"AAAAAHv/9zw=")</f>
        <v>#VALUE!</v>
      </c>
      <c r="BJ40" t="e">
        <f>AND(Answers!M121,"AAAAAHv/9z0=")</f>
        <v>#VALUE!</v>
      </c>
      <c r="BK40" t="e">
        <f>AND(Answers!N121,"AAAAAHv/9z4=")</f>
        <v>#VALUE!</v>
      </c>
      <c r="BL40" t="e">
        <f>AND(Answers!O121,"AAAAAHv/9z8=")</f>
        <v>#VALUE!</v>
      </c>
      <c r="BM40" t="e">
        <f>AND(Answers!P121,"AAAAAHv/90A=")</f>
        <v>#VALUE!</v>
      </c>
      <c r="BN40" t="e">
        <f>AND(Answers!Q121,"AAAAAHv/90E=")</f>
        <v>#VALUE!</v>
      </c>
      <c r="BO40" t="e">
        <f>AND(Answers!R121,"AAAAAHv/90I=")</f>
        <v>#VALUE!</v>
      </c>
      <c r="BP40" t="e">
        <f>AND(Answers!S121,"AAAAAHv/90M=")</f>
        <v>#VALUE!</v>
      </c>
      <c r="BQ40" t="e">
        <f>AND(Answers!T121,"AAAAAHv/90Q=")</f>
        <v>#VALUE!</v>
      </c>
      <c r="BR40" t="e">
        <f>AND(Answers!U121,"AAAAAHv/90U=")</f>
        <v>#VALUE!</v>
      </c>
      <c r="BS40" t="e">
        <f>AND(Answers!V121,"AAAAAHv/90Y=")</f>
        <v>#VALUE!</v>
      </c>
      <c r="BT40" t="e">
        <f>AND(Answers!X121,"AAAAAHv/90c=")</f>
        <v>#VALUE!</v>
      </c>
      <c r="BU40" t="e">
        <f>AND(Answers!Y121,"AAAAAHv/90g=")</f>
        <v>#VALUE!</v>
      </c>
      <c r="BV40" t="e">
        <f>AND(Answers!Z121,"AAAAAHv/90k=")</f>
        <v>#VALUE!</v>
      </c>
      <c r="BW40" t="e">
        <f>AND(Answers!AA121,"AAAAAHv/90o=")</f>
        <v>#VALUE!</v>
      </c>
      <c r="BX40" t="e">
        <f>AND(Answers!AB121,"AAAAAHv/90s=")</f>
        <v>#VALUE!</v>
      </c>
      <c r="BY40" t="e">
        <f>AND(Answers!AC121,"AAAAAHv/90w=")</f>
        <v>#VALUE!</v>
      </c>
      <c r="BZ40" t="e">
        <f>AND(Answers!AD121,"AAAAAHv/900=")</f>
        <v>#VALUE!</v>
      </c>
      <c r="CA40" t="e">
        <f>AND(Answers!AE121,"AAAAAHv/904=")</f>
        <v>#VALUE!</v>
      </c>
      <c r="CB40" t="e">
        <f>AND(Answers!AF121,"AAAAAHv/908=")</f>
        <v>#VALUE!</v>
      </c>
      <c r="CC40" t="e">
        <f>AND(Answers!AH121,"AAAAAHv/91A=")</f>
        <v>#VALUE!</v>
      </c>
      <c r="CD40" t="e">
        <f>AND(Answers!AI121,"AAAAAHv/91E=")</f>
        <v>#VALUE!</v>
      </c>
      <c r="CE40" t="e">
        <f>AND(Answers!AK121,"AAAAAHv/91I=")</f>
        <v>#VALUE!</v>
      </c>
      <c r="CF40" t="e">
        <f>AND(Answers!#REF!,"AAAAAHv/91M=")</f>
        <v>#REF!</v>
      </c>
      <c r="CG40" t="e">
        <f>AND(Answers!AR121,"AAAAAHv/91Q=")</f>
        <v>#VALUE!</v>
      </c>
      <c r="CH40" t="e">
        <f>AND(Answers!AS121,"AAAAAHv/91U=")</f>
        <v>#VALUE!</v>
      </c>
      <c r="CI40" t="e">
        <f>AND(Answers!AT121,"AAAAAHv/91Y=")</f>
        <v>#VALUE!</v>
      </c>
      <c r="CJ40" t="e">
        <f>AND(Answers!AU121,"AAAAAHv/91c=")</f>
        <v>#VALUE!</v>
      </c>
      <c r="CK40" t="e">
        <f>AND(Answers!AW121,"AAAAAHv/91g=")</f>
        <v>#VALUE!</v>
      </c>
      <c r="CL40" t="e">
        <f>AND(Answers!AX121,"AAAAAHv/91k=")</f>
        <v>#VALUE!</v>
      </c>
      <c r="CM40" t="e">
        <f>AND(Answers!AY121,"AAAAAHv/91o=")</f>
        <v>#VALUE!</v>
      </c>
      <c r="CN40" t="e">
        <f>AND(Answers!AZ121,"AAAAAHv/91s=")</f>
        <v>#VALUE!</v>
      </c>
      <c r="CO40" t="e">
        <f>AND(Answers!BA121,"AAAAAHv/91w=")</f>
        <v>#VALUE!</v>
      </c>
      <c r="CP40" t="e">
        <f>AND(Answers!BB121,"AAAAAHv/910=")</f>
        <v>#VALUE!</v>
      </c>
      <c r="CQ40" t="e">
        <f>AND(Answers!BC121,"AAAAAHv/914=")</f>
        <v>#VALUE!</v>
      </c>
      <c r="CR40" t="e">
        <f>AND(Answers!BD121,"AAAAAHv/918=")</f>
        <v>#VALUE!</v>
      </c>
      <c r="CS40" t="e">
        <f>AND(Answers!BE121,"AAAAAHv/92A=")</f>
        <v>#VALUE!</v>
      </c>
      <c r="CT40" t="e">
        <f>AND(Answers!BF121,"AAAAAHv/92E=")</f>
        <v>#VALUE!</v>
      </c>
      <c r="CU40" t="e">
        <f>AND(Answers!BG121,"AAAAAHv/92I=")</f>
        <v>#VALUE!</v>
      </c>
      <c r="CV40" t="e">
        <f>AND(Answers!BH121,"AAAAAHv/92M=")</f>
        <v>#VALUE!</v>
      </c>
      <c r="CW40" t="e">
        <f>AND(Answers!BI121,"AAAAAHv/92Q=")</f>
        <v>#VALUE!</v>
      </c>
      <c r="CX40" t="e">
        <f>AND(Answers!BK121,"AAAAAHv/92U=")</f>
        <v>#VALUE!</v>
      </c>
      <c r="CY40" t="e">
        <f>AND(Answers!BL121,"AAAAAHv/92Y=")</f>
        <v>#VALUE!</v>
      </c>
      <c r="CZ40" t="e">
        <f>AND(Answers!BM121,"AAAAAHv/92c=")</f>
        <v>#VALUE!</v>
      </c>
      <c r="DA40" t="e">
        <f>AND(Answers!BN121,"AAAAAHv/92g=")</f>
        <v>#VALUE!</v>
      </c>
      <c r="DB40" t="e">
        <f>AND(Answers!BO121,"AAAAAHv/92k=")</f>
        <v>#VALUE!</v>
      </c>
      <c r="DC40" t="e">
        <f>AND(Answers!BP121,"AAAAAHv/92o=")</f>
        <v>#VALUE!</v>
      </c>
      <c r="DD40" t="e">
        <f>AND(Answers!BQ121,"AAAAAHv/92s=")</f>
        <v>#VALUE!</v>
      </c>
      <c r="DE40" t="e">
        <f>AND(Answers!BR121,"AAAAAHv/92w=")</f>
        <v>#VALUE!</v>
      </c>
      <c r="DF40" t="e">
        <f>AND(Answers!BS121,"AAAAAHv/920=")</f>
        <v>#VALUE!</v>
      </c>
      <c r="DG40" t="e">
        <f>AND(Answers!BU121,"AAAAAHv/924=")</f>
        <v>#VALUE!</v>
      </c>
      <c r="DH40" t="e">
        <f>AND(Answers!BV121,"AAAAAHv/928=")</f>
        <v>#VALUE!</v>
      </c>
      <c r="DI40" t="e">
        <f>AND(Answers!#REF!,"AAAAAHv/93A=")</f>
        <v>#REF!</v>
      </c>
      <c r="DJ40" t="e">
        <f>AND(Answers!BW121,"AAAAAHv/93E=")</f>
        <v>#VALUE!</v>
      </c>
      <c r="DK40" t="e">
        <f>AND(Answers!BX121,"AAAAAHv/93I=")</f>
        <v>#VALUE!</v>
      </c>
      <c r="DL40" t="e">
        <f>AND(Answers!BY121,"AAAAAHv/93M=")</f>
        <v>#VALUE!</v>
      </c>
      <c r="DM40" t="e">
        <f>AND(Answers!BZ121,"AAAAAHv/93Q=")</f>
        <v>#VALUE!</v>
      </c>
      <c r="DN40" t="e">
        <f>IF(Answers!#REF!,"AAAAAHv/93U=",0)</f>
        <v>#REF!</v>
      </c>
      <c r="DO40" t="e">
        <f>AND(Answers!#REF!,"AAAAAHv/93Y=")</f>
        <v>#REF!</v>
      </c>
      <c r="DP40" t="e">
        <f>AND(Answers!#REF!,"AAAAAHv/93c=")</f>
        <v>#REF!</v>
      </c>
      <c r="DQ40" t="e">
        <f>AND(Answers!#REF!,"AAAAAHv/93g=")</f>
        <v>#REF!</v>
      </c>
      <c r="DR40" t="e">
        <f>AND(Answers!#REF!,"AAAAAHv/93k=")</f>
        <v>#REF!</v>
      </c>
      <c r="DS40" t="e">
        <f>AND(Answers!#REF!,"AAAAAHv/93o=")</f>
        <v>#REF!</v>
      </c>
      <c r="DT40" t="e">
        <f>AND(Answers!#REF!,"AAAAAHv/93s=")</f>
        <v>#REF!</v>
      </c>
      <c r="DU40" t="e">
        <f>AND(Answers!#REF!,"AAAAAHv/93w=")</f>
        <v>#REF!</v>
      </c>
      <c r="DV40" t="e">
        <f>AND(Answers!#REF!,"AAAAAHv/930=")</f>
        <v>#REF!</v>
      </c>
      <c r="DW40" t="e">
        <f>AND(Answers!#REF!,"AAAAAHv/934=")</f>
        <v>#REF!</v>
      </c>
      <c r="DX40" t="e">
        <f>AND(Answers!#REF!,"AAAAAHv/938=")</f>
        <v>#REF!</v>
      </c>
      <c r="DY40" t="e">
        <f>AND(Answers!#REF!,"AAAAAHv/94A=")</f>
        <v>#REF!</v>
      </c>
      <c r="DZ40" t="e">
        <f>AND(Answers!#REF!,"AAAAAHv/94E=")</f>
        <v>#REF!</v>
      </c>
      <c r="EA40" t="e">
        <f>AND(Answers!#REF!,"AAAAAHv/94I=")</f>
        <v>#REF!</v>
      </c>
      <c r="EB40" t="e">
        <f>AND(Answers!#REF!,"AAAAAHv/94M=")</f>
        <v>#REF!</v>
      </c>
      <c r="EC40" t="e">
        <f>AND(Answers!#REF!,"AAAAAHv/94Q=")</f>
        <v>#REF!</v>
      </c>
      <c r="ED40" t="e">
        <f>AND(Answers!#REF!,"AAAAAHv/94U=")</f>
        <v>#REF!</v>
      </c>
      <c r="EE40" t="e">
        <f>AND(Answers!#REF!,"AAAAAHv/94Y=")</f>
        <v>#REF!</v>
      </c>
      <c r="EF40" t="e">
        <f>AND(Answers!#REF!,"AAAAAHv/94c=")</f>
        <v>#REF!</v>
      </c>
      <c r="EG40" t="e">
        <f>AND(Answers!#REF!,"AAAAAHv/94g=")</f>
        <v>#REF!</v>
      </c>
      <c r="EH40" t="e">
        <f>AND(Answers!#REF!,"AAAAAHv/94k=")</f>
        <v>#REF!</v>
      </c>
      <c r="EI40" t="e">
        <f>AND(Answers!#REF!,"AAAAAHv/94o=")</f>
        <v>#REF!</v>
      </c>
      <c r="EJ40" t="e">
        <f>AND(Answers!#REF!,"AAAAAHv/94s=")</f>
        <v>#REF!</v>
      </c>
      <c r="EK40" t="e">
        <f>AND(Answers!#REF!,"AAAAAHv/94w=")</f>
        <v>#REF!</v>
      </c>
      <c r="EL40" t="e">
        <f>AND(Answers!#REF!,"AAAAAHv/940=")</f>
        <v>#REF!</v>
      </c>
      <c r="EM40" t="e">
        <f>AND(Answers!#REF!,"AAAAAHv/944=")</f>
        <v>#REF!</v>
      </c>
      <c r="EN40" t="e">
        <f>AND(Answers!#REF!,"AAAAAHv/948=")</f>
        <v>#REF!</v>
      </c>
      <c r="EO40" t="e">
        <f>AND(Answers!#REF!,"AAAAAHv/95A=")</f>
        <v>#REF!</v>
      </c>
      <c r="EP40" t="e">
        <f>AND(Answers!#REF!,"AAAAAHv/95E=")</f>
        <v>#REF!</v>
      </c>
      <c r="EQ40" t="e">
        <f>AND(Answers!#REF!,"AAAAAHv/95I=")</f>
        <v>#REF!</v>
      </c>
      <c r="ER40" t="e">
        <f>AND(Answers!#REF!,"AAAAAHv/95M=")</f>
        <v>#REF!</v>
      </c>
      <c r="ES40" t="e">
        <f>AND(Answers!#REF!,"AAAAAHv/95Q=")</f>
        <v>#REF!</v>
      </c>
      <c r="ET40" t="e">
        <f>AND(Answers!#REF!,"AAAAAHv/95U=")</f>
        <v>#REF!</v>
      </c>
      <c r="EU40" t="e">
        <f>AND(Answers!#REF!,"AAAAAHv/95Y=")</f>
        <v>#REF!</v>
      </c>
      <c r="EV40" t="e">
        <f>AND(Answers!#REF!,"AAAAAHv/95c=")</f>
        <v>#REF!</v>
      </c>
      <c r="EW40" t="e">
        <f>AND(Answers!#REF!,"AAAAAHv/95g=")</f>
        <v>#REF!</v>
      </c>
      <c r="EX40" t="e">
        <f>AND(Answers!#REF!,"AAAAAHv/95k=")</f>
        <v>#REF!</v>
      </c>
      <c r="EY40" t="e">
        <f>AND(Answers!#REF!,"AAAAAHv/95o=")</f>
        <v>#REF!</v>
      </c>
      <c r="EZ40" t="e">
        <f>AND(Answers!#REF!,"AAAAAHv/95s=")</f>
        <v>#REF!</v>
      </c>
      <c r="FA40" t="e">
        <f>AND(Answers!#REF!,"AAAAAHv/95w=")</f>
        <v>#REF!</v>
      </c>
      <c r="FB40" t="e">
        <f>AND(Answers!#REF!,"AAAAAHv/950=")</f>
        <v>#REF!</v>
      </c>
      <c r="FC40" t="e">
        <f>AND(Answers!#REF!,"AAAAAHv/954=")</f>
        <v>#REF!</v>
      </c>
      <c r="FD40" t="e">
        <f>AND(Answers!#REF!,"AAAAAHv/958=")</f>
        <v>#REF!</v>
      </c>
      <c r="FE40" t="e">
        <f>AND(Answers!#REF!,"AAAAAHv/96A=")</f>
        <v>#REF!</v>
      </c>
      <c r="FF40" t="e">
        <f>AND(Answers!#REF!,"AAAAAHv/96E=")</f>
        <v>#REF!</v>
      </c>
      <c r="FG40" t="e">
        <f>AND(Answers!#REF!,"AAAAAHv/96I=")</f>
        <v>#REF!</v>
      </c>
      <c r="FH40" t="e">
        <f>AND(Answers!#REF!,"AAAAAHv/96M=")</f>
        <v>#REF!</v>
      </c>
      <c r="FI40" t="e">
        <f>AND(Answers!#REF!,"AAAAAHv/96Q=")</f>
        <v>#REF!</v>
      </c>
      <c r="FJ40" t="e">
        <f>AND(Answers!#REF!,"AAAAAHv/96U=")</f>
        <v>#REF!</v>
      </c>
      <c r="FK40" t="e">
        <f>AND(Answers!#REF!,"AAAAAHv/96Y=")</f>
        <v>#REF!</v>
      </c>
      <c r="FL40" t="e">
        <f>AND(Answers!#REF!,"AAAAAHv/96c=")</f>
        <v>#REF!</v>
      </c>
      <c r="FM40" t="e">
        <f>AND(Answers!#REF!,"AAAAAHv/96g=")</f>
        <v>#REF!</v>
      </c>
      <c r="FN40" t="e">
        <f>AND(Answers!#REF!,"AAAAAHv/96k=")</f>
        <v>#REF!</v>
      </c>
      <c r="FO40" t="e">
        <f>AND(Answers!#REF!,"AAAAAHv/96o=")</f>
        <v>#REF!</v>
      </c>
      <c r="FP40" t="e">
        <f>AND(Answers!#REF!,"AAAAAHv/96s=")</f>
        <v>#REF!</v>
      </c>
      <c r="FQ40" t="e">
        <f>AND(Answers!#REF!,"AAAAAHv/96w=")</f>
        <v>#REF!</v>
      </c>
      <c r="FR40" t="e">
        <f>AND(Answers!#REF!,"AAAAAHv/960=")</f>
        <v>#REF!</v>
      </c>
      <c r="FS40" t="e">
        <f>AND(Answers!#REF!,"AAAAAHv/964=")</f>
        <v>#REF!</v>
      </c>
      <c r="FT40" t="e">
        <f>AND(Answers!#REF!,"AAAAAHv/968=")</f>
        <v>#REF!</v>
      </c>
      <c r="FU40" t="e">
        <f>AND(Answers!#REF!,"AAAAAHv/97A=")</f>
        <v>#REF!</v>
      </c>
      <c r="FV40" t="e">
        <f>AND(Answers!#REF!,"AAAAAHv/97E=")</f>
        <v>#REF!</v>
      </c>
      <c r="FW40" t="e">
        <f>AND(Answers!#REF!,"AAAAAHv/97I=")</f>
        <v>#REF!</v>
      </c>
      <c r="FX40" t="e">
        <f>AND(Answers!#REF!,"AAAAAHv/97M=")</f>
        <v>#REF!</v>
      </c>
      <c r="FY40" t="e">
        <f>AND(Answers!#REF!,"AAAAAHv/97Q=")</f>
        <v>#REF!</v>
      </c>
      <c r="FZ40" t="e">
        <f>AND(Answers!#REF!,"AAAAAHv/97U=")</f>
        <v>#REF!</v>
      </c>
      <c r="GA40" t="e">
        <f>AND(Answers!#REF!,"AAAAAHv/97Y=")</f>
        <v>#REF!</v>
      </c>
      <c r="GB40" t="e">
        <f>AND(Answers!#REF!,"AAAAAHv/97c=")</f>
        <v>#REF!</v>
      </c>
      <c r="GC40" t="e">
        <f>AND(Answers!#REF!,"AAAAAHv/97g=")</f>
        <v>#REF!</v>
      </c>
      <c r="GD40">
        <f>IF(Answers!122:122,"AAAAAHv/97k=",0)</f>
        <v>0</v>
      </c>
      <c r="GE40" t="e">
        <f>AND(Answers!A122,"AAAAAHv/97o=")</f>
        <v>#VALUE!</v>
      </c>
      <c r="GF40" t="e">
        <f>AND(Answers!B122,"AAAAAHv/97s=")</f>
        <v>#VALUE!</v>
      </c>
      <c r="GG40" t="e">
        <f>AND(Answers!C122,"AAAAAHv/97w=")</f>
        <v>#VALUE!</v>
      </c>
      <c r="GH40" t="e">
        <f>AND(Answers!D122,"AAAAAHv/970=")</f>
        <v>#VALUE!</v>
      </c>
      <c r="GI40" t="e">
        <f>AND(Answers!E122,"AAAAAHv/974=")</f>
        <v>#VALUE!</v>
      </c>
      <c r="GJ40" t="e">
        <f>AND(Answers!F122,"AAAAAHv/978=")</f>
        <v>#VALUE!</v>
      </c>
      <c r="GK40" t="e">
        <f>AND(Answers!G122,"AAAAAHv/98A=")</f>
        <v>#VALUE!</v>
      </c>
      <c r="GL40" t="e">
        <f>AND(Answers!H122,"AAAAAHv/98E=")</f>
        <v>#VALUE!</v>
      </c>
      <c r="GM40" t="e">
        <f>AND(Answers!J122,"AAAAAHv/98I=")</f>
        <v>#VALUE!</v>
      </c>
      <c r="GN40" t="e">
        <f>AND(Answers!K122,"AAAAAHv/98M=")</f>
        <v>#VALUE!</v>
      </c>
      <c r="GO40" t="e">
        <f>AND(Answers!L122,"AAAAAHv/98Q=")</f>
        <v>#VALUE!</v>
      </c>
      <c r="GP40" t="e">
        <f>AND(Answers!M122,"AAAAAHv/98U=")</f>
        <v>#VALUE!</v>
      </c>
      <c r="GQ40" t="e">
        <f>AND(Answers!N122,"AAAAAHv/98Y=")</f>
        <v>#VALUE!</v>
      </c>
      <c r="GR40" t="e">
        <f>AND(Answers!O122,"AAAAAHv/98c=")</f>
        <v>#VALUE!</v>
      </c>
      <c r="GS40" t="e">
        <f>AND(Answers!P122,"AAAAAHv/98g=")</f>
        <v>#VALUE!</v>
      </c>
      <c r="GT40" t="e">
        <f>AND(Answers!Q122,"AAAAAHv/98k=")</f>
        <v>#VALUE!</v>
      </c>
      <c r="GU40" t="e">
        <f>AND(Answers!R122,"AAAAAHv/98o=")</f>
        <v>#VALUE!</v>
      </c>
      <c r="GV40" t="e">
        <f>AND(Answers!S122,"AAAAAHv/98s=")</f>
        <v>#VALUE!</v>
      </c>
      <c r="GW40" t="e">
        <f>AND(Answers!T122,"AAAAAHv/98w=")</f>
        <v>#VALUE!</v>
      </c>
      <c r="GX40" t="e">
        <f>AND(Answers!U122,"AAAAAHv/980=")</f>
        <v>#VALUE!</v>
      </c>
      <c r="GY40" t="e">
        <f>AND(Answers!V122,"AAAAAHv/984=")</f>
        <v>#VALUE!</v>
      </c>
      <c r="GZ40" t="e">
        <f>AND(Answers!X122,"AAAAAHv/988=")</f>
        <v>#VALUE!</v>
      </c>
      <c r="HA40" t="e">
        <f>AND(Answers!Y122,"AAAAAHv/99A=")</f>
        <v>#VALUE!</v>
      </c>
      <c r="HB40" t="e">
        <f>AND(Answers!Z122,"AAAAAHv/99E=")</f>
        <v>#VALUE!</v>
      </c>
      <c r="HC40" t="e">
        <f>AND(Answers!AA122,"AAAAAHv/99I=")</f>
        <v>#VALUE!</v>
      </c>
      <c r="HD40" t="e">
        <f>AND(Answers!AB122,"AAAAAHv/99M=")</f>
        <v>#VALUE!</v>
      </c>
      <c r="HE40" t="e">
        <f>AND(Answers!AC122,"AAAAAHv/99Q=")</f>
        <v>#VALUE!</v>
      </c>
      <c r="HF40" t="e">
        <f>AND(Answers!AD122,"AAAAAHv/99U=")</f>
        <v>#VALUE!</v>
      </c>
      <c r="HG40" t="e">
        <f>AND(Answers!AE122,"AAAAAHv/99Y=")</f>
        <v>#VALUE!</v>
      </c>
      <c r="HH40" t="e">
        <f>AND(Answers!AF122,"AAAAAHv/99c=")</f>
        <v>#VALUE!</v>
      </c>
      <c r="HI40" t="e">
        <f>AND(Answers!AH122,"AAAAAHv/99g=")</f>
        <v>#VALUE!</v>
      </c>
      <c r="HJ40" t="e">
        <f>AND(Answers!AI122,"AAAAAHv/99k=")</f>
        <v>#VALUE!</v>
      </c>
      <c r="HK40" t="e">
        <f>AND(Answers!AK122,"AAAAAHv/99o=")</f>
        <v>#VALUE!</v>
      </c>
      <c r="HL40" t="e">
        <f>AND(Answers!#REF!,"AAAAAHv/99s=")</f>
        <v>#REF!</v>
      </c>
      <c r="HM40" t="e">
        <f>AND(Answers!AR122,"AAAAAHv/99w=")</f>
        <v>#VALUE!</v>
      </c>
      <c r="HN40" t="e">
        <f>AND(Answers!AS122,"AAAAAHv/990=")</f>
        <v>#VALUE!</v>
      </c>
      <c r="HO40" t="e">
        <f>AND(Answers!AT122,"AAAAAHv/994=")</f>
        <v>#VALUE!</v>
      </c>
      <c r="HP40" t="e">
        <f>AND(Answers!AU122,"AAAAAHv/998=")</f>
        <v>#VALUE!</v>
      </c>
      <c r="HQ40" t="e">
        <f>AND(Answers!AW122,"AAAAAHv/9+A=")</f>
        <v>#VALUE!</v>
      </c>
      <c r="HR40" t="e">
        <f>AND(Answers!AX122,"AAAAAHv/9+E=")</f>
        <v>#VALUE!</v>
      </c>
      <c r="HS40" t="e">
        <f>AND(Answers!AY122,"AAAAAHv/9+I=")</f>
        <v>#VALUE!</v>
      </c>
      <c r="HT40" t="e">
        <f>AND(Answers!AZ122,"AAAAAHv/9+M=")</f>
        <v>#VALUE!</v>
      </c>
      <c r="HU40" t="e">
        <f>AND(Answers!BA122,"AAAAAHv/9+Q=")</f>
        <v>#VALUE!</v>
      </c>
      <c r="HV40" t="e">
        <f>AND(Answers!BB122,"AAAAAHv/9+U=")</f>
        <v>#VALUE!</v>
      </c>
      <c r="HW40" t="e">
        <f>AND(Answers!BC122,"AAAAAHv/9+Y=")</f>
        <v>#VALUE!</v>
      </c>
      <c r="HX40" t="e">
        <f>AND(Answers!BD122,"AAAAAHv/9+c=")</f>
        <v>#VALUE!</v>
      </c>
      <c r="HY40" t="e">
        <f>AND(Answers!BE122,"AAAAAHv/9+g=")</f>
        <v>#VALUE!</v>
      </c>
      <c r="HZ40" t="e">
        <f>AND(Answers!BF122,"AAAAAHv/9+k=")</f>
        <v>#VALUE!</v>
      </c>
      <c r="IA40" t="e">
        <f>AND(Answers!BG122,"AAAAAHv/9+o=")</f>
        <v>#VALUE!</v>
      </c>
      <c r="IB40" t="e">
        <f>AND(Answers!BH122,"AAAAAHv/9+s=")</f>
        <v>#VALUE!</v>
      </c>
      <c r="IC40" t="e">
        <f>AND(Answers!BI122,"AAAAAHv/9+w=")</f>
        <v>#VALUE!</v>
      </c>
      <c r="ID40" t="e">
        <f>AND(Answers!BK122,"AAAAAHv/9+0=")</f>
        <v>#VALUE!</v>
      </c>
      <c r="IE40" t="e">
        <f>AND(Answers!BL122,"AAAAAHv/9+4=")</f>
        <v>#VALUE!</v>
      </c>
      <c r="IF40" t="e">
        <f>AND(Answers!BM122,"AAAAAHv/9+8=")</f>
        <v>#VALUE!</v>
      </c>
      <c r="IG40" t="e">
        <f>AND(Answers!BN122,"AAAAAHv/9/A=")</f>
        <v>#VALUE!</v>
      </c>
      <c r="IH40" t="e">
        <f>AND(Answers!BO122,"AAAAAHv/9/E=")</f>
        <v>#VALUE!</v>
      </c>
      <c r="II40" t="e">
        <f>AND(Answers!BP122,"AAAAAHv/9/I=")</f>
        <v>#VALUE!</v>
      </c>
      <c r="IJ40" t="e">
        <f>AND(Answers!BQ122,"AAAAAHv/9/M=")</f>
        <v>#VALUE!</v>
      </c>
      <c r="IK40" t="e">
        <f>AND(Answers!BR122,"AAAAAHv/9/Q=")</f>
        <v>#VALUE!</v>
      </c>
      <c r="IL40" t="e">
        <f>AND(Answers!BS122,"AAAAAHv/9/U=")</f>
        <v>#VALUE!</v>
      </c>
      <c r="IM40" t="e">
        <f>AND(Answers!BU122,"AAAAAHv/9/Y=")</f>
        <v>#VALUE!</v>
      </c>
      <c r="IN40" t="e">
        <f>AND(Answers!BV122,"AAAAAHv/9/c=")</f>
        <v>#VALUE!</v>
      </c>
      <c r="IO40" t="e">
        <f>AND(Answers!#REF!,"AAAAAHv/9/g=")</f>
        <v>#REF!</v>
      </c>
      <c r="IP40" t="e">
        <f>AND(Answers!BW122,"AAAAAHv/9/k=")</f>
        <v>#VALUE!</v>
      </c>
      <c r="IQ40" t="e">
        <f>AND(Answers!BX122,"AAAAAHv/9/o=")</f>
        <v>#VALUE!</v>
      </c>
      <c r="IR40" t="e">
        <f>AND(Answers!BY122,"AAAAAHv/9/s=")</f>
        <v>#VALUE!</v>
      </c>
      <c r="IS40" t="e">
        <f>AND(Answers!BZ122,"AAAAAHv/9/w=")</f>
        <v>#VALUE!</v>
      </c>
      <c r="IT40">
        <f>IF(Answers!123:123,"AAAAAHv/9/0=",0)</f>
        <v>0</v>
      </c>
      <c r="IU40" t="e">
        <f>AND(Answers!A123,"AAAAAHv/9/4=")</f>
        <v>#VALUE!</v>
      </c>
      <c r="IV40" t="e">
        <f>AND(Answers!B123,"AAAAAHv/9/8=")</f>
        <v>#VALUE!</v>
      </c>
    </row>
    <row r="41" spans="1:256" x14ac:dyDescent="0.15">
      <c r="A41" t="e">
        <f>AND(Answers!C123,"AAAAAHO7rwA=")</f>
        <v>#VALUE!</v>
      </c>
      <c r="B41" t="e">
        <f>AND(Answers!D123,"AAAAAHO7rwE=")</f>
        <v>#VALUE!</v>
      </c>
      <c r="C41" t="e">
        <f>AND(Answers!E123,"AAAAAHO7rwI=")</f>
        <v>#VALUE!</v>
      </c>
      <c r="D41" t="e">
        <f>AND(Answers!F123,"AAAAAHO7rwM=")</f>
        <v>#VALUE!</v>
      </c>
      <c r="E41" t="e">
        <f>AND(Answers!G123,"AAAAAHO7rwQ=")</f>
        <v>#VALUE!</v>
      </c>
      <c r="F41" t="e">
        <f>AND(Answers!H123,"AAAAAHO7rwU=")</f>
        <v>#VALUE!</v>
      </c>
      <c r="G41" t="e">
        <f>AND(Answers!J123,"AAAAAHO7rwY=")</f>
        <v>#VALUE!</v>
      </c>
      <c r="H41" t="e">
        <f>AND(Answers!K123,"AAAAAHO7rwc=")</f>
        <v>#VALUE!</v>
      </c>
      <c r="I41" t="e">
        <f>AND(Answers!L123,"AAAAAHO7rwg=")</f>
        <v>#VALUE!</v>
      </c>
      <c r="J41" t="e">
        <f>AND(Answers!M123,"AAAAAHO7rwk=")</f>
        <v>#VALUE!</v>
      </c>
      <c r="K41" t="e">
        <f>AND(Answers!N123,"AAAAAHO7rwo=")</f>
        <v>#VALUE!</v>
      </c>
      <c r="L41" t="e">
        <f>AND(Answers!O123,"AAAAAHO7rws=")</f>
        <v>#VALUE!</v>
      </c>
      <c r="M41" t="e">
        <f>AND(Answers!P123,"AAAAAHO7rww=")</f>
        <v>#VALUE!</v>
      </c>
      <c r="N41" t="e">
        <f>AND(Answers!Q123,"AAAAAHO7rw0=")</f>
        <v>#VALUE!</v>
      </c>
      <c r="O41" t="e">
        <f>AND(Answers!R123,"AAAAAHO7rw4=")</f>
        <v>#VALUE!</v>
      </c>
      <c r="P41" t="e">
        <f>AND(Answers!S123,"AAAAAHO7rw8=")</f>
        <v>#VALUE!</v>
      </c>
      <c r="Q41" t="e">
        <f>AND(Answers!T123,"AAAAAHO7rxA=")</f>
        <v>#VALUE!</v>
      </c>
      <c r="R41" t="e">
        <f>AND(Answers!U123,"AAAAAHO7rxE=")</f>
        <v>#VALUE!</v>
      </c>
      <c r="S41" t="e">
        <f>AND(Answers!V123,"AAAAAHO7rxI=")</f>
        <v>#VALUE!</v>
      </c>
      <c r="T41" t="e">
        <f>AND(Answers!X123,"AAAAAHO7rxM=")</f>
        <v>#VALUE!</v>
      </c>
      <c r="U41" t="e">
        <f>AND(Answers!Y123,"AAAAAHO7rxQ=")</f>
        <v>#VALUE!</v>
      </c>
      <c r="V41" t="e">
        <f>AND(Answers!Z123,"AAAAAHO7rxU=")</f>
        <v>#VALUE!</v>
      </c>
      <c r="W41" t="e">
        <f>AND(Answers!AA123,"AAAAAHO7rxY=")</f>
        <v>#VALUE!</v>
      </c>
      <c r="X41" t="e">
        <f>AND(Answers!AB123,"AAAAAHO7rxc=")</f>
        <v>#VALUE!</v>
      </c>
      <c r="Y41" t="e">
        <f>AND(Answers!AC123,"AAAAAHO7rxg=")</f>
        <v>#VALUE!</v>
      </c>
      <c r="Z41" t="e">
        <f>AND(Answers!AD123,"AAAAAHO7rxk=")</f>
        <v>#VALUE!</v>
      </c>
      <c r="AA41" t="e">
        <f>AND(Answers!AE123,"AAAAAHO7rxo=")</f>
        <v>#VALUE!</v>
      </c>
      <c r="AB41" t="e">
        <f>AND(Answers!AF123,"AAAAAHO7rxs=")</f>
        <v>#VALUE!</v>
      </c>
      <c r="AC41" t="e">
        <f>AND(Answers!AH123,"AAAAAHO7rxw=")</f>
        <v>#VALUE!</v>
      </c>
      <c r="AD41" t="e">
        <f>AND(Answers!AI123,"AAAAAHO7rx0=")</f>
        <v>#VALUE!</v>
      </c>
      <c r="AE41" t="e">
        <f>AND(Answers!AK123,"AAAAAHO7rx4=")</f>
        <v>#VALUE!</v>
      </c>
      <c r="AF41" t="e">
        <f>AND(Answers!#REF!,"AAAAAHO7rx8=")</f>
        <v>#REF!</v>
      </c>
      <c r="AG41" t="e">
        <f>AND(Answers!AR123,"AAAAAHO7ryA=")</f>
        <v>#VALUE!</v>
      </c>
      <c r="AH41" t="e">
        <f>AND(Answers!AS123,"AAAAAHO7ryE=")</f>
        <v>#VALUE!</v>
      </c>
      <c r="AI41" t="e">
        <f>AND(Answers!AT123,"AAAAAHO7ryI=")</f>
        <v>#VALUE!</v>
      </c>
      <c r="AJ41" t="e">
        <f>AND(Answers!AU123,"AAAAAHO7ryM=")</f>
        <v>#VALUE!</v>
      </c>
      <c r="AK41" t="e">
        <f>AND(Answers!AW123,"AAAAAHO7ryQ=")</f>
        <v>#VALUE!</v>
      </c>
      <c r="AL41" t="e">
        <f>AND(Answers!AX123,"AAAAAHO7ryU=")</f>
        <v>#VALUE!</v>
      </c>
      <c r="AM41" t="e">
        <f>AND(Answers!AY123,"AAAAAHO7ryY=")</f>
        <v>#VALUE!</v>
      </c>
      <c r="AN41" t="e">
        <f>AND(Answers!AZ123,"AAAAAHO7ryc=")</f>
        <v>#VALUE!</v>
      </c>
      <c r="AO41" t="e">
        <f>AND(Answers!BA123,"AAAAAHO7ryg=")</f>
        <v>#VALUE!</v>
      </c>
      <c r="AP41" t="e">
        <f>AND(Answers!BB123,"AAAAAHO7ryk=")</f>
        <v>#VALUE!</v>
      </c>
      <c r="AQ41" t="e">
        <f>AND(Answers!BC123,"AAAAAHO7ryo=")</f>
        <v>#VALUE!</v>
      </c>
      <c r="AR41" t="e">
        <f>AND(Answers!BD123,"AAAAAHO7rys=")</f>
        <v>#VALUE!</v>
      </c>
      <c r="AS41" t="e">
        <f>AND(Answers!BE123,"AAAAAHO7ryw=")</f>
        <v>#VALUE!</v>
      </c>
      <c r="AT41" t="e">
        <f>AND(Answers!BF123,"AAAAAHO7ry0=")</f>
        <v>#VALUE!</v>
      </c>
      <c r="AU41" t="e">
        <f>AND(Answers!BG123,"AAAAAHO7ry4=")</f>
        <v>#VALUE!</v>
      </c>
      <c r="AV41" t="e">
        <f>AND(Answers!BH123,"AAAAAHO7ry8=")</f>
        <v>#VALUE!</v>
      </c>
      <c r="AW41" t="e">
        <f>AND(Answers!BI123,"AAAAAHO7rzA=")</f>
        <v>#VALUE!</v>
      </c>
      <c r="AX41" t="e">
        <f>AND(Answers!BK123,"AAAAAHO7rzE=")</f>
        <v>#VALUE!</v>
      </c>
      <c r="AY41" t="e">
        <f>AND(Answers!BL123,"AAAAAHO7rzI=")</f>
        <v>#VALUE!</v>
      </c>
      <c r="AZ41" t="e">
        <f>AND(Answers!BM123,"AAAAAHO7rzM=")</f>
        <v>#VALUE!</v>
      </c>
      <c r="BA41" t="e">
        <f>AND(Answers!BN123,"AAAAAHO7rzQ=")</f>
        <v>#VALUE!</v>
      </c>
      <c r="BB41" t="e">
        <f>AND(Answers!BO123,"AAAAAHO7rzU=")</f>
        <v>#VALUE!</v>
      </c>
      <c r="BC41" t="e">
        <f>AND(Answers!BP123,"AAAAAHO7rzY=")</f>
        <v>#VALUE!</v>
      </c>
      <c r="BD41" t="e">
        <f>AND(Answers!BQ123,"AAAAAHO7rzc=")</f>
        <v>#VALUE!</v>
      </c>
      <c r="BE41" t="e">
        <f>AND(Answers!BR123,"AAAAAHO7rzg=")</f>
        <v>#VALUE!</v>
      </c>
      <c r="BF41" t="e">
        <f>AND(Answers!BS123,"AAAAAHO7rzk=")</f>
        <v>#VALUE!</v>
      </c>
      <c r="BG41" t="e">
        <f>AND(Answers!BU123,"AAAAAHO7rzo=")</f>
        <v>#VALUE!</v>
      </c>
      <c r="BH41" t="e">
        <f>AND(Answers!BV123,"AAAAAHO7rzs=")</f>
        <v>#VALUE!</v>
      </c>
      <c r="BI41" t="e">
        <f>AND(Answers!#REF!,"AAAAAHO7rzw=")</f>
        <v>#REF!</v>
      </c>
      <c r="BJ41" t="e">
        <f>AND(Answers!BW123,"AAAAAHO7rz0=")</f>
        <v>#VALUE!</v>
      </c>
      <c r="BK41" t="e">
        <f>AND(Answers!BX123,"AAAAAHO7rz4=")</f>
        <v>#VALUE!</v>
      </c>
      <c r="BL41" t="e">
        <f>AND(Answers!BY123,"AAAAAHO7rz8=")</f>
        <v>#VALUE!</v>
      </c>
      <c r="BM41" t="e">
        <f>AND(Answers!BZ123,"AAAAAHO7r0A=")</f>
        <v>#VALUE!</v>
      </c>
      <c r="BN41">
        <f>IF(Answers!124:124,"AAAAAHO7r0E=",0)</f>
        <v>0</v>
      </c>
      <c r="BO41" t="e">
        <f>AND(Answers!A124,"AAAAAHO7r0I=")</f>
        <v>#VALUE!</v>
      </c>
      <c r="BP41" t="e">
        <f>AND(Answers!B124,"AAAAAHO7r0M=")</f>
        <v>#VALUE!</v>
      </c>
      <c r="BQ41" t="e">
        <f>AND(Answers!C124,"AAAAAHO7r0Q=")</f>
        <v>#VALUE!</v>
      </c>
      <c r="BR41" t="e">
        <f>AND(Answers!D124,"AAAAAHO7r0U=")</f>
        <v>#VALUE!</v>
      </c>
      <c r="BS41" t="e">
        <f>AND(Answers!E124,"AAAAAHO7r0Y=")</f>
        <v>#VALUE!</v>
      </c>
      <c r="BT41" t="e">
        <f>AND(Answers!F124,"AAAAAHO7r0c=")</f>
        <v>#VALUE!</v>
      </c>
      <c r="BU41" t="e">
        <f>AND(Answers!G124,"AAAAAHO7r0g=")</f>
        <v>#VALUE!</v>
      </c>
      <c r="BV41" t="e">
        <f>AND(Answers!H124,"AAAAAHO7r0k=")</f>
        <v>#VALUE!</v>
      </c>
      <c r="BW41" t="e">
        <f>AND(Answers!J124,"AAAAAHO7r0o=")</f>
        <v>#VALUE!</v>
      </c>
      <c r="BX41" t="e">
        <f>AND(Answers!K124,"AAAAAHO7r0s=")</f>
        <v>#VALUE!</v>
      </c>
      <c r="BY41" t="e">
        <f>AND(Answers!L124,"AAAAAHO7r0w=")</f>
        <v>#VALUE!</v>
      </c>
      <c r="BZ41" t="e">
        <f>AND(Answers!M124,"AAAAAHO7r00=")</f>
        <v>#VALUE!</v>
      </c>
      <c r="CA41" t="e">
        <f>AND(Answers!N124,"AAAAAHO7r04=")</f>
        <v>#VALUE!</v>
      </c>
      <c r="CB41" t="e">
        <f>AND(Answers!O124,"AAAAAHO7r08=")</f>
        <v>#VALUE!</v>
      </c>
      <c r="CC41" t="e">
        <f>AND(Answers!P124,"AAAAAHO7r1A=")</f>
        <v>#VALUE!</v>
      </c>
      <c r="CD41" t="e">
        <f>AND(Answers!Q124,"AAAAAHO7r1E=")</f>
        <v>#VALUE!</v>
      </c>
      <c r="CE41" t="e">
        <f>AND(Answers!R124,"AAAAAHO7r1I=")</f>
        <v>#VALUE!</v>
      </c>
      <c r="CF41" t="e">
        <f>AND(Answers!S124,"AAAAAHO7r1M=")</f>
        <v>#VALUE!</v>
      </c>
      <c r="CG41" t="e">
        <f>AND(Answers!T124,"AAAAAHO7r1Q=")</f>
        <v>#VALUE!</v>
      </c>
      <c r="CH41" t="e">
        <f>AND(Answers!U124,"AAAAAHO7r1U=")</f>
        <v>#VALUE!</v>
      </c>
      <c r="CI41" t="e">
        <f>AND(Answers!V124,"AAAAAHO7r1Y=")</f>
        <v>#VALUE!</v>
      </c>
      <c r="CJ41" t="e">
        <f>AND(Answers!X124,"AAAAAHO7r1c=")</f>
        <v>#VALUE!</v>
      </c>
      <c r="CK41" t="e">
        <f>AND(Answers!Y124,"AAAAAHO7r1g=")</f>
        <v>#VALUE!</v>
      </c>
      <c r="CL41" t="e">
        <f>AND(Answers!Z124,"AAAAAHO7r1k=")</f>
        <v>#VALUE!</v>
      </c>
      <c r="CM41" t="e">
        <f>AND(Answers!AA124,"AAAAAHO7r1o=")</f>
        <v>#VALUE!</v>
      </c>
      <c r="CN41" t="e">
        <f>AND(Answers!AB124,"AAAAAHO7r1s=")</f>
        <v>#VALUE!</v>
      </c>
      <c r="CO41" t="e">
        <f>AND(Answers!AC124,"AAAAAHO7r1w=")</f>
        <v>#VALUE!</v>
      </c>
      <c r="CP41" t="e">
        <f>AND(Answers!AD124,"AAAAAHO7r10=")</f>
        <v>#VALUE!</v>
      </c>
      <c r="CQ41" t="e">
        <f>AND(Answers!AE124,"AAAAAHO7r14=")</f>
        <v>#VALUE!</v>
      </c>
      <c r="CR41" t="e">
        <f>AND(Answers!AF124,"AAAAAHO7r18=")</f>
        <v>#VALUE!</v>
      </c>
      <c r="CS41" t="e">
        <f>AND(Answers!AH124,"AAAAAHO7r2A=")</f>
        <v>#VALUE!</v>
      </c>
      <c r="CT41" t="e">
        <f>AND(Answers!AI124,"AAAAAHO7r2E=")</f>
        <v>#VALUE!</v>
      </c>
      <c r="CU41" t="e">
        <f>AND(Answers!AK124,"AAAAAHO7r2I=")</f>
        <v>#VALUE!</v>
      </c>
      <c r="CV41" t="e">
        <f>AND(Answers!#REF!,"AAAAAHO7r2M=")</f>
        <v>#REF!</v>
      </c>
      <c r="CW41" t="e">
        <f>AND(Answers!AR124,"AAAAAHO7r2Q=")</f>
        <v>#VALUE!</v>
      </c>
      <c r="CX41" t="e">
        <f>AND(Answers!AS124,"AAAAAHO7r2U=")</f>
        <v>#VALUE!</v>
      </c>
      <c r="CY41" t="e">
        <f>AND(Answers!AT124,"AAAAAHO7r2Y=")</f>
        <v>#VALUE!</v>
      </c>
      <c r="CZ41" t="e">
        <f>AND(Answers!AU124,"AAAAAHO7r2c=")</f>
        <v>#VALUE!</v>
      </c>
      <c r="DA41" t="e">
        <f>AND(Answers!AW124,"AAAAAHO7r2g=")</f>
        <v>#VALUE!</v>
      </c>
      <c r="DB41" t="e">
        <f>AND(Answers!AX124,"AAAAAHO7r2k=")</f>
        <v>#VALUE!</v>
      </c>
      <c r="DC41" t="e">
        <f>AND(Answers!AY124,"AAAAAHO7r2o=")</f>
        <v>#VALUE!</v>
      </c>
      <c r="DD41" t="e">
        <f>AND(Answers!AZ124,"AAAAAHO7r2s=")</f>
        <v>#VALUE!</v>
      </c>
      <c r="DE41" t="e">
        <f>AND(Answers!BA124,"AAAAAHO7r2w=")</f>
        <v>#VALUE!</v>
      </c>
      <c r="DF41" t="e">
        <f>AND(Answers!BB124,"AAAAAHO7r20=")</f>
        <v>#VALUE!</v>
      </c>
      <c r="DG41" t="e">
        <f>AND(Answers!BC124,"AAAAAHO7r24=")</f>
        <v>#VALUE!</v>
      </c>
      <c r="DH41" t="e">
        <f>AND(Answers!BD124,"AAAAAHO7r28=")</f>
        <v>#VALUE!</v>
      </c>
      <c r="DI41" t="e">
        <f>AND(Answers!BE124,"AAAAAHO7r3A=")</f>
        <v>#VALUE!</v>
      </c>
      <c r="DJ41" t="e">
        <f>AND(Answers!BF124,"AAAAAHO7r3E=")</f>
        <v>#VALUE!</v>
      </c>
      <c r="DK41" t="e">
        <f>AND(Answers!BG124,"AAAAAHO7r3I=")</f>
        <v>#VALUE!</v>
      </c>
      <c r="DL41" t="e">
        <f>AND(Answers!BH124,"AAAAAHO7r3M=")</f>
        <v>#VALUE!</v>
      </c>
      <c r="DM41" t="e">
        <f>AND(Answers!BI124,"AAAAAHO7r3Q=")</f>
        <v>#VALUE!</v>
      </c>
      <c r="DN41" t="e">
        <f>AND(Answers!BK124,"AAAAAHO7r3U=")</f>
        <v>#VALUE!</v>
      </c>
      <c r="DO41" t="e">
        <f>AND(Answers!BL124,"AAAAAHO7r3Y=")</f>
        <v>#VALUE!</v>
      </c>
      <c r="DP41" t="e">
        <f>AND(Answers!BM124,"AAAAAHO7r3c=")</f>
        <v>#VALUE!</v>
      </c>
      <c r="DQ41" t="e">
        <f>AND(Answers!BN124,"AAAAAHO7r3g=")</f>
        <v>#VALUE!</v>
      </c>
      <c r="DR41" t="e">
        <f>AND(Answers!BO124,"AAAAAHO7r3k=")</f>
        <v>#VALUE!</v>
      </c>
      <c r="DS41" t="e">
        <f>AND(Answers!BP124,"AAAAAHO7r3o=")</f>
        <v>#VALUE!</v>
      </c>
      <c r="DT41" t="e">
        <f>AND(Answers!BQ124,"AAAAAHO7r3s=")</f>
        <v>#VALUE!</v>
      </c>
      <c r="DU41" t="e">
        <f>AND(Answers!BR124,"AAAAAHO7r3w=")</f>
        <v>#VALUE!</v>
      </c>
      <c r="DV41" t="e">
        <f>AND(Answers!BS124,"AAAAAHO7r30=")</f>
        <v>#VALUE!</v>
      </c>
      <c r="DW41" t="e">
        <f>AND(Answers!BU124,"AAAAAHO7r34=")</f>
        <v>#VALUE!</v>
      </c>
      <c r="DX41" t="e">
        <f>AND(Answers!BV124,"AAAAAHO7r38=")</f>
        <v>#VALUE!</v>
      </c>
      <c r="DY41" t="e">
        <f>AND(Answers!#REF!,"AAAAAHO7r4A=")</f>
        <v>#REF!</v>
      </c>
      <c r="DZ41" t="e">
        <f>AND(Answers!BW124,"AAAAAHO7r4E=")</f>
        <v>#VALUE!</v>
      </c>
      <c r="EA41" t="e">
        <f>AND(Answers!BX124,"AAAAAHO7r4I=")</f>
        <v>#VALUE!</v>
      </c>
      <c r="EB41" t="e">
        <f>AND(Answers!BY124,"AAAAAHO7r4M=")</f>
        <v>#VALUE!</v>
      </c>
      <c r="EC41" t="e">
        <f>AND(Answers!BZ124,"AAAAAHO7r4Q=")</f>
        <v>#VALUE!</v>
      </c>
      <c r="ED41">
        <f>IF(Answers!125:125,"AAAAAHO7r4U=",0)</f>
        <v>0</v>
      </c>
      <c r="EE41" t="e">
        <f>AND(Answers!A125,"AAAAAHO7r4Y=")</f>
        <v>#VALUE!</v>
      </c>
      <c r="EF41" t="e">
        <f>AND(Answers!B125,"AAAAAHO7r4c=")</f>
        <v>#VALUE!</v>
      </c>
      <c r="EG41" t="e">
        <f>AND(Answers!C125,"AAAAAHO7r4g=")</f>
        <v>#VALUE!</v>
      </c>
      <c r="EH41" t="e">
        <f>AND(Answers!D125,"AAAAAHO7r4k=")</f>
        <v>#VALUE!</v>
      </c>
      <c r="EI41" t="e">
        <f>AND(Answers!E125,"AAAAAHO7r4o=")</f>
        <v>#VALUE!</v>
      </c>
      <c r="EJ41" t="e">
        <f>AND(Answers!F125,"AAAAAHO7r4s=")</f>
        <v>#VALUE!</v>
      </c>
      <c r="EK41" t="e">
        <f>AND(Answers!G125,"AAAAAHO7r4w=")</f>
        <v>#VALUE!</v>
      </c>
      <c r="EL41" t="e">
        <f>AND(Answers!H125,"AAAAAHO7r40=")</f>
        <v>#VALUE!</v>
      </c>
      <c r="EM41" t="e">
        <f>AND(Answers!J125,"AAAAAHO7r44=")</f>
        <v>#VALUE!</v>
      </c>
      <c r="EN41" t="e">
        <f>AND(Answers!K125,"AAAAAHO7r48=")</f>
        <v>#VALUE!</v>
      </c>
      <c r="EO41" t="e">
        <f>AND(Answers!L125,"AAAAAHO7r5A=")</f>
        <v>#VALUE!</v>
      </c>
      <c r="EP41" t="e">
        <f>AND(Answers!M125,"AAAAAHO7r5E=")</f>
        <v>#VALUE!</v>
      </c>
      <c r="EQ41" t="e">
        <f>AND(Answers!N125,"AAAAAHO7r5I=")</f>
        <v>#VALUE!</v>
      </c>
      <c r="ER41" t="e">
        <f>AND(Answers!O125,"AAAAAHO7r5M=")</f>
        <v>#VALUE!</v>
      </c>
      <c r="ES41" t="e">
        <f>AND(Answers!P125,"AAAAAHO7r5Q=")</f>
        <v>#VALUE!</v>
      </c>
      <c r="ET41" t="e">
        <f>AND(Answers!Q125,"AAAAAHO7r5U=")</f>
        <v>#VALUE!</v>
      </c>
      <c r="EU41" t="e">
        <f>AND(Answers!R125,"AAAAAHO7r5Y=")</f>
        <v>#VALUE!</v>
      </c>
      <c r="EV41" t="e">
        <f>AND(Answers!S125,"AAAAAHO7r5c=")</f>
        <v>#VALUE!</v>
      </c>
      <c r="EW41" t="e">
        <f>AND(Answers!T125,"AAAAAHO7r5g=")</f>
        <v>#VALUE!</v>
      </c>
      <c r="EX41" t="e">
        <f>AND(Answers!U125,"AAAAAHO7r5k=")</f>
        <v>#VALUE!</v>
      </c>
      <c r="EY41" t="e">
        <f>AND(Answers!V125,"AAAAAHO7r5o=")</f>
        <v>#VALUE!</v>
      </c>
      <c r="EZ41" t="e">
        <f>AND(Answers!X125,"AAAAAHO7r5s=")</f>
        <v>#VALUE!</v>
      </c>
      <c r="FA41" t="e">
        <f>AND(Answers!Y125,"AAAAAHO7r5w=")</f>
        <v>#VALUE!</v>
      </c>
      <c r="FB41" t="e">
        <f>AND(Answers!Z125,"AAAAAHO7r50=")</f>
        <v>#VALUE!</v>
      </c>
      <c r="FC41" t="e">
        <f>AND(Answers!AA125,"AAAAAHO7r54=")</f>
        <v>#VALUE!</v>
      </c>
      <c r="FD41" t="e">
        <f>AND(Answers!AB125,"AAAAAHO7r58=")</f>
        <v>#VALUE!</v>
      </c>
      <c r="FE41" t="e">
        <f>AND(Answers!AC125,"AAAAAHO7r6A=")</f>
        <v>#VALUE!</v>
      </c>
      <c r="FF41" t="e">
        <f>AND(Answers!AD125,"AAAAAHO7r6E=")</f>
        <v>#VALUE!</v>
      </c>
      <c r="FG41" t="e">
        <f>AND(Answers!AE125,"AAAAAHO7r6I=")</f>
        <v>#VALUE!</v>
      </c>
      <c r="FH41" t="e">
        <f>AND(Answers!AF125,"AAAAAHO7r6M=")</f>
        <v>#VALUE!</v>
      </c>
      <c r="FI41" t="e">
        <f>AND(Answers!AH125,"AAAAAHO7r6Q=")</f>
        <v>#VALUE!</v>
      </c>
      <c r="FJ41" t="e">
        <f>AND(Answers!AI125,"AAAAAHO7r6U=")</f>
        <v>#VALUE!</v>
      </c>
      <c r="FK41" t="e">
        <f>AND(Answers!AK125,"AAAAAHO7r6Y=")</f>
        <v>#VALUE!</v>
      </c>
      <c r="FL41" t="e">
        <f>AND(Answers!#REF!,"AAAAAHO7r6c=")</f>
        <v>#REF!</v>
      </c>
      <c r="FM41" t="e">
        <f>AND(Answers!AR125,"AAAAAHO7r6g=")</f>
        <v>#VALUE!</v>
      </c>
      <c r="FN41" t="e">
        <f>AND(Answers!AS125,"AAAAAHO7r6k=")</f>
        <v>#VALUE!</v>
      </c>
      <c r="FO41" t="e">
        <f>AND(Answers!AT125,"AAAAAHO7r6o=")</f>
        <v>#VALUE!</v>
      </c>
      <c r="FP41" t="e">
        <f>AND(Answers!AU125,"AAAAAHO7r6s=")</f>
        <v>#VALUE!</v>
      </c>
      <c r="FQ41" t="e">
        <f>AND(Answers!AW125,"AAAAAHO7r6w=")</f>
        <v>#VALUE!</v>
      </c>
      <c r="FR41" t="e">
        <f>AND(Answers!AX125,"AAAAAHO7r60=")</f>
        <v>#VALUE!</v>
      </c>
      <c r="FS41" t="e">
        <f>AND(Answers!AY125,"AAAAAHO7r64=")</f>
        <v>#VALUE!</v>
      </c>
      <c r="FT41" t="e">
        <f>AND(Answers!AZ125,"AAAAAHO7r68=")</f>
        <v>#VALUE!</v>
      </c>
      <c r="FU41" t="e">
        <f>AND(Answers!BA125,"AAAAAHO7r7A=")</f>
        <v>#VALUE!</v>
      </c>
      <c r="FV41" t="e">
        <f>AND(Answers!BB125,"AAAAAHO7r7E=")</f>
        <v>#VALUE!</v>
      </c>
      <c r="FW41" t="e">
        <f>AND(Answers!BC125,"AAAAAHO7r7I=")</f>
        <v>#VALUE!</v>
      </c>
      <c r="FX41" t="e">
        <f>AND(Answers!BD125,"AAAAAHO7r7M=")</f>
        <v>#VALUE!</v>
      </c>
      <c r="FY41" t="e">
        <f>AND(Answers!BE125,"AAAAAHO7r7Q=")</f>
        <v>#VALUE!</v>
      </c>
      <c r="FZ41" t="e">
        <f>AND(Answers!BF125,"AAAAAHO7r7U=")</f>
        <v>#VALUE!</v>
      </c>
      <c r="GA41" t="e">
        <f>AND(Answers!BG125,"AAAAAHO7r7Y=")</f>
        <v>#VALUE!</v>
      </c>
      <c r="GB41" t="e">
        <f>AND(Answers!BH125,"AAAAAHO7r7c=")</f>
        <v>#VALUE!</v>
      </c>
      <c r="GC41" t="e">
        <f>AND(Answers!BI125,"AAAAAHO7r7g=")</f>
        <v>#VALUE!</v>
      </c>
      <c r="GD41" t="e">
        <f>AND(Answers!BK125,"AAAAAHO7r7k=")</f>
        <v>#VALUE!</v>
      </c>
      <c r="GE41" t="e">
        <f>AND(Answers!BL125,"AAAAAHO7r7o=")</f>
        <v>#VALUE!</v>
      </c>
      <c r="GF41" t="e">
        <f>AND(Answers!BM125,"AAAAAHO7r7s=")</f>
        <v>#VALUE!</v>
      </c>
      <c r="GG41" t="e">
        <f>AND(Answers!BN125,"AAAAAHO7r7w=")</f>
        <v>#VALUE!</v>
      </c>
      <c r="GH41" t="e">
        <f>AND(Answers!BO125,"AAAAAHO7r70=")</f>
        <v>#VALUE!</v>
      </c>
      <c r="GI41" t="e">
        <f>AND(Answers!BP125,"AAAAAHO7r74=")</f>
        <v>#VALUE!</v>
      </c>
      <c r="GJ41" t="e">
        <f>AND(Answers!BQ125,"AAAAAHO7r78=")</f>
        <v>#VALUE!</v>
      </c>
      <c r="GK41" t="e">
        <f>AND(Answers!BR125,"AAAAAHO7r8A=")</f>
        <v>#VALUE!</v>
      </c>
      <c r="GL41" t="e">
        <f>AND(Answers!BS125,"AAAAAHO7r8E=")</f>
        <v>#VALUE!</v>
      </c>
      <c r="GM41" t="e">
        <f>AND(Answers!BU125,"AAAAAHO7r8I=")</f>
        <v>#VALUE!</v>
      </c>
      <c r="GN41" t="e">
        <f>AND(Answers!BV125,"AAAAAHO7r8M=")</f>
        <v>#VALUE!</v>
      </c>
      <c r="GO41" t="e">
        <f>AND(Answers!#REF!,"AAAAAHO7r8Q=")</f>
        <v>#REF!</v>
      </c>
      <c r="GP41" t="e">
        <f>AND(Answers!BW125,"AAAAAHO7r8U=")</f>
        <v>#VALUE!</v>
      </c>
      <c r="GQ41" t="e">
        <f>AND(Answers!BX125,"AAAAAHO7r8Y=")</f>
        <v>#VALUE!</v>
      </c>
      <c r="GR41" t="e">
        <f>AND(Answers!BY125,"AAAAAHO7r8c=")</f>
        <v>#VALUE!</v>
      </c>
      <c r="GS41" t="e">
        <f>AND(Answers!BZ125,"AAAAAHO7r8g=")</f>
        <v>#VALUE!</v>
      </c>
      <c r="GT41">
        <f>IF(Answers!126:126,"AAAAAHO7r8k=",0)</f>
        <v>0</v>
      </c>
      <c r="GU41" t="e">
        <f>AND(Answers!A126,"AAAAAHO7r8o=")</f>
        <v>#VALUE!</v>
      </c>
      <c r="GV41" t="e">
        <f>AND(Answers!B126,"AAAAAHO7r8s=")</f>
        <v>#VALUE!</v>
      </c>
      <c r="GW41" t="e">
        <f>AND(Answers!C126,"AAAAAHO7r8w=")</f>
        <v>#VALUE!</v>
      </c>
      <c r="GX41" t="e">
        <f>AND(Answers!D126,"AAAAAHO7r80=")</f>
        <v>#VALUE!</v>
      </c>
      <c r="GY41" t="e">
        <f>AND(Answers!E126,"AAAAAHO7r84=")</f>
        <v>#VALUE!</v>
      </c>
      <c r="GZ41" t="e">
        <f>AND(Answers!F126,"AAAAAHO7r88=")</f>
        <v>#VALUE!</v>
      </c>
      <c r="HA41" t="e">
        <f>AND(Answers!G126,"AAAAAHO7r9A=")</f>
        <v>#VALUE!</v>
      </c>
      <c r="HB41" t="e">
        <f>AND(Answers!H126,"AAAAAHO7r9E=")</f>
        <v>#VALUE!</v>
      </c>
      <c r="HC41" t="e">
        <f>AND(Answers!J126,"AAAAAHO7r9I=")</f>
        <v>#VALUE!</v>
      </c>
      <c r="HD41" t="e">
        <f>AND(Answers!K126,"AAAAAHO7r9M=")</f>
        <v>#VALUE!</v>
      </c>
      <c r="HE41" t="e">
        <f>AND(Answers!L126,"AAAAAHO7r9Q=")</f>
        <v>#VALUE!</v>
      </c>
      <c r="HF41" t="e">
        <f>AND(Answers!M126,"AAAAAHO7r9U=")</f>
        <v>#VALUE!</v>
      </c>
      <c r="HG41" t="e">
        <f>AND(Answers!N126,"AAAAAHO7r9Y=")</f>
        <v>#VALUE!</v>
      </c>
      <c r="HH41" t="e">
        <f>AND(Answers!O126,"AAAAAHO7r9c=")</f>
        <v>#VALUE!</v>
      </c>
      <c r="HI41" t="e">
        <f>AND(Answers!P126,"AAAAAHO7r9g=")</f>
        <v>#VALUE!</v>
      </c>
      <c r="HJ41" t="e">
        <f>AND(Answers!Q126,"AAAAAHO7r9k=")</f>
        <v>#VALUE!</v>
      </c>
      <c r="HK41" t="e">
        <f>AND(Answers!R126,"AAAAAHO7r9o=")</f>
        <v>#VALUE!</v>
      </c>
      <c r="HL41" t="e">
        <f>AND(Answers!S126,"AAAAAHO7r9s=")</f>
        <v>#VALUE!</v>
      </c>
      <c r="HM41" t="e">
        <f>AND(Answers!T126,"AAAAAHO7r9w=")</f>
        <v>#VALUE!</v>
      </c>
      <c r="HN41" t="e">
        <f>AND(Answers!U126,"AAAAAHO7r90=")</f>
        <v>#VALUE!</v>
      </c>
      <c r="HO41" t="e">
        <f>AND(Answers!V126,"AAAAAHO7r94=")</f>
        <v>#VALUE!</v>
      </c>
      <c r="HP41" t="e">
        <f>AND(Answers!X126,"AAAAAHO7r98=")</f>
        <v>#VALUE!</v>
      </c>
      <c r="HQ41" t="e">
        <f>AND(Answers!Y126,"AAAAAHO7r+A=")</f>
        <v>#VALUE!</v>
      </c>
      <c r="HR41" t="e">
        <f>AND(Answers!Z126,"AAAAAHO7r+E=")</f>
        <v>#VALUE!</v>
      </c>
      <c r="HS41" t="e">
        <f>AND(Answers!AA126,"AAAAAHO7r+I=")</f>
        <v>#VALUE!</v>
      </c>
      <c r="HT41" t="e">
        <f>AND(Answers!AB126,"AAAAAHO7r+M=")</f>
        <v>#VALUE!</v>
      </c>
      <c r="HU41" t="e">
        <f>AND(Answers!AC126,"AAAAAHO7r+Q=")</f>
        <v>#VALUE!</v>
      </c>
      <c r="HV41" t="e">
        <f>AND(Answers!AD126,"AAAAAHO7r+U=")</f>
        <v>#VALUE!</v>
      </c>
      <c r="HW41" t="e">
        <f>AND(Answers!AE126,"AAAAAHO7r+Y=")</f>
        <v>#VALUE!</v>
      </c>
      <c r="HX41" t="e">
        <f>AND(Answers!AF126,"AAAAAHO7r+c=")</f>
        <v>#VALUE!</v>
      </c>
      <c r="HY41" t="e">
        <f>AND(Answers!AH126,"AAAAAHO7r+g=")</f>
        <v>#VALUE!</v>
      </c>
      <c r="HZ41" t="e">
        <f>AND(Answers!AI126,"AAAAAHO7r+k=")</f>
        <v>#VALUE!</v>
      </c>
      <c r="IA41" t="e">
        <f>AND(Answers!AK126,"AAAAAHO7r+o=")</f>
        <v>#VALUE!</v>
      </c>
      <c r="IB41" t="e">
        <f>AND(Answers!#REF!,"AAAAAHO7r+s=")</f>
        <v>#REF!</v>
      </c>
      <c r="IC41" t="e">
        <f>AND(Answers!AR126,"AAAAAHO7r+w=")</f>
        <v>#VALUE!</v>
      </c>
      <c r="ID41" t="e">
        <f>AND(Answers!AS126,"AAAAAHO7r+0=")</f>
        <v>#VALUE!</v>
      </c>
      <c r="IE41" t="e">
        <f>AND(Answers!AT126,"AAAAAHO7r+4=")</f>
        <v>#VALUE!</v>
      </c>
      <c r="IF41" t="e">
        <f>AND(Answers!AU126,"AAAAAHO7r+8=")</f>
        <v>#VALUE!</v>
      </c>
      <c r="IG41" t="e">
        <f>AND(Answers!AW126,"AAAAAHO7r/A=")</f>
        <v>#VALUE!</v>
      </c>
      <c r="IH41" t="e">
        <f>AND(Answers!AX126,"AAAAAHO7r/E=")</f>
        <v>#VALUE!</v>
      </c>
      <c r="II41" t="e">
        <f>AND(Answers!AY126,"AAAAAHO7r/I=")</f>
        <v>#VALUE!</v>
      </c>
      <c r="IJ41" t="e">
        <f>AND(Answers!AZ126,"AAAAAHO7r/M=")</f>
        <v>#VALUE!</v>
      </c>
      <c r="IK41" t="e">
        <f>AND(Answers!BA126,"AAAAAHO7r/Q=")</f>
        <v>#VALUE!</v>
      </c>
      <c r="IL41" t="e">
        <f>AND(Answers!BB126,"AAAAAHO7r/U=")</f>
        <v>#VALUE!</v>
      </c>
      <c r="IM41" t="e">
        <f>AND(Answers!BC126,"AAAAAHO7r/Y=")</f>
        <v>#VALUE!</v>
      </c>
      <c r="IN41" t="e">
        <f>AND(Answers!BD126,"AAAAAHO7r/c=")</f>
        <v>#VALUE!</v>
      </c>
      <c r="IO41" t="e">
        <f>AND(Answers!BE126,"AAAAAHO7r/g=")</f>
        <v>#VALUE!</v>
      </c>
      <c r="IP41" t="e">
        <f>AND(Answers!BF126,"AAAAAHO7r/k=")</f>
        <v>#VALUE!</v>
      </c>
      <c r="IQ41" t="e">
        <f>AND(Answers!BG126,"AAAAAHO7r/o=")</f>
        <v>#VALUE!</v>
      </c>
      <c r="IR41" t="e">
        <f>AND(Answers!BH126,"AAAAAHO7r/s=")</f>
        <v>#VALUE!</v>
      </c>
      <c r="IS41" t="e">
        <f>AND(Answers!BI126,"AAAAAHO7r/w=")</f>
        <v>#VALUE!</v>
      </c>
      <c r="IT41" t="e">
        <f>AND(Answers!BK126,"AAAAAHO7r/0=")</f>
        <v>#VALUE!</v>
      </c>
      <c r="IU41" t="e">
        <f>AND(Answers!BL126,"AAAAAHO7r/4=")</f>
        <v>#VALUE!</v>
      </c>
      <c r="IV41" t="e">
        <f>AND(Answers!BM126,"AAAAAHO7r/8=")</f>
        <v>#VALUE!</v>
      </c>
    </row>
    <row r="42" spans="1:256" x14ac:dyDescent="0.15">
      <c r="A42" t="e">
        <f>AND(Answers!BN126,"AAAAAA/57wA=")</f>
        <v>#VALUE!</v>
      </c>
      <c r="B42" t="e">
        <f>AND(Answers!BO126,"AAAAAA/57wE=")</f>
        <v>#VALUE!</v>
      </c>
      <c r="C42" t="e">
        <f>AND(Answers!BP126,"AAAAAA/57wI=")</f>
        <v>#VALUE!</v>
      </c>
      <c r="D42" t="e">
        <f>AND(Answers!BQ126,"AAAAAA/57wM=")</f>
        <v>#VALUE!</v>
      </c>
      <c r="E42" t="e">
        <f>AND(Answers!BR126,"AAAAAA/57wQ=")</f>
        <v>#VALUE!</v>
      </c>
      <c r="F42" t="e">
        <f>AND(Answers!BS126,"AAAAAA/57wU=")</f>
        <v>#VALUE!</v>
      </c>
      <c r="G42" t="e">
        <f>AND(Answers!BU126,"AAAAAA/57wY=")</f>
        <v>#VALUE!</v>
      </c>
      <c r="H42" t="e">
        <f>AND(Answers!BV126,"AAAAAA/57wc=")</f>
        <v>#VALUE!</v>
      </c>
      <c r="I42" t="e">
        <f>AND(Answers!#REF!,"AAAAAA/57wg=")</f>
        <v>#REF!</v>
      </c>
      <c r="J42" t="e">
        <f>AND(Answers!BW126,"AAAAAA/57wk=")</f>
        <v>#VALUE!</v>
      </c>
      <c r="K42" t="e">
        <f>AND(Answers!BX126,"AAAAAA/57wo=")</f>
        <v>#VALUE!</v>
      </c>
      <c r="L42" t="e">
        <f>AND(Answers!BY126,"AAAAAA/57ws=")</f>
        <v>#VALUE!</v>
      </c>
      <c r="M42" t="e">
        <f>AND(Answers!BZ126,"AAAAAA/57ww=")</f>
        <v>#VALUE!</v>
      </c>
      <c r="N42">
        <f>IF(Answers!127:127,"AAAAAA/57w0=",0)</f>
        <v>0</v>
      </c>
      <c r="O42" t="e">
        <f>AND(Answers!A127,"AAAAAA/57w4=")</f>
        <v>#VALUE!</v>
      </c>
      <c r="P42" t="e">
        <f>AND(Answers!B127,"AAAAAA/57w8=")</f>
        <v>#VALUE!</v>
      </c>
      <c r="Q42" t="e">
        <f>AND(Answers!C127,"AAAAAA/57xA=")</f>
        <v>#VALUE!</v>
      </c>
      <c r="R42" t="e">
        <f>AND(Answers!D127,"AAAAAA/57xE=")</f>
        <v>#VALUE!</v>
      </c>
      <c r="S42" t="e">
        <f>AND(Answers!E127,"AAAAAA/57xI=")</f>
        <v>#VALUE!</v>
      </c>
      <c r="T42" t="e">
        <f>AND(Answers!F127,"AAAAAA/57xM=")</f>
        <v>#VALUE!</v>
      </c>
      <c r="U42" t="e">
        <f>AND(Answers!G127,"AAAAAA/57xQ=")</f>
        <v>#VALUE!</v>
      </c>
      <c r="V42" t="e">
        <f>AND(Answers!H127,"AAAAAA/57xU=")</f>
        <v>#VALUE!</v>
      </c>
      <c r="W42" t="e">
        <f>AND(Answers!J127,"AAAAAA/57xY=")</f>
        <v>#VALUE!</v>
      </c>
      <c r="X42" t="e">
        <f>AND(Answers!K127,"AAAAAA/57xc=")</f>
        <v>#VALUE!</v>
      </c>
      <c r="Y42" t="e">
        <f>AND(Answers!L127,"AAAAAA/57xg=")</f>
        <v>#VALUE!</v>
      </c>
      <c r="Z42" t="e">
        <f>AND(Answers!M127,"AAAAAA/57xk=")</f>
        <v>#VALUE!</v>
      </c>
      <c r="AA42" t="e">
        <f>AND(Answers!N127,"AAAAAA/57xo=")</f>
        <v>#VALUE!</v>
      </c>
      <c r="AB42" t="e">
        <f>AND(Answers!O127,"AAAAAA/57xs=")</f>
        <v>#VALUE!</v>
      </c>
      <c r="AC42" t="e">
        <f>AND(Answers!P127,"AAAAAA/57xw=")</f>
        <v>#VALUE!</v>
      </c>
      <c r="AD42" t="e">
        <f>AND(Answers!Q127,"AAAAAA/57x0=")</f>
        <v>#VALUE!</v>
      </c>
      <c r="AE42" t="e">
        <f>AND(Answers!R127,"AAAAAA/57x4=")</f>
        <v>#VALUE!</v>
      </c>
      <c r="AF42" t="e">
        <f>AND(Answers!S127,"AAAAAA/57x8=")</f>
        <v>#VALUE!</v>
      </c>
      <c r="AG42" t="e">
        <f>AND(Answers!T127,"AAAAAA/57yA=")</f>
        <v>#VALUE!</v>
      </c>
      <c r="AH42" t="e">
        <f>AND(Answers!U127,"AAAAAA/57yE=")</f>
        <v>#VALUE!</v>
      </c>
      <c r="AI42" t="e">
        <f>AND(Answers!V127,"AAAAAA/57yI=")</f>
        <v>#VALUE!</v>
      </c>
      <c r="AJ42" t="e">
        <f>AND(Answers!X127,"AAAAAA/57yM=")</f>
        <v>#VALUE!</v>
      </c>
      <c r="AK42" t="e">
        <f>AND(Answers!Y127,"AAAAAA/57yQ=")</f>
        <v>#VALUE!</v>
      </c>
      <c r="AL42" t="e">
        <f>AND(Answers!Z127,"AAAAAA/57yU=")</f>
        <v>#VALUE!</v>
      </c>
      <c r="AM42" t="e">
        <f>AND(Answers!AA127,"AAAAAA/57yY=")</f>
        <v>#VALUE!</v>
      </c>
      <c r="AN42" t="e">
        <f>AND(Answers!AB127,"AAAAAA/57yc=")</f>
        <v>#VALUE!</v>
      </c>
      <c r="AO42" t="e">
        <f>AND(Answers!AC127,"AAAAAA/57yg=")</f>
        <v>#VALUE!</v>
      </c>
      <c r="AP42" t="e">
        <f>AND(Answers!AD127,"AAAAAA/57yk=")</f>
        <v>#VALUE!</v>
      </c>
      <c r="AQ42" t="e">
        <f>AND(Answers!AE127,"AAAAAA/57yo=")</f>
        <v>#VALUE!</v>
      </c>
      <c r="AR42" t="e">
        <f>AND(Answers!AF127,"AAAAAA/57ys=")</f>
        <v>#VALUE!</v>
      </c>
      <c r="AS42" t="e">
        <f>AND(Answers!AH127,"AAAAAA/57yw=")</f>
        <v>#VALUE!</v>
      </c>
      <c r="AT42" t="e">
        <f>AND(Answers!AI127,"AAAAAA/57y0=")</f>
        <v>#VALUE!</v>
      </c>
      <c r="AU42" t="e">
        <f>AND(Answers!AK127,"AAAAAA/57y4=")</f>
        <v>#VALUE!</v>
      </c>
      <c r="AV42" t="e">
        <f>AND(Answers!#REF!,"AAAAAA/57y8=")</f>
        <v>#REF!</v>
      </c>
      <c r="AW42" t="e">
        <f>AND(Answers!AR127,"AAAAAA/57zA=")</f>
        <v>#VALUE!</v>
      </c>
      <c r="AX42" t="e">
        <f>AND(Answers!AS127,"AAAAAA/57zE=")</f>
        <v>#VALUE!</v>
      </c>
      <c r="AY42" t="e">
        <f>AND(Answers!AT127,"AAAAAA/57zI=")</f>
        <v>#VALUE!</v>
      </c>
      <c r="AZ42" t="e">
        <f>AND(Answers!AU127,"AAAAAA/57zM=")</f>
        <v>#VALUE!</v>
      </c>
      <c r="BA42" t="e">
        <f>AND(Answers!AW127,"AAAAAA/57zQ=")</f>
        <v>#VALUE!</v>
      </c>
      <c r="BB42" t="e">
        <f>AND(Answers!AX127,"AAAAAA/57zU=")</f>
        <v>#VALUE!</v>
      </c>
      <c r="BC42" t="e">
        <f>AND(Answers!AY127,"AAAAAA/57zY=")</f>
        <v>#VALUE!</v>
      </c>
      <c r="BD42" t="e">
        <f>AND(Answers!AZ127,"AAAAAA/57zc=")</f>
        <v>#VALUE!</v>
      </c>
      <c r="BE42" t="e">
        <f>AND(Answers!BA127,"AAAAAA/57zg=")</f>
        <v>#VALUE!</v>
      </c>
      <c r="BF42" t="e">
        <f>AND(Answers!BB127,"AAAAAA/57zk=")</f>
        <v>#VALUE!</v>
      </c>
      <c r="BG42" t="e">
        <f>AND(Answers!BC127,"AAAAAA/57zo=")</f>
        <v>#VALUE!</v>
      </c>
      <c r="BH42" t="e">
        <f>AND(Answers!BD127,"AAAAAA/57zs=")</f>
        <v>#VALUE!</v>
      </c>
      <c r="BI42" t="e">
        <f>AND(Answers!BE127,"AAAAAA/57zw=")</f>
        <v>#VALUE!</v>
      </c>
      <c r="BJ42" t="e">
        <f>AND(Answers!BF127,"AAAAAA/57z0=")</f>
        <v>#VALUE!</v>
      </c>
      <c r="BK42" t="e">
        <f>AND(Answers!BG127,"AAAAAA/57z4=")</f>
        <v>#VALUE!</v>
      </c>
      <c r="BL42" t="e">
        <f>AND(Answers!BH127,"AAAAAA/57z8=")</f>
        <v>#VALUE!</v>
      </c>
      <c r="BM42" t="e">
        <f>AND(Answers!BI127,"AAAAAA/570A=")</f>
        <v>#VALUE!</v>
      </c>
      <c r="BN42" t="e">
        <f>AND(Answers!BK127,"AAAAAA/570E=")</f>
        <v>#VALUE!</v>
      </c>
      <c r="BO42" t="e">
        <f>AND(Answers!BL127,"AAAAAA/570I=")</f>
        <v>#VALUE!</v>
      </c>
      <c r="BP42" t="e">
        <f>AND(Answers!BM127,"AAAAAA/570M=")</f>
        <v>#VALUE!</v>
      </c>
      <c r="BQ42" t="e">
        <f>AND(Answers!BN127,"AAAAAA/570Q=")</f>
        <v>#VALUE!</v>
      </c>
      <c r="BR42" t="e">
        <f>AND(Answers!BO127,"AAAAAA/570U=")</f>
        <v>#VALUE!</v>
      </c>
      <c r="BS42" t="e">
        <f>AND(Answers!BP127,"AAAAAA/570Y=")</f>
        <v>#VALUE!</v>
      </c>
      <c r="BT42" t="e">
        <f>AND(Answers!BQ127,"AAAAAA/570c=")</f>
        <v>#VALUE!</v>
      </c>
      <c r="BU42" t="e">
        <f>AND(Answers!BR127,"AAAAAA/570g=")</f>
        <v>#VALUE!</v>
      </c>
      <c r="BV42" t="e">
        <f>AND(Answers!BS127,"AAAAAA/570k=")</f>
        <v>#VALUE!</v>
      </c>
      <c r="BW42" t="e">
        <f>AND(Answers!BU127,"AAAAAA/570o=")</f>
        <v>#VALUE!</v>
      </c>
      <c r="BX42" t="e">
        <f>AND(Answers!BV127,"AAAAAA/570s=")</f>
        <v>#VALUE!</v>
      </c>
      <c r="BY42" t="e">
        <f>AND(Answers!#REF!,"AAAAAA/570w=")</f>
        <v>#REF!</v>
      </c>
      <c r="BZ42" t="e">
        <f>AND(Answers!BW127,"AAAAAA/5700=")</f>
        <v>#VALUE!</v>
      </c>
      <c r="CA42" t="e">
        <f>AND(Answers!BX127,"AAAAAA/5704=")</f>
        <v>#VALUE!</v>
      </c>
      <c r="CB42" t="e">
        <f>AND(Answers!BY127,"AAAAAA/5708=")</f>
        <v>#VALUE!</v>
      </c>
      <c r="CC42" t="e">
        <f>AND(Answers!BZ127,"AAAAAA/571A=")</f>
        <v>#VALUE!</v>
      </c>
      <c r="CD42">
        <f>IF(Answers!128:128,"AAAAAA/571E=",0)</f>
        <v>0</v>
      </c>
      <c r="CE42" t="e">
        <f>AND(Answers!A128,"AAAAAA/571I=")</f>
        <v>#VALUE!</v>
      </c>
      <c r="CF42" t="e">
        <f>AND(Answers!B128,"AAAAAA/571M=")</f>
        <v>#VALUE!</v>
      </c>
      <c r="CG42" t="e">
        <f>AND(Answers!C128,"AAAAAA/571Q=")</f>
        <v>#VALUE!</v>
      </c>
      <c r="CH42" t="e">
        <f>AND(Answers!D128,"AAAAAA/571U=")</f>
        <v>#VALUE!</v>
      </c>
      <c r="CI42" t="e">
        <f>AND(Answers!E128,"AAAAAA/571Y=")</f>
        <v>#VALUE!</v>
      </c>
      <c r="CJ42" t="e">
        <f>AND(Answers!F128,"AAAAAA/571c=")</f>
        <v>#VALUE!</v>
      </c>
      <c r="CK42" t="e">
        <f>AND(Answers!G128,"AAAAAA/571g=")</f>
        <v>#VALUE!</v>
      </c>
      <c r="CL42" t="e">
        <f>AND(Answers!H128,"AAAAAA/571k=")</f>
        <v>#VALUE!</v>
      </c>
      <c r="CM42" t="e">
        <f>AND(Answers!J128,"AAAAAA/571o=")</f>
        <v>#VALUE!</v>
      </c>
      <c r="CN42" t="e">
        <f>AND(Answers!K128,"AAAAAA/571s=")</f>
        <v>#VALUE!</v>
      </c>
      <c r="CO42" t="e">
        <f>AND(Answers!L128,"AAAAAA/571w=")</f>
        <v>#VALUE!</v>
      </c>
      <c r="CP42" t="e">
        <f>AND(Answers!M128,"AAAAAA/5710=")</f>
        <v>#VALUE!</v>
      </c>
      <c r="CQ42" t="e">
        <f>AND(Answers!N128,"AAAAAA/5714=")</f>
        <v>#VALUE!</v>
      </c>
      <c r="CR42" t="e">
        <f>AND(Answers!O128,"AAAAAA/5718=")</f>
        <v>#VALUE!</v>
      </c>
      <c r="CS42" t="e">
        <f>AND(Answers!P128,"AAAAAA/572A=")</f>
        <v>#VALUE!</v>
      </c>
      <c r="CT42" t="e">
        <f>AND(Answers!Q128,"AAAAAA/572E=")</f>
        <v>#VALUE!</v>
      </c>
      <c r="CU42" t="e">
        <f>AND(Answers!R128,"AAAAAA/572I=")</f>
        <v>#VALUE!</v>
      </c>
      <c r="CV42" t="e">
        <f>AND(Answers!S128,"AAAAAA/572M=")</f>
        <v>#VALUE!</v>
      </c>
      <c r="CW42" t="e">
        <f>AND(Answers!T128,"AAAAAA/572Q=")</f>
        <v>#VALUE!</v>
      </c>
      <c r="CX42" t="e">
        <f>AND(Answers!U128,"AAAAAA/572U=")</f>
        <v>#VALUE!</v>
      </c>
      <c r="CY42" t="e">
        <f>AND(Answers!V128,"AAAAAA/572Y=")</f>
        <v>#VALUE!</v>
      </c>
      <c r="CZ42" t="e">
        <f>AND(Answers!X128,"AAAAAA/572c=")</f>
        <v>#VALUE!</v>
      </c>
      <c r="DA42" t="e">
        <f>AND(Answers!Y128,"AAAAAA/572g=")</f>
        <v>#VALUE!</v>
      </c>
      <c r="DB42" t="e">
        <f>AND(Answers!Z128,"AAAAAA/572k=")</f>
        <v>#VALUE!</v>
      </c>
      <c r="DC42" t="e">
        <f>AND(Answers!AA128,"AAAAAA/572o=")</f>
        <v>#VALUE!</v>
      </c>
      <c r="DD42" t="e">
        <f>AND(Answers!AB128,"AAAAAA/572s=")</f>
        <v>#VALUE!</v>
      </c>
      <c r="DE42" t="e">
        <f>AND(Answers!AC128,"AAAAAA/572w=")</f>
        <v>#VALUE!</v>
      </c>
      <c r="DF42" t="e">
        <f>AND(Answers!AD128,"AAAAAA/5720=")</f>
        <v>#VALUE!</v>
      </c>
      <c r="DG42" t="e">
        <f>AND(Answers!AE128,"AAAAAA/5724=")</f>
        <v>#VALUE!</v>
      </c>
      <c r="DH42" t="e">
        <f>AND(Answers!AF128,"AAAAAA/5728=")</f>
        <v>#VALUE!</v>
      </c>
      <c r="DI42" t="e">
        <f>AND(Answers!AH128,"AAAAAA/573A=")</f>
        <v>#VALUE!</v>
      </c>
      <c r="DJ42" t="e">
        <f>AND(Answers!AI128,"AAAAAA/573E=")</f>
        <v>#VALUE!</v>
      </c>
      <c r="DK42" t="e">
        <f>AND(Answers!AK128,"AAAAAA/573I=")</f>
        <v>#VALUE!</v>
      </c>
      <c r="DL42" t="e">
        <f>AND(Answers!#REF!,"AAAAAA/573M=")</f>
        <v>#REF!</v>
      </c>
      <c r="DM42" t="e">
        <f>AND(Answers!AR128,"AAAAAA/573Q=")</f>
        <v>#VALUE!</v>
      </c>
      <c r="DN42" t="e">
        <f>AND(Answers!AS128,"AAAAAA/573U=")</f>
        <v>#VALUE!</v>
      </c>
      <c r="DO42" t="e">
        <f>AND(Answers!AT128,"AAAAAA/573Y=")</f>
        <v>#VALUE!</v>
      </c>
      <c r="DP42" t="e">
        <f>AND(Answers!AU128,"AAAAAA/573c=")</f>
        <v>#VALUE!</v>
      </c>
      <c r="DQ42" t="e">
        <f>AND(Answers!AW128,"AAAAAA/573g=")</f>
        <v>#VALUE!</v>
      </c>
      <c r="DR42" t="e">
        <f>AND(Answers!AX128,"AAAAAA/573k=")</f>
        <v>#VALUE!</v>
      </c>
      <c r="DS42" t="e">
        <f>AND(Answers!AY128,"AAAAAA/573o=")</f>
        <v>#VALUE!</v>
      </c>
      <c r="DT42" t="e">
        <f>AND(Answers!AZ128,"AAAAAA/573s=")</f>
        <v>#VALUE!</v>
      </c>
      <c r="DU42" t="e">
        <f>AND(Answers!BA128,"AAAAAA/573w=")</f>
        <v>#VALUE!</v>
      </c>
      <c r="DV42" t="e">
        <f>AND(Answers!BB128,"AAAAAA/5730=")</f>
        <v>#VALUE!</v>
      </c>
      <c r="DW42" t="e">
        <f>AND(Answers!BC128,"AAAAAA/5734=")</f>
        <v>#VALUE!</v>
      </c>
      <c r="DX42" t="e">
        <f>AND(Answers!BD128,"AAAAAA/5738=")</f>
        <v>#VALUE!</v>
      </c>
      <c r="DY42" t="e">
        <f>AND(Answers!BE128,"AAAAAA/574A=")</f>
        <v>#VALUE!</v>
      </c>
      <c r="DZ42" t="e">
        <f>AND(Answers!BF128,"AAAAAA/574E=")</f>
        <v>#VALUE!</v>
      </c>
      <c r="EA42" t="e">
        <f>AND(Answers!BG128,"AAAAAA/574I=")</f>
        <v>#VALUE!</v>
      </c>
      <c r="EB42" t="e">
        <f>AND(Answers!BH128,"AAAAAA/574M=")</f>
        <v>#VALUE!</v>
      </c>
      <c r="EC42" t="e">
        <f>AND(Answers!BI128,"AAAAAA/574Q=")</f>
        <v>#VALUE!</v>
      </c>
      <c r="ED42" t="e">
        <f>AND(Answers!BK128,"AAAAAA/574U=")</f>
        <v>#VALUE!</v>
      </c>
      <c r="EE42" t="e">
        <f>AND(Answers!BL128,"AAAAAA/574Y=")</f>
        <v>#VALUE!</v>
      </c>
      <c r="EF42" t="e">
        <f>AND(Answers!BM128,"AAAAAA/574c=")</f>
        <v>#VALUE!</v>
      </c>
      <c r="EG42" t="e">
        <f>AND(Answers!BN128,"AAAAAA/574g=")</f>
        <v>#VALUE!</v>
      </c>
      <c r="EH42" t="e">
        <f>AND(Answers!BO128,"AAAAAA/574k=")</f>
        <v>#VALUE!</v>
      </c>
      <c r="EI42" t="e">
        <f>AND(Answers!BP128,"AAAAAA/574o=")</f>
        <v>#VALUE!</v>
      </c>
      <c r="EJ42" t="e">
        <f>AND(Answers!BQ128,"AAAAAA/574s=")</f>
        <v>#VALUE!</v>
      </c>
      <c r="EK42" t="e">
        <f>AND(Answers!BR128,"AAAAAA/574w=")</f>
        <v>#VALUE!</v>
      </c>
      <c r="EL42" t="e">
        <f>AND(Answers!BS128,"AAAAAA/5740=")</f>
        <v>#VALUE!</v>
      </c>
      <c r="EM42" t="e">
        <f>AND(Answers!BU128,"AAAAAA/5744=")</f>
        <v>#VALUE!</v>
      </c>
      <c r="EN42" t="e">
        <f>AND(Answers!BV128,"AAAAAA/5748=")</f>
        <v>#VALUE!</v>
      </c>
      <c r="EO42" t="e">
        <f>AND(Answers!#REF!,"AAAAAA/575A=")</f>
        <v>#REF!</v>
      </c>
      <c r="EP42" t="e">
        <f>AND(Answers!BW128,"AAAAAA/575E=")</f>
        <v>#VALUE!</v>
      </c>
      <c r="EQ42" t="e">
        <f>AND(Answers!BX128,"AAAAAA/575I=")</f>
        <v>#VALUE!</v>
      </c>
      <c r="ER42" t="e">
        <f>AND(Answers!BY128,"AAAAAA/575M=")</f>
        <v>#VALUE!</v>
      </c>
      <c r="ES42" t="e">
        <f>AND(Answers!BZ128,"AAAAAA/575Q=")</f>
        <v>#VALUE!</v>
      </c>
      <c r="ET42">
        <f>IF(Answers!129:129,"AAAAAA/575U=",0)</f>
        <v>0</v>
      </c>
      <c r="EU42" t="e">
        <f>AND(Answers!A129,"AAAAAA/575Y=")</f>
        <v>#VALUE!</v>
      </c>
      <c r="EV42" t="e">
        <f>AND(Answers!B129,"AAAAAA/575c=")</f>
        <v>#VALUE!</v>
      </c>
      <c r="EW42" t="e">
        <f>AND(Answers!C129,"AAAAAA/575g=")</f>
        <v>#VALUE!</v>
      </c>
      <c r="EX42" t="e">
        <f>AND(Answers!D129,"AAAAAA/575k=")</f>
        <v>#VALUE!</v>
      </c>
      <c r="EY42" t="e">
        <f>AND(Answers!E129,"AAAAAA/575o=")</f>
        <v>#VALUE!</v>
      </c>
      <c r="EZ42" t="e">
        <f>AND(Answers!F129,"AAAAAA/575s=")</f>
        <v>#VALUE!</v>
      </c>
      <c r="FA42" t="e">
        <f>AND(Answers!G129,"AAAAAA/575w=")</f>
        <v>#VALUE!</v>
      </c>
      <c r="FB42" t="e">
        <f>AND(Answers!H129,"AAAAAA/5750=")</f>
        <v>#VALUE!</v>
      </c>
      <c r="FC42" t="e">
        <f>AND(Answers!J129,"AAAAAA/5754=")</f>
        <v>#VALUE!</v>
      </c>
      <c r="FD42" t="e">
        <f>AND(Answers!K129,"AAAAAA/5758=")</f>
        <v>#VALUE!</v>
      </c>
      <c r="FE42" t="e">
        <f>AND(Answers!L129,"AAAAAA/576A=")</f>
        <v>#VALUE!</v>
      </c>
      <c r="FF42" t="e">
        <f>AND(Answers!M129,"AAAAAA/576E=")</f>
        <v>#VALUE!</v>
      </c>
      <c r="FG42" t="e">
        <f>AND(Answers!N129,"AAAAAA/576I=")</f>
        <v>#VALUE!</v>
      </c>
      <c r="FH42" t="e">
        <f>AND(Answers!O129,"AAAAAA/576M=")</f>
        <v>#VALUE!</v>
      </c>
      <c r="FI42" t="e">
        <f>AND(Answers!P129,"AAAAAA/576Q=")</f>
        <v>#VALUE!</v>
      </c>
      <c r="FJ42" t="e">
        <f>AND(Answers!Q129,"AAAAAA/576U=")</f>
        <v>#VALUE!</v>
      </c>
      <c r="FK42" t="e">
        <f>AND(Answers!R129,"AAAAAA/576Y=")</f>
        <v>#VALUE!</v>
      </c>
      <c r="FL42" t="e">
        <f>AND(Answers!S129,"AAAAAA/576c=")</f>
        <v>#VALUE!</v>
      </c>
      <c r="FM42" t="e">
        <f>AND(Answers!T129,"AAAAAA/576g=")</f>
        <v>#VALUE!</v>
      </c>
      <c r="FN42" t="e">
        <f>AND(Answers!U129,"AAAAAA/576k=")</f>
        <v>#VALUE!</v>
      </c>
      <c r="FO42" t="e">
        <f>AND(Answers!V129,"AAAAAA/576o=")</f>
        <v>#VALUE!</v>
      </c>
      <c r="FP42" t="e">
        <f>AND(Answers!X129,"AAAAAA/576s=")</f>
        <v>#VALUE!</v>
      </c>
      <c r="FQ42" t="e">
        <f>AND(Answers!Y129,"AAAAAA/576w=")</f>
        <v>#VALUE!</v>
      </c>
      <c r="FR42" t="e">
        <f>AND(Answers!Z129,"AAAAAA/5760=")</f>
        <v>#VALUE!</v>
      </c>
      <c r="FS42" t="e">
        <f>AND(Answers!AA129,"AAAAAA/5764=")</f>
        <v>#VALUE!</v>
      </c>
      <c r="FT42" t="e">
        <f>AND(Answers!AB129,"AAAAAA/5768=")</f>
        <v>#VALUE!</v>
      </c>
      <c r="FU42" t="e">
        <f>AND(Answers!AC129,"AAAAAA/577A=")</f>
        <v>#VALUE!</v>
      </c>
      <c r="FV42" t="e">
        <f>AND(Answers!AD129,"AAAAAA/577E=")</f>
        <v>#VALUE!</v>
      </c>
      <c r="FW42" t="e">
        <f>AND(Answers!AE129,"AAAAAA/577I=")</f>
        <v>#VALUE!</v>
      </c>
      <c r="FX42" t="e">
        <f>AND(Answers!AF129,"AAAAAA/577M=")</f>
        <v>#VALUE!</v>
      </c>
      <c r="FY42" t="e">
        <f>AND(Answers!AH129,"AAAAAA/577Q=")</f>
        <v>#VALUE!</v>
      </c>
      <c r="FZ42" t="e">
        <f>AND(Answers!AI129,"AAAAAA/577U=")</f>
        <v>#VALUE!</v>
      </c>
      <c r="GA42" t="e">
        <f>AND(Answers!AK129,"AAAAAA/577Y=")</f>
        <v>#VALUE!</v>
      </c>
      <c r="GB42" t="e">
        <f>AND(Answers!#REF!,"AAAAAA/577c=")</f>
        <v>#REF!</v>
      </c>
      <c r="GC42" t="e">
        <f>AND(Answers!AR129,"AAAAAA/577g=")</f>
        <v>#VALUE!</v>
      </c>
      <c r="GD42" t="e">
        <f>AND(Answers!AS129,"AAAAAA/577k=")</f>
        <v>#VALUE!</v>
      </c>
      <c r="GE42" t="e">
        <f>AND(Answers!AT129,"AAAAAA/577o=")</f>
        <v>#VALUE!</v>
      </c>
      <c r="GF42" t="e">
        <f>AND(Answers!AU129,"AAAAAA/577s=")</f>
        <v>#VALUE!</v>
      </c>
      <c r="GG42" t="e">
        <f>AND(Answers!AW129,"AAAAAA/577w=")</f>
        <v>#VALUE!</v>
      </c>
      <c r="GH42" t="e">
        <f>AND(Answers!AX129,"AAAAAA/5770=")</f>
        <v>#VALUE!</v>
      </c>
      <c r="GI42" t="e">
        <f>AND(Answers!AY129,"AAAAAA/5774=")</f>
        <v>#VALUE!</v>
      </c>
      <c r="GJ42" t="e">
        <f>AND(Answers!AZ129,"AAAAAA/5778=")</f>
        <v>#VALUE!</v>
      </c>
      <c r="GK42" t="e">
        <f>AND(Answers!BA129,"AAAAAA/578A=")</f>
        <v>#VALUE!</v>
      </c>
      <c r="GL42" t="e">
        <f>AND(Answers!BB129,"AAAAAA/578E=")</f>
        <v>#VALUE!</v>
      </c>
      <c r="GM42" t="e">
        <f>AND(Answers!BC129,"AAAAAA/578I=")</f>
        <v>#VALUE!</v>
      </c>
      <c r="GN42" t="e">
        <f>AND(Answers!BD129,"AAAAAA/578M=")</f>
        <v>#VALUE!</v>
      </c>
      <c r="GO42" t="e">
        <f>AND(Answers!BE129,"AAAAAA/578Q=")</f>
        <v>#VALUE!</v>
      </c>
      <c r="GP42" t="e">
        <f>AND(Answers!BF129,"AAAAAA/578U=")</f>
        <v>#VALUE!</v>
      </c>
      <c r="GQ42" t="e">
        <f>AND(Answers!BG129,"AAAAAA/578Y=")</f>
        <v>#VALUE!</v>
      </c>
      <c r="GR42" t="e">
        <f>AND(Answers!BH129,"AAAAAA/578c=")</f>
        <v>#VALUE!</v>
      </c>
      <c r="GS42" t="e">
        <f>AND(Answers!BI129,"AAAAAA/578g=")</f>
        <v>#VALUE!</v>
      </c>
      <c r="GT42" t="e">
        <f>AND(Answers!BK129,"AAAAAA/578k=")</f>
        <v>#VALUE!</v>
      </c>
      <c r="GU42" t="e">
        <f>AND(Answers!BL129,"AAAAAA/578o=")</f>
        <v>#VALUE!</v>
      </c>
      <c r="GV42" t="e">
        <f>AND(Answers!BM129,"AAAAAA/578s=")</f>
        <v>#VALUE!</v>
      </c>
      <c r="GW42" t="e">
        <f>AND(Answers!BN129,"AAAAAA/578w=")</f>
        <v>#VALUE!</v>
      </c>
      <c r="GX42" t="e">
        <f>AND(Answers!BO129,"AAAAAA/5780=")</f>
        <v>#VALUE!</v>
      </c>
      <c r="GY42" t="e">
        <f>AND(Answers!BP129,"AAAAAA/5784=")</f>
        <v>#VALUE!</v>
      </c>
      <c r="GZ42" t="e">
        <f>AND(Answers!BQ129,"AAAAAA/5788=")</f>
        <v>#VALUE!</v>
      </c>
      <c r="HA42" t="e">
        <f>AND(Answers!BR129,"AAAAAA/579A=")</f>
        <v>#VALUE!</v>
      </c>
      <c r="HB42" t="e">
        <f>AND(Answers!BS129,"AAAAAA/579E=")</f>
        <v>#VALUE!</v>
      </c>
      <c r="HC42" t="e">
        <f>AND(Answers!BU129,"AAAAAA/579I=")</f>
        <v>#VALUE!</v>
      </c>
      <c r="HD42" t="e">
        <f>AND(Answers!BV129,"AAAAAA/579M=")</f>
        <v>#VALUE!</v>
      </c>
      <c r="HE42" t="e">
        <f>AND(Answers!#REF!,"AAAAAA/579Q=")</f>
        <v>#REF!</v>
      </c>
      <c r="HF42" t="e">
        <f>AND(Answers!BW129,"AAAAAA/579U=")</f>
        <v>#VALUE!</v>
      </c>
      <c r="HG42" t="e">
        <f>AND(Answers!BX129,"AAAAAA/579Y=")</f>
        <v>#VALUE!</v>
      </c>
      <c r="HH42" t="e">
        <f>AND(Answers!BY129,"AAAAAA/579c=")</f>
        <v>#VALUE!</v>
      </c>
      <c r="HI42" t="e">
        <f>AND(Answers!BZ129,"AAAAAA/579g=")</f>
        <v>#VALUE!</v>
      </c>
      <c r="HJ42">
        <f>IF(Answers!130:130,"AAAAAA/579k=",0)</f>
        <v>0</v>
      </c>
      <c r="HK42" t="e">
        <f>AND(Answers!A130,"AAAAAA/579o=")</f>
        <v>#VALUE!</v>
      </c>
      <c r="HL42" t="e">
        <f>AND(Answers!B130,"AAAAAA/579s=")</f>
        <v>#VALUE!</v>
      </c>
      <c r="HM42" t="e">
        <f>AND(Answers!C130,"AAAAAA/579w=")</f>
        <v>#VALUE!</v>
      </c>
      <c r="HN42" t="e">
        <f>AND(Answers!D130,"AAAAAA/5790=")</f>
        <v>#VALUE!</v>
      </c>
      <c r="HO42" t="e">
        <f>AND(Answers!E130,"AAAAAA/5794=")</f>
        <v>#VALUE!</v>
      </c>
      <c r="HP42" t="e">
        <f>AND(Answers!F130,"AAAAAA/5798=")</f>
        <v>#VALUE!</v>
      </c>
      <c r="HQ42" t="e">
        <f>AND(Answers!G130,"AAAAAA/57+A=")</f>
        <v>#VALUE!</v>
      </c>
      <c r="HR42" t="e">
        <f>AND(Answers!H130,"AAAAAA/57+E=")</f>
        <v>#VALUE!</v>
      </c>
      <c r="HS42" t="e">
        <f>AND(Answers!J130,"AAAAAA/57+I=")</f>
        <v>#VALUE!</v>
      </c>
      <c r="HT42" t="e">
        <f>AND(Answers!K130,"AAAAAA/57+M=")</f>
        <v>#VALUE!</v>
      </c>
      <c r="HU42" t="e">
        <f>AND(Answers!L130,"AAAAAA/57+Q=")</f>
        <v>#VALUE!</v>
      </c>
      <c r="HV42" t="e">
        <f>AND(Answers!M130,"AAAAAA/57+U=")</f>
        <v>#VALUE!</v>
      </c>
      <c r="HW42" t="e">
        <f>AND(Answers!N130,"AAAAAA/57+Y=")</f>
        <v>#VALUE!</v>
      </c>
      <c r="HX42" t="e">
        <f>AND(Answers!O130,"AAAAAA/57+c=")</f>
        <v>#VALUE!</v>
      </c>
      <c r="HY42" t="e">
        <f>AND(Answers!P130,"AAAAAA/57+g=")</f>
        <v>#VALUE!</v>
      </c>
      <c r="HZ42" t="e">
        <f>AND(Answers!Q130,"AAAAAA/57+k=")</f>
        <v>#VALUE!</v>
      </c>
      <c r="IA42" t="e">
        <f>AND(Answers!R130,"AAAAAA/57+o=")</f>
        <v>#VALUE!</v>
      </c>
      <c r="IB42" t="e">
        <f>AND(Answers!S130,"AAAAAA/57+s=")</f>
        <v>#VALUE!</v>
      </c>
      <c r="IC42" t="e">
        <f>AND(Answers!T130,"AAAAAA/57+w=")</f>
        <v>#VALUE!</v>
      </c>
      <c r="ID42" t="e">
        <f>AND(Answers!U130,"AAAAAA/57+0=")</f>
        <v>#VALUE!</v>
      </c>
      <c r="IE42" t="e">
        <f>AND(Answers!V130,"AAAAAA/57+4=")</f>
        <v>#VALUE!</v>
      </c>
      <c r="IF42" t="e">
        <f>AND(Answers!X130,"AAAAAA/57+8=")</f>
        <v>#VALUE!</v>
      </c>
      <c r="IG42" t="e">
        <f>AND(Answers!Y130,"AAAAAA/57/A=")</f>
        <v>#VALUE!</v>
      </c>
      <c r="IH42" t="e">
        <f>AND(Answers!Z130,"AAAAAA/57/E=")</f>
        <v>#VALUE!</v>
      </c>
      <c r="II42" t="e">
        <f>AND(Answers!AA130,"AAAAAA/57/I=")</f>
        <v>#VALUE!</v>
      </c>
      <c r="IJ42" t="e">
        <f>AND(Answers!AB130,"AAAAAA/57/M=")</f>
        <v>#VALUE!</v>
      </c>
      <c r="IK42" t="e">
        <f>AND(Answers!AC130,"AAAAAA/57/Q=")</f>
        <v>#VALUE!</v>
      </c>
      <c r="IL42" t="e">
        <f>AND(Answers!AD130,"AAAAAA/57/U=")</f>
        <v>#VALUE!</v>
      </c>
      <c r="IM42" t="e">
        <f>AND(Answers!AE130,"AAAAAA/57/Y=")</f>
        <v>#VALUE!</v>
      </c>
      <c r="IN42" t="e">
        <f>AND(Answers!AF130,"AAAAAA/57/c=")</f>
        <v>#VALUE!</v>
      </c>
      <c r="IO42" t="e">
        <f>AND(Answers!AH130,"AAAAAA/57/g=")</f>
        <v>#VALUE!</v>
      </c>
      <c r="IP42" t="e">
        <f>AND(Answers!AI130,"AAAAAA/57/k=")</f>
        <v>#VALUE!</v>
      </c>
      <c r="IQ42" t="e">
        <f>AND(Answers!AK130,"AAAAAA/57/o=")</f>
        <v>#VALUE!</v>
      </c>
      <c r="IR42" t="e">
        <f>AND(Answers!#REF!,"AAAAAA/57/s=")</f>
        <v>#REF!</v>
      </c>
      <c r="IS42" t="e">
        <f>AND(Answers!AR130,"AAAAAA/57/w=")</f>
        <v>#VALUE!</v>
      </c>
      <c r="IT42" t="e">
        <f>AND(Answers!AS130,"AAAAAA/57/0=")</f>
        <v>#VALUE!</v>
      </c>
      <c r="IU42" t="e">
        <f>AND(Answers!AT130,"AAAAAA/57/4=")</f>
        <v>#VALUE!</v>
      </c>
      <c r="IV42" t="e">
        <f>AND(Answers!AU130,"AAAAAA/57/8=")</f>
        <v>#VALUE!</v>
      </c>
    </row>
    <row r="43" spans="1:256" x14ac:dyDescent="0.15">
      <c r="A43" t="e">
        <f>AND(Answers!AW130,"AAAAAHv57wA=")</f>
        <v>#VALUE!</v>
      </c>
      <c r="B43" t="e">
        <f>AND(Answers!AX130,"AAAAAHv57wE=")</f>
        <v>#VALUE!</v>
      </c>
      <c r="C43" t="e">
        <f>AND(Answers!AY130,"AAAAAHv57wI=")</f>
        <v>#VALUE!</v>
      </c>
      <c r="D43" t="e">
        <f>AND(Answers!AZ130,"AAAAAHv57wM=")</f>
        <v>#VALUE!</v>
      </c>
      <c r="E43" t="e">
        <f>AND(Answers!BA130,"AAAAAHv57wQ=")</f>
        <v>#VALUE!</v>
      </c>
      <c r="F43" t="e">
        <f>AND(Answers!BB130,"AAAAAHv57wU=")</f>
        <v>#VALUE!</v>
      </c>
      <c r="G43" t="e">
        <f>AND(Answers!BC130,"AAAAAHv57wY=")</f>
        <v>#VALUE!</v>
      </c>
      <c r="H43" t="e">
        <f>AND(Answers!BD130,"AAAAAHv57wc=")</f>
        <v>#VALUE!</v>
      </c>
      <c r="I43" t="e">
        <f>AND(Answers!BE130,"AAAAAHv57wg=")</f>
        <v>#VALUE!</v>
      </c>
      <c r="J43" t="e">
        <f>AND(Answers!BF130,"AAAAAHv57wk=")</f>
        <v>#VALUE!</v>
      </c>
      <c r="K43" t="e">
        <f>AND(Answers!BG130,"AAAAAHv57wo=")</f>
        <v>#VALUE!</v>
      </c>
      <c r="L43" t="e">
        <f>AND(Answers!BH130,"AAAAAHv57ws=")</f>
        <v>#VALUE!</v>
      </c>
      <c r="M43" t="e">
        <f>AND(Answers!BI130,"AAAAAHv57ww=")</f>
        <v>#VALUE!</v>
      </c>
      <c r="N43" t="e">
        <f>AND(Answers!BK130,"AAAAAHv57w0=")</f>
        <v>#VALUE!</v>
      </c>
      <c r="O43" t="e">
        <f>AND(Answers!BL130,"AAAAAHv57w4=")</f>
        <v>#VALUE!</v>
      </c>
      <c r="P43" t="e">
        <f>AND(Answers!BM130,"AAAAAHv57w8=")</f>
        <v>#VALUE!</v>
      </c>
      <c r="Q43" t="e">
        <f>AND(Answers!BN130,"AAAAAHv57xA=")</f>
        <v>#VALUE!</v>
      </c>
      <c r="R43" t="e">
        <f>AND(Answers!BO130,"AAAAAHv57xE=")</f>
        <v>#VALUE!</v>
      </c>
      <c r="S43" t="e">
        <f>AND(Answers!BP130,"AAAAAHv57xI=")</f>
        <v>#VALUE!</v>
      </c>
      <c r="T43" t="e">
        <f>AND(Answers!BQ130,"AAAAAHv57xM=")</f>
        <v>#VALUE!</v>
      </c>
      <c r="U43" t="e">
        <f>AND(Answers!BR130,"AAAAAHv57xQ=")</f>
        <v>#VALUE!</v>
      </c>
      <c r="V43" t="e">
        <f>AND(Answers!BS130,"AAAAAHv57xU=")</f>
        <v>#VALUE!</v>
      </c>
      <c r="W43" t="e">
        <f>AND(Answers!BU130,"AAAAAHv57xY=")</f>
        <v>#VALUE!</v>
      </c>
      <c r="X43" t="e">
        <f>AND(Answers!BV130,"AAAAAHv57xc=")</f>
        <v>#VALUE!</v>
      </c>
      <c r="Y43" t="e">
        <f>AND(Answers!#REF!,"AAAAAHv57xg=")</f>
        <v>#REF!</v>
      </c>
      <c r="Z43" t="e">
        <f>AND(Answers!BW130,"AAAAAHv57xk=")</f>
        <v>#VALUE!</v>
      </c>
      <c r="AA43" t="e">
        <f>AND(Answers!BX130,"AAAAAHv57xo=")</f>
        <v>#VALUE!</v>
      </c>
      <c r="AB43" t="e">
        <f>AND(Answers!BY130,"AAAAAHv57xs=")</f>
        <v>#VALUE!</v>
      </c>
      <c r="AC43" t="e">
        <f>AND(Answers!BZ130,"AAAAAHv57xw=")</f>
        <v>#VALUE!</v>
      </c>
      <c r="AD43">
        <f>IF(Answers!131:131,"AAAAAHv57x0=",0)</f>
        <v>0</v>
      </c>
      <c r="AE43" t="e">
        <f>AND(Answers!A131,"AAAAAHv57x4=")</f>
        <v>#VALUE!</v>
      </c>
      <c r="AF43" t="e">
        <f>AND(Answers!B131,"AAAAAHv57x8=")</f>
        <v>#VALUE!</v>
      </c>
      <c r="AG43" t="e">
        <f>AND(Answers!C131,"AAAAAHv57yA=")</f>
        <v>#VALUE!</v>
      </c>
      <c r="AH43" t="e">
        <f>AND(Answers!D131,"AAAAAHv57yE=")</f>
        <v>#VALUE!</v>
      </c>
      <c r="AI43" t="e">
        <f>AND(Answers!E131,"AAAAAHv57yI=")</f>
        <v>#VALUE!</v>
      </c>
      <c r="AJ43" t="e">
        <f>AND(Answers!F131,"AAAAAHv57yM=")</f>
        <v>#VALUE!</v>
      </c>
      <c r="AK43" t="e">
        <f>AND(Answers!G131,"AAAAAHv57yQ=")</f>
        <v>#VALUE!</v>
      </c>
      <c r="AL43" t="e">
        <f>AND(Answers!H131,"AAAAAHv57yU=")</f>
        <v>#VALUE!</v>
      </c>
      <c r="AM43" t="e">
        <f>AND(Answers!J131,"AAAAAHv57yY=")</f>
        <v>#VALUE!</v>
      </c>
      <c r="AN43" t="e">
        <f>AND(Answers!K131,"AAAAAHv57yc=")</f>
        <v>#VALUE!</v>
      </c>
      <c r="AO43" t="e">
        <f>AND(Answers!L131,"AAAAAHv57yg=")</f>
        <v>#VALUE!</v>
      </c>
      <c r="AP43" t="e">
        <f>AND(Answers!M131,"AAAAAHv57yk=")</f>
        <v>#VALUE!</v>
      </c>
      <c r="AQ43" t="e">
        <f>AND(Answers!N131,"AAAAAHv57yo=")</f>
        <v>#VALUE!</v>
      </c>
      <c r="AR43" t="e">
        <f>AND(Answers!O131,"AAAAAHv57ys=")</f>
        <v>#VALUE!</v>
      </c>
      <c r="AS43" t="e">
        <f>AND(Answers!P131,"AAAAAHv57yw=")</f>
        <v>#VALUE!</v>
      </c>
      <c r="AT43" t="e">
        <f>AND(Answers!Q131,"AAAAAHv57y0=")</f>
        <v>#VALUE!</v>
      </c>
      <c r="AU43" t="e">
        <f>AND(Answers!R131,"AAAAAHv57y4=")</f>
        <v>#VALUE!</v>
      </c>
      <c r="AV43" t="e">
        <f>AND(Answers!S131,"AAAAAHv57y8=")</f>
        <v>#VALUE!</v>
      </c>
      <c r="AW43" t="e">
        <f>AND(Answers!T131,"AAAAAHv57zA=")</f>
        <v>#VALUE!</v>
      </c>
      <c r="AX43" t="e">
        <f>AND(Answers!U131,"AAAAAHv57zE=")</f>
        <v>#VALUE!</v>
      </c>
      <c r="AY43" t="e">
        <f>AND(Answers!V131,"AAAAAHv57zI=")</f>
        <v>#VALUE!</v>
      </c>
      <c r="AZ43" t="e">
        <f>AND(Answers!X131,"AAAAAHv57zM=")</f>
        <v>#VALUE!</v>
      </c>
      <c r="BA43" t="e">
        <f>AND(Answers!Y131,"AAAAAHv57zQ=")</f>
        <v>#VALUE!</v>
      </c>
      <c r="BB43" t="e">
        <f>AND(Answers!Z131,"AAAAAHv57zU=")</f>
        <v>#VALUE!</v>
      </c>
      <c r="BC43" t="e">
        <f>AND(Answers!AA131,"AAAAAHv57zY=")</f>
        <v>#VALUE!</v>
      </c>
      <c r="BD43" t="e">
        <f>AND(Answers!AB131,"AAAAAHv57zc=")</f>
        <v>#VALUE!</v>
      </c>
      <c r="BE43" t="e">
        <f>AND(Answers!AC131,"AAAAAHv57zg=")</f>
        <v>#VALUE!</v>
      </c>
      <c r="BF43" t="e">
        <f>AND(Answers!AD131,"AAAAAHv57zk=")</f>
        <v>#VALUE!</v>
      </c>
      <c r="BG43" t="e">
        <f>AND(Answers!AE131,"AAAAAHv57zo=")</f>
        <v>#VALUE!</v>
      </c>
      <c r="BH43" t="e">
        <f>AND(Answers!AF131,"AAAAAHv57zs=")</f>
        <v>#VALUE!</v>
      </c>
      <c r="BI43" t="e">
        <f>AND(Answers!AH131,"AAAAAHv57zw=")</f>
        <v>#VALUE!</v>
      </c>
      <c r="BJ43" t="e">
        <f>AND(Answers!AI131,"AAAAAHv57z0=")</f>
        <v>#VALUE!</v>
      </c>
      <c r="BK43" t="e">
        <f>AND(Answers!AK131,"AAAAAHv57z4=")</f>
        <v>#VALUE!</v>
      </c>
      <c r="BL43" t="e">
        <f>AND(Answers!#REF!,"AAAAAHv57z8=")</f>
        <v>#REF!</v>
      </c>
      <c r="BM43" t="e">
        <f>AND(Answers!AR131,"AAAAAHv570A=")</f>
        <v>#VALUE!</v>
      </c>
      <c r="BN43" t="e">
        <f>AND(Answers!AS131,"AAAAAHv570E=")</f>
        <v>#VALUE!</v>
      </c>
      <c r="BO43" t="e">
        <f>AND(Answers!AT131,"AAAAAHv570I=")</f>
        <v>#VALUE!</v>
      </c>
      <c r="BP43" t="e">
        <f>AND(Answers!AU131,"AAAAAHv570M=")</f>
        <v>#VALUE!</v>
      </c>
      <c r="BQ43" t="e">
        <f>AND(Answers!AW131,"AAAAAHv570Q=")</f>
        <v>#VALUE!</v>
      </c>
      <c r="BR43" t="e">
        <f>AND(Answers!AX131,"AAAAAHv570U=")</f>
        <v>#VALUE!</v>
      </c>
      <c r="BS43" t="e">
        <f>AND(Answers!AY131,"AAAAAHv570Y=")</f>
        <v>#VALUE!</v>
      </c>
      <c r="BT43" t="e">
        <f>AND(Answers!AZ131,"AAAAAHv570c=")</f>
        <v>#VALUE!</v>
      </c>
      <c r="BU43" t="e">
        <f>AND(Answers!BA131,"AAAAAHv570g=")</f>
        <v>#VALUE!</v>
      </c>
      <c r="BV43" t="e">
        <f>AND(Answers!BB131,"AAAAAHv570k=")</f>
        <v>#VALUE!</v>
      </c>
      <c r="BW43" t="e">
        <f>AND(Answers!BC131,"AAAAAHv570o=")</f>
        <v>#VALUE!</v>
      </c>
      <c r="BX43" t="e">
        <f>AND(Answers!BD131,"AAAAAHv570s=")</f>
        <v>#VALUE!</v>
      </c>
      <c r="BY43" t="e">
        <f>AND(Answers!BE131,"AAAAAHv570w=")</f>
        <v>#VALUE!</v>
      </c>
      <c r="BZ43" t="e">
        <f>AND(Answers!BF131,"AAAAAHv5700=")</f>
        <v>#VALUE!</v>
      </c>
      <c r="CA43" t="e">
        <f>AND(Answers!BG131,"AAAAAHv5704=")</f>
        <v>#VALUE!</v>
      </c>
      <c r="CB43" t="e">
        <f>AND(Answers!BH131,"AAAAAHv5708=")</f>
        <v>#VALUE!</v>
      </c>
      <c r="CC43" t="e">
        <f>AND(Answers!BI131,"AAAAAHv571A=")</f>
        <v>#VALUE!</v>
      </c>
      <c r="CD43" t="e">
        <f>AND(Answers!BK131,"AAAAAHv571E=")</f>
        <v>#VALUE!</v>
      </c>
      <c r="CE43" t="e">
        <f>AND(Answers!BL131,"AAAAAHv571I=")</f>
        <v>#VALUE!</v>
      </c>
      <c r="CF43" t="e">
        <f>AND(Answers!BM131,"AAAAAHv571M=")</f>
        <v>#VALUE!</v>
      </c>
      <c r="CG43" t="e">
        <f>AND(Answers!BN131,"AAAAAHv571Q=")</f>
        <v>#VALUE!</v>
      </c>
      <c r="CH43" t="e">
        <f>AND(Answers!BO131,"AAAAAHv571U=")</f>
        <v>#VALUE!</v>
      </c>
      <c r="CI43" t="e">
        <f>AND(Answers!BP131,"AAAAAHv571Y=")</f>
        <v>#VALUE!</v>
      </c>
      <c r="CJ43" t="e">
        <f>AND(Answers!BQ131,"AAAAAHv571c=")</f>
        <v>#VALUE!</v>
      </c>
      <c r="CK43" t="e">
        <f>AND(Answers!BR131,"AAAAAHv571g=")</f>
        <v>#VALUE!</v>
      </c>
      <c r="CL43" t="e">
        <f>AND(Answers!BS131,"AAAAAHv571k=")</f>
        <v>#VALUE!</v>
      </c>
      <c r="CM43" t="e">
        <f>AND(Answers!BU131,"AAAAAHv571o=")</f>
        <v>#VALUE!</v>
      </c>
      <c r="CN43" t="e">
        <f>AND(Answers!BV131,"AAAAAHv571s=")</f>
        <v>#VALUE!</v>
      </c>
      <c r="CO43" t="e">
        <f>AND(Answers!#REF!,"AAAAAHv571w=")</f>
        <v>#REF!</v>
      </c>
      <c r="CP43" t="e">
        <f>AND(Answers!BW131,"AAAAAHv5710=")</f>
        <v>#VALUE!</v>
      </c>
      <c r="CQ43" t="e">
        <f>AND(Answers!BX131,"AAAAAHv5714=")</f>
        <v>#VALUE!</v>
      </c>
      <c r="CR43" t="e">
        <f>AND(Answers!BY131,"AAAAAHv5718=")</f>
        <v>#VALUE!</v>
      </c>
      <c r="CS43" t="e">
        <f>AND(Answers!BZ131,"AAAAAHv572A=")</f>
        <v>#VALUE!</v>
      </c>
      <c r="CT43">
        <f>IF(Answers!132:132,"AAAAAHv572E=",0)</f>
        <v>0</v>
      </c>
      <c r="CU43" t="e">
        <f>AND(Answers!A132,"AAAAAHv572I=")</f>
        <v>#VALUE!</v>
      </c>
      <c r="CV43" t="e">
        <f>AND(Answers!B132,"AAAAAHv572M=")</f>
        <v>#VALUE!</v>
      </c>
      <c r="CW43" t="e">
        <f>AND(Answers!C132,"AAAAAHv572Q=")</f>
        <v>#VALUE!</v>
      </c>
      <c r="CX43" t="e">
        <f>AND(Answers!D132,"AAAAAHv572U=")</f>
        <v>#VALUE!</v>
      </c>
      <c r="CY43" t="e">
        <f>AND(Answers!E132,"AAAAAHv572Y=")</f>
        <v>#VALUE!</v>
      </c>
      <c r="CZ43" t="e">
        <f>AND(Answers!F132,"AAAAAHv572c=")</f>
        <v>#VALUE!</v>
      </c>
      <c r="DA43" t="e">
        <f>AND(Answers!G132,"AAAAAHv572g=")</f>
        <v>#VALUE!</v>
      </c>
      <c r="DB43" t="e">
        <f>AND(Answers!H132,"AAAAAHv572k=")</f>
        <v>#VALUE!</v>
      </c>
      <c r="DC43" t="e">
        <f>AND(Answers!J132,"AAAAAHv572o=")</f>
        <v>#VALUE!</v>
      </c>
      <c r="DD43" t="e">
        <f>AND(Answers!K132,"AAAAAHv572s=")</f>
        <v>#VALUE!</v>
      </c>
      <c r="DE43" t="e">
        <f>AND(Answers!L132,"AAAAAHv572w=")</f>
        <v>#VALUE!</v>
      </c>
      <c r="DF43" t="e">
        <f>AND(Answers!M132,"AAAAAHv5720=")</f>
        <v>#VALUE!</v>
      </c>
      <c r="DG43" t="e">
        <f>AND(Answers!N132,"AAAAAHv5724=")</f>
        <v>#VALUE!</v>
      </c>
      <c r="DH43" t="e">
        <f>AND(Answers!O132,"AAAAAHv5728=")</f>
        <v>#VALUE!</v>
      </c>
      <c r="DI43" t="e">
        <f>AND(Answers!P132,"AAAAAHv573A=")</f>
        <v>#VALUE!</v>
      </c>
      <c r="DJ43" t="e">
        <f>AND(Answers!Q132,"AAAAAHv573E=")</f>
        <v>#VALUE!</v>
      </c>
      <c r="DK43" t="e">
        <f>AND(Answers!R132,"AAAAAHv573I=")</f>
        <v>#VALUE!</v>
      </c>
      <c r="DL43" t="e">
        <f>AND(Answers!S132,"AAAAAHv573M=")</f>
        <v>#VALUE!</v>
      </c>
      <c r="DM43" t="e">
        <f>AND(Answers!T132,"AAAAAHv573Q=")</f>
        <v>#VALUE!</v>
      </c>
      <c r="DN43" t="e">
        <f>AND(Answers!U132,"AAAAAHv573U=")</f>
        <v>#VALUE!</v>
      </c>
      <c r="DO43" t="e">
        <f>AND(Answers!V132,"AAAAAHv573Y=")</f>
        <v>#VALUE!</v>
      </c>
      <c r="DP43" t="e">
        <f>AND(Answers!X132,"AAAAAHv573c=")</f>
        <v>#VALUE!</v>
      </c>
      <c r="DQ43" t="e">
        <f>AND(Answers!Y132,"AAAAAHv573g=")</f>
        <v>#VALUE!</v>
      </c>
      <c r="DR43" t="e">
        <f>AND(Answers!Z132,"AAAAAHv573k=")</f>
        <v>#VALUE!</v>
      </c>
      <c r="DS43" t="e">
        <f>AND(Answers!AA132,"AAAAAHv573o=")</f>
        <v>#VALUE!</v>
      </c>
      <c r="DT43" t="e">
        <f>AND(Answers!AB132,"AAAAAHv573s=")</f>
        <v>#VALUE!</v>
      </c>
      <c r="DU43" t="e">
        <f>AND(Answers!AC132,"AAAAAHv573w=")</f>
        <v>#VALUE!</v>
      </c>
      <c r="DV43" t="e">
        <f>AND(Answers!AD132,"AAAAAHv5730=")</f>
        <v>#VALUE!</v>
      </c>
      <c r="DW43" t="e">
        <f>AND(Answers!AE132,"AAAAAHv5734=")</f>
        <v>#VALUE!</v>
      </c>
      <c r="DX43" t="e">
        <f>AND(Answers!AF132,"AAAAAHv5738=")</f>
        <v>#VALUE!</v>
      </c>
      <c r="DY43" t="e">
        <f>AND(Answers!AH132,"AAAAAHv574A=")</f>
        <v>#VALUE!</v>
      </c>
      <c r="DZ43" t="e">
        <f>AND(Answers!AI132,"AAAAAHv574E=")</f>
        <v>#VALUE!</v>
      </c>
      <c r="EA43" t="e">
        <f>AND(Answers!AK132,"AAAAAHv574I=")</f>
        <v>#VALUE!</v>
      </c>
      <c r="EB43" t="e">
        <f>AND(Answers!#REF!,"AAAAAHv574M=")</f>
        <v>#REF!</v>
      </c>
      <c r="EC43" t="e">
        <f>AND(Answers!AR132,"AAAAAHv574Q=")</f>
        <v>#VALUE!</v>
      </c>
      <c r="ED43" t="e">
        <f>AND(Answers!AS132,"AAAAAHv574U=")</f>
        <v>#VALUE!</v>
      </c>
      <c r="EE43" t="e">
        <f>AND(Answers!AT132,"AAAAAHv574Y=")</f>
        <v>#VALUE!</v>
      </c>
      <c r="EF43" t="e">
        <f>AND(Answers!AU132,"AAAAAHv574c=")</f>
        <v>#VALUE!</v>
      </c>
      <c r="EG43" t="e">
        <f>AND(Answers!AW132,"AAAAAHv574g=")</f>
        <v>#VALUE!</v>
      </c>
      <c r="EH43" t="e">
        <f>AND(Answers!AX132,"AAAAAHv574k=")</f>
        <v>#VALUE!</v>
      </c>
      <c r="EI43" t="e">
        <f>AND(Answers!AY132,"AAAAAHv574o=")</f>
        <v>#VALUE!</v>
      </c>
      <c r="EJ43" t="e">
        <f>AND(Answers!AZ132,"AAAAAHv574s=")</f>
        <v>#VALUE!</v>
      </c>
      <c r="EK43" t="e">
        <f>AND(Answers!BA132,"AAAAAHv574w=")</f>
        <v>#VALUE!</v>
      </c>
      <c r="EL43" t="e">
        <f>AND(Answers!BB132,"AAAAAHv5740=")</f>
        <v>#VALUE!</v>
      </c>
      <c r="EM43" t="e">
        <f>AND(Answers!BC132,"AAAAAHv5744=")</f>
        <v>#VALUE!</v>
      </c>
      <c r="EN43" t="e">
        <f>AND(Answers!BD132,"AAAAAHv5748=")</f>
        <v>#VALUE!</v>
      </c>
      <c r="EO43" t="e">
        <f>AND(Answers!BE132,"AAAAAHv575A=")</f>
        <v>#VALUE!</v>
      </c>
      <c r="EP43" t="e">
        <f>AND(Answers!BF132,"AAAAAHv575E=")</f>
        <v>#VALUE!</v>
      </c>
      <c r="EQ43" t="e">
        <f>AND(Answers!BG132,"AAAAAHv575I=")</f>
        <v>#VALUE!</v>
      </c>
      <c r="ER43" t="e">
        <f>AND(Answers!BH132,"AAAAAHv575M=")</f>
        <v>#VALUE!</v>
      </c>
      <c r="ES43" t="e">
        <f>AND(Answers!BI132,"AAAAAHv575Q=")</f>
        <v>#VALUE!</v>
      </c>
      <c r="ET43" t="e">
        <f>AND(Answers!BK132,"AAAAAHv575U=")</f>
        <v>#VALUE!</v>
      </c>
      <c r="EU43" t="e">
        <f>AND(Answers!BL132,"AAAAAHv575Y=")</f>
        <v>#VALUE!</v>
      </c>
      <c r="EV43" t="e">
        <f>AND(Answers!BM132,"AAAAAHv575c=")</f>
        <v>#VALUE!</v>
      </c>
      <c r="EW43" t="e">
        <f>AND(Answers!BN132,"AAAAAHv575g=")</f>
        <v>#VALUE!</v>
      </c>
      <c r="EX43" t="e">
        <f>AND(Answers!BO132,"AAAAAHv575k=")</f>
        <v>#VALUE!</v>
      </c>
      <c r="EY43" t="e">
        <f>AND(Answers!BP132,"AAAAAHv575o=")</f>
        <v>#VALUE!</v>
      </c>
      <c r="EZ43" t="e">
        <f>AND(Answers!BQ132,"AAAAAHv575s=")</f>
        <v>#VALUE!</v>
      </c>
      <c r="FA43" t="e">
        <f>AND(Answers!BR132,"AAAAAHv575w=")</f>
        <v>#VALUE!</v>
      </c>
      <c r="FB43" t="e">
        <f>AND(Answers!BS132,"AAAAAHv5750=")</f>
        <v>#VALUE!</v>
      </c>
      <c r="FC43" t="e">
        <f>AND(Answers!BU132,"AAAAAHv5754=")</f>
        <v>#VALUE!</v>
      </c>
      <c r="FD43" t="e">
        <f>AND(Answers!BV132,"AAAAAHv5758=")</f>
        <v>#VALUE!</v>
      </c>
      <c r="FE43" t="e">
        <f>AND(Answers!#REF!,"AAAAAHv576A=")</f>
        <v>#REF!</v>
      </c>
      <c r="FF43" t="e">
        <f>AND(Answers!BW132,"AAAAAHv576E=")</f>
        <v>#VALUE!</v>
      </c>
      <c r="FG43" t="e">
        <f>AND(Answers!BX132,"AAAAAHv576I=")</f>
        <v>#VALUE!</v>
      </c>
      <c r="FH43" t="e">
        <f>AND(Answers!BY132,"AAAAAHv576M=")</f>
        <v>#VALUE!</v>
      </c>
      <c r="FI43" t="e">
        <f>AND(Answers!BZ132,"AAAAAHv576Q=")</f>
        <v>#VALUE!</v>
      </c>
      <c r="FJ43">
        <f>IF(Answers!133:133,"AAAAAHv576U=",0)</f>
        <v>0</v>
      </c>
      <c r="FK43" t="e">
        <f>AND(Answers!A133,"AAAAAHv576Y=")</f>
        <v>#VALUE!</v>
      </c>
      <c r="FL43" t="e">
        <f>AND(Answers!B133,"AAAAAHv576c=")</f>
        <v>#VALUE!</v>
      </c>
      <c r="FM43" t="e">
        <f>AND(Answers!C133,"AAAAAHv576g=")</f>
        <v>#VALUE!</v>
      </c>
      <c r="FN43" t="e">
        <f>AND(Answers!D133,"AAAAAHv576k=")</f>
        <v>#VALUE!</v>
      </c>
      <c r="FO43" t="e">
        <f>AND(Answers!E133,"AAAAAHv576o=")</f>
        <v>#VALUE!</v>
      </c>
      <c r="FP43" t="e">
        <f>AND(Answers!F133,"AAAAAHv576s=")</f>
        <v>#VALUE!</v>
      </c>
      <c r="FQ43" t="e">
        <f>AND(Answers!G133,"AAAAAHv576w=")</f>
        <v>#VALUE!</v>
      </c>
      <c r="FR43" t="e">
        <f>AND(Answers!H133,"AAAAAHv5760=")</f>
        <v>#VALUE!</v>
      </c>
      <c r="FS43" t="e">
        <f>AND(Answers!J133,"AAAAAHv5764=")</f>
        <v>#VALUE!</v>
      </c>
      <c r="FT43" t="e">
        <f>AND(Answers!K133,"AAAAAHv5768=")</f>
        <v>#VALUE!</v>
      </c>
      <c r="FU43" t="e">
        <f>AND(Answers!L133,"AAAAAHv577A=")</f>
        <v>#VALUE!</v>
      </c>
      <c r="FV43" t="e">
        <f>AND(Answers!M133,"AAAAAHv577E=")</f>
        <v>#VALUE!</v>
      </c>
      <c r="FW43" t="e">
        <f>AND(Answers!N133,"AAAAAHv577I=")</f>
        <v>#VALUE!</v>
      </c>
      <c r="FX43" t="e">
        <f>AND(Answers!O133,"AAAAAHv577M=")</f>
        <v>#VALUE!</v>
      </c>
      <c r="FY43" t="e">
        <f>AND(Answers!P133,"AAAAAHv577Q=")</f>
        <v>#VALUE!</v>
      </c>
      <c r="FZ43" t="e">
        <f>AND(Answers!Q133,"AAAAAHv577U=")</f>
        <v>#VALUE!</v>
      </c>
      <c r="GA43" t="e">
        <f>AND(Answers!R133,"AAAAAHv577Y=")</f>
        <v>#VALUE!</v>
      </c>
      <c r="GB43" t="e">
        <f>AND(Answers!S133,"AAAAAHv577c=")</f>
        <v>#VALUE!</v>
      </c>
      <c r="GC43" t="e">
        <f>AND(Answers!T133,"AAAAAHv577g=")</f>
        <v>#VALUE!</v>
      </c>
      <c r="GD43" t="e">
        <f>AND(Answers!U133,"AAAAAHv577k=")</f>
        <v>#VALUE!</v>
      </c>
      <c r="GE43" t="e">
        <f>AND(Answers!V133,"AAAAAHv577o=")</f>
        <v>#VALUE!</v>
      </c>
      <c r="GF43" t="e">
        <f>AND(Answers!X133,"AAAAAHv577s=")</f>
        <v>#VALUE!</v>
      </c>
      <c r="GG43" t="e">
        <f>AND(Answers!Y133,"AAAAAHv577w=")</f>
        <v>#VALUE!</v>
      </c>
      <c r="GH43" t="e">
        <f>AND(Answers!Z133,"AAAAAHv5770=")</f>
        <v>#VALUE!</v>
      </c>
      <c r="GI43" t="e">
        <f>AND(Answers!AA133,"AAAAAHv5774=")</f>
        <v>#VALUE!</v>
      </c>
      <c r="GJ43" t="e">
        <f>AND(Answers!AB133,"AAAAAHv5778=")</f>
        <v>#VALUE!</v>
      </c>
      <c r="GK43" t="e">
        <f>AND(Answers!AC133,"AAAAAHv578A=")</f>
        <v>#VALUE!</v>
      </c>
      <c r="GL43" t="e">
        <f>AND(Answers!AD133,"AAAAAHv578E=")</f>
        <v>#VALUE!</v>
      </c>
      <c r="GM43" t="e">
        <f>AND(Answers!AE133,"AAAAAHv578I=")</f>
        <v>#VALUE!</v>
      </c>
      <c r="GN43" t="e">
        <f>AND(Answers!AF133,"AAAAAHv578M=")</f>
        <v>#VALUE!</v>
      </c>
      <c r="GO43" t="e">
        <f>AND(Answers!AH133,"AAAAAHv578Q=")</f>
        <v>#VALUE!</v>
      </c>
      <c r="GP43" t="e">
        <f>AND(Answers!AI133,"AAAAAHv578U=")</f>
        <v>#VALUE!</v>
      </c>
      <c r="GQ43" t="e">
        <f>AND(Answers!AK133,"AAAAAHv578Y=")</f>
        <v>#VALUE!</v>
      </c>
      <c r="GR43" t="e">
        <f>AND(Answers!#REF!,"AAAAAHv578c=")</f>
        <v>#REF!</v>
      </c>
      <c r="GS43" t="e">
        <f>AND(Answers!AR133,"AAAAAHv578g=")</f>
        <v>#VALUE!</v>
      </c>
      <c r="GT43" t="e">
        <f>AND(Answers!AS133,"AAAAAHv578k=")</f>
        <v>#VALUE!</v>
      </c>
      <c r="GU43" t="e">
        <f>AND(Answers!AT133,"AAAAAHv578o=")</f>
        <v>#VALUE!</v>
      </c>
      <c r="GV43" t="e">
        <f>AND(Answers!AU133,"AAAAAHv578s=")</f>
        <v>#VALUE!</v>
      </c>
      <c r="GW43" t="e">
        <f>AND(Answers!AW133,"AAAAAHv578w=")</f>
        <v>#VALUE!</v>
      </c>
      <c r="GX43" t="e">
        <f>AND(Answers!AX133,"AAAAAHv5780=")</f>
        <v>#VALUE!</v>
      </c>
      <c r="GY43" t="e">
        <f>AND(Answers!AY133,"AAAAAHv5784=")</f>
        <v>#VALUE!</v>
      </c>
      <c r="GZ43" t="e">
        <f>AND(Answers!AZ133,"AAAAAHv5788=")</f>
        <v>#VALUE!</v>
      </c>
      <c r="HA43" t="e">
        <f>AND(Answers!BA133,"AAAAAHv579A=")</f>
        <v>#VALUE!</v>
      </c>
      <c r="HB43" t="e">
        <f>AND(Answers!BB133,"AAAAAHv579E=")</f>
        <v>#VALUE!</v>
      </c>
      <c r="HC43" t="e">
        <f>AND(Answers!BC133,"AAAAAHv579I=")</f>
        <v>#VALUE!</v>
      </c>
      <c r="HD43" t="e">
        <f>AND(Answers!BD133,"AAAAAHv579M=")</f>
        <v>#VALUE!</v>
      </c>
      <c r="HE43" t="e">
        <f>AND(Answers!BE133,"AAAAAHv579Q=")</f>
        <v>#VALUE!</v>
      </c>
      <c r="HF43" t="e">
        <f>AND(Answers!BF133,"AAAAAHv579U=")</f>
        <v>#VALUE!</v>
      </c>
      <c r="HG43" t="e">
        <f>AND(Answers!BG133,"AAAAAHv579Y=")</f>
        <v>#VALUE!</v>
      </c>
      <c r="HH43" t="e">
        <f>AND(Answers!BH133,"AAAAAHv579c=")</f>
        <v>#VALUE!</v>
      </c>
      <c r="HI43" t="e">
        <f>AND(Answers!BI133,"AAAAAHv579g=")</f>
        <v>#VALUE!</v>
      </c>
      <c r="HJ43" t="e">
        <f>AND(Answers!BK133,"AAAAAHv579k=")</f>
        <v>#VALUE!</v>
      </c>
      <c r="HK43" t="e">
        <f>AND(Answers!BL133,"AAAAAHv579o=")</f>
        <v>#VALUE!</v>
      </c>
      <c r="HL43" t="e">
        <f>AND(Answers!BM133,"AAAAAHv579s=")</f>
        <v>#VALUE!</v>
      </c>
      <c r="HM43" t="e">
        <f>AND(Answers!BN133,"AAAAAHv579w=")</f>
        <v>#VALUE!</v>
      </c>
      <c r="HN43" t="e">
        <f>AND(Answers!BO133,"AAAAAHv5790=")</f>
        <v>#VALUE!</v>
      </c>
      <c r="HO43" t="e">
        <f>AND(Answers!BP133,"AAAAAHv5794=")</f>
        <v>#VALUE!</v>
      </c>
      <c r="HP43" t="e">
        <f>AND(Answers!BQ133,"AAAAAHv5798=")</f>
        <v>#VALUE!</v>
      </c>
      <c r="HQ43" t="e">
        <f>AND(Answers!BR133,"AAAAAHv57+A=")</f>
        <v>#VALUE!</v>
      </c>
      <c r="HR43" t="e">
        <f>AND(Answers!BS133,"AAAAAHv57+E=")</f>
        <v>#VALUE!</v>
      </c>
      <c r="HS43" t="e">
        <f>AND(Answers!BU133,"AAAAAHv57+I=")</f>
        <v>#VALUE!</v>
      </c>
      <c r="HT43" t="e">
        <f>AND(Answers!BV133,"AAAAAHv57+M=")</f>
        <v>#VALUE!</v>
      </c>
      <c r="HU43" t="e">
        <f>AND(Answers!#REF!,"AAAAAHv57+Q=")</f>
        <v>#REF!</v>
      </c>
      <c r="HV43" t="e">
        <f>AND(Answers!BW133,"AAAAAHv57+U=")</f>
        <v>#VALUE!</v>
      </c>
      <c r="HW43" t="e">
        <f>AND(Answers!BX133,"AAAAAHv57+Y=")</f>
        <v>#VALUE!</v>
      </c>
      <c r="HX43" t="e">
        <f>AND(Answers!BY133,"AAAAAHv57+c=")</f>
        <v>#VALUE!</v>
      </c>
      <c r="HY43" t="e">
        <f>AND(Answers!BZ133,"AAAAAHv57+g=")</f>
        <v>#VALUE!</v>
      </c>
      <c r="HZ43">
        <f>IF(Answers!134:134,"AAAAAHv57+k=",0)</f>
        <v>0</v>
      </c>
      <c r="IA43" t="e">
        <f>AND(Answers!A134,"AAAAAHv57+o=")</f>
        <v>#VALUE!</v>
      </c>
      <c r="IB43" t="e">
        <f>AND(Answers!B134,"AAAAAHv57+s=")</f>
        <v>#VALUE!</v>
      </c>
      <c r="IC43" t="e">
        <f>AND(Answers!C134,"AAAAAHv57+w=")</f>
        <v>#VALUE!</v>
      </c>
      <c r="ID43" t="e">
        <f>AND(Answers!D134,"AAAAAHv57+0=")</f>
        <v>#VALUE!</v>
      </c>
      <c r="IE43" t="e">
        <f>AND(Answers!E134,"AAAAAHv57+4=")</f>
        <v>#VALUE!</v>
      </c>
      <c r="IF43" t="e">
        <f>AND(Answers!F134,"AAAAAHv57+8=")</f>
        <v>#VALUE!</v>
      </c>
      <c r="IG43" t="e">
        <f>AND(Answers!G134,"AAAAAHv57/A=")</f>
        <v>#VALUE!</v>
      </c>
      <c r="IH43" t="e">
        <f>AND(Answers!H134,"AAAAAHv57/E=")</f>
        <v>#VALUE!</v>
      </c>
      <c r="II43" t="e">
        <f>AND(Answers!J134,"AAAAAHv57/I=")</f>
        <v>#VALUE!</v>
      </c>
      <c r="IJ43" t="e">
        <f>AND(Answers!K134,"AAAAAHv57/M=")</f>
        <v>#VALUE!</v>
      </c>
      <c r="IK43" t="e">
        <f>AND(Answers!L134,"AAAAAHv57/Q=")</f>
        <v>#VALUE!</v>
      </c>
      <c r="IL43" t="e">
        <f>AND(Answers!M134,"AAAAAHv57/U=")</f>
        <v>#VALUE!</v>
      </c>
      <c r="IM43" t="e">
        <f>AND(Answers!N134,"AAAAAHv57/Y=")</f>
        <v>#VALUE!</v>
      </c>
      <c r="IN43" t="e">
        <f>AND(Answers!O134,"AAAAAHv57/c=")</f>
        <v>#VALUE!</v>
      </c>
      <c r="IO43" t="e">
        <f>AND(Answers!P134,"AAAAAHv57/g=")</f>
        <v>#VALUE!</v>
      </c>
      <c r="IP43" t="e">
        <f>AND(Answers!Q134,"AAAAAHv57/k=")</f>
        <v>#VALUE!</v>
      </c>
      <c r="IQ43" t="e">
        <f>AND(Answers!R134,"AAAAAHv57/o=")</f>
        <v>#VALUE!</v>
      </c>
      <c r="IR43" t="e">
        <f>AND(Answers!S134,"AAAAAHv57/s=")</f>
        <v>#VALUE!</v>
      </c>
      <c r="IS43" t="e">
        <f>AND(Answers!T134,"AAAAAHv57/w=")</f>
        <v>#VALUE!</v>
      </c>
      <c r="IT43" t="e">
        <f>AND(Answers!U134,"AAAAAHv57/0=")</f>
        <v>#VALUE!</v>
      </c>
      <c r="IU43" t="e">
        <f>AND(Answers!V134,"AAAAAHv57/4=")</f>
        <v>#VALUE!</v>
      </c>
      <c r="IV43" t="e">
        <f>AND(Answers!X134,"AAAAAHv57/8=")</f>
        <v>#VALUE!</v>
      </c>
    </row>
    <row r="44" spans="1:256" x14ac:dyDescent="0.15">
      <c r="A44" t="e">
        <f>AND(Answers!Y134,"AAAAAHm+UAA=")</f>
        <v>#VALUE!</v>
      </c>
      <c r="B44" t="e">
        <f>AND(Answers!Z134,"AAAAAHm+UAE=")</f>
        <v>#VALUE!</v>
      </c>
      <c r="C44" t="e">
        <f>AND(Answers!AA134,"AAAAAHm+UAI=")</f>
        <v>#VALUE!</v>
      </c>
      <c r="D44" t="e">
        <f>AND(Answers!AB134,"AAAAAHm+UAM=")</f>
        <v>#VALUE!</v>
      </c>
      <c r="E44" t="e">
        <f>AND(Answers!AC134,"AAAAAHm+UAQ=")</f>
        <v>#VALUE!</v>
      </c>
      <c r="F44" t="e">
        <f>AND(Answers!AD134,"AAAAAHm+UAU=")</f>
        <v>#VALUE!</v>
      </c>
      <c r="G44" t="e">
        <f>AND(Answers!AE134,"AAAAAHm+UAY=")</f>
        <v>#VALUE!</v>
      </c>
      <c r="H44" t="e">
        <f>AND(Answers!AF134,"AAAAAHm+UAc=")</f>
        <v>#VALUE!</v>
      </c>
      <c r="I44" t="e">
        <f>AND(Answers!AH134,"AAAAAHm+UAg=")</f>
        <v>#VALUE!</v>
      </c>
      <c r="J44" t="e">
        <f>AND(Answers!AI134,"AAAAAHm+UAk=")</f>
        <v>#VALUE!</v>
      </c>
      <c r="K44" t="e">
        <f>AND(Answers!AK134,"AAAAAHm+UAo=")</f>
        <v>#VALUE!</v>
      </c>
      <c r="L44" t="e">
        <f>AND(Answers!#REF!,"AAAAAHm+UAs=")</f>
        <v>#REF!</v>
      </c>
      <c r="M44" t="e">
        <f>AND(Answers!AR134,"AAAAAHm+UAw=")</f>
        <v>#VALUE!</v>
      </c>
      <c r="N44" t="e">
        <f>AND(Answers!AS134,"AAAAAHm+UA0=")</f>
        <v>#VALUE!</v>
      </c>
      <c r="O44" t="e">
        <f>AND(Answers!AT134,"AAAAAHm+UA4=")</f>
        <v>#VALUE!</v>
      </c>
      <c r="P44" t="e">
        <f>AND(Answers!AU134,"AAAAAHm+UA8=")</f>
        <v>#VALUE!</v>
      </c>
      <c r="Q44" t="e">
        <f>AND(Answers!AW134,"AAAAAHm+UBA=")</f>
        <v>#VALUE!</v>
      </c>
      <c r="R44" t="e">
        <f>AND(Answers!AX134,"AAAAAHm+UBE=")</f>
        <v>#VALUE!</v>
      </c>
      <c r="S44" t="e">
        <f>AND(Answers!AY134,"AAAAAHm+UBI=")</f>
        <v>#VALUE!</v>
      </c>
      <c r="T44" t="e">
        <f>AND(Answers!AZ134,"AAAAAHm+UBM=")</f>
        <v>#VALUE!</v>
      </c>
      <c r="U44" t="e">
        <f>AND(Answers!BA134,"AAAAAHm+UBQ=")</f>
        <v>#VALUE!</v>
      </c>
      <c r="V44" t="e">
        <f>AND(Answers!BB134,"AAAAAHm+UBU=")</f>
        <v>#VALUE!</v>
      </c>
      <c r="W44" t="e">
        <f>AND(Answers!BC134,"AAAAAHm+UBY=")</f>
        <v>#VALUE!</v>
      </c>
      <c r="X44" t="e">
        <f>AND(Answers!BD134,"AAAAAHm+UBc=")</f>
        <v>#VALUE!</v>
      </c>
      <c r="Y44" t="e">
        <f>AND(Answers!BE134,"AAAAAHm+UBg=")</f>
        <v>#VALUE!</v>
      </c>
      <c r="Z44" t="e">
        <f>AND(Answers!BF134,"AAAAAHm+UBk=")</f>
        <v>#VALUE!</v>
      </c>
      <c r="AA44" t="e">
        <f>AND(Answers!BG134,"AAAAAHm+UBo=")</f>
        <v>#VALUE!</v>
      </c>
      <c r="AB44" t="e">
        <f>AND(Answers!BH134,"AAAAAHm+UBs=")</f>
        <v>#VALUE!</v>
      </c>
      <c r="AC44" t="e">
        <f>AND(Answers!BI134,"AAAAAHm+UBw=")</f>
        <v>#VALUE!</v>
      </c>
      <c r="AD44" t="e">
        <f>AND(Answers!BK134,"AAAAAHm+UB0=")</f>
        <v>#VALUE!</v>
      </c>
      <c r="AE44" t="e">
        <f>AND(Answers!BL134,"AAAAAHm+UB4=")</f>
        <v>#VALUE!</v>
      </c>
      <c r="AF44" t="e">
        <f>AND(Answers!BM134,"AAAAAHm+UB8=")</f>
        <v>#VALUE!</v>
      </c>
      <c r="AG44" t="e">
        <f>AND(Answers!BN134,"AAAAAHm+UCA=")</f>
        <v>#VALUE!</v>
      </c>
      <c r="AH44" t="e">
        <f>AND(Answers!BO134,"AAAAAHm+UCE=")</f>
        <v>#VALUE!</v>
      </c>
      <c r="AI44" t="e">
        <f>AND(Answers!BP134,"AAAAAHm+UCI=")</f>
        <v>#VALUE!</v>
      </c>
      <c r="AJ44" t="e">
        <f>AND(Answers!BQ134,"AAAAAHm+UCM=")</f>
        <v>#VALUE!</v>
      </c>
      <c r="AK44" t="e">
        <f>AND(Answers!BR134,"AAAAAHm+UCQ=")</f>
        <v>#VALUE!</v>
      </c>
      <c r="AL44" t="e">
        <f>AND(Answers!BS134,"AAAAAHm+UCU=")</f>
        <v>#VALUE!</v>
      </c>
      <c r="AM44" t="e">
        <f>AND(Answers!BU134,"AAAAAHm+UCY=")</f>
        <v>#VALUE!</v>
      </c>
      <c r="AN44" t="e">
        <f>AND(Answers!BV134,"AAAAAHm+UCc=")</f>
        <v>#VALUE!</v>
      </c>
      <c r="AO44" t="e">
        <f>AND(Answers!#REF!,"AAAAAHm+UCg=")</f>
        <v>#REF!</v>
      </c>
      <c r="AP44" t="e">
        <f>AND(Answers!BW134,"AAAAAHm+UCk=")</f>
        <v>#VALUE!</v>
      </c>
      <c r="AQ44" t="e">
        <f>AND(Answers!BX134,"AAAAAHm+UCo=")</f>
        <v>#VALUE!</v>
      </c>
      <c r="AR44" t="e">
        <f>AND(Answers!BY134,"AAAAAHm+UCs=")</f>
        <v>#VALUE!</v>
      </c>
      <c r="AS44" t="e">
        <f>AND(Answers!BZ134,"AAAAAHm+UCw=")</f>
        <v>#VALUE!</v>
      </c>
      <c r="AT44">
        <f>IF(Answers!135:135,"AAAAAHm+UC0=",0)</f>
        <v>0</v>
      </c>
      <c r="AU44" t="e">
        <f>AND(Answers!A135,"AAAAAHm+UC4=")</f>
        <v>#VALUE!</v>
      </c>
      <c r="AV44" t="e">
        <f>AND(Answers!B135,"AAAAAHm+UC8=")</f>
        <v>#VALUE!</v>
      </c>
      <c r="AW44" t="e">
        <f>AND(Answers!C135,"AAAAAHm+UDA=")</f>
        <v>#VALUE!</v>
      </c>
      <c r="AX44" t="e">
        <f>AND(Answers!D135,"AAAAAHm+UDE=")</f>
        <v>#VALUE!</v>
      </c>
      <c r="AY44" t="e">
        <f>AND(Answers!E135,"AAAAAHm+UDI=")</f>
        <v>#VALUE!</v>
      </c>
      <c r="AZ44" t="e">
        <f>AND(Answers!F135,"AAAAAHm+UDM=")</f>
        <v>#VALUE!</v>
      </c>
      <c r="BA44" t="e">
        <f>AND(Answers!G135,"AAAAAHm+UDQ=")</f>
        <v>#VALUE!</v>
      </c>
      <c r="BB44" t="e">
        <f>AND(Answers!H135,"AAAAAHm+UDU=")</f>
        <v>#VALUE!</v>
      </c>
      <c r="BC44" t="e">
        <f>AND(Answers!J135,"AAAAAHm+UDY=")</f>
        <v>#VALUE!</v>
      </c>
      <c r="BD44" t="e">
        <f>AND(Answers!K135,"AAAAAHm+UDc=")</f>
        <v>#VALUE!</v>
      </c>
      <c r="BE44" t="e">
        <f>AND(Answers!L135,"AAAAAHm+UDg=")</f>
        <v>#VALUE!</v>
      </c>
      <c r="BF44" t="e">
        <f>AND(Answers!M135,"AAAAAHm+UDk=")</f>
        <v>#VALUE!</v>
      </c>
      <c r="BG44" t="e">
        <f>AND(Answers!N135,"AAAAAHm+UDo=")</f>
        <v>#VALUE!</v>
      </c>
      <c r="BH44" t="e">
        <f>AND(Answers!O135,"AAAAAHm+UDs=")</f>
        <v>#VALUE!</v>
      </c>
      <c r="BI44" t="e">
        <f>AND(Answers!P135,"AAAAAHm+UDw=")</f>
        <v>#VALUE!</v>
      </c>
      <c r="BJ44" t="e">
        <f>AND(Answers!Q135,"AAAAAHm+UD0=")</f>
        <v>#VALUE!</v>
      </c>
      <c r="BK44" t="e">
        <f>AND(Answers!R135,"AAAAAHm+UD4=")</f>
        <v>#VALUE!</v>
      </c>
      <c r="BL44" t="e">
        <f>AND(Answers!S135,"AAAAAHm+UD8=")</f>
        <v>#VALUE!</v>
      </c>
      <c r="BM44" t="e">
        <f>AND(Answers!T135,"AAAAAHm+UEA=")</f>
        <v>#VALUE!</v>
      </c>
      <c r="BN44" t="e">
        <f>AND(Answers!U135,"AAAAAHm+UEE=")</f>
        <v>#VALUE!</v>
      </c>
      <c r="BO44" t="e">
        <f>AND(Answers!V135,"AAAAAHm+UEI=")</f>
        <v>#VALUE!</v>
      </c>
      <c r="BP44" t="e">
        <f>AND(Answers!X135,"AAAAAHm+UEM=")</f>
        <v>#VALUE!</v>
      </c>
      <c r="BQ44" t="e">
        <f>AND(Answers!Y135,"AAAAAHm+UEQ=")</f>
        <v>#VALUE!</v>
      </c>
      <c r="BR44" t="e">
        <f>AND(Answers!Z135,"AAAAAHm+UEU=")</f>
        <v>#VALUE!</v>
      </c>
      <c r="BS44" t="e">
        <f>AND(Answers!AA135,"AAAAAHm+UEY=")</f>
        <v>#VALUE!</v>
      </c>
      <c r="BT44" t="e">
        <f>AND(Answers!AB135,"AAAAAHm+UEc=")</f>
        <v>#VALUE!</v>
      </c>
      <c r="BU44" t="e">
        <f>AND(Answers!AC135,"AAAAAHm+UEg=")</f>
        <v>#VALUE!</v>
      </c>
      <c r="BV44" t="e">
        <f>AND(Answers!AD135,"AAAAAHm+UEk=")</f>
        <v>#VALUE!</v>
      </c>
      <c r="BW44" t="e">
        <f>AND(Answers!AE135,"AAAAAHm+UEo=")</f>
        <v>#VALUE!</v>
      </c>
      <c r="BX44" t="e">
        <f>AND(Answers!AF135,"AAAAAHm+UEs=")</f>
        <v>#VALUE!</v>
      </c>
      <c r="BY44" t="e">
        <f>AND(Answers!AH135,"AAAAAHm+UEw=")</f>
        <v>#VALUE!</v>
      </c>
      <c r="BZ44" t="e">
        <f>AND(Answers!AI135,"AAAAAHm+UE0=")</f>
        <v>#VALUE!</v>
      </c>
      <c r="CA44" t="e">
        <f>AND(Answers!AK135,"AAAAAHm+UE4=")</f>
        <v>#VALUE!</v>
      </c>
      <c r="CB44" t="e">
        <f>AND(Answers!#REF!,"AAAAAHm+UE8=")</f>
        <v>#REF!</v>
      </c>
      <c r="CC44" t="e">
        <f>AND(Answers!AR135,"AAAAAHm+UFA=")</f>
        <v>#VALUE!</v>
      </c>
      <c r="CD44" t="e">
        <f>AND(Answers!AS135,"AAAAAHm+UFE=")</f>
        <v>#VALUE!</v>
      </c>
      <c r="CE44" t="e">
        <f>AND(Answers!AT135,"AAAAAHm+UFI=")</f>
        <v>#VALUE!</v>
      </c>
      <c r="CF44" t="e">
        <f>AND(Answers!AU135,"AAAAAHm+UFM=")</f>
        <v>#VALUE!</v>
      </c>
      <c r="CG44" t="e">
        <f>AND(Answers!AW135,"AAAAAHm+UFQ=")</f>
        <v>#VALUE!</v>
      </c>
      <c r="CH44" t="e">
        <f>AND(Answers!AX135,"AAAAAHm+UFU=")</f>
        <v>#VALUE!</v>
      </c>
      <c r="CI44" t="e">
        <f>AND(Answers!AY135,"AAAAAHm+UFY=")</f>
        <v>#VALUE!</v>
      </c>
      <c r="CJ44" t="e">
        <f>AND(Answers!AZ135,"AAAAAHm+UFc=")</f>
        <v>#VALUE!</v>
      </c>
      <c r="CK44" t="e">
        <f>AND(Answers!BA135,"AAAAAHm+UFg=")</f>
        <v>#VALUE!</v>
      </c>
      <c r="CL44" t="e">
        <f>AND(Answers!BB135,"AAAAAHm+UFk=")</f>
        <v>#VALUE!</v>
      </c>
      <c r="CM44" t="e">
        <f>AND(Answers!BC135,"AAAAAHm+UFo=")</f>
        <v>#VALUE!</v>
      </c>
      <c r="CN44" t="e">
        <f>AND(Answers!BD135,"AAAAAHm+UFs=")</f>
        <v>#VALUE!</v>
      </c>
      <c r="CO44" t="e">
        <f>AND(Answers!BE135,"AAAAAHm+UFw=")</f>
        <v>#VALUE!</v>
      </c>
      <c r="CP44" t="e">
        <f>AND(Answers!BF135,"AAAAAHm+UF0=")</f>
        <v>#VALUE!</v>
      </c>
      <c r="CQ44" t="e">
        <f>AND(Answers!BG135,"AAAAAHm+UF4=")</f>
        <v>#VALUE!</v>
      </c>
      <c r="CR44" t="e">
        <f>AND(Answers!BH135,"AAAAAHm+UF8=")</f>
        <v>#VALUE!</v>
      </c>
      <c r="CS44" t="e">
        <f>AND(Answers!BI135,"AAAAAHm+UGA=")</f>
        <v>#VALUE!</v>
      </c>
      <c r="CT44" t="e">
        <f>AND(Answers!BK135,"AAAAAHm+UGE=")</f>
        <v>#VALUE!</v>
      </c>
      <c r="CU44" t="e">
        <f>AND(Answers!BL135,"AAAAAHm+UGI=")</f>
        <v>#VALUE!</v>
      </c>
      <c r="CV44" t="e">
        <f>AND(Answers!BM135,"AAAAAHm+UGM=")</f>
        <v>#VALUE!</v>
      </c>
      <c r="CW44" t="e">
        <f>AND(Answers!BN135,"AAAAAHm+UGQ=")</f>
        <v>#VALUE!</v>
      </c>
      <c r="CX44" t="e">
        <f>AND(Answers!BO135,"AAAAAHm+UGU=")</f>
        <v>#VALUE!</v>
      </c>
      <c r="CY44" t="e">
        <f>AND(Answers!BP135,"AAAAAHm+UGY=")</f>
        <v>#VALUE!</v>
      </c>
      <c r="CZ44" t="e">
        <f>AND(Answers!BQ135,"AAAAAHm+UGc=")</f>
        <v>#VALUE!</v>
      </c>
      <c r="DA44" t="e">
        <f>AND(Answers!BR135,"AAAAAHm+UGg=")</f>
        <v>#VALUE!</v>
      </c>
      <c r="DB44" t="e">
        <f>AND(Answers!BS135,"AAAAAHm+UGk=")</f>
        <v>#VALUE!</v>
      </c>
      <c r="DC44" t="e">
        <f>AND(Answers!BU135,"AAAAAHm+UGo=")</f>
        <v>#VALUE!</v>
      </c>
      <c r="DD44" t="e">
        <f>AND(Answers!BV135,"AAAAAHm+UGs=")</f>
        <v>#VALUE!</v>
      </c>
      <c r="DE44" t="e">
        <f>AND(Answers!#REF!,"AAAAAHm+UGw=")</f>
        <v>#REF!</v>
      </c>
      <c r="DF44" t="e">
        <f>AND(Answers!BW135,"AAAAAHm+UG0=")</f>
        <v>#VALUE!</v>
      </c>
      <c r="DG44" t="e">
        <f>AND(Answers!BX135,"AAAAAHm+UG4=")</f>
        <v>#VALUE!</v>
      </c>
      <c r="DH44" t="e">
        <f>AND(Answers!BY135,"AAAAAHm+UG8=")</f>
        <v>#VALUE!</v>
      </c>
      <c r="DI44" t="e">
        <f>AND(Answers!BZ135,"AAAAAHm+UHA=")</f>
        <v>#VALUE!</v>
      </c>
      <c r="DJ44">
        <f>IF(Answers!136:136,"AAAAAHm+UHE=",0)</f>
        <v>0</v>
      </c>
      <c r="DK44" t="e">
        <f>AND(Answers!A136,"AAAAAHm+UHI=")</f>
        <v>#VALUE!</v>
      </c>
      <c r="DL44" t="e">
        <f>AND(Answers!B136,"AAAAAHm+UHM=")</f>
        <v>#VALUE!</v>
      </c>
      <c r="DM44" t="e">
        <f>AND(Answers!C136,"AAAAAHm+UHQ=")</f>
        <v>#VALUE!</v>
      </c>
      <c r="DN44" t="e">
        <f>AND(Answers!D136,"AAAAAHm+UHU=")</f>
        <v>#VALUE!</v>
      </c>
      <c r="DO44" t="e">
        <f>AND(Answers!E136,"AAAAAHm+UHY=")</f>
        <v>#VALUE!</v>
      </c>
      <c r="DP44" t="e">
        <f>AND(Answers!F136,"AAAAAHm+UHc=")</f>
        <v>#VALUE!</v>
      </c>
      <c r="DQ44" t="e">
        <f>AND(Answers!G136,"AAAAAHm+UHg=")</f>
        <v>#VALUE!</v>
      </c>
      <c r="DR44" t="e">
        <f>AND(Answers!H136,"AAAAAHm+UHk=")</f>
        <v>#VALUE!</v>
      </c>
      <c r="DS44" t="e">
        <f>AND(Answers!J136,"AAAAAHm+UHo=")</f>
        <v>#VALUE!</v>
      </c>
      <c r="DT44" t="e">
        <f>AND(Answers!K136,"AAAAAHm+UHs=")</f>
        <v>#VALUE!</v>
      </c>
      <c r="DU44" t="e">
        <f>AND(Answers!L136,"AAAAAHm+UHw=")</f>
        <v>#VALUE!</v>
      </c>
      <c r="DV44" t="e">
        <f>AND(Answers!M136,"AAAAAHm+UH0=")</f>
        <v>#VALUE!</v>
      </c>
      <c r="DW44" t="e">
        <f>AND(Answers!N136,"AAAAAHm+UH4=")</f>
        <v>#VALUE!</v>
      </c>
      <c r="DX44" t="e">
        <f>AND(Answers!O136,"AAAAAHm+UH8=")</f>
        <v>#VALUE!</v>
      </c>
      <c r="DY44" t="e">
        <f>AND(Answers!P136,"AAAAAHm+UIA=")</f>
        <v>#VALUE!</v>
      </c>
      <c r="DZ44" t="e">
        <f>AND(Answers!Q136,"AAAAAHm+UIE=")</f>
        <v>#VALUE!</v>
      </c>
      <c r="EA44" t="e">
        <f>AND(Answers!R136,"AAAAAHm+UII=")</f>
        <v>#VALUE!</v>
      </c>
      <c r="EB44" t="e">
        <f>AND(Answers!S136,"AAAAAHm+UIM=")</f>
        <v>#VALUE!</v>
      </c>
      <c r="EC44" t="e">
        <f>AND(Answers!T136,"AAAAAHm+UIQ=")</f>
        <v>#VALUE!</v>
      </c>
      <c r="ED44" t="e">
        <f>AND(Answers!U136,"AAAAAHm+UIU=")</f>
        <v>#VALUE!</v>
      </c>
      <c r="EE44" t="e">
        <f>AND(Answers!V136,"AAAAAHm+UIY=")</f>
        <v>#VALUE!</v>
      </c>
      <c r="EF44" t="e">
        <f>AND(Answers!X136,"AAAAAHm+UIc=")</f>
        <v>#VALUE!</v>
      </c>
      <c r="EG44" t="e">
        <f>AND(Answers!Y136,"AAAAAHm+UIg=")</f>
        <v>#VALUE!</v>
      </c>
      <c r="EH44" t="e">
        <f>AND(Answers!Z136,"AAAAAHm+UIk=")</f>
        <v>#VALUE!</v>
      </c>
      <c r="EI44" t="e">
        <f>AND(Answers!AA136,"AAAAAHm+UIo=")</f>
        <v>#VALUE!</v>
      </c>
      <c r="EJ44" t="e">
        <f>AND(Answers!AB136,"AAAAAHm+UIs=")</f>
        <v>#VALUE!</v>
      </c>
      <c r="EK44" t="e">
        <f>AND(Answers!AC136,"AAAAAHm+UIw=")</f>
        <v>#VALUE!</v>
      </c>
      <c r="EL44" t="e">
        <f>AND(Answers!AD136,"AAAAAHm+UI0=")</f>
        <v>#VALUE!</v>
      </c>
      <c r="EM44" t="e">
        <f>AND(Answers!AE136,"AAAAAHm+UI4=")</f>
        <v>#VALUE!</v>
      </c>
      <c r="EN44" t="e">
        <f>AND(Answers!AF136,"AAAAAHm+UI8=")</f>
        <v>#VALUE!</v>
      </c>
      <c r="EO44" t="e">
        <f>AND(Answers!AH136,"AAAAAHm+UJA=")</f>
        <v>#VALUE!</v>
      </c>
      <c r="EP44" t="e">
        <f>AND(Answers!AI136,"AAAAAHm+UJE=")</f>
        <v>#VALUE!</v>
      </c>
      <c r="EQ44" t="e">
        <f>AND(Answers!AK136,"AAAAAHm+UJI=")</f>
        <v>#VALUE!</v>
      </c>
      <c r="ER44" t="e">
        <f>AND(Answers!#REF!,"AAAAAHm+UJM=")</f>
        <v>#REF!</v>
      </c>
      <c r="ES44" t="e">
        <f>AND(Answers!AR136,"AAAAAHm+UJQ=")</f>
        <v>#VALUE!</v>
      </c>
      <c r="ET44" t="e">
        <f>AND(Answers!AS136,"AAAAAHm+UJU=")</f>
        <v>#VALUE!</v>
      </c>
      <c r="EU44" t="e">
        <f>AND(Answers!AT136,"AAAAAHm+UJY=")</f>
        <v>#VALUE!</v>
      </c>
      <c r="EV44" t="e">
        <f>AND(Answers!AU136,"AAAAAHm+UJc=")</f>
        <v>#VALUE!</v>
      </c>
      <c r="EW44" t="e">
        <f>AND(Answers!AW136,"AAAAAHm+UJg=")</f>
        <v>#VALUE!</v>
      </c>
      <c r="EX44" t="e">
        <f>AND(Answers!AX136,"AAAAAHm+UJk=")</f>
        <v>#VALUE!</v>
      </c>
      <c r="EY44" t="e">
        <f>AND(Answers!AY136,"AAAAAHm+UJo=")</f>
        <v>#VALUE!</v>
      </c>
      <c r="EZ44" t="e">
        <f>AND(Answers!AZ136,"AAAAAHm+UJs=")</f>
        <v>#VALUE!</v>
      </c>
      <c r="FA44" t="e">
        <f>AND(Answers!BA136,"AAAAAHm+UJw=")</f>
        <v>#VALUE!</v>
      </c>
      <c r="FB44" t="e">
        <f>AND(Answers!BB136,"AAAAAHm+UJ0=")</f>
        <v>#VALUE!</v>
      </c>
      <c r="FC44" t="e">
        <f>AND(Answers!BC136,"AAAAAHm+UJ4=")</f>
        <v>#VALUE!</v>
      </c>
      <c r="FD44" t="e">
        <f>AND(Answers!BD136,"AAAAAHm+UJ8=")</f>
        <v>#VALUE!</v>
      </c>
      <c r="FE44" t="e">
        <f>AND(Answers!BE136,"AAAAAHm+UKA=")</f>
        <v>#VALUE!</v>
      </c>
      <c r="FF44" t="e">
        <f>AND(Answers!BF136,"AAAAAHm+UKE=")</f>
        <v>#VALUE!</v>
      </c>
      <c r="FG44" t="e">
        <f>AND(Answers!BG136,"AAAAAHm+UKI=")</f>
        <v>#VALUE!</v>
      </c>
      <c r="FH44" t="e">
        <f>AND(Answers!BH136,"AAAAAHm+UKM=")</f>
        <v>#VALUE!</v>
      </c>
      <c r="FI44" t="e">
        <f>AND(Answers!BI136,"AAAAAHm+UKQ=")</f>
        <v>#VALUE!</v>
      </c>
      <c r="FJ44" t="e">
        <f>AND(Answers!BK136,"AAAAAHm+UKU=")</f>
        <v>#VALUE!</v>
      </c>
      <c r="FK44" t="e">
        <f>AND(Answers!BL136,"AAAAAHm+UKY=")</f>
        <v>#VALUE!</v>
      </c>
      <c r="FL44" t="e">
        <f>AND(Answers!BM136,"AAAAAHm+UKc=")</f>
        <v>#VALUE!</v>
      </c>
      <c r="FM44" t="e">
        <f>AND(Answers!BN136,"AAAAAHm+UKg=")</f>
        <v>#VALUE!</v>
      </c>
      <c r="FN44" t="e">
        <f>AND(Answers!BO136,"AAAAAHm+UKk=")</f>
        <v>#VALUE!</v>
      </c>
      <c r="FO44" t="e">
        <f>AND(Answers!BP136,"AAAAAHm+UKo=")</f>
        <v>#VALUE!</v>
      </c>
      <c r="FP44" t="e">
        <f>AND(Answers!BQ136,"AAAAAHm+UKs=")</f>
        <v>#VALUE!</v>
      </c>
      <c r="FQ44" t="e">
        <f>AND(Answers!BR136,"AAAAAHm+UKw=")</f>
        <v>#VALUE!</v>
      </c>
      <c r="FR44" t="e">
        <f>AND(Answers!BS136,"AAAAAHm+UK0=")</f>
        <v>#VALUE!</v>
      </c>
      <c r="FS44" t="e">
        <f>AND(Answers!BU136,"AAAAAHm+UK4=")</f>
        <v>#VALUE!</v>
      </c>
      <c r="FT44" t="e">
        <f>AND(Answers!BV136,"AAAAAHm+UK8=")</f>
        <v>#VALUE!</v>
      </c>
      <c r="FU44" t="e">
        <f>AND(Answers!#REF!,"AAAAAHm+ULA=")</f>
        <v>#REF!</v>
      </c>
      <c r="FV44" t="e">
        <f>AND(Answers!BW136,"AAAAAHm+ULE=")</f>
        <v>#VALUE!</v>
      </c>
      <c r="FW44" t="e">
        <f>AND(Answers!BX136,"AAAAAHm+ULI=")</f>
        <v>#VALUE!</v>
      </c>
      <c r="FX44" t="e">
        <f>AND(Answers!BY136,"AAAAAHm+ULM=")</f>
        <v>#VALUE!</v>
      </c>
      <c r="FY44" t="e">
        <f>AND(Answers!BZ136,"AAAAAHm+ULQ=")</f>
        <v>#VALUE!</v>
      </c>
      <c r="FZ44">
        <f>IF(Answers!137:137,"AAAAAHm+ULU=",0)</f>
        <v>0</v>
      </c>
      <c r="GA44" t="e">
        <f>AND(Answers!A137,"AAAAAHm+ULY=")</f>
        <v>#VALUE!</v>
      </c>
      <c r="GB44" t="e">
        <f>AND(Answers!B137,"AAAAAHm+ULc=")</f>
        <v>#VALUE!</v>
      </c>
      <c r="GC44" t="e">
        <f>AND(Answers!C137,"AAAAAHm+ULg=")</f>
        <v>#VALUE!</v>
      </c>
      <c r="GD44" t="e">
        <f>AND(Answers!D137,"AAAAAHm+ULk=")</f>
        <v>#VALUE!</v>
      </c>
      <c r="GE44" t="e">
        <f>AND(Answers!E137,"AAAAAHm+ULo=")</f>
        <v>#VALUE!</v>
      </c>
      <c r="GF44" t="e">
        <f>AND(Answers!F137,"AAAAAHm+ULs=")</f>
        <v>#VALUE!</v>
      </c>
      <c r="GG44" t="e">
        <f>AND(Answers!G137,"AAAAAHm+ULw=")</f>
        <v>#VALUE!</v>
      </c>
      <c r="GH44" t="e">
        <f>AND(Answers!H137,"AAAAAHm+UL0=")</f>
        <v>#VALUE!</v>
      </c>
      <c r="GI44" t="e">
        <f>AND(Answers!J137,"AAAAAHm+UL4=")</f>
        <v>#VALUE!</v>
      </c>
      <c r="GJ44" t="e">
        <f>AND(Answers!K137,"AAAAAHm+UL8=")</f>
        <v>#VALUE!</v>
      </c>
      <c r="GK44" t="e">
        <f>AND(Answers!L137,"AAAAAHm+UMA=")</f>
        <v>#VALUE!</v>
      </c>
      <c r="GL44" t="e">
        <f>AND(Answers!M137,"AAAAAHm+UME=")</f>
        <v>#VALUE!</v>
      </c>
      <c r="GM44" t="e">
        <f>AND(Answers!N137,"AAAAAHm+UMI=")</f>
        <v>#VALUE!</v>
      </c>
      <c r="GN44" t="e">
        <f>AND(Answers!O137,"AAAAAHm+UMM=")</f>
        <v>#VALUE!</v>
      </c>
      <c r="GO44" t="e">
        <f>AND(Answers!P137,"AAAAAHm+UMQ=")</f>
        <v>#VALUE!</v>
      </c>
      <c r="GP44" t="e">
        <f>AND(Answers!Q137,"AAAAAHm+UMU=")</f>
        <v>#VALUE!</v>
      </c>
      <c r="GQ44" t="e">
        <f>AND(Answers!R137,"AAAAAHm+UMY=")</f>
        <v>#VALUE!</v>
      </c>
      <c r="GR44" t="e">
        <f>AND(Answers!S137,"AAAAAHm+UMc=")</f>
        <v>#VALUE!</v>
      </c>
      <c r="GS44" t="e">
        <f>AND(Answers!T137,"AAAAAHm+UMg=")</f>
        <v>#VALUE!</v>
      </c>
      <c r="GT44" t="e">
        <f>AND(Answers!U137,"AAAAAHm+UMk=")</f>
        <v>#VALUE!</v>
      </c>
      <c r="GU44" t="e">
        <f>AND(Answers!V137,"AAAAAHm+UMo=")</f>
        <v>#VALUE!</v>
      </c>
      <c r="GV44" t="e">
        <f>AND(Answers!X137,"AAAAAHm+UMs=")</f>
        <v>#VALUE!</v>
      </c>
      <c r="GW44" t="e">
        <f>AND(Answers!Y137,"AAAAAHm+UMw=")</f>
        <v>#VALUE!</v>
      </c>
      <c r="GX44" t="e">
        <f>AND(Answers!Z137,"AAAAAHm+UM0=")</f>
        <v>#VALUE!</v>
      </c>
      <c r="GY44" t="e">
        <f>AND(Answers!AA137,"AAAAAHm+UM4=")</f>
        <v>#VALUE!</v>
      </c>
      <c r="GZ44" t="e">
        <f>AND(Answers!AB137,"AAAAAHm+UM8=")</f>
        <v>#VALUE!</v>
      </c>
      <c r="HA44" t="e">
        <f>AND(Answers!AC137,"AAAAAHm+UNA=")</f>
        <v>#VALUE!</v>
      </c>
      <c r="HB44" t="e">
        <f>AND(Answers!AD137,"AAAAAHm+UNE=")</f>
        <v>#VALUE!</v>
      </c>
      <c r="HC44" t="e">
        <f>AND(Answers!AE137,"AAAAAHm+UNI=")</f>
        <v>#VALUE!</v>
      </c>
      <c r="HD44" t="e">
        <f>AND(Answers!AF137,"AAAAAHm+UNM=")</f>
        <v>#VALUE!</v>
      </c>
      <c r="HE44" t="e">
        <f>AND(Answers!AH137,"AAAAAHm+UNQ=")</f>
        <v>#VALUE!</v>
      </c>
      <c r="HF44" t="e">
        <f>AND(Answers!AI137,"AAAAAHm+UNU=")</f>
        <v>#VALUE!</v>
      </c>
      <c r="HG44" t="e">
        <f>AND(Answers!AK137,"AAAAAHm+UNY=")</f>
        <v>#VALUE!</v>
      </c>
      <c r="HH44" t="e">
        <f>AND(Answers!#REF!,"AAAAAHm+UNc=")</f>
        <v>#REF!</v>
      </c>
      <c r="HI44" t="e">
        <f>AND(Answers!AR137,"AAAAAHm+UNg=")</f>
        <v>#VALUE!</v>
      </c>
      <c r="HJ44" t="e">
        <f>AND(Answers!AS137,"AAAAAHm+UNk=")</f>
        <v>#VALUE!</v>
      </c>
      <c r="HK44" t="e">
        <f>AND(Answers!AT137,"AAAAAHm+UNo=")</f>
        <v>#VALUE!</v>
      </c>
      <c r="HL44" t="e">
        <f>AND(Answers!AU137,"AAAAAHm+UNs=")</f>
        <v>#VALUE!</v>
      </c>
      <c r="HM44" t="e">
        <f>AND(Answers!AW137,"AAAAAHm+UNw=")</f>
        <v>#VALUE!</v>
      </c>
      <c r="HN44" t="e">
        <f>AND(Answers!AX137,"AAAAAHm+UN0=")</f>
        <v>#VALUE!</v>
      </c>
      <c r="HO44" t="e">
        <f>AND(Answers!AY137,"AAAAAHm+UN4=")</f>
        <v>#VALUE!</v>
      </c>
      <c r="HP44" t="e">
        <f>AND(Answers!AZ137,"AAAAAHm+UN8=")</f>
        <v>#VALUE!</v>
      </c>
      <c r="HQ44" t="e">
        <f>AND(Answers!BA137,"AAAAAHm+UOA=")</f>
        <v>#VALUE!</v>
      </c>
      <c r="HR44" t="e">
        <f>AND(Answers!BB137,"AAAAAHm+UOE=")</f>
        <v>#VALUE!</v>
      </c>
      <c r="HS44" t="e">
        <f>AND(Answers!BC137,"AAAAAHm+UOI=")</f>
        <v>#VALUE!</v>
      </c>
      <c r="HT44" t="e">
        <f>AND(Answers!BD137,"AAAAAHm+UOM=")</f>
        <v>#VALUE!</v>
      </c>
      <c r="HU44" t="e">
        <f>AND(Answers!BE137,"AAAAAHm+UOQ=")</f>
        <v>#VALUE!</v>
      </c>
      <c r="HV44" t="e">
        <f>AND(Answers!BF137,"AAAAAHm+UOU=")</f>
        <v>#VALUE!</v>
      </c>
      <c r="HW44" t="e">
        <f>AND(Answers!BG137,"AAAAAHm+UOY=")</f>
        <v>#VALUE!</v>
      </c>
      <c r="HX44" t="e">
        <f>AND(Answers!BH137,"AAAAAHm+UOc=")</f>
        <v>#VALUE!</v>
      </c>
      <c r="HY44" t="e">
        <f>AND(Answers!BI137,"AAAAAHm+UOg=")</f>
        <v>#VALUE!</v>
      </c>
      <c r="HZ44" t="e">
        <f>AND(Answers!BK137,"AAAAAHm+UOk=")</f>
        <v>#VALUE!</v>
      </c>
      <c r="IA44" t="e">
        <f>AND(Answers!BL137,"AAAAAHm+UOo=")</f>
        <v>#VALUE!</v>
      </c>
      <c r="IB44" t="e">
        <f>AND(Answers!BM137,"AAAAAHm+UOs=")</f>
        <v>#VALUE!</v>
      </c>
      <c r="IC44" t="e">
        <f>AND(Answers!BN137,"AAAAAHm+UOw=")</f>
        <v>#VALUE!</v>
      </c>
      <c r="ID44" t="e">
        <f>AND(Answers!BO137,"AAAAAHm+UO0=")</f>
        <v>#VALUE!</v>
      </c>
      <c r="IE44" t="e">
        <f>AND(Answers!BP137,"AAAAAHm+UO4=")</f>
        <v>#VALUE!</v>
      </c>
      <c r="IF44" t="e">
        <f>AND(Answers!BQ137,"AAAAAHm+UO8=")</f>
        <v>#VALUE!</v>
      </c>
      <c r="IG44" t="e">
        <f>AND(Answers!BR137,"AAAAAHm+UPA=")</f>
        <v>#VALUE!</v>
      </c>
      <c r="IH44" t="e">
        <f>AND(Answers!BS137,"AAAAAHm+UPE=")</f>
        <v>#VALUE!</v>
      </c>
      <c r="II44" t="e">
        <f>AND(Answers!BU137,"AAAAAHm+UPI=")</f>
        <v>#VALUE!</v>
      </c>
      <c r="IJ44" t="e">
        <f>AND(Answers!BV137,"AAAAAHm+UPM=")</f>
        <v>#VALUE!</v>
      </c>
      <c r="IK44" t="e">
        <f>AND(Answers!#REF!,"AAAAAHm+UPQ=")</f>
        <v>#REF!</v>
      </c>
      <c r="IL44" t="e">
        <f>AND(Answers!BW137,"AAAAAHm+UPU=")</f>
        <v>#VALUE!</v>
      </c>
      <c r="IM44" t="e">
        <f>AND(Answers!BX137,"AAAAAHm+UPY=")</f>
        <v>#VALUE!</v>
      </c>
      <c r="IN44" t="e">
        <f>AND(Answers!BY137,"AAAAAHm+UPc=")</f>
        <v>#VALUE!</v>
      </c>
      <c r="IO44" t="e">
        <f>AND(Answers!BZ137,"AAAAAHm+UPg=")</f>
        <v>#VALUE!</v>
      </c>
      <c r="IP44">
        <f>IF(Answers!138:138,"AAAAAHm+UPk=",0)</f>
        <v>0</v>
      </c>
      <c r="IQ44" t="e">
        <f>AND(Answers!A138,"AAAAAHm+UPo=")</f>
        <v>#VALUE!</v>
      </c>
      <c r="IR44" t="e">
        <f>AND(Answers!B138,"AAAAAHm+UPs=")</f>
        <v>#VALUE!</v>
      </c>
      <c r="IS44" t="e">
        <f>AND(Answers!C138,"AAAAAHm+UPw=")</f>
        <v>#VALUE!</v>
      </c>
      <c r="IT44" t="e">
        <f>AND(Answers!D138,"AAAAAHm+UP0=")</f>
        <v>#VALUE!</v>
      </c>
      <c r="IU44" t="e">
        <f>AND(Answers!E138,"AAAAAHm+UP4=")</f>
        <v>#VALUE!</v>
      </c>
      <c r="IV44" t="e">
        <f>AND(Answers!F138,"AAAAAHm+UP8=")</f>
        <v>#VALUE!</v>
      </c>
    </row>
    <row r="45" spans="1:256" x14ac:dyDescent="0.15">
      <c r="A45" t="e">
        <f>AND(Answers!G138,"AAAAADfF/QA=")</f>
        <v>#VALUE!</v>
      </c>
      <c r="B45" t="e">
        <f>AND(Answers!H138,"AAAAADfF/QE=")</f>
        <v>#VALUE!</v>
      </c>
      <c r="C45" t="e">
        <f>AND(Answers!J138,"AAAAADfF/QI=")</f>
        <v>#VALUE!</v>
      </c>
      <c r="D45" t="e">
        <f>AND(Answers!K138,"AAAAADfF/QM=")</f>
        <v>#VALUE!</v>
      </c>
      <c r="E45" t="e">
        <f>AND(Answers!L138,"AAAAADfF/QQ=")</f>
        <v>#VALUE!</v>
      </c>
      <c r="F45" t="e">
        <f>AND(Answers!M138,"AAAAADfF/QU=")</f>
        <v>#VALUE!</v>
      </c>
      <c r="G45" t="e">
        <f>AND(Answers!N138,"AAAAADfF/QY=")</f>
        <v>#VALUE!</v>
      </c>
      <c r="H45" t="e">
        <f>AND(Answers!O138,"AAAAADfF/Qc=")</f>
        <v>#VALUE!</v>
      </c>
      <c r="I45" t="e">
        <f>AND(Answers!P138,"AAAAADfF/Qg=")</f>
        <v>#VALUE!</v>
      </c>
      <c r="J45" t="e">
        <f>AND(Answers!Q138,"AAAAADfF/Qk=")</f>
        <v>#VALUE!</v>
      </c>
      <c r="K45" t="e">
        <f>AND(Answers!R138,"AAAAADfF/Qo=")</f>
        <v>#VALUE!</v>
      </c>
      <c r="L45" t="e">
        <f>AND(Answers!S138,"AAAAADfF/Qs=")</f>
        <v>#VALUE!</v>
      </c>
      <c r="M45" t="e">
        <f>AND(Answers!T138,"AAAAADfF/Qw=")</f>
        <v>#VALUE!</v>
      </c>
      <c r="N45" t="e">
        <f>AND(Answers!U138,"AAAAADfF/Q0=")</f>
        <v>#VALUE!</v>
      </c>
      <c r="O45" t="e">
        <f>AND(Answers!V138,"AAAAADfF/Q4=")</f>
        <v>#VALUE!</v>
      </c>
      <c r="P45" t="e">
        <f>AND(Answers!X138,"AAAAADfF/Q8=")</f>
        <v>#VALUE!</v>
      </c>
      <c r="Q45" t="e">
        <f>AND(Answers!Y138,"AAAAADfF/RA=")</f>
        <v>#VALUE!</v>
      </c>
      <c r="R45" t="e">
        <f>AND(Answers!Z138,"AAAAADfF/RE=")</f>
        <v>#VALUE!</v>
      </c>
      <c r="S45" t="e">
        <f>AND(Answers!AA138,"AAAAADfF/RI=")</f>
        <v>#VALUE!</v>
      </c>
      <c r="T45" t="e">
        <f>AND(Answers!AB138,"AAAAADfF/RM=")</f>
        <v>#VALUE!</v>
      </c>
      <c r="U45" t="e">
        <f>AND(Answers!AC138,"AAAAADfF/RQ=")</f>
        <v>#VALUE!</v>
      </c>
      <c r="V45" t="e">
        <f>AND(Answers!AD138,"AAAAADfF/RU=")</f>
        <v>#VALUE!</v>
      </c>
      <c r="W45" t="e">
        <f>AND(Answers!AE138,"AAAAADfF/RY=")</f>
        <v>#VALUE!</v>
      </c>
      <c r="X45" t="e">
        <f>AND(Answers!AF138,"AAAAADfF/Rc=")</f>
        <v>#VALUE!</v>
      </c>
      <c r="Y45" t="e">
        <f>AND(Answers!AH138,"AAAAADfF/Rg=")</f>
        <v>#VALUE!</v>
      </c>
      <c r="Z45" t="e">
        <f>AND(Answers!AI138,"AAAAADfF/Rk=")</f>
        <v>#VALUE!</v>
      </c>
      <c r="AA45" t="e">
        <f>AND(Answers!AK138,"AAAAADfF/Ro=")</f>
        <v>#VALUE!</v>
      </c>
      <c r="AB45" t="e">
        <f>AND(Answers!#REF!,"AAAAADfF/Rs=")</f>
        <v>#REF!</v>
      </c>
      <c r="AC45" t="e">
        <f>AND(Answers!AR138,"AAAAADfF/Rw=")</f>
        <v>#VALUE!</v>
      </c>
      <c r="AD45" t="e">
        <f>AND(Answers!AS138,"AAAAADfF/R0=")</f>
        <v>#VALUE!</v>
      </c>
      <c r="AE45" t="e">
        <f>AND(Answers!AT138,"AAAAADfF/R4=")</f>
        <v>#VALUE!</v>
      </c>
      <c r="AF45" t="e">
        <f>AND(Answers!AU138,"AAAAADfF/R8=")</f>
        <v>#VALUE!</v>
      </c>
      <c r="AG45" t="e">
        <f>AND(Answers!AW138,"AAAAADfF/SA=")</f>
        <v>#VALUE!</v>
      </c>
      <c r="AH45" t="e">
        <f>AND(Answers!AX138,"AAAAADfF/SE=")</f>
        <v>#VALUE!</v>
      </c>
      <c r="AI45" t="e">
        <f>AND(Answers!AY138,"AAAAADfF/SI=")</f>
        <v>#VALUE!</v>
      </c>
      <c r="AJ45" t="e">
        <f>AND(Answers!AZ138,"AAAAADfF/SM=")</f>
        <v>#VALUE!</v>
      </c>
      <c r="AK45" t="e">
        <f>AND(Answers!BA138,"AAAAADfF/SQ=")</f>
        <v>#VALUE!</v>
      </c>
      <c r="AL45" t="e">
        <f>AND(Answers!BB138,"AAAAADfF/SU=")</f>
        <v>#VALUE!</v>
      </c>
      <c r="AM45" t="e">
        <f>AND(Answers!BC138,"AAAAADfF/SY=")</f>
        <v>#VALUE!</v>
      </c>
      <c r="AN45" t="e">
        <f>AND(Answers!BD138,"AAAAADfF/Sc=")</f>
        <v>#VALUE!</v>
      </c>
      <c r="AO45" t="e">
        <f>AND(Answers!BE138,"AAAAADfF/Sg=")</f>
        <v>#VALUE!</v>
      </c>
      <c r="AP45" t="e">
        <f>AND(Answers!BF138,"AAAAADfF/Sk=")</f>
        <v>#VALUE!</v>
      </c>
      <c r="AQ45" t="e">
        <f>AND(Answers!BG138,"AAAAADfF/So=")</f>
        <v>#VALUE!</v>
      </c>
      <c r="AR45" t="e">
        <f>AND(Answers!BH138,"AAAAADfF/Ss=")</f>
        <v>#VALUE!</v>
      </c>
      <c r="AS45" t="e">
        <f>AND(Answers!BI138,"AAAAADfF/Sw=")</f>
        <v>#VALUE!</v>
      </c>
      <c r="AT45" t="e">
        <f>AND(Answers!BK138,"AAAAADfF/S0=")</f>
        <v>#VALUE!</v>
      </c>
      <c r="AU45" t="e">
        <f>AND(Answers!BL138,"AAAAADfF/S4=")</f>
        <v>#VALUE!</v>
      </c>
      <c r="AV45" t="e">
        <f>AND(Answers!BM138,"AAAAADfF/S8=")</f>
        <v>#VALUE!</v>
      </c>
      <c r="AW45" t="e">
        <f>AND(Answers!BN138,"AAAAADfF/TA=")</f>
        <v>#VALUE!</v>
      </c>
      <c r="AX45" t="e">
        <f>AND(Answers!BO138,"AAAAADfF/TE=")</f>
        <v>#VALUE!</v>
      </c>
      <c r="AY45" t="e">
        <f>AND(Answers!BP138,"AAAAADfF/TI=")</f>
        <v>#VALUE!</v>
      </c>
      <c r="AZ45" t="e">
        <f>AND(Answers!BQ138,"AAAAADfF/TM=")</f>
        <v>#VALUE!</v>
      </c>
      <c r="BA45" t="e">
        <f>AND(Answers!BR138,"AAAAADfF/TQ=")</f>
        <v>#VALUE!</v>
      </c>
      <c r="BB45" t="e">
        <f>AND(Answers!BS138,"AAAAADfF/TU=")</f>
        <v>#VALUE!</v>
      </c>
      <c r="BC45" t="e">
        <f>AND(Answers!BU138,"AAAAADfF/TY=")</f>
        <v>#VALUE!</v>
      </c>
      <c r="BD45" t="e">
        <f>AND(Answers!BV138,"AAAAADfF/Tc=")</f>
        <v>#VALUE!</v>
      </c>
      <c r="BE45" t="e">
        <f>AND(Answers!#REF!,"AAAAADfF/Tg=")</f>
        <v>#REF!</v>
      </c>
      <c r="BF45" t="e">
        <f>AND(Answers!BW138,"AAAAADfF/Tk=")</f>
        <v>#VALUE!</v>
      </c>
      <c r="BG45" t="e">
        <f>AND(Answers!BX138,"AAAAADfF/To=")</f>
        <v>#VALUE!</v>
      </c>
      <c r="BH45" t="e">
        <f>AND(Answers!BY138,"AAAAADfF/Ts=")</f>
        <v>#VALUE!</v>
      </c>
      <c r="BI45" t="e">
        <f>AND(Answers!BZ138,"AAAAADfF/Tw=")</f>
        <v>#VALUE!</v>
      </c>
      <c r="BJ45">
        <f>IF(Answers!139:139,"AAAAADfF/T0=",0)</f>
        <v>0</v>
      </c>
      <c r="BK45" t="e">
        <f>AND(Answers!A139,"AAAAADfF/T4=")</f>
        <v>#VALUE!</v>
      </c>
      <c r="BL45" t="e">
        <f>AND(Answers!B139,"AAAAADfF/T8=")</f>
        <v>#VALUE!</v>
      </c>
      <c r="BM45" t="e">
        <f>AND(Answers!C139,"AAAAADfF/UA=")</f>
        <v>#VALUE!</v>
      </c>
      <c r="BN45" t="e">
        <f>AND(Answers!D139,"AAAAADfF/UE=")</f>
        <v>#VALUE!</v>
      </c>
      <c r="BO45" t="e">
        <f>AND(Answers!E139,"AAAAADfF/UI=")</f>
        <v>#VALUE!</v>
      </c>
      <c r="BP45" t="e">
        <f>AND(Answers!F139,"AAAAADfF/UM=")</f>
        <v>#VALUE!</v>
      </c>
      <c r="BQ45" t="e">
        <f>AND(Answers!G139,"AAAAADfF/UQ=")</f>
        <v>#VALUE!</v>
      </c>
      <c r="BR45" t="e">
        <f>AND(Answers!H139,"AAAAADfF/UU=")</f>
        <v>#VALUE!</v>
      </c>
      <c r="BS45" t="e">
        <f>AND(Answers!J139,"AAAAADfF/UY=")</f>
        <v>#VALUE!</v>
      </c>
      <c r="BT45" t="e">
        <f>AND(Answers!K139,"AAAAADfF/Uc=")</f>
        <v>#VALUE!</v>
      </c>
      <c r="BU45" t="e">
        <f>AND(Answers!L139,"AAAAADfF/Ug=")</f>
        <v>#VALUE!</v>
      </c>
      <c r="BV45" t="e">
        <f>AND(Answers!M139,"AAAAADfF/Uk=")</f>
        <v>#VALUE!</v>
      </c>
      <c r="BW45" t="e">
        <f>AND(Answers!N139,"AAAAADfF/Uo=")</f>
        <v>#VALUE!</v>
      </c>
      <c r="BX45" t="e">
        <f>AND(Answers!O139,"AAAAADfF/Us=")</f>
        <v>#VALUE!</v>
      </c>
      <c r="BY45" t="e">
        <f>AND(Answers!P139,"AAAAADfF/Uw=")</f>
        <v>#VALUE!</v>
      </c>
      <c r="BZ45" t="e">
        <f>AND(Answers!Q139,"AAAAADfF/U0=")</f>
        <v>#VALUE!</v>
      </c>
      <c r="CA45" t="e">
        <f>AND(Answers!R139,"AAAAADfF/U4=")</f>
        <v>#VALUE!</v>
      </c>
      <c r="CB45" t="e">
        <f>AND(Answers!S139,"AAAAADfF/U8=")</f>
        <v>#VALUE!</v>
      </c>
      <c r="CC45" t="e">
        <f>AND(Answers!T139,"AAAAADfF/VA=")</f>
        <v>#VALUE!</v>
      </c>
      <c r="CD45" t="e">
        <f>AND(Answers!U139,"AAAAADfF/VE=")</f>
        <v>#VALUE!</v>
      </c>
      <c r="CE45" t="e">
        <f>AND(Answers!V139,"AAAAADfF/VI=")</f>
        <v>#VALUE!</v>
      </c>
      <c r="CF45" t="e">
        <f>AND(Answers!X139,"AAAAADfF/VM=")</f>
        <v>#VALUE!</v>
      </c>
      <c r="CG45" t="e">
        <f>AND(Answers!Y139,"AAAAADfF/VQ=")</f>
        <v>#VALUE!</v>
      </c>
      <c r="CH45" t="e">
        <f>AND(Answers!Z139,"AAAAADfF/VU=")</f>
        <v>#VALUE!</v>
      </c>
      <c r="CI45" t="e">
        <f>AND(Answers!AA139,"AAAAADfF/VY=")</f>
        <v>#VALUE!</v>
      </c>
      <c r="CJ45" t="e">
        <f>AND(Answers!AB139,"AAAAADfF/Vc=")</f>
        <v>#VALUE!</v>
      </c>
      <c r="CK45" t="e">
        <f>AND(Answers!AC139,"AAAAADfF/Vg=")</f>
        <v>#VALUE!</v>
      </c>
      <c r="CL45" t="e">
        <f>AND(Answers!AD139,"AAAAADfF/Vk=")</f>
        <v>#VALUE!</v>
      </c>
      <c r="CM45" t="e">
        <f>AND(Answers!AE139,"AAAAADfF/Vo=")</f>
        <v>#VALUE!</v>
      </c>
      <c r="CN45" t="e">
        <f>AND(Answers!AF139,"AAAAADfF/Vs=")</f>
        <v>#VALUE!</v>
      </c>
      <c r="CO45" t="e">
        <f>AND(Answers!AH139,"AAAAADfF/Vw=")</f>
        <v>#VALUE!</v>
      </c>
      <c r="CP45" t="e">
        <f>AND(Answers!AI139,"AAAAADfF/V0=")</f>
        <v>#VALUE!</v>
      </c>
      <c r="CQ45" t="e">
        <f>AND(Answers!AK139,"AAAAADfF/V4=")</f>
        <v>#VALUE!</v>
      </c>
      <c r="CR45" t="e">
        <f>AND(Answers!#REF!,"AAAAADfF/V8=")</f>
        <v>#REF!</v>
      </c>
      <c r="CS45" t="e">
        <f>AND(Answers!AR139,"AAAAADfF/WA=")</f>
        <v>#VALUE!</v>
      </c>
      <c r="CT45" t="e">
        <f>AND(Answers!AS139,"AAAAADfF/WE=")</f>
        <v>#VALUE!</v>
      </c>
      <c r="CU45" t="e">
        <f>AND(Answers!AT139,"AAAAADfF/WI=")</f>
        <v>#VALUE!</v>
      </c>
      <c r="CV45" t="e">
        <f>AND(Answers!AU139,"AAAAADfF/WM=")</f>
        <v>#VALUE!</v>
      </c>
      <c r="CW45" t="e">
        <f>AND(Answers!AW139,"AAAAADfF/WQ=")</f>
        <v>#VALUE!</v>
      </c>
      <c r="CX45" t="e">
        <f>AND(Answers!AX139,"AAAAADfF/WU=")</f>
        <v>#VALUE!</v>
      </c>
      <c r="CY45" t="e">
        <f>AND(Answers!AY139,"AAAAADfF/WY=")</f>
        <v>#VALUE!</v>
      </c>
      <c r="CZ45" t="e">
        <f>AND(Answers!AZ139,"AAAAADfF/Wc=")</f>
        <v>#VALUE!</v>
      </c>
      <c r="DA45" t="e">
        <f>AND(Answers!BA139,"AAAAADfF/Wg=")</f>
        <v>#VALUE!</v>
      </c>
      <c r="DB45" t="e">
        <f>AND(Answers!BB139,"AAAAADfF/Wk=")</f>
        <v>#VALUE!</v>
      </c>
      <c r="DC45" t="e">
        <f>AND(Answers!BC139,"AAAAADfF/Wo=")</f>
        <v>#VALUE!</v>
      </c>
      <c r="DD45" t="e">
        <f>AND(Answers!BD139,"AAAAADfF/Ws=")</f>
        <v>#VALUE!</v>
      </c>
      <c r="DE45" t="e">
        <f>AND(Answers!BE139,"AAAAADfF/Ww=")</f>
        <v>#VALUE!</v>
      </c>
      <c r="DF45" t="e">
        <f>AND(Answers!BF139,"AAAAADfF/W0=")</f>
        <v>#VALUE!</v>
      </c>
      <c r="DG45" t="e">
        <f>AND(Answers!BG139,"AAAAADfF/W4=")</f>
        <v>#VALUE!</v>
      </c>
      <c r="DH45" t="e">
        <f>AND(Answers!BH139,"AAAAADfF/W8=")</f>
        <v>#VALUE!</v>
      </c>
      <c r="DI45" t="e">
        <f>AND(Answers!BI139,"AAAAADfF/XA=")</f>
        <v>#VALUE!</v>
      </c>
      <c r="DJ45" t="e">
        <f>AND(Answers!BK139,"AAAAADfF/XE=")</f>
        <v>#VALUE!</v>
      </c>
      <c r="DK45" t="e">
        <f>AND(Answers!BL139,"AAAAADfF/XI=")</f>
        <v>#VALUE!</v>
      </c>
      <c r="DL45" t="e">
        <f>AND(Answers!BM139,"AAAAADfF/XM=")</f>
        <v>#VALUE!</v>
      </c>
      <c r="DM45" t="e">
        <f>AND(Answers!BN139,"AAAAADfF/XQ=")</f>
        <v>#VALUE!</v>
      </c>
      <c r="DN45" t="e">
        <f>AND(Answers!BO139,"AAAAADfF/XU=")</f>
        <v>#VALUE!</v>
      </c>
      <c r="DO45" t="e">
        <f>AND(Answers!BP139,"AAAAADfF/XY=")</f>
        <v>#VALUE!</v>
      </c>
      <c r="DP45" t="e">
        <f>AND(Answers!BQ139,"AAAAADfF/Xc=")</f>
        <v>#VALUE!</v>
      </c>
      <c r="DQ45" t="e">
        <f>AND(Answers!BR139,"AAAAADfF/Xg=")</f>
        <v>#VALUE!</v>
      </c>
      <c r="DR45" t="e">
        <f>AND(Answers!BS139,"AAAAADfF/Xk=")</f>
        <v>#VALUE!</v>
      </c>
      <c r="DS45" t="e">
        <f>AND(Answers!BU139,"AAAAADfF/Xo=")</f>
        <v>#VALUE!</v>
      </c>
      <c r="DT45" t="e">
        <f>AND(Answers!BV139,"AAAAADfF/Xs=")</f>
        <v>#VALUE!</v>
      </c>
      <c r="DU45" t="e">
        <f>AND(Answers!#REF!,"AAAAADfF/Xw=")</f>
        <v>#REF!</v>
      </c>
      <c r="DV45" t="e">
        <f>AND(Answers!BW139,"AAAAADfF/X0=")</f>
        <v>#VALUE!</v>
      </c>
      <c r="DW45" t="e">
        <f>AND(Answers!BX139,"AAAAADfF/X4=")</f>
        <v>#VALUE!</v>
      </c>
      <c r="DX45" t="e">
        <f>AND(Answers!BY139,"AAAAADfF/X8=")</f>
        <v>#VALUE!</v>
      </c>
      <c r="DY45" t="e">
        <f>AND(Answers!BZ139,"AAAAADfF/YA=")</f>
        <v>#VALUE!</v>
      </c>
      <c r="DZ45">
        <f>IF(Answers!140:140,"AAAAADfF/YE=",0)</f>
        <v>0</v>
      </c>
      <c r="EA45" t="e">
        <f>AND(Answers!A140,"AAAAADfF/YI=")</f>
        <v>#VALUE!</v>
      </c>
      <c r="EB45" t="e">
        <f>AND(Answers!B140,"AAAAADfF/YM=")</f>
        <v>#VALUE!</v>
      </c>
      <c r="EC45" t="e">
        <f>AND(Answers!C140,"AAAAADfF/YQ=")</f>
        <v>#VALUE!</v>
      </c>
      <c r="ED45" t="e">
        <f>AND(Answers!D140,"AAAAADfF/YU=")</f>
        <v>#VALUE!</v>
      </c>
      <c r="EE45" t="e">
        <f>AND(Answers!E140,"AAAAADfF/YY=")</f>
        <v>#VALUE!</v>
      </c>
      <c r="EF45" t="e">
        <f>AND(Answers!F140,"AAAAADfF/Yc=")</f>
        <v>#VALUE!</v>
      </c>
      <c r="EG45" t="e">
        <f>AND(Answers!G140,"AAAAADfF/Yg=")</f>
        <v>#VALUE!</v>
      </c>
      <c r="EH45" t="e">
        <f>AND(Answers!H140,"AAAAADfF/Yk=")</f>
        <v>#VALUE!</v>
      </c>
      <c r="EI45" t="e">
        <f>AND(Answers!J140,"AAAAADfF/Yo=")</f>
        <v>#VALUE!</v>
      </c>
      <c r="EJ45" t="e">
        <f>AND(Answers!K140,"AAAAADfF/Ys=")</f>
        <v>#VALUE!</v>
      </c>
      <c r="EK45" t="e">
        <f>AND(Answers!L140,"AAAAADfF/Yw=")</f>
        <v>#VALUE!</v>
      </c>
      <c r="EL45" t="e">
        <f>AND(Answers!M140,"AAAAADfF/Y0=")</f>
        <v>#VALUE!</v>
      </c>
      <c r="EM45" t="e">
        <f>AND(Answers!N140,"AAAAADfF/Y4=")</f>
        <v>#VALUE!</v>
      </c>
      <c r="EN45" t="e">
        <f>AND(Answers!O140,"AAAAADfF/Y8=")</f>
        <v>#VALUE!</v>
      </c>
      <c r="EO45" t="e">
        <f>AND(Answers!P140,"AAAAADfF/ZA=")</f>
        <v>#VALUE!</v>
      </c>
      <c r="EP45" t="e">
        <f>AND(Answers!Q140,"AAAAADfF/ZE=")</f>
        <v>#VALUE!</v>
      </c>
      <c r="EQ45" t="e">
        <f>AND(Answers!R140,"AAAAADfF/ZI=")</f>
        <v>#VALUE!</v>
      </c>
      <c r="ER45" t="e">
        <f>AND(Answers!S140,"AAAAADfF/ZM=")</f>
        <v>#VALUE!</v>
      </c>
      <c r="ES45" t="e">
        <f>AND(Answers!T140,"AAAAADfF/ZQ=")</f>
        <v>#VALUE!</v>
      </c>
      <c r="ET45" t="e">
        <f>AND(Answers!U140,"AAAAADfF/ZU=")</f>
        <v>#VALUE!</v>
      </c>
      <c r="EU45" t="e">
        <f>AND(Answers!V140,"AAAAADfF/ZY=")</f>
        <v>#VALUE!</v>
      </c>
      <c r="EV45" t="e">
        <f>AND(Answers!X140,"AAAAADfF/Zc=")</f>
        <v>#VALUE!</v>
      </c>
      <c r="EW45" t="e">
        <f>AND(Answers!Y140,"AAAAADfF/Zg=")</f>
        <v>#VALUE!</v>
      </c>
      <c r="EX45" t="e">
        <f>AND(Answers!Z140,"AAAAADfF/Zk=")</f>
        <v>#VALUE!</v>
      </c>
      <c r="EY45" t="e">
        <f>AND(Answers!AA140,"AAAAADfF/Zo=")</f>
        <v>#VALUE!</v>
      </c>
      <c r="EZ45" t="e">
        <f>AND(Answers!AB140,"AAAAADfF/Zs=")</f>
        <v>#VALUE!</v>
      </c>
      <c r="FA45" t="e">
        <f>AND(Answers!AC140,"AAAAADfF/Zw=")</f>
        <v>#VALUE!</v>
      </c>
      <c r="FB45" t="e">
        <f>AND(Answers!AD140,"AAAAADfF/Z0=")</f>
        <v>#VALUE!</v>
      </c>
      <c r="FC45" t="e">
        <f>AND(Answers!AE140,"AAAAADfF/Z4=")</f>
        <v>#VALUE!</v>
      </c>
      <c r="FD45" t="e">
        <f>AND(Answers!AF140,"AAAAADfF/Z8=")</f>
        <v>#VALUE!</v>
      </c>
      <c r="FE45" t="e">
        <f>AND(Answers!AH140,"AAAAADfF/aA=")</f>
        <v>#VALUE!</v>
      </c>
      <c r="FF45" t="e">
        <f>AND(Answers!AI140,"AAAAADfF/aE=")</f>
        <v>#VALUE!</v>
      </c>
      <c r="FG45" t="e">
        <f>AND(Answers!AK140,"AAAAADfF/aI=")</f>
        <v>#VALUE!</v>
      </c>
      <c r="FH45" t="e">
        <f>AND(Answers!#REF!,"AAAAADfF/aM=")</f>
        <v>#REF!</v>
      </c>
      <c r="FI45" t="e">
        <f>AND(Answers!AR140,"AAAAADfF/aQ=")</f>
        <v>#VALUE!</v>
      </c>
      <c r="FJ45" t="e">
        <f>AND(Answers!AS140,"AAAAADfF/aU=")</f>
        <v>#VALUE!</v>
      </c>
      <c r="FK45" t="e">
        <f>AND(Answers!AT140,"AAAAADfF/aY=")</f>
        <v>#VALUE!</v>
      </c>
      <c r="FL45" t="e">
        <f>AND(Answers!AU140,"AAAAADfF/ac=")</f>
        <v>#VALUE!</v>
      </c>
      <c r="FM45" t="e">
        <f>AND(Answers!AW140,"AAAAADfF/ag=")</f>
        <v>#VALUE!</v>
      </c>
      <c r="FN45" t="e">
        <f>AND(Answers!AX140,"AAAAADfF/ak=")</f>
        <v>#VALUE!</v>
      </c>
      <c r="FO45" t="e">
        <f>AND(Answers!AY140,"AAAAADfF/ao=")</f>
        <v>#VALUE!</v>
      </c>
      <c r="FP45" t="e">
        <f>AND(Answers!AZ140,"AAAAADfF/as=")</f>
        <v>#VALUE!</v>
      </c>
      <c r="FQ45" t="e">
        <f>AND(Answers!BA140,"AAAAADfF/aw=")</f>
        <v>#VALUE!</v>
      </c>
      <c r="FR45" t="e">
        <f>AND(Answers!BB140,"AAAAADfF/a0=")</f>
        <v>#VALUE!</v>
      </c>
      <c r="FS45" t="e">
        <f>AND(Answers!BC140,"AAAAADfF/a4=")</f>
        <v>#VALUE!</v>
      </c>
      <c r="FT45" t="e">
        <f>AND(Answers!BD140,"AAAAADfF/a8=")</f>
        <v>#VALUE!</v>
      </c>
      <c r="FU45" t="e">
        <f>AND(Answers!BE140,"AAAAADfF/bA=")</f>
        <v>#VALUE!</v>
      </c>
      <c r="FV45" t="e">
        <f>AND(Answers!BF140,"AAAAADfF/bE=")</f>
        <v>#VALUE!</v>
      </c>
      <c r="FW45" t="e">
        <f>AND(Answers!BG140,"AAAAADfF/bI=")</f>
        <v>#VALUE!</v>
      </c>
      <c r="FX45" t="e">
        <f>AND(Answers!BH140,"AAAAADfF/bM=")</f>
        <v>#VALUE!</v>
      </c>
      <c r="FY45" t="e">
        <f>AND(Answers!BI140,"AAAAADfF/bQ=")</f>
        <v>#VALUE!</v>
      </c>
      <c r="FZ45" t="e">
        <f>AND(Answers!BK140,"AAAAADfF/bU=")</f>
        <v>#VALUE!</v>
      </c>
      <c r="GA45" t="e">
        <f>AND(Answers!BL140,"AAAAADfF/bY=")</f>
        <v>#VALUE!</v>
      </c>
      <c r="GB45" t="e">
        <f>AND(Answers!BM140,"AAAAADfF/bc=")</f>
        <v>#VALUE!</v>
      </c>
      <c r="GC45" t="e">
        <f>AND(Answers!BN140,"AAAAADfF/bg=")</f>
        <v>#VALUE!</v>
      </c>
      <c r="GD45" t="e">
        <f>AND(Answers!BO140,"AAAAADfF/bk=")</f>
        <v>#VALUE!</v>
      </c>
      <c r="GE45" t="e">
        <f>AND(Answers!BP140,"AAAAADfF/bo=")</f>
        <v>#VALUE!</v>
      </c>
      <c r="GF45" t="e">
        <f>AND(Answers!BQ140,"AAAAADfF/bs=")</f>
        <v>#VALUE!</v>
      </c>
      <c r="GG45" t="e">
        <f>AND(Answers!BR140,"AAAAADfF/bw=")</f>
        <v>#VALUE!</v>
      </c>
      <c r="GH45" t="e">
        <f>AND(Answers!BS140,"AAAAADfF/b0=")</f>
        <v>#VALUE!</v>
      </c>
      <c r="GI45" t="e">
        <f>AND(Answers!BU140,"AAAAADfF/b4=")</f>
        <v>#VALUE!</v>
      </c>
      <c r="GJ45" t="e">
        <f>AND(Answers!BV140,"AAAAADfF/b8=")</f>
        <v>#VALUE!</v>
      </c>
      <c r="GK45" t="e">
        <f>AND(Answers!#REF!,"AAAAADfF/cA=")</f>
        <v>#REF!</v>
      </c>
      <c r="GL45" t="e">
        <f>AND(Answers!BW140,"AAAAADfF/cE=")</f>
        <v>#VALUE!</v>
      </c>
      <c r="GM45" t="e">
        <f>AND(Answers!BX140,"AAAAADfF/cI=")</f>
        <v>#VALUE!</v>
      </c>
      <c r="GN45" t="e">
        <f>AND(Answers!BY140,"AAAAADfF/cM=")</f>
        <v>#VALUE!</v>
      </c>
      <c r="GO45" t="e">
        <f>AND(Answers!BZ140,"AAAAADfF/cQ=")</f>
        <v>#VALUE!</v>
      </c>
      <c r="GP45">
        <f>IF(Answers!141:141,"AAAAADfF/cU=",0)</f>
        <v>0</v>
      </c>
      <c r="GQ45" t="e">
        <f>AND(Answers!A141,"AAAAADfF/cY=")</f>
        <v>#VALUE!</v>
      </c>
      <c r="GR45" t="e">
        <f>AND(Answers!B141,"AAAAADfF/cc=")</f>
        <v>#VALUE!</v>
      </c>
      <c r="GS45" t="e">
        <f>AND(Answers!C141,"AAAAADfF/cg=")</f>
        <v>#VALUE!</v>
      </c>
      <c r="GT45" t="e">
        <f>AND(Answers!D141,"AAAAADfF/ck=")</f>
        <v>#VALUE!</v>
      </c>
      <c r="GU45" t="e">
        <f>AND(Answers!E141,"AAAAADfF/co=")</f>
        <v>#VALUE!</v>
      </c>
      <c r="GV45" t="e">
        <f>AND(Answers!F141,"AAAAADfF/cs=")</f>
        <v>#VALUE!</v>
      </c>
      <c r="GW45" t="e">
        <f>AND(Answers!G141,"AAAAADfF/cw=")</f>
        <v>#VALUE!</v>
      </c>
      <c r="GX45" t="e">
        <f>AND(Answers!H141,"AAAAADfF/c0=")</f>
        <v>#VALUE!</v>
      </c>
      <c r="GY45" t="e">
        <f>AND(Answers!J141,"AAAAADfF/c4=")</f>
        <v>#VALUE!</v>
      </c>
      <c r="GZ45" t="e">
        <f>AND(Answers!K141,"AAAAADfF/c8=")</f>
        <v>#VALUE!</v>
      </c>
      <c r="HA45" t="e">
        <f>AND(Answers!L141,"AAAAADfF/dA=")</f>
        <v>#VALUE!</v>
      </c>
      <c r="HB45" t="e">
        <f>AND(Answers!M141,"AAAAADfF/dE=")</f>
        <v>#VALUE!</v>
      </c>
      <c r="HC45" t="e">
        <f>AND(Answers!N141,"AAAAADfF/dI=")</f>
        <v>#VALUE!</v>
      </c>
      <c r="HD45" t="e">
        <f>AND(Answers!O141,"AAAAADfF/dM=")</f>
        <v>#VALUE!</v>
      </c>
      <c r="HE45" t="e">
        <f>AND(Answers!P141,"AAAAADfF/dQ=")</f>
        <v>#VALUE!</v>
      </c>
      <c r="HF45" t="e">
        <f>AND(Answers!Q141,"AAAAADfF/dU=")</f>
        <v>#VALUE!</v>
      </c>
      <c r="HG45" t="e">
        <f>AND(Answers!R141,"AAAAADfF/dY=")</f>
        <v>#VALUE!</v>
      </c>
      <c r="HH45" t="e">
        <f>AND(Answers!S141,"AAAAADfF/dc=")</f>
        <v>#VALUE!</v>
      </c>
      <c r="HI45" t="e">
        <f>AND(Answers!T141,"AAAAADfF/dg=")</f>
        <v>#VALUE!</v>
      </c>
      <c r="HJ45" t="e">
        <f>AND(Answers!U141,"AAAAADfF/dk=")</f>
        <v>#VALUE!</v>
      </c>
      <c r="HK45" t="e">
        <f>AND(Answers!V141,"AAAAADfF/do=")</f>
        <v>#VALUE!</v>
      </c>
      <c r="HL45" t="e">
        <f>AND(Answers!X141,"AAAAADfF/ds=")</f>
        <v>#VALUE!</v>
      </c>
      <c r="HM45" t="e">
        <f>AND(Answers!Y141,"AAAAADfF/dw=")</f>
        <v>#VALUE!</v>
      </c>
      <c r="HN45" t="e">
        <f>AND(Answers!Z141,"AAAAADfF/d0=")</f>
        <v>#VALUE!</v>
      </c>
      <c r="HO45" t="e">
        <f>AND(Answers!AA141,"AAAAADfF/d4=")</f>
        <v>#VALUE!</v>
      </c>
      <c r="HP45" t="e">
        <f>AND(Answers!AB141,"AAAAADfF/d8=")</f>
        <v>#VALUE!</v>
      </c>
      <c r="HQ45" t="e">
        <f>AND(Answers!AC141,"AAAAADfF/eA=")</f>
        <v>#VALUE!</v>
      </c>
      <c r="HR45" t="e">
        <f>AND(Answers!AD141,"AAAAADfF/eE=")</f>
        <v>#VALUE!</v>
      </c>
      <c r="HS45" t="e">
        <f>AND(Answers!AE141,"AAAAADfF/eI=")</f>
        <v>#VALUE!</v>
      </c>
      <c r="HT45" t="e">
        <f>AND(Answers!AF141,"AAAAADfF/eM=")</f>
        <v>#VALUE!</v>
      </c>
      <c r="HU45" t="e">
        <f>AND(Answers!AH141,"AAAAADfF/eQ=")</f>
        <v>#VALUE!</v>
      </c>
      <c r="HV45" t="e">
        <f>AND(Answers!AI141,"AAAAADfF/eU=")</f>
        <v>#VALUE!</v>
      </c>
      <c r="HW45" t="e">
        <f>AND(Answers!AK141,"AAAAADfF/eY=")</f>
        <v>#VALUE!</v>
      </c>
      <c r="HX45" t="e">
        <f>AND(Answers!#REF!,"AAAAADfF/ec=")</f>
        <v>#REF!</v>
      </c>
      <c r="HY45" t="e">
        <f>AND(Answers!AR141,"AAAAADfF/eg=")</f>
        <v>#VALUE!</v>
      </c>
      <c r="HZ45" t="e">
        <f>AND(Answers!AS141,"AAAAADfF/ek=")</f>
        <v>#VALUE!</v>
      </c>
      <c r="IA45" t="e">
        <f>AND(Answers!AT141,"AAAAADfF/eo=")</f>
        <v>#VALUE!</v>
      </c>
      <c r="IB45" t="e">
        <f>AND(Answers!AU141,"AAAAADfF/es=")</f>
        <v>#VALUE!</v>
      </c>
      <c r="IC45" t="e">
        <f>AND(Answers!AW141,"AAAAADfF/ew=")</f>
        <v>#VALUE!</v>
      </c>
      <c r="ID45" t="e">
        <f>AND(Answers!AX141,"AAAAADfF/e0=")</f>
        <v>#VALUE!</v>
      </c>
      <c r="IE45" t="e">
        <f>AND(Answers!AY141,"AAAAADfF/e4=")</f>
        <v>#VALUE!</v>
      </c>
      <c r="IF45" t="e">
        <f>AND(Answers!AZ141,"AAAAADfF/e8=")</f>
        <v>#VALUE!</v>
      </c>
      <c r="IG45" t="e">
        <f>AND(Answers!BA141,"AAAAADfF/fA=")</f>
        <v>#VALUE!</v>
      </c>
      <c r="IH45" t="e">
        <f>AND(Answers!BB141,"AAAAADfF/fE=")</f>
        <v>#VALUE!</v>
      </c>
      <c r="II45" t="e">
        <f>AND(Answers!BC141,"AAAAADfF/fI=")</f>
        <v>#VALUE!</v>
      </c>
      <c r="IJ45" t="e">
        <f>AND(Answers!BD141,"AAAAADfF/fM=")</f>
        <v>#VALUE!</v>
      </c>
      <c r="IK45" t="e">
        <f>AND(Answers!BE141,"AAAAADfF/fQ=")</f>
        <v>#VALUE!</v>
      </c>
      <c r="IL45" t="e">
        <f>AND(Answers!BF141,"AAAAADfF/fU=")</f>
        <v>#VALUE!</v>
      </c>
      <c r="IM45" t="e">
        <f>AND(Answers!BG141,"AAAAADfF/fY=")</f>
        <v>#VALUE!</v>
      </c>
      <c r="IN45" t="e">
        <f>AND(Answers!BH141,"AAAAADfF/fc=")</f>
        <v>#VALUE!</v>
      </c>
      <c r="IO45" t="e">
        <f>AND(Answers!BI141,"AAAAADfF/fg=")</f>
        <v>#VALUE!</v>
      </c>
      <c r="IP45" t="e">
        <f>AND(Answers!BK141,"AAAAADfF/fk=")</f>
        <v>#VALUE!</v>
      </c>
      <c r="IQ45" t="e">
        <f>AND(Answers!BL141,"AAAAADfF/fo=")</f>
        <v>#VALUE!</v>
      </c>
      <c r="IR45" t="e">
        <f>AND(Answers!BM141,"AAAAADfF/fs=")</f>
        <v>#VALUE!</v>
      </c>
      <c r="IS45" t="e">
        <f>AND(Answers!BN141,"AAAAADfF/fw=")</f>
        <v>#VALUE!</v>
      </c>
      <c r="IT45" t="e">
        <f>AND(Answers!BO141,"AAAAADfF/f0=")</f>
        <v>#VALUE!</v>
      </c>
      <c r="IU45" t="e">
        <f>AND(Answers!BP141,"AAAAADfF/f4=")</f>
        <v>#VALUE!</v>
      </c>
      <c r="IV45" t="e">
        <f>AND(Answers!BQ141,"AAAAADfF/f8=")</f>
        <v>#VALUE!</v>
      </c>
    </row>
    <row r="46" spans="1:256" x14ac:dyDescent="0.15">
      <c r="A46" t="e">
        <f>AND(Answers!BR141,"AAAAAH/t+wA=")</f>
        <v>#VALUE!</v>
      </c>
      <c r="B46" t="e">
        <f>AND(Answers!BS141,"AAAAAH/t+wE=")</f>
        <v>#VALUE!</v>
      </c>
      <c r="C46" t="e">
        <f>AND(Answers!BU141,"AAAAAH/t+wI=")</f>
        <v>#VALUE!</v>
      </c>
      <c r="D46" t="e">
        <f>AND(Answers!BV141,"AAAAAH/t+wM=")</f>
        <v>#VALUE!</v>
      </c>
      <c r="E46" t="e">
        <f>AND(Answers!#REF!,"AAAAAH/t+wQ=")</f>
        <v>#REF!</v>
      </c>
      <c r="F46" t="e">
        <f>AND(Answers!BW141,"AAAAAH/t+wU=")</f>
        <v>#VALUE!</v>
      </c>
      <c r="G46" t="e">
        <f>AND(Answers!BX141,"AAAAAH/t+wY=")</f>
        <v>#VALUE!</v>
      </c>
      <c r="H46" t="e">
        <f>AND(Answers!BY141,"AAAAAH/t+wc=")</f>
        <v>#VALUE!</v>
      </c>
      <c r="I46" t="e">
        <f>AND(Answers!BZ141,"AAAAAH/t+wg=")</f>
        <v>#VALUE!</v>
      </c>
      <c r="J46">
        <f>IF(Answers!142:142,"AAAAAH/t+wk=",0)</f>
        <v>0</v>
      </c>
      <c r="K46" t="e">
        <f>AND(Answers!A142,"AAAAAH/t+wo=")</f>
        <v>#VALUE!</v>
      </c>
      <c r="L46" t="e">
        <f>AND(Answers!B142,"AAAAAH/t+ws=")</f>
        <v>#VALUE!</v>
      </c>
      <c r="M46" t="e">
        <f>AND(Answers!C142,"AAAAAH/t+ww=")</f>
        <v>#VALUE!</v>
      </c>
      <c r="N46" t="e">
        <f>AND(Answers!D142,"AAAAAH/t+w0=")</f>
        <v>#VALUE!</v>
      </c>
      <c r="O46" t="e">
        <f>AND(Answers!E142,"AAAAAH/t+w4=")</f>
        <v>#VALUE!</v>
      </c>
      <c r="P46" t="e">
        <f>AND(Answers!F142,"AAAAAH/t+w8=")</f>
        <v>#VALUE!</v>
      </c>
      <c r="Q46" t="e">
        <f>AND(Answers!G142,"AAAAAH/t+xA=")</f>
        <v>#VALUE!</v>
      </c>
      <c r="R46" t="e">
        <f>AND(Answers!H142,"AAAAAH/t+xE=")</f>
        <v>#VALUE!</v>
      </c>
      <c r="S46" t="e">
        <f>AND(Answers!J142,"AAAAAH/t+xI=")</f>
        <v>#VALUE!</v>
      </c>
      <c r="T46" t="e">
        <f>AND(Answers!K142,"AAAAAH/t+xM=")</f>
        <v>#VALUE!</v>
      </c>
      <c r="U46" t="e">
        <f>AND(Answers!L142,"AAAAAH/t+xQ=")</f>
        <v>#VALUE!</v>
      </c>
      <c r="V46" t="e">
        <f>AND(Answers!M142,"AAAAAH/t+xU=")</f>
        <v>#VALUE!</v>
      </c>
      <c r="W46" t="e">
        <f>AND(Answers!N142,"AAAAAH/t+xY=")</f>
        <v>#VALUE!</v>
      </c>
      <c r="X46" t="e">
        <f>AND(Answers!O142,"AAAAAH/t+xc=")</f>
        <v>#VALUE!</v>
      </c>
      <c r="Y46" t="e">
        <f>AND(Answers!P142,"AAAAAH/t+xg=")</f>
        <v>#VALUE!</v>
      </c>
      <c r="Z46" t="e">
        <f>AND(Answers!Q142,"AAAAAH/t+xk=")</f>
        <v>#VALUE!</v>
      </c>
      <c r="AA46" t="e">
        <f>AND(Answers!R142,"AAAAAH/t+xo=")</f>
        <v>#VALUE!</v>
      </c>
      <c r="AB46" t="e">
        <f>AND(Answers!S142,"AAAAAH/t+xs=")</f>
        <v>#VALUE!</v>
      </c>
      <c r="AC46" t="e">
        <f>AND(Answers!T142,"AAAAAH/t+xw=")</f>
        <v>#VALUE!</v>
      </c>
      <c r="AD46" t="e">
        <f>AND(Answers!U142,"AAAAAH/t+x0=")</f>
        <v>#VALUE!</v>
      </c>
      <c r="AE46" t="e">
        <f>AND(Answers!V142,"AAAAAH/t+x4=")</f>
        <v>#VALUE!</v>
      </c>
      <c r="AF46" t="e">
        <f>AND(Answers!X142,"AAAAAH/t+x8=")</f>
        <v>#VALUE!</v>
      </c>
      <c r="AG46" t="e">
        <f>AND(Answers!Y142,"AAAAAH/t+yA=")</f>
        <v>#VALUE!</v>
      </c>
      <c r="AH46" t="e">
        <f>AND(Answers!Z142,"AAAAAH/t+yE=")</f>
        <v>#VALUE!</v>
      </c>
      <c r="AI46" t="e">
        <f>AND(Answers!AA142,"AAAAAH/t+yI=")</f>
        <v>#VALUE!</v>
      </c>
      <c r="AJ46" t="e">
        <f>AND(Answers!AB142,"AAAAAH/t+yM=")</f>
        <v>#VALUE!</v>
      </c>
      <c r="AK46" t="e">
        <f>AND(Answers!AC142,"AAAAAH/t+yQ=")</f>
        <v>#VALUE!</v>
      </c>
      <c r="AL46" t="e">
        <f>AND(Answers!AD142,"AAAAAH/t+yU=")</f>
        <v>#VALUE!</v>
      </c>
      <c r="AM46" t="e">
        <f>AND(Answers!AE142,"AAAAAH/t+yY=")</f>
        <v>#VALUE!</v>
      </c>
      <c r="AN46" t="e">
        <f>AND(Answers!AF142,"AAAAAH/t+yc=")</f>
        <v>#VALUE!</v>
      </c>
      <c r="AO46" t="e">
        <f>AND(Answers!AH142,"AAAAAH/t+yg=")</f>
        <v>#VALUE!</v>
      </c>
      <c r="AP46" t="e">
        <f>AND(Answers!AI142,"AAAAAH/t+yk=")</f>
        <v>#VALUE!</v>
      </c>
      <c r="AQ46" t="e">
        <f>AND(Answers!AK142,"AAAAAH/t+yo=")</f>
        <v>#VALUE!</v>
      </c>
      <c r="AR46" t="e">
        <f>AND(Answers!#REF!,"AAAAAH/t+ys=")</f>
        <v>#REF!</v>
      </c>
      <c r="AS46" t="e">
        <f>AND(Answers!AR142,"AAAAAH/t+yw=")</f>
        <v>#VALUE!</v>
      </c>
      <c r="AT46" t="e">
        <f>AND(Answers!AS142,"AAAAAH/t+y0=")</f>
        <v>#VALUE!</v>
      </c>
      <c r="AU46" t="e">
        <f>AND(Answers!AT142,"AAAAAH/t+y4=")</f>
        <v>#VALUE!</v>
      </c>
      <c r="AV46" t="e">
        <f>AND(Answers!AU142,"AAAAAH/t+y8=")</f>
        <v>#VALUE!</v>
      </c>
      <c r="AW46" t="e">
        <f>AND(Answers!AW142,"AAAAAH/t+zA=")</f>
        <v>#VALUE!</v>
      </c>
      <c r="AX46" t="e">
        <f>AND(Answers!AX142,"AAAAAH/t+zE=")</f>
        <v>#VALUE!</v>
      </c>
      <c r="AY46" t="e">
        <f>AND(Answers!AY142,"AAAAAH/t+zI=")</f>
        <v>#VALUE!</v>
      </c>
      <c r="AZ46" t="e">
        <f>AND(Answers!AZ142,"AAAAAH/t+zM=")</f>
        <v>#VALUE!</v>
      </c>
      <c r="BA46" t="e">
        <f>AND(Answers!BA142,"AAAAAH/t+zQ=")</f>
        <v>#VALUE!</v>
      </c>
      <c r="BB46" t="e">
        <f>AND(Answers!BB142,"AAAAAH/t+zU=")</f>
        <v>#VALUE!</v>
      </c>
      <c r="BC46" t="e">
        <f>AND(Answers!BC142,"AAAAAH/t+zY=")</f>
        <v>#VALUE!</v>
      </c>
      <c r="BD46" t="e">
        <f>AND(Answers!BD142,"AAAAAH/t+zc=")</f>
        <v>#VALUE!</v>
      </c>
      <c r="BE46" t="e">
        <f>AND(Answers!BE142,"AAAAAH/t+zg=")</f>
        <v>#VALUE!</v>
      </c>
      <c r="BF46" t="e">
        <f>AND(Answers!BF142,"AAAAAH/t+zk=")</f>
        <v>#VALUE!</v>
      </c>
      <c r="BG46" t="e">
        <f>AND(Answers!BG142,"AAAAAH/t+zo=")</f>
        <v>#VALUE!</v>
      </c>
      <c r="BH46" t="e">
        <f>AND(Answers!BH142,"AAAAAH/t+zs=")</f>
        <v>#VALUE!</v>
      </c>
      <c r="BI46" t="e">
        <f>AND(Answers!BI142,"AAAAAH/t+zw=")</f>
        <v>#VALUE!</v>
      </c>
      <c r="BJ46" t="e">
        <f>AND(Answers!BK142,"AAAAAH/t+z0=")</f>
        <v>#VALUE!</v>
      </c>
      <c r="BK46" t="e">
        <f>AND(Answers!BL142,"AAAAAH/t+z4=")</f>
        <v>#VALUE!</v>
      </c>
      <c r="BL46" t="e">
        <f>AND(Answers!BM142,"AAAAAH/t+z8=")</f>
        <v>#VALUE!</v>
      </c>
      <c r="BM46" t="e">
        <f>AND(Answers!BN142,"AAAAAH/t+0A=")</f>
        <v>#VALUE!</v>
      </c>
      <c r="BN46" t="e">
        <f>AND(Answers!BO142,"AAAAAH/t+0E=")</f>
        <v>#VALUE!</v>
      </c>
      <c r="BO46" t="e">
        <f>AND(Answers!BP142,"AAAAAH/t+0I=")</f>
        <v>#VALUE!</v>
      </c>
      <c r="BP46" t="e">
        <f>AND(Answers!BQ142,"AAAAAH/t+0M=")</f>
        <v>#VALUE!</v>
      </c>
      <c r="BQ46" t="e">
        <f>AND(Answers!BR142,"AAAAAH/t+0Q=")</f>
        <v>#VALUE!</v>
      </c>
      <c r="BR46" t="e">
        <f>AND(Answers!BS142,"AAAAAH/t+0U=")</f>
        <v>#VALUE!</v>
      </c>
      <c r="BS46" t="e">
        <f>AND(Answers!BU142,"AAAAAH/t+0Y=")</f>
        <v>#VALUE!</v>
      </c>
      <c r="BT46" t="e">
        <f>AND(Answers!BV142,"AAAAAH/t+0c=")</f>
        <v>#VALUE!</v>
      </c>
      <c r="BU46" t="e">
        <f>AND(Answers!#REF!,"AAAAAH/t+0g=")</f>
        <v>#REF!</v>
      </c>
      <c r="BV46" t="e">
        <f>AND(Answers!BW142,"AAAAAH/t+0k=")</f>
        <v>#VALUE!</v>
      </c>
      <c r="BW46" t="e">
        <f>AND(Answers!BX142,"AAAAAH/t+0o=")</f>
        <v>#VALUE!</v>
      </c>
      <c r="BX46" t="e">
        <f>AND(Answers!BY142,"AAAAAH/t+0s=")</f>
        <v>#VALUE!</v>
      </c>
      <c r="BY46" t="e">
        <f>AND(Answers!BZ142,"AAAAAH/t+0w=")</f>
        <v>#VALUE!</v>
      </c>
      <c r="BZ46">
        <f>IF(Answers!143:143,"AAAAAH/t+00=",0)</f>
        <v>0</v>
      </c>
      <c r="CA46" t="e">
        <f>AND(Answers!A143,"AAAAAH/t+04=")</f>
        <v>#VALUE!</v>
      </c>
      <c r="CB46" t="e">
        <f>AND(Answers!B143,"AAAAAH/t+08=")</f>
        <v>#VALUE!</v>
      </c>
      <c r="CC46" t="e">
        <f>AND(Answers!C143,"AAAAAH/t+1A=")</f>
        <v>#VALUE!</v>
      </c>
      <c r="CD46" t="e">
        <f>AND(Answers!D143,"AAAAAH/t+1E=")</f>
        <v>#VALUE!</v>
      </c>
      <c r="CE46" t="e">
        <f>AND(Answers!E143,"AAAAAH/t+1I=")</f>
        <v>#VALUE!</v>
      </c>
      <c r="CF46" t="e">
        <f>AND(Answers!F143,"AAAAAH/t+1M=")</f>
        <v>#VALUE!</v>
      </c>
      <c r="CG46" t="e">
        <f>AND(Answers!G143,"AAAAAH/t+1Q=")</f>
        <v>#VALUE!</v>
      </c>
      <c r="CH46" t="e">
        <f>AND(Answers!H143,"AAAAAH/t+1U=")</f>
        <v>#VALUE!</v>
      </c>
      <c r="CI46" t="e">
        <f>AND(Answers!J143,"AAAAAH/t+1Y=")</f>
        <v>#VALUE!</v>
      </c>
      <c r="CJ46" t="e">
        <f>AND(Answers!K143,"AAAAAH/t+1c=")</f>
        <v>#VALUE!</v>
      </c>
      <c r="CK46" t="e">
        <f>AND(Answers!L143,"AAAAAH/t+1g=")</f>
        <v>#VALUE!</v>
      </c>
      <c r="CL46" t="e">
        <f>AND(Answers!M143,"AAAAAH/t+1k=")</f>
        <v>#VALUE!</v>
      </c>
      <c r="CM46" t="e">
        <f>AND(Answers!N143,"AAAAAH/t+1o=")</f>
        <v>#VALUE!</v>
      </c>
      <c r="CN46" t="e">
        <f>AND(Answers!O143,"AAAAAH/t+1s=")</f>
        <v>#VALUE!</v>
      </c>
      <c r="CO46" t="e">
        <f>AND(Answers!P143,"AAAAAH/t+1w=")</f>
        <v>#VALUE!</v>
      </c>
      <c r="CP46" t="e">
        <f>AND(Answers!Q143,"AAAAAH/t+10=")</f>
        <v>#VALUE!</v>
      </c>
      <c r="CQ46" t="e">
        <f>AND(Answers!R143,"AAAAAH/t+14=")</f>
        <v>#VALUE!</v>
      </c>
      <c r="CR46" t="e">
        <f>AND(Answers!S143,"AAAAAH/t+18=")</f>
        <v>#VALUE!</v>
      </c>
      <c r="CS46" t="e">
        <f>AND(Answers!T143,"AAAAAH/t+2A=")</f>
        <v>#VALUE!</v>
      </c>
      <c r="CT46" t="e">
        <f>AND(Answers!U143,"AAAAAH/t+2E=")</f>
        <v>#VALUE!</v>
      </c>
      <c r="CU46" t="e">
        <f>AND(Answers!V143,"AAAAAH/t+2I=")</f>
        <v>#VALUE!</v>
      </c>
      <c r="CV46" t="e">
        <f>AND(Answers!X143,"AAAAAH/t+2M=")</f>
        <v>#VALUE!</v>
      </c>
      <c r="CW46" t="e">
        <f>AND(Answers!Y143,"AAAAAH/t+2Q=")</f>
        <v>#VALUE!</v>
      </c>
      <c r="CX46" t="e">
        <f>AND(Answers!Z143,"AAAAAH/t+2U=")</f>
        <v>#VALUE!</v>
      </c>
      <c r="CY46" t="e">
        <f>AND(Answers!AA143,"AAAAAH/t+2Y=")</f>
        <v>#VALUE!</v>
      </c>
      <c r="CZ46" t="e">
        <f>AND(Answers!AB143,"AAAAAH/t+2c=")</f>
        <v>#VALUE!</v>
      </c>
      <c r="DA46" t="e">
        <f>AND(Answers!AC143,"AAAAAH/t+2g=")</f>
        <v>#VALUE!</v>
      </c>
      <c r="DB46" t="e">
        <f>AND(Answers!AD143,"AAAAAH/t+2k=")</f>
        <v>#VALUE!</v>
      </c>
      <c r="DC46" t="e">
        <f>AND(Answers!AE143,"AAAAAH/t+2o=")</f>
        <v>#VALUE!</v>
      </c>
      <c r="DD46" t="e">
        <f>AND(Answers!AF143,"AAAAAH/t+2s=")</f>
        <v>#VALUE!</v>
      </c>
      <c r="DE46" t="e">
        <f>AND(Answers!AH143,"AAAAAH/t+2w=")</f>
        <v>#VALUE!</v>
      </c>
      <c r="DF46" t="e">
        <f>AND(Answers!AI143,"AAAAAH/t+20=")</f>
        <v>#VALUE!</v>
      </c>
      <c r="DG46" t="e">
        <f>AND(Answers!AK143,"AAAAAH/t+24=")</f>
        <v>#VALUE!</v>
      </c>
      <c r="DH46" t="e">
        <f>AND(Answers!#REF!,"AAAAAH/t+28=")</f>
        <v>#REF!</v>
      </c>
      <c r="DI46" t="e">
        <f>AND(Answers!AR143,"AAAAAH/t+3A=")</f>
        <v>#VALUE!</v>
      </c>
      <c r="DJ46" t="e">
        <f>AND(Answers!AS143,"AAAAAH/t+3E=")</f>
        <v>#VALUE!</v>
      </c>
      <c r="DK46" t="e">
        <f>AND(Answers!AT143,"AAAAAH/t+3I=")</f>
        <v>#VALUE!</v>
      </c>
      <c r="DL46" t="e">
        <f>AND(Answers!AU143,"AAAAAH/t+3M=")</f>
        <v>#VALUE!</v>
      </c>
      <c r="DM46" t="e">
        <f>AND(Answers!AW143,"AAAAAH/t+3Q=")</f>
        <v>#VALUE!</v>
      </c>
      <c r="DN46" t="e">
        <f>AND(Answers!AX143,"AAAAAH/t+3U=")</f>
        <v>#VALUE!</v>
      </c>
      <c r="DO46" t="e">
        <f>AND(Answers!AY143,"AAAAAH/t+3Y=")</f>
        <v>#VALUE!</v>
      </c>
      <c r="DP46" t="e">
        <f>AND(Answers!AZ143,"AAAAAH/t+3c=")</f>
        <v>#VALUE!</v>
      </c>
      <c r="DQ46" t="e">
        <f>AND(Answers!BA143,"AAAAAH/t+3g=")</f>
        <v>#VALUE!</v>
      </c>
      <c r="DR46" t="e">
        <f>AND(Answers!BB143,"AAAAAH/t+3k=")</f>
        <v>#VALUE!</v>
      </c>
      <c r="DS46" t="e">
        <f>AND(Answers!BC143,"AAAAAH/t+3o=")</f>
        <v>#VALUE!</v>
      </c>
      <c r="DT46" t="e">
        <f>AND(Answers!BD143,"AAAAAH/t+3s=")</f>
        <v>#VALUE!</v>
      </c>
      <c r="DU46" t="e">
        <f>AND(Answers!BE143,"AAAAAH/t+3w=")</f>
        <v>#VALUE!</v>
      </c>
      <c r="DV46" t="e">
        <f>AND(Answers!BF143,"AAAAAH/t+30=")</f>
        <v>#VALUE!</v>
      </c>
      <c r="DW46" t="e">
        <f>AND(Answers!BG143,"AAAAAH/t+34=")</f>
        <v>#VALUE!</v>
      </c>
      <c r="DX46" t="e">
        <f>AND(Answers!BH143,"AAAAAH/t+38=")</f>
        <v>#VALUE!</v>
      </c>
      <c r="DY46" t="e">
        <f>AND(Answers!BI143,"AAAAAH/t+4A=")</f>
        <v>#VALUE!</v>
      </c>
      <c r="DZ46" t="e">
        <f>AND(Answers!BK143,"AAAAAH/t+4E=")</f>
        <v>#VALUE!</v>
      </c>
      <c r="EA46" t="e">
        <f>AND(Answers!BL143,"AAAAAH/t+4I=")</f>
        <v>#VALUE!</v>
      </c>
      <c r="EB46" t="e">
        <f>AND(Answers!BM143,"AAAAAH/t+4M=")</f>
        <v>#VALUE!</v>
      </c>
      <c r="EC46" t="e">
        <f>AND(Answers!BN143,"AAAAAH/t+4Q=")</f>
        <v>#VALUE!</v>
      </c>
      <c r="ED46" t="e">
        <f>AND(Answers!BO143,"AAAAAH/t+4U=")</f>
        <v>#VALUE!</v>
      </c>
      <c r="EE46" t="e">
        <f>AND(Answers!BP143,"AAAAAH/t+4Y=")</f>
        <v>#VALUE!</v>
      </c>
      <c r="EF46" t="e">
        <f>AND(Answers!BQ143,"AAAAAH/t+4c=")</f>
        <v>#VALUE!</v>
      </c>
      <c r="EG46" t="e">
        <f>AND(Answers!BR143,"AAAAAH/t+4g=")</f>
        <v>#VALUE!</v>
      </c>
      <c r="EH46" t="e">
        <f>AND(Answers!BS143,"AAAAAH/t+4k=")</f>
        <v>#VALUE!</v>
      </c>
      <c r="EI46" t="e">
        <f>AND(Answers!BU143,"AAAAAH/t+4o=")</f>
        <v>#VALUE!</v>
      </c>
      <c r="EJ46" t="e">
        <f>AND(Answers!BV143,"AAAAAH/t+4s=")</f>
        <v>#VALUE!</v>
      </c>
      <c r="EK46" t="e">
        <f>AND(Answers!#REF!,"AAAAAH/t+4w=")</f>
        <v>#REF!</v>
      </c>
      <c r="EL46" t="e">
        <f>AND(Answers!BW143,"AAAAAH/t+40=")</f>
        <v>#VALUE!</v>
      </c>
      <c r="EM46" t="e">
        <f>AND(Answers!BX143,"AAAAAH/t+44=")</f>
        <v>#VALUE!</v>
      </c>
      <c r="EN46" t="e">
        <f>AND(Answers!BY143,"AAAAAH/t+48=")</f>
        <v>#VALUE!</v>
      </c>
      <c r="EO46" t="e">
        <f>AND(Answers!BZ143,"AAAAAH/t+5A=")</f>
        <v>#VALUE!</v>
      </c>
      <c r="EP46">
        <f>IF(Answers!144:144,"AAAAAH/t+5E=",0)</f>
        <v>0</v>
      </c>
      <c r="EQ46" t="e">
        <f>AND(Answers!A144,"AAAAAH/t+5I=")</f>
        <v>#VALUE!</v>
      </c>
      <c r="ER46" t="e">
        <f>AND(Answers!B144,"AAAAAH/t+5M=")</f>
        <v>#VALUE!</v>
      </c>
      <c r="ES46" t="e">
        <f>AND(Answers!C144,"AAAAAH/t+5Q=")</f>
        <v>#VALUE!</v>
      </c>
      <c r="ET46" t="e">
        <f>AND(Answers!D144,"AAAAAH/t+5U=")</f>
        <v>#VALUE!</v>
      </c>
      <c r="EU46" t="e">
        <f>AND(Answers!E144,"AAAAAH/t+5Y=")</f>
        <v>#VALUE!</v>
      </c>
      <c r="EV46" t="e">
        <f>AND(Answers!F144,"AAAAAH/t+5c=")</f>
        <v>#VALUE!</v>
      </c>
      <c r="EW46" t="e">
        <f>AND(Answers!G144,"AAAAAH/t+5g=")</f>
        <v>#VALUE!</v>
      </c>
      <c r="EX46" t="e">
        <f>AND(Answers!H144,"AAAAAH/t+5k=")</f>
        <v>#VALUE!</v>
      </c>
      <c r="EY46" t="e">
        <f>AND(Answers!J144,"AAAAAH/t+5o=")</f>
        <v>#VALUE!</v>
      </c>
      <c r="EZ46" t="e">
        <f>AND(Answers!K144,"AAAAAH/t+5s=")</f>
        <v>#VALUE!</v>
      </c>
      <c r="FA46" t="e">
        <f>AND(Answers!L144,"AAAAAH/t+5w=")</f>
        <v>#VALUE!</v>
      </c>
      <c r="FB46" t="e">
        <f>AND(Answers!M144,"AAAAAH/t+50=")</f>
        <v>#VALUE!</v>
      </c>
      <c r="FC46" t="e">
        <f>AND(Answers!N144,"AAAAAH/t+54=")</f>
        <v>#VALUE!</v>
      </c>
      <c r="FD46" t="e">
        <f>AND(Answers!O144,"AAAAAH/t+58=")</f>
        <v>#VALUE!</v>
      </c>
      <c r="FE46" t="e">
        <f>AND(Answers!P144,"AAAAAH/t+6A=")</f>
        <v>#VALUE!</v>
      </c>
      <c r="FF46" t="e">
        <f>AND(Answers!Q144,"AAAAAH/t+6E=")</f>
        <v>#VALUE!</v>
      </c>
      <c r="FG46" t="e">
        <f>AND(Answers!R144,"AAAAAH/t+6I=")</f>
        <v>#VALUE!</v>
      </c>
      <c r="FH46" t="e">
        <f>AND(Answers!S144,"AAAAAH/t+6M=")</f>
        <v>#VALUE!</v>
      </c>
      <c r="FI46" t="e">
        <f>AND(Answers!T144,"AAAAAH/t+6Q=")</f>
        <v>#VALUE!</v>
      </c>
      <c r="FJ46" t="e">
        <f>AND(Answers!U144,"AAAAAH/t+6U=")</f>
        <v>#VALUE!</v>
      </c>
      <c r="FK46" t="e">
        <f>AND(Answers!V144,"AAAAAH/t+6Y=")</f>
        <v>#VALUE!</v>
      </c>
      <c r="FL46" t="e">
        <f>AND(Answers!X144,"AAAAAH/t+6c=")</f>
        <v>#VALUE!</v>
      </c>
      <c r="FM46" t="e">
        <f>AND(Answers!Y144,"AAAAAH/t+6g=")</f>
        <v>#VALUE!</v>
      </c>
      <c r="FN46" t="e">
        <f>AND(Answers!Z144,"AAAAAH/t+6k=")</f>
        <v>#VALUE!</v>
      </c>
      <c r="FO46" t="e">
        <f>AND(Answers!AA144,"AAAAAH/t+6o=")</f>
        <v>#VALUE!</v>
      </c>
      <c r="FP46" t="e">
        <f>AND(Answers!AB144,"AAAAAH/t+6s=")</f>
        <v>#VALUE!</v>
      </c>
      <c r="FQ46" t="e">
        <f>AND(Answers!AC144,"AAAAAH/t+6w=")</f>
        <v>#VALUE!</v>
      </c>
      <c r="FR46" t="e">
        <f>AND(Answers!AD144,"AAAAAH/t+60=")</f>
        <v>#VALUE!</v>
      </c>
      <c r="FS46" t="e">
        <f>AND(Answers!AE144,"AAAAAH/t+64=")</f>
        <v>#VALUE!</v>
      </c>
      <c r="FT46" t="e">
        <f>AND(Answers!AF144,"AAAAAH/t+68=")</f>
        <v>#VALUE!</v>
      </c>
      <c r="FU46" t="e">
        <f>AND(Answers!AH144,"AAAAAH/t+7A=")</f>
        <v>#VALUE!</v>
      </c>
      <c r="FV46" t="e">
        <f>AND(Answers!AI144,"AAAAAH/t+7E=")</f>
        <v>#VALUE!</v>
      </c>
      <c r="FW46" t="e">
        <f>AND(Answers!AK144,"AAAAAH/t+7I=")</f>
        <v>#VALUE!</v>
      </c>
      <c r="FX46" t="e">
        <f>AND(Answers!#REF!,"AAAAAH/t+7M=")</f>
        <v>#REF!</v>
      </c>
      <c r="FY46" t="e">
        <f>AND(Answers!AR144,"AAAAAH/t+7Q=")</f>
        <v>#VALUE!</v>
      </c>
      <c r="FZ46" t="e">
        <f>AND(Answers!AS144,"AAAAAH/t+7U=")</f>
        <v>#VALUE!</v>
      </c>
      <c r="GA46" t="e">
        <f>AND(Answers!AT144,"AAAAAH/t+7Y=")</f>
        <v>#VALUE!</v>
      </c>
      <c r="GB46" t="e">
        <f>AND(Answers!AU144,"AAAAAH/t+7c=")</f>
        <v>#VALUE!</v>
      </c>
      <c r="GC46" t="e">
        <f>AND(Answers!AW144,"AAAAAH/t+7g=")</f>
        <v>#VALUE!</v>
      </c>
      <c r="GD46" t="e">
        <f>AND(Answers!AX144,"AAAAAH/t+7k=")</f>
        <v>#VALUE!</v>
      </c>
      <c r="GE46" t="e">
        <f>AND(Answers!AY144,"AAAAAH/t+7o=")</f>
        <v>#VALUE!</v>
      </c>
      <c r="GF46" t="e">
        <f>AND(Answers!AZ144,"AAAAAH/t+7s=")</f>
        <v>#VALUE!</v>
      </c>
      <c r="GG46" t="e">
        <f>AND(Answers!BA144,"AAAAAH/t+7w=")</f>
        <v>#VALUE!</v>
      </c>
      <c r="GH46" t="e">
        <f>AND(Answers!BB144,"AAAAAH/t+70=")</f>
        <v>#VALUE!</v>
      </c>
      <c r="GI46" t="e">
        <f>AND(Answers!BC144,"AAAAAH/t+74=")</f>
        <v>#VALUE!</v>
      </c>
      <c r="GJ46" t="e">
        <f>AND(Answers!BD144,"AAAAAH/t+78=")</f>
        <v>#VALUE!</v>
      </c>
      <c r="GK46" t="e">
        <f>AND(Answers!BE144,"AAAAAH/t+8A=")</f>
        <v>#VALUE!</v>
      </c>
      <c r="GL46" t="e">
        <f>AND(Answers!BF144,"AAAAAH/t+8E=")</f>
        <v>#VALUE!</v>
      </c>
      <c r="GM46" t="e">
        <f>AND(Answers!BG144,"AAAAAH/t+8I=")</f>
        <v>#VALUE!</v>
      </c>
      <c r="GN46" t="e">
        <f>AND(Answers!BH144,"AAAAAH/t+8M=")</f>
        <v>#VALUE!</v>
      </c>
      <c r="GO46" t="e">
        <f>AND(Answers!BI144,"AAAAAH/t+8Q=")</f>
        <v>#VALUE!</v>
      </c>
      <c r="GP46" t="e">
        <f>AND(Answers!BK144,"AAAAAH/t+8U=")</f>
        <v>#VALUE!</v>
      </c>
      <c r="GQ46" t="e">
        <f>AND(Answers!BL144,"AAAAAH/t+8Y=")</f>
        <v>#VALUE!</v>
      </c>
      <c r="GR46" t="e">
        <f>AND(Answers!BM144,"AAAAAH/t+8c=")</f>
        <v>#VALUE!</v>
      </c>
      <c r="GS46" t="e">
        <f>AND(Answers!BN144,"AAAAAH/t+8g=")</f>
        <v>#VALUE!</v>
      </c>
      <c r="GT46" t="e">
        <f>AND(Answers!BO144,"AAAAAH/t+8k=")</f>
        <v>#VALUE!</v>
      </c>
      <c r="GU46" t="e">
        <f>AND(Answers!BP144,"AAAAAH/t+8o=")</f>
        <v>#VALUE!</v>
      </c>
      <c r="GV46" t="e">
        <f>AND(Answers!BQ144,"AAAAAH/t+8s=")</f>
        <v>#VALUE!</v>
      </c>
      <c r="GW46" t="e">
        <f>AND(Answers!BR144,"AAAAAH/t+8w=")</f>
        <v>#VALUE!</v>
      </c>
      <c r="GX46" t="e">
        <f>AND(Answers!BS144,"AAAAAH/t+80=")</f>
        <v>#VALUE!</v>
      </c>
      <c r="GY46" t="e">
        <f>AND(Answers!BU144,"AAAAAH/t+84=")</f>
        <v>#VALUE!</v>
      </c>
      <c r="GZ46" t="e">
        <f>AND(Answers!BV144,"AAAAAH/t+88=")</f>
        <v>#VALUE!</v>
      </c>
      <c r="HA46" t="e">
        <f>AND(Answers!#REF!,"AAAAAH/t+9A=")</f>
        <v>#REF!</v>
      </c>
      <c r="HB46" t="e">
        <f>AND(Answers!BW144,"AAAAAH/t+9E=")</f>
        <v>#VALUE!</v>
      </c>
      <c r="HC46" t="e">
        <f>AND(Answers!BX144,"AAAAAH/t+9I=")</f>
        <v>#VALUE!</v>
      </c>
      <c r="HD46" t="e">
        <f>AND(Answers!BY144,"AAAAAH/t+9M=")</f>
        <v>#VALUE!</v>
      </c>
      <c r="HE46" t="e">
        <f>AND(Answers!BZ144,"AAAAAH/t+9Q=")</f>
        <v>#VALUE!</v>
      </c>
      <c r="HF46">
        <f>IF(Answers!145:145,"AAAAAH/t+9U=",0)</f>
        <v>0</v>
      </c>
      <c r="HG46" t="e">
        <f>AND(Answers!A145,"AAAAAH/t+9Y=")</f>
        <v>#VALUE!</v>
      </c>
      <c r="HH46" t="e">
        <f>AND(Answers!B145,"AAAAAH/t+9c=")</f>
        <v>#VALUE!</v>
      </c>
      <c r="HI46" t="e">
        <f>AND(Answers!C145,"AAAAAH/t+9g=")</f>
        <v>#VALUE!</v>
      </c>
      <c r="HJ46" t="e">
        <f>AND(Answers!D145,"AAAAAH/t+9k=")</f>
        <v>#VALUE!</v>
      </c>
      <c r="HK46" t="e">
        <f>AND(Answers!E145,"AAAAAH/t+9o=")</f>
        <v>#VALUE!</v>
      </c>
      <c r="HL46" t="e">
        <f>AND(Answers!F145,"AAAAAH/t+9s=")</f>
        <v>#VALUE!</v>
      </c>
      <c r="HM46" t="e">
        <f>AND(Answers!G145,"AAAAAH/t+9w=")</f>
        <v>#VALUE!</v>
      </c>
      <c r="HN46" t="e">
        <f>AND(Answers!H145,"AAAAAH/t+90=")</f>
        <v>#VALUE!</v>
      </c>
      <c r="HO46" t="e">
        <f>AND(Answers!J145,"AAAAAH/t+94=")</f>
        <v>#VALUE!</v>
      </c>
      <c r="HP46" t="e">
        <f>AND(Answers!K145,"AAAAAH/t+98=")</f>
        <v>#VALUE!</v>
      </c>
      <c r="HQ46" t="e">
        <f>AND(Answers!L145,"AAAAAH/t++A=")</f>
        <v>#VALUE!</v>
      </c>
      <c r="HR46" t="e">
        <f>AND(Answers!M145,"AAAAAH/t++E=")</f>
        <v>#VALUE!</v>
      </c>
      <c r="HS46" t="e">
        <f>AND(Answers!N145,"AAAAAH/t++I=")</f>
        <v>#VALUE!</v>
      </c>
      <c r="HT46" t="e">
        <f>AND(Answers!O145,"AAAAAH/t++M=")</f>
        <v>#VALUE!</v>
      </c>
      <c r="HU46" t="e">
        <f>AND(Answers!P145,"AAAAAH/t++Q=")</f>
        <v>#VALUE!</v>
      </c>
      <c r="HV46" t="e">
        <f>AND(Answers!Q145,"AAAAAH/t++U=")</f>
        <v>#VALUE!</v>
      </c>
      <c r="HW46" t="e">
        <f>AND(Answers!R145,"AAAAAH/t++Y=")</f>
        <v>#VALUE!</v>
      </c>
      <c r="HX46" t="e">
        <f>AND(Answers!S145,"AAAAAH/t++c=")</f>
        <v>#VALUE!</v>
      </c>
      <c r="HY46" t="e">
        <f>AND(Answers!T145,"AAAAAH/t++g=")</f>
        <v>#VALUE!</v>
      </c>
      <c r="HZ46" t="e">
        <f>AND(Answers!U145,"AAAAAH/t++k=")</f>
        <v>#VALUE!</v>
      </c>
      <c r="IA46" t="e">
        <f>AND(Answers!V145,"AAAAAH/t++o=")</f>
        <v>#VALUE!</v>
      </c>
      <c r="IB46" t="e">
        <f>AND(Answers!X145,"AAAAAH/t++s=")</f>
        <v>#VALUE!</v>
      </c>
      <c r="IC46" t="e">
        <f>AND(Answers!Y145,"AAAAAH/t++w=")</f>
        <v>#VALUE!</v>
      </c>
      <c r="ID46" t="e">
        <f>AND(Answers!Z145,"AAAAAH/t++0=")</f>
        <v>#VALUE!</v>
      </c>
      <c r="IE46" t="e">
        <f>AND(Answers!AA145,"AAAAAH/t++4=")</f>
        <v>#VALUE!</v>
      </c>
      <c r="IF46" t="e">
        <f>AND(Answers!AB145,"AAAAAH/t++8=")</f>
        <v>#VALUE!</v>
      </c>
      <c r="IG46" t="e">
        <f>AND(Answers!AC145,"AAAAAH/t+/A=")</f>
        <v>#VALUE!</v>
      </c>
      <c r="IH46" t="e">
        <f>AND(Answers!AD145,"AAAAAH/t+/E=")</f>
        <v>#VALUE!</v>
      </c>
      <c r="II46" t="e">
        <f>AND(Answers!AE145,"AAAAAH/t+/I=")</f>
        <v>#VALUE!</v>
      </c>
      <c r="IJ46" t="e">
        <f>AND(Answers!AF145,"AAAAAH/t+/M=")</f>
        <v>#VALUE!</v>
      </c>
      <c r="IK46" t="e">
        <f>AND(Answers!AH145,"AAAAAH/t+/Q=")</f>
        <v>#VALUE!</v>
      </c>
      <c r="IL46" t="e">
        <f>AND(Answers!AI145,"AAAAAH/t+/U=")</f>
        <v>#VALUE!</v>
      </c>
      <c r="IM46" t="e">
        <f>AND(Answers!AK145,"AAAAAH/t+/Y=")</f>
        <v>#VALUE!</v>
      </c>
      <c r="IN46" t="e">
        <f>AND(Answers!#REF!,"AAAAAH/t+/c=")</f>
        <v>#REF!</v>
      </c>
      <c r="IO46" t="e">
        <f>AND(Answers!AR145,"AAAAAH/t+/g=")</f>
        <v>#VALUE!</v>
      </c>
      <c r="IP46" t="e">
        <f>AND(Answers!AS145,"AAAAAH/t+/k=")</f>
        <v>#VALUE!</v>
      </c>
      <c r="IQ46" t="e">
        <f>AND(Answers!AT145,"AAAAAH/t+/o=")</f>
        <v>#VALUE!</v>
      </c>
      <c r="IR46" t="e">
        <f>AND(Answers!AU145,"AAAAAH/t+/s=")</f>
        <v>#VALUE!</v>
      </c>
      <c r="IS46" t="e">
        <f>AND(Answers!AW145,"AAAAAH/t+/w=")</f>
        <v>#VALUE!</v>
      </c>
      <c r="IT46" t="e">
        <f>AND(Answers!AX145,"AAAAAH/t+/0=")</f>
        <v>#VALUE!</v>
      </c>
      <c r="IU46" t="e">
        <f>AND(Answers!AY145,"AAAAAH/t+/4=")</f>
        <v>#VALUE!</v>
      </c>
      <c r="IV46" t="e">
        <f>AND(Answers!AZ145,"AAAAAH/t+/8=")</f>
        <v>#VALUE!</v>
      </c>
    </row>
    <row r="47" spans="1:256" x14ac:dyDescent="0.15">
      <c r="A47" t="e">
        <f>AND(Answers!BA145,"AAAAAH9fcwA=")</f>
        <v>#VALUE!</v>
      </c>
      <c r="B47" t="e">
        <f>AND(Answers!BB145,"AAAAAH9fcwE=")</f>
        <v>#VALUE!</v>
      </c>
      <c r="C47" t="e">
        <f>AND(Answers!BC145,"AAAAAH9fcwI=")</f>
        <v>#VALUE!</v>
      </c>
      <c r="D47" t="e">
        <f>AND(Answers!BD145,"AAAAAH9fcwM=")</f>
        <v>#VALUE!</v>
      </c>
      <c r="E47" t="e">
        <f>AND(Answers!BE145,"AAAAAH9fcwQ=")</f>
        <v>#VALUE!</v>
      </c>
      <c r="F47" t="e">
        <f>AND(Answers!BF145,"AAAAAH9fcwU=")</f>
        <v>#VALUE!</v>
      </c>
      <c r="G47" t="e">
        <f>AND(Answers!BG145,"AAAAAH9fcwY=")</f>
        <v>#VALUE!</v>
      </c>
      <c r="H47" t="e">
        <f>AND(Answers!BH145,"AAAAAH9fcwc=")</f>
        <v>#VALUE!</v>
      </c>
      <c r="I47" t="e">
        <f>AND(Answers!BI145,"AAAAAH9fcwg=")</f>
        <v>#VALUE!</v>
      </c>
      <c r="J47" t="e">
        <f>AND(Answers!BK145,"AAAAAH9fcwk=")</f>
        <v>#VALUE!</v>
      </c>
      <c r="K47" t="e">
        <f>AND(Answers!BL145,"AAAAAH9fcwo=")</f>
        <v>#VALUE!</v>
      </c>
      <c r="L47" t="e">
        <f>AND(Answers!BM145,"AAAAAH9fcws=")</f>
        <v>#VALUE!</v>
      </c>
      <c r="M47" t="e">
        <f>AND(Answers!BN145,"AAAAAH9fcww=")</f>
        <v>#VALUE!</v>
      </c>
      <c r="N47" t="e">
        <f>AND(Answers!BO145,"AAAAAH9fcw0=")</f>
        <v>#VALUE!</v>
      </c>
      <c r="O47" t="e">
        <f>AND(Answers!BP145,"AAAAAH9fcw4=")</f>
        <v>#VALUE!</v>
      </c>
      <c r="P47" t="e">
        <f>AND(Answers!BQ145,"AAAAAH9fcw8=")</f>
        <v>#VALUE!</v>
      </c>
      <c r="Q47" t="e">
        <f>AND(Answers!BR145,"AAAAAH9fcxA=")</f>
        <v>#VALUE!</v>
      </c>
      <c r="R47" t="e">
        <f>AND(Answers!BS145,"AAAAAH9fcxE=")</f>
        <v>#VALUE!</v>
      </c>
      <c r="S47" t="e">
        <f>AND(Answers!BU145,"AAAAAH9fcxI=")</f>
        <v>#VALUE!</v>
      </c>
      <c r="T47" t="e">
        <f>AND(Answers!BV145,"AAAAAH9fcxM=")</f>
        <v>#VALUE!</v>
      </c>
      <c r="U47" t="e">
        <f>AND(Answers!#REF!,"AAAAAH9fcxQ=")</f>
        <v>#REF!</v>
      </c>
      <c r="V47" t="e">
        <f>AND(Answers!BW145,"AAAAAH9fcxU=")</f>
        <v>#VALUE!</v>
      </c>
      <c r="W47" t="e">
        <f>AND(Answers!BX145,"AAAAAH9fcxY=")</f>
        <v>#VALUE!</v>
      </c>
      <c r="X47" t="e">
        <f>AND(Answers!BY145,"AAAAAH9fcxc=")</f>
        <v>#VALUE!</v>
      </c>
      <c r="Y47" t="e">
        <f>AND(Answers!BZ145,"AAAAAH9fcxg=")</f>
        <v>#VALUE!</v>
      </c>
      <c r="Z47">
        <f>IF(Answers!146:146,"AAAAAH9fcxk=",0)</f>
        <v>0</v>
      </c>
      <c r="AA47" t="e">
        <f>AND(Answers!A146,"AAAAAH9fcxo=")</f>
        <v>#VALUE!</v>
      </c>
      <c r="AB47" t="e">
        <f>AND(Answers!B146,"AAAAAH9fcxs=")</f>
        <v>#VALUE!</v>
      </c>
      <c r="AC47" t="e">
        <f>AND(Answers!C146,"AAAAAH9fcxw=")</f>
        <v>#VALUE!</v>
      </c>
      <c r="AD47" t="e">
        <f>AND(Answers!D146,"AAAAAH9fcx0=")</f>
        <v>#VALUE!</v>
      </c>
      <c r="AE47" t="e">
        <f>AND(Answers!E146,"AAAAAH9fcx4=")</f>
        <v>#VALUE!</v>
      </c>
      <c r="AF47" t="e">
        <f>AND(Answers!F146,"AAAAAH9fcx8=")</f>
        <v>#VALUE!</v>
      </c>
      <c r="AG47" t="e">
        <f>AND(Answers!G146,"AAAAAH9fcyA=")</f>
        <v>#VALUE!</v>
      </c>
      <c r="AH47" t="e">
        <f>AND(Answers!H146,"AAAAAH9fcyE=")</f>
        <v>#VALUE!</v>
      </c>
      <c r="AI47" t="e">
        <f>AND(Answers!J146,"AAAAAH9fcyI=")</f>
        <v>#VALUE!</v>
      </c>
      <c r="AJ47" t="e">
        <f>AND(Answers!K146,"AAAAAH9fcyM=")</f>
        <v>#VALUE!</v>
      </c>
      <c r="AK47" t="e">
        <f>AND(Answers!L146,"AAAAAH9fcyQ=")</f>
        <v>#VALUE!</v>
      </c>
      <c r="AL47" t="e">
        <f>AND(Answers!M146,"AAAAAH9fcyU=")</f>
        <v>#VALUE!</v>
      </c>
      <c r="AM47" t="e">
        <f>AND(Answers!N146,"AAAAAH9fcyY=")</f>
        <v>#VALUE!</v>
      </c>
      <c r="AN47" t="e">
        <f>AND(Answers!O146,"AAAAAH9fcyc=")</f>
        <v>#VALUE!</v>
      </c>
      <c r="AO47" t="e">
        <f>AND(Answers!P146,"AAAAAH9fcyg=")</f>
        <v>#VALUE!</v>
      </c>
      <c r="AP47" t="e">
        <f>AND(Answers!Q146,"AAAAAH9fcyk=")</f>
        <v>#VALUE!</v>
      </c>
      <c r="AQ47" t="e">
        <f>AND(Answers!R146,"AAAAAH9fcyo=")</f>
        <v>#VALUE!</v>
      </c>
      <c r="AR47" t="e">
        <f>AND(Answers!S146,"AAAAAH9fcys=")</f>
        <v>#VALUE!</v>
      </c>
      <c r="AS47" t="e">
        <f>AND(Answers!T146,"AAAAAH9fcyw=")</f>
        <v>#VALUE!</v>
      </c>
      <c r="AT47" t="e">
        <f>AND(Answers!U146,"AAAAAH9fcy0=")</f>
        <v>#VALUE!</v>
      </c>
      <c r="AU47" t="e">
        <f>AND(Answers!V146,"AAAAAH9fcy4=")</f>
        <v>#VALUE!</v>
      </c>
      <c r="AV47" t="e">
        <f>AND(Answers!X146,"AAAAAH9fcy8=")</f>
        <v>#VALUE!</v>
      </c>
      <c r="AW47" t="e">
        <f>AND(Answers!Y146,"AAAAAH9fczA=")</f>
        <v>#VALUE!</v>
      </c>
      <c r="AX47" t="e">
        <f>AND(Answers!Z146,"AAAAAH9fczE=")</f>
        <v>#VALUE!</v>
      </c>
      <c r="AY47" t="e">
        <f>AND(Answers!AA146,"AAAAAH9fczI=")</f>
        <v>#VALUE!</v>
      </c>
      <c r="AZ47" t="e">
        <f>AND(Answers!AB146,"AAAAAH9fczM=")</f>
        <v>#VALUE!</v>
      </c>
      <c r="BA47" t="e">
        <f>AND(Answers!AC146,"AAAAAH9fczQ=")</f>
        <v>#VALUE!</v>
      </c>
      <c r="BB47" t="e">
        <f>AND(Answers!AD146,"AAAAAH9fczU=")</f>
        <v>#VALUE!</v>
      </c>
      <c r="BC47" t="e">
        <f>AND(Answers!AE146,"AAAAAH9fczY=")</f>
        <v>#VALUE!</v>
      </c>
      <c r="BD47" t="e">
        <f>AND(Answers!AF146,"AAAAAH9fczc=")</f>
        <v>#VALUE!</v>
      </c>
      <c r="BE47" t="e">
        <f>AND(Answers!AH146,"AAAAAH9fczg=")</f>
        <v>#VALUE!</v>
      </c>
      <c r="BF47" t="e">
        <f>AND(Answers!AI146,"AAAAAH9fczk=")</f>
        <v>#VALUE!</v>
      </c>
      <c r="BG47" t="e">
        <f>AND(Answers!AK146,"AAAAAH9fczo=")</f>
        <v>#VALUE!</v>
      </c>
      <c r="BH47" t="e">
        <f>AND(Answers!#REF!,"AAAAAH9fczs=")</f>
        <v>#REF!</v>
      </c>
      <c r="BI47" t="e">
        <f>AND(Answers!AR146,"AAAAAH9fczw=")</f>
        <v>#VALUE!</v>
      </c>
      <c r="BJ47" t="e">
        <f>AND(Answers!AS146,"AAAAAH9fcz0=")</f>
        <v>#VALUE!</v>
      </c>
      <c r="BK47" t="e">
        <f>AND(Answers!AT146,"AAAAAH9fcz4=")</f>
        <v>#VALUE!</v>
      </c>
      <c r="BL47" t="e">
        <f>AND(Answers!AU146,"AAAAAH9fcz8=")</f>
        <v>#VALUE!</v>
      </c>
      <c r="BM47" t="e">
        <f>AND(Answers!AW146,"AAAAAH9fc0A=")</f>
        <v>#VALUE!</v>
      </c>
      <c r="BN47" t="e">
        <f>AND(Answers!AX146,"AAAAAH9fc0E=")</f>
        <v>#VALUE!</v>
      </c>
      <c r="BO47" t="e">
        <f>AND(Answers!AY146,"AAAAAH9fc0I=")</f>
        <v>#VALUE!</v>
      </c>
      <c r="BP47" t="e">
        <f>AND(Answers!AZ146,"AAAAAH9fc0M=")</f>
        <v>#VALUE!</v>
      </c>
      <c r="BQ47" t="e">
        <f>AND(Answers!BA146,"AAAAAH9fc0Q=")</f>
        <v>#VALUE!</v>
      </c>
      <c r="BR47" t="e">
        <f>AND(Answers!BB146,"AAAAAH9fc0U=")</f>
        <v>#VALUE!</v>
      </c>
      <c r="BS47" t="e">
        <f>AND(Answers!BC146,"AAAAAH9fc0Y=")</f>
        <v>#VALUE!</v>
      </c>
      <c r="BT47" t="e">
        <f>AND(Answers!BD146,"AAAAAH9fc0c=")</f>
        <v>#VALUE!</v>
      </c>
      <c r="BU47" t="e">
        <f>AND(Answers!BE146,"AAAAAH9fc0g=")</f>
        <v>#VALUE!</v>
      </c>
      <c r="BV47" t="e">
        <f>AND(Answers!BF146,"AAAAAH9fc0k=")</f>
        <v>#VALUE!</v>
      </c>
      <c r="BW47" t="e">
        <f>AND(Answers!BG146,"AAAAAH9fc0o=")</f>
        <v>#VALUE!</v>
      </c>
      <c r="BX47" t="e">
        <f>AND(Answers!BH146,"AAAAAH9fc0s=")</f>
        <v>#VALUE!</v>
      </c>
      <c r="BY47" t="e">
        <f>AND(Answers!BI146,"AAAAAH9fc0w=")</f>
        <v>#VALUE!</v>
      </c>
      <c r="BZ47" t="e">
        <f>AND(Answers!BK146,"AAAAAH9fc00=")</f>
        <v>#VALUE!</v>
      </c>
      <c r="CA47" t="e">
        <f>AND(Answers!BL146,"AAAAAH9fc04=")</f>
        <v>#VALUE!</v>
      </c>
      <c r="CB47" t="e">
        <f>AND(Answers!BM146,"AAAAAH9fc08=")</f>
        <v>#VALUE!</v>
      </c>
      <c r="CC47" t="e">
        <f>AND(Answers!BN146,"AAAAAH9fc1A=")</f>
        <v>#VALUE!</v>
      </c>
      <c r="CD47" t="e">
        <f>AND(Answers!BO146,"AAAAAH9fc1E=")</f>
        <v>#VALUE!</v>
      </c>
      <c r="CE47" t="e">
        <f>AND(Answers!BP146,"AAAAAH9fc1I=")</f>
        <v>#VALUE!</v>
      </c>
      <c r="CF47" t="e">
        <f>AND(Answers!BQ146,"AAAAAH9fc1M=")</f>
        <v>#VALUE!</v>
      </c>
      <c r="CG47" t="e">
        <f>AND(Answers!BR146,"AAAAAH9fc1Q=")</f>
        <v>#VALUE!</v>
      </c>
      <c r="CH47" t="e">
        <f>AND(Answers!BS146,"AAAAAH9fc1U=")</f>
        <v>#VALUE!</v>
      </c>
      <c r="CI47" t="e">
        <f>AND(Answers!BU146,"AAAAAH9fc1Y=")</f>
        <v>#VALUE!</v>
      </c>
      <c r="CJ47" t="e">
        <f>AND(Answers!BV146,"AAAAAH9fc1c=")</f>
        <v>#VALUE!</v>
      </c>
      <c r="CK47" t="e">
        <f>AND(Answers!#REF!,"AAAAAH9fc1g=")</f>
        <v>#REF!</v>
      </c>
      <c r="CL47" t="e">
        <f>AND(Answers!BW146,"AAAAAH9fc1k=")</f>
        <v>#VALUE!</v>
      </c>
      <c r="CM47" t="e">
        <f>AND(Answers!BX146,"AAAAAH9fc1o=")</f>
        <v>#VALUE!</v>
      </c>
      <c r="CN47" t="e">
        <f>AND(Answers!BY146,"AAAAAH9fc1s=")</f>
        <v>#VALUE!</v>
      </c>
      <c r="CO47" t="e">
        <f>AND(Answers!BZ146,"AAAAAH9fc1w=")</f>
        <v>#VALUE!</v>
      </c>
      <c r="CP47">
        <f>IF(Answers!147:147,"AAAAAH9fc10=",0)</f>
        <v>0</v>
      </c>
      <c r="CQ47" t="e">
        <f>AND(Answers!A147,"AAAAAH9fc14=")</f>
        <v>#VALUE!</v>
      </c>
      <c r="CR47" t="e">
        <f>AND(Answers!B147,"AAAAAH9fc18=")</f>
        <v>#VALUE!</v>
      </c>
      <c r="CS47" t="e">
        <f>AND(Answers!C147,"AAAAAH9fc2A=")</f>
        <v>#VALUE!</v>
      </c>
      <c r="CT47" t="e">
        <f>AND(Answers!D147,"AAAAAH9fc2E=")</f>
        <v>#VALUE!</v>
      </c>
      <c r="CU47" t="e">
        <f>AND(Answers!E147,"AAAAAH9fc2I=")</f>
        <v>#VALUE!</v>
      </c>
      <c r="CV47" t="e">
        <f>AND(Answers!F147,"AAAAAH9fc2M=")</f>
        <v>#VALUE!</v>
      </c>
      <c r="CW47" t="e">
        <f>AND(Answers!G147,"AAAAAH9fc2Q=")</f>
        <v>#VALUE!</v>
      </c>
      <c r="CX47" t="e">
        <f>AND(Answers!H147,"AAAAAH9fc2U=")</f>
        <v>#VALUE!</v>
      </c>
      <c r="CY47" t="e">
        <f>AND(Answers!J147,"AAAAAH9fc2Y=")</f>
        <v>#VALUE!</v>
      </c>
      <c r="CZ47" t="e">
        <f>AND(Answers!K147,"AAAAAH9fc2c=")</f>
        <v>#VALUE!</v>
      </c>
      <c r="DA47" t="e">
        <f>AND(Answers!L147,"AAAAAH9fc2g=")</f>
        <v>#VALUE!</v>
      </c>
      <c r="DB47" t="e">
        <f>AND(Answers!M147,"AAAAAH9fc2k=")</f>
        <v>#VALUE!</v>
      </c>
      <c r="DC47" t="e">
        <f>AND(Answers!N147,"AAAAAH9fc2o=")</f>
        <v>#VALUE!</v>
      </c>
      <c r="DD47" t="e">
        <f>AND(Answers!O147,"AAAAAH9fc2s=")</f>
        <v>#VALUE!</v>
      </c>
      <c r="DE47" t="e">
        <f>AND(Answers!P147,"AAAAAH9fc2w=")</f>
        <v>#VALUE!</v>
      </c>
      <c r="DF47" t="e">
        <f>AND(Answers!Q147,"AAAAAH9fc20=")</f>
        <v>#VALUE!</v>
      </c>
      <c r="DG47" t="e">
        <f>AND(Answers!R147,"AAAAAH9fc24=")</f>
        <v>#VALUE!</v>
      </c>
      <c r="DH47" t="e">
        <f>AND(Answers!S147,"AAAAAH9fc28=")</f>
        <v>#VALUE!</v>
      </c>
      <c r="DI47" t="e">
        <f>AND(Answers!T147,"AAAAAH9fc3A=")</f>
        <v>#VALUE!</v>
      </c>
      <c r="DJ47" t="e">
        <f>AND(Answers!U147,"AAAAAH9fc3E=")</f>
        <v>#VALUE!</v>
      </c>
      <c r="DK47" t="e">
        <f>AND(Answers!V147,"AAAAAH9fc3I=")</f>
        <v>#VALUE!</v>
      </c>
      <c r="DL47" t="e">
        <f>AND(Answers!X147,"AAAAAH9fc3M=")</f>
        <v>#VALUE!</v>
      </c>
      <c r="DM47" t="e">
        <f>AND(Answers!Y147,"AAAAAH9fc3Q=")</f>
        <v>#VALUE!</v>
      </c>
      <c r="DN47" t="e">
        <f>AND(Answers!Z147,"AAAAAH9fc3U=")</f>
        <v>#VALUE!</v>
      </c>
      <c r="DO47" t="e">
        <f>AND(Answers!AA147,"AAAAAH9fc3Y=")</f>
        <v>#VALUE!</v>
      </c>
      <c r="DP47" t="e">
        <f>AND(Answers!AB147,"AAAAAH9fc3c=")</f>
        <v>#VALUE!</v>
      </c>
      <c r="DQ47" t="e">
        <f>AND(Answers!AC147,"AAAAAH9fc3g=")</f>
        <v>#VALUE!</v>
      </c>
      <c r="DR47" t="e">
        <f>AND(Answers!AD147,"AAAAAH9fc3k=")</f>
        <v>#VALUE!</v>
      </c>
      <c r="DS47" t="e">
        <f>AND(Answers!AE147,"AAAAAH9fc3o=")</f>
        <v>#VALUE!</v>
      </c>
      <c r="DT47" t="e">
        <f>AND(Answers!AF147,"AAAAAH9fc3s=")</f>
        <v>#VALUE!</v>
      </c>
      <c r="DU47" t="e">
        <f>AND(Answers!AH147,"AAAAAH9fc3w=")</f>
        <v>#VALUE!</v>
      </c>
      <c r="DV47" t="e">
        <f>AND(Answers!AI147,"AAAAAH9fc30=")</f>
        <v>#VALUE!</v>
      </c>
      <c r="DW47" t="e">
        <f>AND(Answers!AK147,"AAAAAH9fc34=")</f>
        <v>#VALUE!</v>
      </c>
      <c r="DX47" t="e">
        <f>AND(Answers!#REF!,"AAAAAH9fc38=")</f>
        <v>#REF!</v>
      </c>
      <c r="DY47" t="e">
        <f>AND(Answers!AR147,"AAAAAH9fc4A=")</f>
        <v>#VALUE!</v>
      </c>
      <c r="DZ47" t="e">
        <f>AND(Answers!AS147,"AAAAAH9fc4E=")</f>
        <v>#VALUE!</v>
      </c>
      <c r="EA47" t="e">
        <f>AND(Answers!AT147,"AAAAAH9fc4I=")</f>
        <v>#VALUE!</v>
      </c>
      <c r="EB47" t="e">
        <f>AND(Answers!AU147,"AAAAAH9fc4M=")</f>
        <v>#VALUE!</v>
      </c>
      <c r="EC47" t="e">
        <f>AND(Answers!AW147,"AAAAAH9fc4Q=")</f>
        <v>#VALUE!</v>
      </c>
      <c r="ED47" t="e">
        <f>AND(Answers!AX147,"AAAAAH9fc4U=")</f>
        <v>#VALUE!</v>
      </c>
      <c r="EE47" t="e">
        <f>AND(Answers!AY147,"AAAAAH9fc4Y=")</f>
        <v>#VALUE!</v>
      </c>
      <c r="EF47" t="e">
        <f>AND(Answers!AZ147,"AAAAAH9fc4c=")</f>
        <v>#VALUE!</v>
      </c>
      <c r="EG47" t="e">
        <f>AND(Answers!BA147,"AAAAAH9fc4g=")</f>
        <v>#VALUE!</v>
      </c>
      <c r="EH47" t="e">
        <f>AND(Answers!BB147,"AAAAAH9fc4k=")</f>
        <v>#VALUE!</v>
      </c>
      <c r="EI47" t="e">
        <f>AND(Answers!BC147,"AAAAAH9fc4o=")</f>
        <v>#VALUE!</v>
      </c>
      <c r="EJ47" t="e">
        <f>AND(Answers!BD147,"AAAAAH9fc4s=")</f>
        <v>#VALUE!</v>
      </c>
      <c r="EK47" t="e">
        <f>AND(Answers!BE147,"AAAAAH9fc4w=")</f>
        <v>#VALUE!</v>
      </c>
      <c r="EL47" t="e">
        <f>AND(Answers!BF147,"AAAAAH9fc40=")</f>
        <v>#VALUE!</v>
      </c>
      <c r="EM47" t="e">
        <f>AND(Answers!BG147,"AAAAAH9fc44=")</f>
        <v>#VALUE!</v>
      </c>
      <c r="EN47" t="e">
        <f>AND(Answers!BH147,"AAAAAH9fc48=")</f>
        <v>#VALUE!</v>
      </c>
      <c r="EO47" t="e">
        <f>AND(Answers!BI147,"AAAAAH9fc5A=")</f>
        <v>#VALUE!</v>
      </c>
      <c r="EP47" t="e">
        <f>AND(Answers!BK147,"AAAAAH9fc5E=")</f>
        <v>#VALUE!</v>
      </c>
      <c r="EQ47" t="e">
        <f>AND(Answers!BL147,"AAAAAH9fc5I=")</f>
        <v>#VALUE!</v>
      </c>
      <c r="ER47" t="e">
        <f>AND(Answers!BM147,"AAAAAH9fc5M=")</f>
        <v>#VALUE!</v>
      </c>
      <c r="ES47" t="e">
        <f>AND(Answers!BN147,"AAAAAH9fc5Q=")</f>
        <v>#VALUE!</v>
      </c>
      <c r="ET47" t="e">
        <f>AND(Answers!BO147,"AAAAAH9fc5U=")</f>
        <v>#VALUE!</v>
      </c>
      <c r="EU47" t="e">
        <f>AND(Answers!BP147,"AAAAAH9fc5Y=")</f>
        <v>#VALUE!</v>
      </c>
      <c r="EV47" t="e">
        <f>AND(Answers!BQ147,"AAAAAH9fc5c=")</f>
        <v>#VALUE!</v>
      </c>
      <c r="EW47" t="e">
        <f>AND(Answers!BR147,"AAAAAH9fc5g=")</f>
        <v>#VALUE!</v>
      </c>
      <c r="EX47" t="e">
        <f>AND(Answers!BS147,"AAAAAH9fc5k=")</f>
        <v>#VALUE!</v>
      </c>
      <c r="EY47" t="e">
        <f>AND(Answers!BU147,"AAAAAH9fc5o=")</f>
        <v>#VALUE!</v>
      </c>
      <c r="EZ47" t="e">
        <f>AND(Answers!BV147,"AAAAAH9fc5s=")</f>
        <v>#VALUE!</v>
      </c>
      <c r="FA47" t="e">
        <f>AND(Answers!#REF!,"AAAAAH9fc5w=")</f>
        <v>#REF!</v>
      </c>
      <c r="FB47" t="e">
        <f>AND(Answers!BW147,"AAAAAH9fc50=")</f>
        <v>#VALUE!</v>
      </c>
      <c r="FC47" t="e">
        <f>AND(Answers!BX147,"AAAAAH9fc54=")</f>
        <v>#VALUE!</v>
      </c>
      <c r="FD47" t="e">
        <f>AND(Answers!BY147,"AAAAAH9fc58=")</f>
        <v>#VALUE!</v>
      </c>
      <c r="FE47" t="e">
        <f>AND(Answers!BZ147,"AAAAAH9fc6A=")</f>
        <v>#VALUE!</v>
      </c>
      <c r="FF47">
        <f>IF(Answers!148:148,"AAAAAH9fc6E=",0)</f>
        <v>0</v>
      </c>
      <c r="FG47" t="e">
        <f>AND(Answers!A148,"AAAAAH9fc6I=")</f>
        <v>#VALUE!</v>
      </c>
      <c r="FH47" t="e">
        <f>AND(Answers!B148,"AAAAAH9fc6M=")</f>
        <v>#VALUE!</v>
      </c>
      <c r="FI47" t="e">
        <f>AND(Answers!C148,"AAAAAH9fc6Q=")</f>
        <v>#VALUE!</v>
      </c>
      <c r="FJ47" t="e">
        <f>AND(Answers!D148,"AAAAAH9fc6U=")</f>
        <v>#VALUE!</v>
      </c>
      <c r="FK47" t="e">
        <f>AND(Answers!E148,"AAAAAH9fc6Y=")</f>
        <v>#VALUE!</v>
      </c>
      <c r="FL47" t="e">
        <f>AND(Answers!F148,"AAAAAH9fc6c=")</f>
        <v>#VALUE!</v>
      </c>
      <c r="FM47" t="e">
        <f>AND(Answers!G148,"AAAAAH9fc6g=")</f>
        <v>#VALUE!</v>
      </c>
      <c r="FN47" t="e">
        <f>AND(Answers!H148,"AAAAAH9fc6k=")</f>
        <v>#VALUE!</v>
      </c>
      <c r="FO47" t="e">
        <f>AND(Answers!J148,"AAAAAH9fc6o=")</f>
        <v>#VALUE!</v>
      </c>
      <c r="FP47" t="e">
        <f>AND(Answers!K148,"AAAAAH9fc6s=")</f>
        <v>#VALUE!</v>
      </c>
      <c r="FQ47" t="e">
        <f>AND(Answers!L148,"AAAAAH9fc6w=")</f>
        <v>#VALUE!</v>
      </c>
      <c r="FR47" t="e">
        <f>AND(Answers!M148,"AAAAAH9fc60=")</f>
        <v>#VALUE!</v>
      </c>
      <c r="FS47" t="e">
        <f>AND(Answers!N148,"AAAAAH9fc64=")</f>
        <v>#VALUE!</v>
      </c>
      <c r="FT47" t="e">
        <f>AND(Answers!O148,"AAAAAH9fc68=")</f>
        <v>#VALUE!</v>
      </c>
      <c r="FU47" t="e">
        <f>AND(Answers!P148,"AAAAAH9fc7A=")</f>
        <v>#VALUE!</v>
      </c>
      <c r="FV47" t="e">
        <f>AND(Answers!Q148,"AAAAAH9fc7E=")</f>
        <v>#VALUE!</v>
      </c>
      <c r="FW47" t="e">
        <f>AND(Answers!R148,"AAAAAH9fc7I=")</f>
        <v>#VALUE!</v>
      </c>
      <c r="FX47" t="e">
        <f>AND(Answers!S148,"AAAAAH9fc7M=")</f>
        <v>#VALUE!</v>
      </c>
      <c r="FY47" t="e">
        <f>AND(Answers!T148,"AAAAAH9fc7Q=")</f>
        <v>#VALUE!</v>
      </c>
      <c r="FZ47" t="e">
        <f>AND(Answers!U148,"AAAAAH9fc7U=")</f>
        <v>#VALUE!</v>
      </c>
      <c r="GA47" t="e">
        <f>AND(Answers!V148,"AAAAAH9fc7Y=")</f>
        <v>#VALUE!</v>
      </c>
      <c r="GB47" t="e">
        <f>AND(Answers!X148,"AAAAAH9fc7c=")</f>
        <v>#VALUE!</v>
      </c>
      <c r="GC47" t="e">
        <f>AND(Answers!Y148,"AAAAAH9fc7g=")</f>
        <v>#VALUE!</v>
      </c>
      <c r="GD47" t="e">
        <f>AND(Answers!Z148,"AAAAAH9fc7k=")</f>
        <v>#VALUE!</v>
      </c>
      <c r="GE47" t="e">
        <f>AND(Answers!AA148,"AAAAAH9fc7o=")</f>
        <v>#VALUE!</v>
      </c>
      <c r="GF47" t="e">
        <f>AND(Answers!AB148,"AAAAAH9fc7s=")</f>
        <v>#VALUE!</v>
      </c>
      <c r="GG47" t="e">
        <f>AND(Answers!AC148,"AAAAAH9fc7w=")</f>
        <v>#VALUE!</v>
      </c>
      <c r="GH47" t="e">
        <f>AND(Answers!AD148,"AAAAAH9fc70=")</f>
        <v>#VALUE!</v>
      </c>
      <c r="GI47" t="e">
        <f>AND(Answers!AE148,"AAAAAH9fc74=")</f>
        <v>#VALUE!</v>
      </c>
      <c r="GJ47" t="e">
        <f>AND(Answers!AF148,"AAAAAH9fc78=")</f>
        <v>#VALUE!</v>
      </c>
      <c r="GK47" t="e">
        <f>AND(Answers!AH148,"AAAAAH9fc8A=")</f>
        <v>#VALUE!</v>
      </c>
      <c r="GL47" t="e">
        <f>AND(Answers!AI148,"AAAAAH9fc8E=")</f>
        <v>#VALUE!</v>
      </c>
      <c r="GM47" t="e">
        <f>AND(Answers!AK148,"AAAAAH9fc8I=")</f>
        <v>#VALUE!</v>
      </c>
      <c r="GN47" t="e">
        <f>AND(Answers!#REF!,"AAAAAH9fc8M=")</f>
        <v>#REF!</v>
      </c>
      <c r="GO47" t="e">
        <f>AND(Answers!AR148,"AAAAAH9fc8Q=")</f>
        <v>#VALUE!</v>
      </c>
      <c r="GP47" t="e">
        <f>AND(Answers!AS148,"AAAAAH9fc8U=")</f>
        <v>#VALUE!</v>
      </c>
      <c r="GQ47" t="e">
        <f>AND(Answers!AT148,"AAAAAH9fc8Y=")</f>
        <v>#VALUE!</v>
      </c>
      <c r="GR47" t="e">
        <f>AND(Answers!AU148,"AAAAAH9fc8c=")</f>
        <v>#VALUE!</v>
      </c>
      <c r="GS47" t="e">
        <f>AND(Answers!AW148,"AAAAAH9fc8g=")</f>
        <v>#VALUE!</v>
      </c>
      <c r="GT47" t="e">
        <f>AND(Answers!AX148,"AAAAAH9fc8k=")</f>
        <v>#VALUE!</v>
      </c>
      <c r="GU47" t="e">
        <f>AND(Answers!AY148,"AAAAAH9fc8o=")</f>
        <v>#VALUE!</v>
      </c>
      <c r="GV47" t="e">
        <f>AND(Answers!AZ148,"AAAAAH9fc8s=")</f>
        <v>#VALUE!</v>
      </c>
      <c r="GW47" t="e">
        <f>AND(Answers!BA148,"AAAAAH9fc8w=")</f>
        <v>#VALUE!</v>
      </c>
      <c r="GX47" t="e">
        <f>AND(Answers!BB148,"AAAAAH9fc80=")</f>
        <v>#VALUE!</v>
      </c>
      <c r="GY47" t="e">
        <f>AND(Answers!BC148,"AAAAAH9fc84=")</f>
        <v>#VALUE!</v>
      </c>
      <c r="GZ47" t="e">
        <f>AND(Answers!BD148,"AAAAAH9fc88=")</f>
        <v>#VALUE!</v>
      </c>
      <c r="HA47" t="e">
        <f>AND(Answers!BE148,"AAAAAH9fc9A=")</f>
        <v>#VALUE!</v>
      </c>
      <c r="HB47" t="e">
        <f>AND(Answers!BF148,"AAAAAH9fc9E=")</f>
        <v>#VALUE!</v>
      </c>
      <c r="HC47" t="e">
        <f>AND(Answers!BG148,"AAAAAH9fc9I=")</f>
        <v>#VALUE!</v>
      </c>
      <c r="HD47" t="e">
        <f>AND(Answers!BH148,"AAAAAH9fc9M=")</f>
        <v>#VALUE!</v>
      </c>
      <c r="HE47" t="e">
        <f>AND(Answers!BI148,"AAAAAH9fc9Q=")</f>
        <v>#VALUE!</v>
      </c>
      <c r="HF47" t="e">
        <f>AND(Answers!BK148,"AAAAAH9fc9U=")</f>
        <v>#VALUE!</v>
      </c>
      <c r="HG47" t="e">
        <f>AND(Answers!BL148,"AAAAAH9fc9Y=")</f>
        <v>#VALUE!</v>
      </c>
      <c r="HH47" t="e">
        <f>AND(Answers!BM148,"AAAAAH9fc9c=")</f>
        <v>#VALUE!</v>
      </c>
      <c r="HI47" t="e">
        <f>AND(Answers!BN148,"AAAAAH9fc9g=")</f>
        <v>#VALUE!</v>
      </c>
      <c r="HJ47" t="e">
        <f>AND(Answers!BO148,"AAAAAH9fc9k=")</f>
        <v>#VALUE!</v>
      </c>
      <c r="HK47" t="e">
        <f>AND(Answers!BP148,"AAAAAH9fc9o=")</f>
        <v>#VALUE!</v>
      </c>
      <c r="HL47" t="e">
        <f>AND(Answers!BQ148,"AAAAAH9fc9s=")</f>
        <v>#VALUE!</v>
      </c>
      <c r="HM47" t="e">
        <f>AND(Answers!BR148,"AAAAAH9fc9w=")</f>
        <v>#VALUE!</v>
      </c>
      <c r="HN47" t="e">
        <f>AND(Answers!BS148,"AAAAAH9fc90=")</f>
        <v>#VALUE!</v>
      </c>
      <c r="HO47" t="e">
        <f>AND(Answers!BU148,"AAAAAH9fc94=")</f>
        <v>#VALUE!</v>
      </c>
      <c r="HP47" t="e">
        <f>AND(Answers!BV148,"AAAAAH9fc98=")</f>
        <v>#VALUE!</v>
      </c>
      <c r="HQ47" t="e">
        <f>AND(Answers!#REF!,"AAAAAH9fc+A=")</f>
        <v>#REF!</v>
      </c>
      <c r="HR47" t="e">
        <f>AND(Answers!BW148,"AAAAAH9fc+E=")</f>
        <v>#VALUE!</v>
      </c>
      <c r="HS47" t="e">
        <f>AND(Answers!BX148,"AAAAAH9fc+I=")</f>
        <v>#VALUE!</v>
      </c>
      <c r="HT47" t="e">
        <f>AND(Answers!BY148,"AAAAAH9fc+M=")</f>
        <v>#VALUE!</v>
      </c>
      <c r="HU47" t="e">
        <f>AND(Answers!BZ148,"AAAAAH9fc+Q=")</f>
        <v>#VALUE!</v>
      </c>
      <c r="HV47">
        <f>IF(Answers!149:149,"AAAAAH9fc+U=",0)</f>
        <v>0</v>
      </c>
      <c r="HW47" t="e">
        <f>AND(Answers!A149,"AAAAAH9fc+Y=")</f>
        <v>#VALUE!</v>
      </c>
      <c r="HX47" t="e">
        <f>AND(Answers!B149,"AAAAAH9fc+c=")</f>
        <v>#VALUE!</v>
      </c>
      <c r="HY47" t="e">
        <f>AND(Answers!C149,"AAAAAH9fc+g=")</f>
        <v>#VALUE!</v>
      </c>
      <c r="HZ47" t="e">
        <f>AND(Answers!D149,"AAAAAH9fc+k=")</f>
        <v>#VALUE!</v>
      </c>
      <c r="IA47" t="e">
        <f>AND(Answers!E149,"AAAAAH9fc+o=")</f>
        <v>#VALUE!</v>
      </c>
      <c r="IB47" t="e">
        <f>AND(Answers!F149,"AAAAAH9fc+s=")</f>
        <v>#VALUE!</v>
      </c>
      <c r="IC47" t="e">
        <f>AND(Answers!G149,"AAAAAH9fc+w=")</f>
        <v>#VALUE!</v>
      </c>
      <c r="ID47" t="e">
        <f>AND(Answers!H149,"AAAAAH9fc+0=")</f>
        <v>#VALUE!</v>
      </c>
      <c r="IE47" t="e">
        <f>AND(Answers!J149,"AAAAAH9fc+4=")</f>
        <v>#VALUE!</v>
      </c>
      <c r="IF47" t="e">
        <f>AND(Answers!K149,"AAAAAH9fc+8=")</f>
        <v>#VALUE!</v>
      </c>
      <c r="IG47" t="e">
        <f>AND(Answers!L149,"AAAAAH9fc/A=")</f>
        <v>#VALUE!</v>
      </c>
      <c r="IH47" t="e">
        <f>AND(Answers!M149,"AAAAAH9fc/E=")</f>
        <v>#VALUE!</v>
      </c>
      <c r="II47" t="e">
        <f>AND(Answers!N149,"AAAAAH9fc/I=")</f>
        <v>#VALUE!</v>
      </c>
      <c r="IJ47" t="e">
        <f>AND(Answers!O149,"AAAAAH9fc/M=")</f>
        <v>#VALUE!</v>
      </c>
      <c r="IK47" t="e">
        <f>AND(Answers!P149,"AAAAAH9fc/Q=")</f>
        <v>#VALUE!</v>
      </c>
      <c r="IL47" t="e">
        <f>AND(Answers!Q149,"AAAAAH9fc/U=")</f>
        <v>#VALUE!</v>
      </c>
      <c r="IM47" t="e">
        <f>AND(Answers!R149,"AAAAAH9fc/Y=")</f>
        <v>#VALUE!</v>
      </c>
      <c r="IN47" t="e">
        <f>AND(Answers!S149,"AAAAAH9fc/c=")</f>
        <v>#VALUE!</v>
      </c>
      <c r="IO47" t="e">
        <f>AND(Answers!T149,"AAAAAH9fc/g=")</f>
        <v>#VALUE!</v>
      </c>
      <c r="IP47" t="e">
        <f>AND(Answers!U149,"AAAAAH9fc/k=")</f>
        <v>#VALUE!</v>
      </c>
      <c r="IQ47" t="e">
        <f>AND(Answers!V149,"AAAAAH9fc/o=")</f>
        <v>#VALUE!</v>
      </c>
      <c r="IR47" t="e">
        <f>AND(Answers!X149,"AAAAAH9fc/s=")</f>
        <v>#VALUE!</v>
      </c>
      <c r="IS47" t="e">
        <f>AND(Answers!Y149,"AAAAAH9fc/w=")</f>
        <v>#VALUE!</v>
      </c>
      <c r="IT47" t="e">
        <f>AND(Answers!Z149,"AAAAAH9fc/0=")</f>
        <v>#VALUE!</v>
      </c>
      <c r="IU47" t="e">
        <f>AND(Answers!AA149,"AAAAAH9fc/4=")</f>
        <v>#VALUE!</v>
      </c>
      <c r="IV47" t="e">
        <f>AND(Answers!AB149,"AAAAAH9fc/8=")</f>
        <v>#VALUE!</v>
      </c>
    </row>
    <row r="48" spans="1:256" x14ac:dyDescent="0.15">
      <c r="A48" t="e">
        <f>AND(Answers!AC149,"AAAAAF/ntwA=")</f>
        <v>#VALUE!</v>
      </c>
      <c r="B48" t="e">
        <f>AND(Answers!AD149,"AAAAAF/ntwE=")</f>
        <v>#VALUE!</v>
      </c>
      <c r="C48" t="e">
        <f>AND(Answers!AE149,"AAAAAF/ntwI=")</f>
        <v>#VALUE!</v>
      </c>
      <c r="D48" t="e">
        <f>AND(Answers!AF149,"AAAAAF/ntwM=")</f>
        <v>#VALUE!</v>
      </c>
      <c r="E48" t="e">
        <f>AND(Answers!AH149,"AAAAAF/ntwQ=")</f>
        <v>#VALUE!</v>
      </c>
      <c r="F48" t="e">
        <f>AND(Answers!AI149,"AAAAAF/ntwU=")</f>
        <v>#VALUE!</v>
      </c>
      <c r="G48" t="e">
        <f>AND(Answers!AK149,"AAAAAF/ntwY=")</f>
        <v>#VALUE!</v>
      </c>
      <c r="H48" t="e">
        <f>AND(Answers!#REF!,"AAAAAF/ntwc=")</f>
        <v>#REF!</v>
      </c>
      <c r="I48" t="e">
        <f>AND(Answers!AR149,"AAAAAF/ntwg=")</f>
        <v>#VALUE!</v>
      </c>
      <c r="J48" t="e">
        <f>AND(Answers!AS149,"AAAAAF/ntwk=")</f>
        <v>#VALUE!</v>
      </c>
      <c r="K48" t="e">
        <f>AND(Answers!AT149,"AAAAAF/ntwo=")</f>
        <v>#VALUE!</v>
      </c>
      <c r="L48" t="e">
        <f>AND(Answers!AU149,"AAAAAF/ntws=")</f>
        <v>#VALUE!</v>
      </c>
      <c r="M48" t="e">
        <f>AND(Answers!AW149,"AAAAAF/ntww=")</f>
        <v>#VALUE!</v>
      </c>
      <c r="N48" t="e">
        <f>AND(Answers!AX149,"AAAAAF/ntw0=")</f>
        <v>#VALUE!</v>
      </c>
      <c r="O48" t="e">
        <f>AND(Answers!AY149,"AAAAAF/ntw4=")</f>
        <v>#VALUE!</v>
      </c>
      <c r="P48" t="e">
        <f>AND(Answers!AZ149,"AAAAAF/ntw8=")</f>
        <v>#VALUE!</v>
      </c>
      <c r="Q48" t="e">
        <f>AND(Answers!BA149,"AAAAAF/ntxA=")</f>
        <v>#VALUE!</v>
      </c>
      <c r="R48" t="e">
        <f>AND(Answers!BB149,"AAAAAF/ntxE=")</f>
        <v>#VALUE!</v>
      </c>
      <c r="S48" t="e">
        <f>AND(Answers!BC149,"AAAAAF/ntxI=")</f>
        <v>#VALUE!</v>
      </c>
      <c r="T48" t="e">
        <f>AND(Answers!BD149,"AAAAAF/ntxM=")</f>
        <v>#VALUE!</v>
      </c>
      <c r="U48" t="e">
        <f>AND(Answers!BE149,"AAAAAF/ntxQ=")</f>
        <v>#VALUE!</v>
      </c>
      <c r="V48" t="e">
        <f>AND(Answers!BF149,"AAAAAF/ntxU=")</f>
        <v>#VALUE!</v>
      </c>
      <c r="W48" t="e">
        <f>AND(Answers!BG149,"AAAAAF/ntxY=")</f>
        <v>#VALUE!</v>
      </c>
      <c r="X48" t="e">
        <f>AND(Answers!BH149,"AAAAAF/ntxc=")</f>
        <v>#VALUE!</v>
      </c>
      <c r="Y48" t="e">
        <f>AND(Answers!BI149,"AAAAAF/ntxg=")</f>
        <v>#VALUE!</v>
      </c>
      <c r="Z48" t="e">
        <f>AND(Answers!BK149,"AAAAAF/ntxk=")</f>
        <v>#VALUE!</v>
      </c>
      <c r="AA48" t="e">
        <f>AND(Answers!BL149,"AAAAAF/ntxo=")</f>
        <v>#VALUE!</v>
      </c>
      <c r="AB48" t="e">
        <f>AND(Answers!BM149,"AAAAAF/ntxs=")</f>
        <v>#VALUE!</v>
      </c>
      <c r="AC48" t="e">
        <f>AND(Answers!BN149,"AAAAAF/ntxw=")</f>
        <v>#VALUE!</v>
      </c>
      <c r="AD48" t="e">
        <f>AND(Answers!BO149,"AAAAAF/ntx0=")</f>
        <v>#VALUE!</v>
      </c>
      <c r="AE48" t="e">
        <f>AND(Answers!BP149,"AAAAAF/ntx4=")</f>
        <v>#VALUE!</v>
      </c>
      <c r="AF48" t="e">
        <f>AND(Answers!BQ149,"AAAAAF/ntx8=")</f>
        <v>#VALUE!</v>
      </c>
      <c r="AG48" t="e">
        <f>AND(Answers!BR149,"AAAAAF/ntyA=")</f>
        <v>#VALUE!</v>
      </c>
      <c r="AH48" t="e">
        <f>AND(Answers!BS149,"AAAAAF/ntyE=")</f>
        <v>#VALUE!</v>
      </c>
      <c r="AI48" t="e">
        <f>AND(Answers!BU149,"AAAAAF/ntyI=")</f>
        <v>#VALUE!</v>
      </c>
      <c r="AJ48" t="e">
        <f>AND(Answers!BV149,"AAAAAF/ntyM=")</f>
        <v>#VALUE!</v>
      </c>
      <c r="AK48" t="e">
        <f>AND(Answers!#REF!,"AAAAAF/ntyQ=")</f>
        <v>#REF!</v>
      </c>
      <c r="AL48" t="e">
        <f>AND(Answers!BW149,"AAAAAF/ntyU=")</f>
        <v>#VALUE!</v>
      </c>
      <c r="AM48" t="e">
        <f>AND(Answers!BX149,"AAAAAF/ntyY=")</f>
        <v>#VALUE!</v>
      </c>
      <c r="AN48" t="e">
        <f>AND(Answers!BY149,"AAAAAF/ntyc=")</f>
        <v>#VALUE!</v>
      </c>
      <c r="AO48" t="e">
        <f>AND(Answers!BZ149,"AAAAAF/ntyg=")</f>
        <v>#VALUE!</v>
      </c>
      <c r="AP48">
        <f>IF(Answers!150:150,"AAAAAF/ntyk=",0)</f>
        <v>0</v>
      </c>
      <c r="AQ48" t="e">
        <f>AND(Answers!A150,"AAAAAF/ntyo=")</f>
        <v>#VALUE!</v>
      </c>
      <c r="AR48" t="e">
        <f>AND(Answers!B150,"AAAAAF/ntys=")</f>
        <v>#VALUE!</v>
      </c>
      <c r="AS48" t="e">
        <f>AND(Answers!C150,"AAAAAF/ntyw=")</f>
        <v>#VALUE!</v>
      </c>
      <c r="AT48" t="e">
        <f>AND(Answers!D150,"AAAAAF/nty0=")</f>
        <v>#VALUE!</v>
      </c>
      <c r="AU48" t="e">
        <f>AND(Answers!E150,"AAAAAF/nty4=")</f>
        <v>#VALUE!</v>
      </c>
      <c r="AV48" t="e">
        <f>AND(Answers!F150,"AAAAAF/nty8=")</f>
        <v>#VALUE!</v>
      </c>
      <c r="AW48" t="e">
        <f>AND(Answers!G150,"AAAAAF/ntzA=")</f>
        <v>#VALUE!</v>
      </c>
      <c r="AX48" t="e">
        <f>AND(Answers!H150,"AAAAAF/ntzE=")</f>
        <v>#VALUE!</v>
      </c>
      <c r="AY48" t="e">
        <f>AND(Answers!J150,"AAAAAF/ntzI=")</f>
        <v>#VALUE!</v>
      </c>
      <c r="AZ48" t="e">
        <f>AND(Answers!K150,"AAAAAF/ntzM=")</f>
        <v>#VALUE!</v>
      </c>
      <c r="BA48" t="e">
        <f>AND(Answers!L150,"AAAAAF/ntzQ=")</f>
        <v>#VALUE!</v>
      </c>
      <c r="BB48" t="e">
        <f>AND(Answers!M150,"AAAAAF/ntzU=")</f>
        <v>#VALUE!</v>
      </c>
      <c r="BC48" t="e">
        <f>AND(Answers!N150,"AAAAAF/ntzY=")</f>
        <v>#VALUE!</v>
      </c>
      <c r="BD48" t="e">
        <f>AND(Answers!O150,"AAAAAF/ntzc=")</f>
        <v>#VALUE!</v>
      </c>
      <c r="BE48" t="e">
        <f>AND(Answers!P150,"AAAAAF/ntzg=")</f>
        <v>#VALUE!</v>
      </c>
      <c r="BF48" t="e">
        <f>AND(Answers!Q150,"AAAAAF/ntzk=")</f>
        <v>#VALUE!</v>
      </c>
      <c r="BG48" t="e">
        <f>AND(Answers!R150,"AAAAAF/ntzo=")</f>
        <v>#VALUE!</v>
      </c>
      <c r="BH48" t="e">
        <f>AND(Answers!S150,"AAAAAF/ntzs=")</f>
        <v>#VALUE!</v>
      </c>
      <c r="BI48" t="e">
        <f>AND(Answers!T150,"AAAAAF/ntzw=")</f>
        <v>#VALUE!</v>
      </c>
      <c r="BJ48" t="e">
        <f>AND(Answers!U150,"AAAAAF/ntz0=")</f>
        <v>#VALUE!</v>
      </c>
      <c r="BK48" t="e">
        <f>AND(Answers!V150,"AAAAAF/ntz4=")</f>
        <v>#VALUE!</v>
      </c>
      <c r="BL48" t="e">
        <f>AND(Answers!X150,"AAAAAF/ntz8=")</f>
        <v>#VALUE!</v>
      </c>
      <c r="BM48" t="e">
        <f>AND(Answers!Y150,"AAAAAF/nt0A=")</f>
        <v>#VALUE!</v>
      </c>
      <c r="BN48" t="e">
        <f>AND(Answers!Z150,"AAAAAF/nt0E=")</f>
        <v>#VALUE!</v>
      </c>
      <c r="BO48" t="e">
        <f>AND(Answers!AA150,"AAAAAF/nt0I=")</f>
        <v>#VALUE!</v>
      </c>
      <c r="BP48" t="e">
        <f>AND(Answers!AB150,"AAAAAF/nt0M=")</f>
        <v>#VALUE!</v>
      </c>
      <c r="BQ48" t="e">
        <f>AND(Answers!AC150,"AAAAAF/nt0Q=")</f>
        <v>#VALUE!</v>
      </c>
      <c r="BR48" t="e">
        <f>AND(Answers!AD150,"AAAAAF/nt0U=")</f>
        <v>#VALUE!</v>
      </c>
      <c r="BS48" t="e">
        <f>AND(Answers!AE150,"AAAAAF/nt0Y=")</f>
        <v>#VALUE!</v>
      </c>
      <c r="BT48" t="e">
        <f>AND(Answers!AF150,"AAAAAF/nt0c=")</f>
        <v>#VALUE!</v>
      </c>
      <c r="BU48" t="e">
        <f>AND(Answers!AH150,"AAAAAF/nt0g=")</f>
        <v>#VALUE!</v>
      </c>
      <c r="BV48" t="e">
        <f>AND(Answers!AI150,"AAAAAF/nt0k=")</f>
        <v>#VALUE!</v>
      </c>
      <c r="BW48" t="e">
        <f>AND(Answers!AK150,"AAAAAF/nt0o=")</f>
        <v>#VALUE!</v>
      </c>
      <c r="BX48" t="e">
        <f>AND(Answers!#REF!,"AAAAAF/nt0s=")</f>
        <v>#REF!</v>
      </c>
      <c r="BY48" t="e">
        <f>AND(Answers!AR150,"AAAAAF/nt0w=")</f>
        <v>#VALUE!</v>
      </c>
      <c r="BZ48" t="e">
        <f>AND(Answers!AS150,"AAAAAF/nt00=")</f>
        <v>#VALUE!</v>
      </c>
      <c r="CA48" t="e">
        <f>AND(Answers!AT150,"AAAAAF/nt04=")</f>
        <v>#VALUE!</v>
      </c>
      <c r="CB48" t="e">
        <f>AND(Answers!AU150,"AAAAAF/nt08=")</f>
        <v>#VALUE!</v>
      </c>
      <c r="CC48" t="e">
        <f>AND(Answers!AW150,"AAAAAF/nt1A=")</f>
        <v>#VALUE!</v>
      </c>
      <c r="CD48" t="e">
        <f>AND(Answers!AX150,"AAAAAF/nt1E=")</f>
        <v>#VALUE!</v>
      </c>
      <c r="CE48" t="e">
        <f>AND(Answers!AY150,"AAAAAF/nt1I=")</f>
        <v>#VALUE!</v>
      </c>
      <c r="CF48" t="e">
        <f>AND(Answers!AZ150,"AAAAAF/nt1M=")</f>
        <v>#VALUE!</v>
      </c>
      <c r="CG48" t="e">
        <f>AND(Answers!BA150,"AAAAAF/nt1Q=")</f>
        <v>#VALUE!</v>
      </c>
      <c r="CH48" t="e">
        <f>AND(Answers!BB150,"AAAAAF/nt1U=")</f>
        <v>#VALUE!</v>
      </c>
      <c r="CI48" t="e">
        <f>AND(Answers!BC150,"AAAAAF/nt1Y=")</f>
        <v>#VALUE!</v>
      </c>
      <c r="CJ48" t="e">
        <f>AND(Answers!BD150,"AAAAAF/nt1c=")</f>
        <v>#VALUE!</v>
      </c>
      <c r="CK48" t="e">
        <f>AND(Answers!BE150,"AAAAAF/nt1g=")</f>
        <v>#VALUE!</v>
      </c>
      <c r="CL48" t="e">
        <f>AND(Answers!BF150,"AAAAAF/nt1k=")</f>
        <v>#VALUE!</v>
      </c>
      <c r="CM48" t="e">
        <f>AND(Answers!BG150,"AAAAAF/nt1o=")</f>
        <v>#VALUE!</v>
      </c>
      <c r="CN48" t="e">
        <f>AND(Answers!BH150,"AAAAAF/nt1s=")</f>
        <v>#VALUE!</v>
      </c>
      <c r="CO48" t="e">
        <f>AND(Answers!BI150,"AAAAAF/nt1w=")</f>
        <v>#VALUE!</v>
      </c>
      <c r="CP48" t="e">
        <f>AND(Answers!BK150,"AAAAAF/nt10=")</f>
        <v>#VALUE!</v>
      </c>
      <c r="CQ48" t="e">
        <f>AND(Answers!BL150,"AAAAAF/nt14=")</f>
        <v>#VALUE!</v>
      </c>
      <c r="CR48" t="e">
        <f>AND(Answers!BM150,"AAAAAF/nt18=")</f>
        <v>#VALUE!</v>
      </c>
      <c r="CS48" t="e">
        <f>AND(Answers!BN150,"AAAAAF/nt2A=")</f>
        <v>#VALUE!</v>
      </c>
      <c r="CT48" t="e">
        <f>AND(Answers!BO150,"AAAAAF/nt2E=")</f>
        <v>#VALUE!</v>
      </c>
      <c r="CU48" t="e">
        <f>AND(Answers!BP150,"AAAAAF/nt2I=")</f>
        <v>#VALUE!</v>
      </c>
      <c r="CV48" t="e">
        <f>AND(Answers!BQ150,"AAAAAF/nt2M=")</f>
        <v>#VALUE!</v>
      </c>
      <c r="CW48" t="e">
        <f>AND(Answers!BR150,"AAAAAF/nt2Q=")</f>
        <v>#VALUE!</v>
      </c>
      <c r="CX48" t="e">
        <f>AND(Answers!BS150,"AAAAAF/nt2U=")</f>
        <v>#VALUE!</v>
      </c>
      <c r="CY48" t="e">
        <f>AND(Answers!BU150,"AAAAAF/nt2Y=")</f>
        <v>#VALUE!</v>
      </c>
      <c r="CZ48" t="e">
        <f>AND(Answers!BV150,"AAAAAF/nt2c=")</f>
        <v>#VALUE!</v>
      </c>
      <c r="DA48" t="e">
        <f>AND(Answers!#REF!,"AAAAAF/nt2g=")</f>
        <v>#REF!</v>
      </c>
      <c r="DB48" t="e">
        <f>AND(Answers!BW150,"AAAAAF/nt2k=")</f>
        <v>#VALUE!</v>
      </c>
      <c r="DC48" t="e">
        <f>AND(Answers!BX150,"AAAAAF/nt2o=")</f>
        <v>#VALUE!</v>
      </c>
      <c r="DD48" t="e">
        <f>AND(Answers!BY150,"AAAAAF/nt2s=")</f>
        <v>#VALUE!</v>
      </c>
      <c r="DE48" t="e">
        <f>AND(Answers!BZ150,"AAAAAF/nt2w=")</f>
        <v>#VALUE!</v>
      </c>
      <c r="DF48">
        <f>IF(Answers!151:151,"AAAAAF/nt20=",0)</f>
        <v>0</v>
      </c>
      <c r="DG48" t="e">
        <f>AND(Answers!A151,"AAAAAF/nt24=")</f>
        <v>#VALUE!</v>
      </c>
      <c r="DH48" t="e">
        <f>AND(Answers!B151,"AAAAAF/nt28=")</f>
        <v>#VALUE!</v>
      </c>
      <c r="DI48" t="e">
        <f>AND(Answers!C151,"AAAAAF/nt3A=")</f>
        <v>#VALUE!</v>
      </c>
      <c r="DJ48" t="e">
        <f>AND(Answers!D151,"AAAAAF/nt3E=")</f>
        <v>#VALUE!</v>
      </c>
      <c r="DK48" t="e">
        <f>AND(Answers!E151,"AAAAAF/nt3I=")</f>
        <v>#VALUE!</v>
      </c>
      <c r="DL48" t="e">
        <f>AND(Answers!F151,"AAAAAF/nt3M=")</f>
        <v>#VALUE!</v>
      </c>
      <c r="DM48" t="e">
        <f>AND(Answers!G151,"AAAAAF/nt3Q=")</f>
        <v>#VALUE!</v>
      </c>
      <c r="DN48" t="e">
        <f>AND(Answers!H151,"AAAAAF/nt3U=")</f>
        <v>#VALUE!</v>
      </c>
      <c r="DO48" t="e">
        <f>AND(Answers!J151,"AAAAAF/nt3Y=")</f>
        <v>#VALUE!</v>
      </c>
      <c r="DP48" t="e">
        <f>AND(Answers!K151,"AAAAAF/nt3c=")</f>
        <v>#VALUE!</v>
      </c>
      <c r="DQ48" t="e">
        <f>AND(Answers!L151,"AAAAAF/nt3g=")</f>
        <v>#VALUE!</v>
      </c>
      <c r="DR48" t="e">
        <f>AND(Answers!M151,"AAAAAF/nt3k=")</f>
        <v>#VALUE!</v>
      </c>
      <c r="DS48" t="e">
        <f>AND(Answers!N151,"AAAAAF/nt3o=")</f>
        <v>#VALUE!</v>
      </c>
      <c r="DT48" t="e">
        <f>AND(Answers!O151,"AAAAAF/nt3s=")</f>
        <v>#VALUE!</v>
      </c>
      <c r="DU48" t="e">
        <f>AND(Answers!P151,"AAAAAF/nt3w=")</f>
        <v>#VALUE!</v>
      </c>
      <c r="DV48" t="e">
        <f>AND(Answers!Q151,"AAAAAF/nt30=")</f>
        <v>#VALUE!</v>
      </c>
      <c r="DW48" t="e">
        <f>AND(Answers!R151,"AAAAAF/nt34=")</f>
        <v>#VALUE!</v>
      </c>
      <c r="DX48" t="e">
        <f>AND(Answers!S151,"AAAAAF/nt38=")</f>
        <v>#VALUE!</v>
      </c>
      <c r="DY48" t="e">
        <f>AND(Answers!T151,"AAAAAF/nt4A=")</f>
        <v>#VALUE!</v>
      </c>
      <c r="DZ48" t="e">
        <f>AND(Answers!U151,"AAAAAF/nt4E=")</f>
        <v>#VALUE!</v>
      </c>
      <c r="EA48" t="e">
        <f>AND(Answers!V151,"AAAAAF/nt4I=")</f>
        <v>#VALUE!</v>
      </c>
      <c r="EB48" t="e">
        <f>AND(Answers!X151,"AAAAAF/nt4M=")</f>
        <v>#VALUE!</v>
      </c>
      <c r="EC48" t="e">
        <f>AND(Answers!Y151,"AAAAAF/nt4Q=")</f>
        <v>#VALUE!</v>
      </c>
      <c r="ED48" t="e">
        <f>AND(Answers!Z151,"AAAAAF/nt4U=")</f>
        <v>#VALUE!</v>
      </c>
      <c r="EE48" t="e">
        <f>AND(Answers!AA151,"AAAAAF/nt4Y=")</f>
        <v>#VALUE!</v>
      </c>
      <c r="EF48" t="e">
        <f>AND(Answers!AB151,"AAAAAF/nt4c=")</f>
        <v>#VALUE!</v>
      </c>
      <c r="EG48" t="e">
        <f>AND(Answers!AC151,"AAAAAF/nt4g=")</f>
        <v>#VALUE!</v>
      </c>
      <c r="EH48" t="e">
        <f>AND(Answers!AD151,"AAAAAF/nt4k=")</f>
        <v>#VALUE!</v>
      </c>
      <c r="EI48" t="e">
        <f>AND(Answers!AE151,"AAAAAF/nt4o=")</f>
        <v>#VALUE!</v>
      </c>
      <c r="EJ48" t="e">
        <f>AND(Answers!AF151,"AAAAAF/nt4s=")</f>
        <v>#VALUE!</v>
      </c>
      <c r="EK48" t="e">
        <f>AND(Answers!AH151,"AAAAAF/nt4w=")</f>
        <v>#VALUE!</v>
      </c>
      <c r="EL48" t="e">
        <f>AND(Answers!AI151,"AAAAAF/nt40=")</f>
        <v>#VALUE!</v>
      </c>
      <c r="EM48" t="e">
        <f>AND(Answers!AK151,"AAAAAF/nt44=")</f>
        <v>#VALUE!</v>
      </c>
      <c r="EN48" t="e">
        <f>AND(Answers!#REF!,"AAAAAF/nt48=")</f>
        <v>#REF!</v>
      </c>
      <c r="EO48" t="e">
        <f>AND(Answers!AR151,"AAAAAF/nt5A=")</f>
        <v>#VALUE!</v>
      </c>
      <c r="EP48" t="e">
        <f>AND(Answers!AS151,"AAAAAF/nt5E=")</f>
        <v>#VALUE!</v>
      </c>
      <c r="EQ48" t="e">
        <f>AND(Answers!AT151,"AAAAAF/nt5I=")</f>
        <v>#VALUE!</v>
      </c>
      <c r="ER48" t="e">
        <f>AND(Answers!AU151,"AAAAAF/nt5M=")</f>
        <v>#VALUE!</v>
      </c>
      <c r="ES48" t="e">
        <f>AND(Answers!AW151,"AAAAAF/nt5Q=")</f>
        <v>#VALUE!</v>
      </c>
      <c r="ET48" t="e">
        <f>AND(Answers!AX151,"AAAAAF/nt5U=")</f>
        <v>#VALUE!</v>
      </c>
      <c r="EU48" t="e">
        <f>AND(Answers!AY151,"AAAAAF/nt5Y=")</f>
        <v>#VALUE!</v>
      </c>
      <c r="EV48" t="e">
        <f>AND(Answers!AZ151,"AAAAAF/nt5c=")</f>
        <v>#VALUE!</v>
      </c>
      <c r="EW48" t="e">
        <f>AND(Answers!BA151,"AAAAAF/nt5g=")</f>
        <v>#VALUE!</v>
      </c>
      <c r="EX48" t="e">
        <f>AND(Answers!BB151,"AAAAAF/nt5k=")</f>
        <v>#VALUE!</v>
      </c>
      <c r="EY48" t="e">
        <f>AND(Answers!BC151,"AAAAAF/nt5o=")</f>
        <v>#VALUE!</v>
      </c>
      <c r="EZ48" t="e">
        <f>AND(Answers!BD151,"AAAAAF/nt5s=")</f>
        <v>#VALUE!</v>
      </c>
      <c r="FA48" t="e">
        <f>AND(Answers!BE151,"AAAAAF/nt5w=")</f>
        <v>#VALUE!</v>
      </c>
      <c r="FB48" t="e">
        <f>AND(Answers!BF151,"AAAAAF/nt50=")</f>
        <v>#VALUE!</v>
      </c>
      <c r="FC48" t="e">
        <f>AND(Answers!BG151,"AAAAAF/nt54=")</f>
        <v>#VALUE!</v>
      </c>
      <c r="FD48" t="e">
        <f>AND(Answers!BH151,"AAAAAF/nt58=")</f>
        <v>#VALUE!</v>
      </c>
      <c r="FE48" t="e">
        <f>AND(Answers!BI151,"AAAAAF/nt6A=")</f>
        <v>#VALUE!</v>
      </c>
      <c r="FF48" t="e">
        <f>AND(Answers!BK151,"AAAAAF/nt6E=")</f>
        <v>#VALUE!</v>
      </c>
      <c r="FG48" t="e">
        <f>AND(Answers!BL151,"AAAAAF/nt6I=")</f>
        <v>#VALUE!</v>
      </c>
      <c r="FH48" t="e">
        <f>AND(Answers!BM151,"AAAAAF/nt6M=")</f>
        <v>#VALUE!</v>
      </c>
      <c r="FI48" t="e">
        <f>AND(Answers!BN151,"AAAAAF/nt6Q=")</f>
        <v>#VALUE!</v>
      </c>
      <c r="FJ48" t="e">
        <f>AND(Answers!BO151,"AAAAAF/nt6U=")</f>
        <v>#VALUE!</v>
      </c>
      <c r="FK48" t="e">
        <f>AND(Answers!BP151,"AAAAAF/nt6Y=")</f>
        <v>#VALUE!</v>
      </c>
      <c r="FL48" t="e">
        <f>AND(Answers!BQ151,"AAAAAF/nt6c=")</f>
        <v>#VALUE!</v>
      </c>
      <c r="FM48" t="e">
        <f>AND(Answers!BR151,"AAAAAF/nt6g=")</f>
        <v>#VALUE!</v>
      </c>
      <c r="FN48" t="e">
        <f>AND(Answers!BS151,"AAAAAF/nt6k=")</f>
        <v>#VALUE!</v>
      </c>
      <c r="FO48" t="e">
        <f>AND(Answers!BU151,"AAAAAF/nt6o=")</f>
        <v>#VALUE!</v>
      </c>
      <c r="FP48" t="e">
        <f>AND(Answers!BV151,"AAAAAF/nt6s=")</f>
        <v>#VALUE!</v>
      </c>
      <c r="FQ48" t="e">
        <f>AND(Answers!#REF!,"AAAAAF/nt6w=")</f>
        <v>#REF!</v>
      </c>
      <c r="FR48" t="e">
        <f>AND(Answers!BW151,"AAAAAF/nt60=")</f>
        <v>#VALUE!</v>
      </c>
      <c r="FS48" t="e">
        <f>AND(Answers!BX151,"AAAAAF/nt64=")</f>
        <v>#VALUE!</v>
      </c>
      <c r="FT48" t="e">
        <f>AND(Answers!BY151,"AAAAAF/nt68=")</f>
        <v>#VALUE!</v>
      </c>
      <c r="FU48" t="e">
        <f>AND(Answers!BZ151,"AAAAAF/nt7A=")</f>
        <v>#VALUE!</v>
      </c>
      <c r="FV48">
        <f>IF(Answers!152:152,"AAAAAF/nt7E=",0)</f>
        <v>0</v>
      </c>
      <c r="FW48" t="e">
        <f>AND(Answers!A152,"AAAAAF/nt7I=")</f>
        <v>#VALUE!</v>
      </c>
      <c r="FX48" t="e">
        <f>AND(Answers!B152,"AAAAAF/nt7M=")</f>
        <v>#VALUE!</v>
      </c>
      <c r="FY48" t="e">
        <f>AND(Answers!C152,"AAAAAF/nt7Q=")</f>
        <v>#VALUE!</v>
      </c>
      <c r="FZ48" t="e">
        <f>AND(Answers!D152,"AAAAAF/nt7U=")</f>
        <v>#VALUE!</v>
      </c>
      <c r="GA48" t="e">
        <f>AND(Answers!E152,"AAAAAF/nt7Y=")</f>
        <v>#VALUE!</v>
      </c>
      <c r="GB48" t="e">
        <f>AND(Answers!F152,"AAAAAF/nt7c=")</f>
        <v>#VALUE!</v>
      </c>
      <c r="GC48" t="e">
        <f>AND(Answers!G152,"AAAAAF/nt7g=")</f>
        <v>#VALUE!</v>
      </c>
      <c r="GD48" t="e">
        <f>AND(Answers!H152,"AAAAAF/nt7k=")</f>
        <v>#VALUE!</v>
      </c>
      <c r="GE48" t="e">
        <f>AND(Answers!J152,"AAAAAF/nt7o=")</f>
        <v>#VALUE!</v>
      </c>
      <c r="GF48" t="e">
        <f>AND(Answers!K152,"AAAAAF/nt7s=")</f>
        <v>#VALUE!</v>
      </c>
      <c r="GG48" t="e">
        <f>AND(Answers!L152,"AAAAAF/nt7w=")</f>
        <v>#VALUE!</v>
      </c>
      <c r="GH48" t="e">
        <f>AND(Answers!M152,"AAAAAF/nt70=")</f>
        <v>#VALUE!</v>
      </c>
      <c r="GI48" t="e">
        <f>AND(Answers!N152,"AAAAAF/nt74=")</f>
        <v>#VALUE!</v>
      </c>
      <c r="GJ48" t="e">
        <f>AND(Answers!O152,"AAAAAF/nt78=")</f>
        <v>#VALUE!</v>
      </c>
      <c r="GK48" t="e">
        <f>AND(Answers!P152,"AAAAAF/nt8A=")</f>
        <v>#VALUE!</v>
      </c>
      <c r="GL48" t="e">
        <f>AND(Answers!Q152,"AAAAAF/nt8E=")</f>
        <v>#VALUE!</v>
      </c>
      <c r="GM48" t="e">
        <f>AND(Answers!R152,"AAAAAF/nt8I=")</f>
        <v>#VALUE!</v>
      </c>
      <c r="GN48" t="e">
        <f>AND(Answers!S152,"AAAAAF/nt8M=")</f>
        <v>#VALUE!</v>
      </c>
      <c r="GO48" t="e">
        <f>AND(Answers!T152,"AAAAAF/nt8Q=")</f>
        <v>#VALUE!</v>
      </c>
      <c r="GP48" t="e">
        <f>AND(Answers!U152,"AAAAAF/nt8U=")</f>
        <v>#VALUE!</v>
      </c>
      <c r="GQ48" t="e">
        <f>AND(Answers!V152,"AAAAAF/nt8Y=")</f>
        <v>#VALUE!</v>
      </c>
      <c r="GR48" t="e">
        <f>AND(Answers!X152,"AAAAAF/nt8c=")</f>
        <v>#VALUE!</v>
      </c>
      <c r="GS48" t="e">
        <f>AND(Answers!Y152,"AAAAAF/nt8g=")</f>
        <v>#VALUE!</v>
      </c>
      <c r="GT48" t="e">
        <f>AND(Answers!Z152,"AAAAAF/nt8k=")</f>
        <v>#VALUE!</v>
      </c>
      <c r="GU48" t="e">
        <f>AND(Answers!AA152,"AAAAAF/nt8o=")</f>
        <v>#VALUE!</v>
      </c>
      <c r="GV48" t="e">
        <f>AND(Answers!AB152,"AAAAAF/nt8s=")</f>
        <v>#VALUE!</v>
      </c>
      <c r="GW48" t="e">
        <f>AND(Answers!AC152,"AAAAAF/nt8w=")</f>
        <v>#VALUE!</v>
      </c>
      <c r="GX48" t="e">
        <f>AND(Answers!AD152,"AAAAAF/nt80=")</f>
        <v>#VALUE!</v>
      </c>
      <c r="GY48" t="e">
        <f>AND(Answers!AE152,"AAAAAF/nt84=")</f>
        <v>#VALUE!</v>
      </c>
      <c r="GZ48" t="e">
        <f>AND(Answers!AF152,"AAAAAF/nt88=")</f>
        <v>#VALUE!</v>
      </c>
      <c r="HA48" t="e">
        <f>AND(Answers!AH152,"AAAAAF/nt9A=")</f>
        <v>#VALUE!</v>
      </c>
      <c r="HB48" t="e">
        <f>AND(Answers!AI152,"AAAAAF/nt9E=")</f>
        <v>#VALUE!</v>
      </c>
      <c r="HC48" t="e">
        <f>AND(Answers!AK152,"AAAAAF/nt9I=")</f>
        <v>#VALUE!</v>
      </c>
      <c r="HD48" t="e">
        <f>AND(Answers!#REF!,"AAAAAF/nt9M=")</f>
        <v>#REF!</v>
      </c>
      <c r="HE48" t="e">
        <f>AND(Answers!AR152,"AAAAAF/nt9Q=")</f>
        <v>#VALUE!</v>
      </c>
      <c r="HF48" t="e">
        <f>AND(Answers!AS152,"AAAAAF/nt9U=")</f>
        <v>#VALUE!</v>
      </c>
      <c r="HG48" t="e">
        <f>AND(Answers!AT152,"AAAAAF/nt9Y=")</f>
        <v>#VALUE!</v>
      </c>
      <c r="HH48" t="e">
        <f>AND(Answers!AU152,"AAAAAF/nt9c=")</f>
        <v>#VALUE!</v>
      </c>
      <c r="HI48" t="e">
        <f>AND(Answers!AW152,"AAAAAF/nt9g=")</f>
        <v>#VALUE!</v>
      </c>
      <c r="HJ48" t="e">
        <f>AND(Answers!AX152,"AAAAAF/nt9k=")</f>
        <v>#VALUE!</v>
      </c>
      <c r="HK48" t="e">
        <f>AND(Answers!AY152,"AAAAAF/nt9o=")</f>
        <v>#VALUE!</v>
      </c>
      <c r="HL48" t="e">
        <f>AND(Answers!AZ152,"AAAAAF/nt9s=")</f>
        <v>#VALUE!</v>
      </c>
      <c r="HM48" t="e">
        <f>AND(Answers!BA152,"AAAAAF/nt9w=")</f>
        <v>#VALUE!</v>
      </c>
      <c r="HN48" t="e">
        <f>AND(Answers!BB152,"AAAAAF/nt90=")</f>
        <v>#VALUE!</v>
      </c>
      <c r="HO48" t="e">
        <f>AND(Answers!BC152,"AAAAAF/nt94=")</f>
        <v>#VALUE!</v>
      </c>
      <c r="HP48" t="e">
        <f>AND(Answers!BD152,"AAAAAF/nt98=")</f>
        <v>#VALUE!</v>
      </c>
      <c r="HQ48" t="e">
        <f>AND(Answers!BE152,"AAAAAF/nt+A=")</f>
        <v>#VALUE!</v>
      </c>
      <c r="HR48" t="e">
        <f>AND(Answers!BF152,"AAAAAF/nt+E=")</f>
        <v>#VALUE!</v>
      </c>
      <c r="HS48" t="e">
        <f>AND(Answers!BG152,"AAAAAF/nt+I=")</f>
        <v>#VALUE!</v>
      </c>
      <c r="HT48" t="e">
        <f>AND(Answers!BH152,"AAAAAF/nt+M=")</f>
        <v>#VALUE!</v>
      </c>
      <c r="HU48" t="e">
        <f>AND(Answers!BI152,"AAAAAF/nt+Q=")</f>
        <v>#VALUE!</v>
      </c>
      <c r="HV48" t="e">
        <f>AND(Answers!BK152,"AAAAAF/nt+U=")</f>
        <v>#VALUE!</v>
      </c>
      <c r="HW48" t="e">
        <f>AND(Answers!BL152,"AAAAAF/nt+Y=")</f>
        <v>#VALUE!</v>
      </c>
      <c r="HX48" t="e">
        <f>AND(Answers!BM152,"AAAAAF/nt+c=")</f>
        <v>#VALUE!</v>
      </c>
      <c r="HY48" t="e">
        <f>AND(Answers!BN152,"AAAAAF/nt+g=")</f>
        <v>#VALUE!</v>
      </c>
      <c r="HZ48" t="e">
        <f>AND(Answers!BO152,"AAAAAF/nt+k=")</f>
        <v>#VALUE!</v>
      </c>
      <c r="IA48" t="e">
        <f>AND(Answers!BP152,"AAAAAF/nt+o=")</f>
        <v>#VALUE!</v>
      </c>
      <c r="IB48" t="e">
        <f>AND(Answers!BQ152,"AAAAAF/nt+s=")</f>
        <v>#VALUE!</v>
      </c>
      <c r="IC48" t="e">
        <f>AND(Answers!BR152,"AAAAAF/nt+w=")</f>
        <v>#VALUE!</v>
      </c>
      <c r="ID48" t="e">
        <f>AND(Answers!BS152,"AAAAAF/nt+0=")</f>
        <v>#VALUE!</v>
      </c>
      <c r="IE48" t="e">
        <f>AND(Answers!BU152,"AAAAAF/nt+4=")</f>
        <v>#VALUE!</v>
      </c>
      <c r="IF48" t="e">
        <f>AND(Answers!BV152,"AAAAAF/nt+8=")</f>
        <v>#VALUE!</v>
      </c>
      <c r="IG48" t="e">
        <f>AND(Answers!#REF!,"AAAAAF/nt/A=")</f>
        <v>#REF!</v>
      </c>
      <c r="IH48" t="e">
        <f>AND(Answers!BW152,"AAAAAF/nt/E=")</f>
        <v>#VALUE!</v>
      </c>
      <c r="II48" t="e">
        <f>AND(Answers!BX152,"AAAAAF/nt/I=")</f>
        <v>#VALUE!</v>
      </c>
      <c r="IJ48" t="e">
        <f>AND(Answers!BY152,"AAAAAF/nt/M=")</f>
        <v>#VALUE!</v>
      </c>
      <c r="IK48" t="e">
        <f>AND(Answers!BZ152,"AAAAAF/nt/Q=")</f>
        <v>#VALUE!</v>
      </c>
      <c r="IL48">
        <f>IF(Answers!153:153,"AAAAAF/nt/U=",0)</f>
        <v>0</v>
      </c>
      <c r="IM48" t="e">
        <f>AND(Answers!A153,"AAAAAF/nt/Y=")</f>
        <v>#VALUE!</v>
      </c>
      <c r="IN48" t="e">
        <f>AND(Answers!B153,"AAAAAF/nt/c=")</f>
        <v>#VALUE!</v>
      </c>
      <c r="IO48" t="e">
        <f>AND(Answers!C153,"AAAAAF/nt/g=")</f>
        <v>#VALUE!</v>
      </c>
      <c r="IP48" t="e">
        <f>AND(Answers!D153,"AAAAAF/nt/k=")</f>
        <v>#VALUE!</v>
      </c>
      <c r="IQ48" t="e">
        <f>AND(Answers!E153,"AAAAAF/nt/o=")</f>
        <v>#VALUE!</v>
      </c>
      <c r="IR48" t="e">
        <f>AND(Answers!F153,"AAAAAF/nt/s=")</f>
        <v>#VALUE!</v>
      </c>
      <c r="IS48" t="e">
        <f>AND(Answers!G153,"AAAAAF/nt/w=")</f>
        <v>#VALUE!</v>
      </c>
      <c r="IT48" t="e">
        <f>AND(Answers!H153,"AAAAAF/nt/0=")</f>
        <v>#VALUE!</v>
      </c>
      <c r="IU48" t="e">
        <f>AND(Answers!J153,"AAAAAF/nt/4=")</f>
        <v>#VALUE!</v>
      </c>
      <c r="IV48" t="e">
        <f>AND(Answers!K153,"AAAAAF/nt/8=")</f>
        <v>#VALUE!</v>
      </c>
    </row>
    <row r="49" spans="1:256" x14ac:dyDescent="0.15">
      <c r="A49" t="e">
        <f>AND(Answers!L153,"AAAAAEe+/QA=")</f>
        <v>#VALUE!</v>
      </c>
      <c r="B49" t="e">
        <f>AND(Answers!M153,"AAAAAEe+/QE=")</f>
        <v>#VALUE!</v>
      </c>
      <c r="C49" t="e">
        <f>AND(Answers!N153,"AAAAAEe+/QI=")</f>
        <v>#VALUE!</v>
      </c>
      <c r="D49" t="e">
        <f>AND(Answers!O153,"AAAAAEe+/QM=")</f>
        <v>#VALUE!</v>
      </c>
      <c r="E49" t="e">
        <f>AND(Answers!P153,"AAAAAEe+/QQ=")</f>
        <v>#VALUE!</v>
      </c>
      <c r="F49" t="e">
        <f>AND(Answers!Q153,"AAAAAEe+/QU=")</f>
        <v>#VALUE!</v>
      </c>
      <c r="G49" t="e">
        <f>AND(Answers!R153,"AAAAAEe+/QY=")</f>
        <v>#VALUE!</v>
      </c>
      <c r="H49" t="e">
        <f>AND(Answers!S153,"AAAAAEe+/Qc=")</f>
        <v>#VALUE!</v>
      </c>
      <c r="I49" t="e">
        <f>AND(Answers!T153,"AAAAAEe+/Qg=")</f>
        <v>#VALUE!</v>
      </c>
      <c r="J49" t="e">
        <f>AND(Answers!U153,"AAAAAEe+/Qk=")</f>
        <v>#VALUE!</v>
      </c>
      <c r="K49" t="e">
        <f>AND(Answers!V153,"AAAAAEe+/Qo=")</f>
        <v>#VALUE!</v>
      </c>
      <c r="L49" t="e">
        <f>AND(Answers!X153,"AAAAAEe+/Qs=")</f>
        <v>#VALUE!</v>
      </c>
      <c r="M49" t="e">
        <f>AND(Answers!Y153,"AAAAAEe+/Qw=")</f>
        <v>#VALUE!</v>
      </c>
      <c r="N49" t="e">
        <f>AND(Answers!Z153,"AAAAAEe+/Q0=")</f>
        <v>#VALUE!</v>
      </c>
      <c r="O49" t="e">
        <f>AND(Answers!AA153,"AAAAAEe+/Q4=")</f>
        <v>#VALUE!</v>
      </c>
      <c r="P49" t="e">
        <f>AND(Answers!AB153,"AAAAAEe+/Q8=")</f>
        <v>#VALUE!</v>
      </c>
      <c r="Q49" t="e">
        <f>AND(Answers!AC153,"AAAAAEe+/RA=")</f>
        <v>#VALUE!</v>
      </c>
      <c r="R49" t="e">
        <f>AND(Answers!AD153,"AAAAAEe+/RE=")</f>
        <v>#VALUE!</v>
      </c>
      <c r="S49" t="e">
        <f>AND(Answers!AE153,"AAAAAEe+/RI=")</f>
        <v>#VALUE!</v>
      </c>
      <c r="T49" t="e">
        <f>AND(Answers!AF153,"AAAAAEe+/RM=")</f>
        <v>#VALUE!</v>
      </c>
      <c r="U49" t="e">
        <f>AND(Answers!AH153,"AAAAAEe+/RQ=")</f>
        <v>#VALUE!</v>
      </c>
      <c r="V49" t="e">
        <f>AND(Answers!AI153,"AAAAAEe+/RU=")</f>
        <v>#VALUE!</v>
      </c>
      <c r="W49" t="e">
        <f>AND(Answers!AK153,"AAAAAEe+/RY=")</f>
        <v>#VALUE!</v>
      </c>
      <c r="X49" t="e">
        <f>AND(Answers!#REF!,"AAAAAEe+/Rc=")</f>
        <v>#REF!</v>
      </c>
      <c r="Y49" t="e">
        <f>AND(Answers!AR153,"AAAAAEe+/Rg=")</f>
        <v>#VALUE!</v>
      </c>
      <c r="Z49" t="e">
        <f>AND(Answers!AS153,"AAAAAEe+/Rk=")</f>
        <v>#VALUE!</v>
      </c>
      <c r="AA49" t="e">
        <f>AND(Answers!AT153,"AAAAAEe+/Ro=")</f>
        <v>#VALUE!</v>
      </c>
      <c r="AB49" t="e">
        <f>AND(Answers!AU153,"AAAAAEe+/Rs=")</f>
        <v>#VALUE!</v>
      </c>
      <c r="AC49" t="e">
        <f>AND(Answers!AW153,"AAAAAEe+/Rw=")</f>
        <v>#VALUE!</v>
      </c>
      <c r="AD49" t="e">
        <f>AND(Answers!AX153,"AAAAAEe+/R0=")</f>
        <v>#VALUE!</v>
      </c>
      <c r="AE49" t="e">
        <f>AND(Answers!AY153,"AAAAAEe+/R4=")</f>
        <v>#VALUE!</v>
      </c>
      <c r="AF49" t="e">
        <f>AND(Answers!AZ153,"AAAAAEe+/R8=")</f>
        <v>#VALUE!</v>
      </c>
      <c r="AG49" t="e">
        <f>AND(Answers!BA153,"AAAAAEe+/SA=")</f>
        <v>#VALUE!</v>
      </c>
      <c r="AH49" t="e">
        <f>AND(Answers!BB153,"AAAAAEe+/SE=")</f>
        <v>#VALUE!</v>
      </c>
      <c r="AI49" t="e">
        <f>AND(Answers!BC153,"AAAAAEe+/SI=")</f>
        <v>#VALUE!</v>
      </c>
      <c r="AJ49" t="e">
        <f>AND(Answers!BD153,"AAAAAEe+/SM=")</f>
        <v>#VALUE!</v>
      </c>
      <c r="AK49" t="e">
        <f>AND(Answers!BE153,"AAAAAEe+/SQ=")</f>
        <v>#VALUE!</v>
      </c>
      <c r="AL49" t="e">
        <f>AND(Answers!BF153,"AAAAAEe+/SU=")</f>
        <v>#VALUE!</v>
      </c>
      <c r="AM49" t="e">
        <f>AND(Answers!BG153,"AAAAAEe+/SY=")</f>
        <v>#VALUE!</v>
      </c>
      <c r="AN49" t="e">
        <f>AND(Answers!BH153,"AAAAAEe+/Sc=")</f>
        <v>#VALUE!</v>
      </c>
      <c r="AO49" t="e">
        <f>AND(Answers!BI153,"AAAAAEe+/Sg=")</f>
        <v>#VALUE!</v>
      </c>
      <c r="AP49" t="e">
        <f>AND(Answers!BK153,"AAAAAEe+/Sk=")</f>
        <v>#VALUE!</v>
      </c>
      <c r="AQ49" t="e">
        <f>AND(Answers!BL153,"AAAAAEe+/So=")</f>
        <v>#VALUE!</v>
      </c>
      <c r="AR49" t="e">
        <f>AND(Answers!BM153,"AAAAAEe+/Ss=")</f>
        <v>#VALUE!</v>
      </c>
      <c r="AS49" t="e">
        <f>AND(Answers!BN153,"AAAAAEe+/Sw=")</f>
        <v>#VALUE!</v>
      </c>
      <c r="AT49" t="e">
        <f>AND(Answers!BO153,"AAAAAEe+/S0=")</f>
        <v>#VALUE!</v>
      </c>
      <c r="AU49" t="e">
        <f>AND(Answers!BP153,"AAAAAEe+/S4=")</f>
        <v>#VALUE!</v>
      </c>
      <c r="AV49" t="e">
        <f>AND(Answers!BQ153,"AAAAAEe+/S8=")</f>
        <v>#VALUE!</v>
      </c>
      <c r="AW49" t="e">
        <f>AND(Answers!BR153,"AAAAAEe+/TA=")</f>
        <v>#VALUE!</v>
      </c>
      <c r="AX49" t="e">
        <f>AND(Answers!BS153,"AAAAAEe+/TE=")</f>
        <v>#VALUE!</v>
      </c>
      <c r="AY49" t="e">
        <f>AND(Answers!BU153,"AAAAAEe+/TI=")</f>
        <v>#VALUE!</v>
      </c>
      <c r="AZ49" t="e">
        <f>AND(Answers!BV153,"AAAAAEe+/TM=")</f>
        <v>#VALUE!</v>
      </c>
      <c r="BA49" t="e">
        <f>AND(Answers!#REF!,"AAAAAEe+/TQ=")</f>
        <v>#REF!</v>
      </c>
      <c r="BB49" t="e">
        <f>AND(Answers!BW153,"AAAAAEe+/TU=")</f>
        <v>#VALUE!</v>
      </c>
      <c r="BC49" t="e">
        <f>AND(Answers!BX153,"AAAAAEe+/TY=")</f>
        <v>#VALUE!</v>
      </c>
      <c r="BD49" t="e">
        <f>AND(Answers!BY153,"AAAAAEe+/Tc=")</f>
        <v>#VALUE!</v>
      </c>
      <c r="BE49" t="e">
        <f>AND(Answers!BZ153,"AAAAAEe+/Tg=")</f>
        <v>#VALUE!</v>
      </c>
      <c r="BF49">
        <f>IF(Answers!154:154,"AAAAAEe+/Tk=",0)</f>
        <v>0</v>
      </c>
      <c r="BG49" t="e">
        <f>AND(Answers!A154,"AAAAAEe+/To=")</f>
        <v>#VALUE!</v>
      </c>
      <c r="BH49" t="e">
        <f>AND(Answers!B154,"AAAAAEe+/Ts=")</f>
        <v>#VALUE!</v>
      </c>
      <c r="BI49" t="e">
        <f>AND(Answers!C154,"AAAAAEe+/Tw=")</f>
        <v>#VALUE!</v>
      </c>
      <c r="BJ49" t="e">
        <f>AND(Answers!D154,"AAAAAEe+/T0=")</f>
        <v>#VALUE!</v>
      </c>
      <c r="BK49" t="e">
        <f>AND(Answers!E154,"AAAAAEe+/T4=")</f>
        <v>#VALUE!</v>
      </c>
      <c r="BL49" t="e">
        <f>AND(Answers!F154,"AAAAAEe+/T8=")</f>
        <v>#VALUE!</v>
      </c>
      <c r="BM49" t="e">
        <f>AND(Answers!G154,"AAAAAEe+/UA=")</f>
        <v>#VALUE!</v>
      </c>
      <c r="BN49" t="e">
        <f>AND(Answers!H154,"AAAAAEe+/UE=")</f>
        <v>#VALUE!</v>
      </c>
      <c r="BO49" t="e">
        <f>AND(Answers!J154,"AAAAAEe+/UI=")</f>
        <v>#VALUE!</v>
      </c>
      <c r="BP49" t="e">
        <f>AND(Answers!K154,"AAAAAEe+/UM=")</f>
        <v>#VALUE!</v>
      </c>
      <c r="BQ49" t="e">
        <f>AND(Answers!L154,"AAAAAEe+/UQ=")</f>
        <v>#VALUE!</v>
      </c>
      <c r="BR49" t="e">
        <f>AND(Answers!M154,"AAAAAEe+/UU=")</f>
        <v>#VALUE!</v>
      </c>
      <c r="BS49" t="e">
        <f>AND(Answers!N154,"AAAAAEe+/UY=")</f>
        <v>#VALUE!</v>
      </c>
      <c r="BT49" t="e">
        <f>AND(Answers!O154,"AAAAAEe+/Uc=")</f>
        <v>#VALUE!</v>
      </c>
      <c r="BU49" t="e">
        <f>AND(Answers!P154,"AAAAAEe+/Ug=")</f>
        <v>#VALUE!</v>
      </c>
      <c r="BV49" t="e">
        <f>AND(Answers!Q154,"AAAAAEe+/Uk=")</f>
        <v>#VALUE!</v>
      </c>
      <c r="BW49" t="e">
        <f>AND(Answers!R154,"AAAAAEe+/Uo=")</f>
        <v>#VALUE!</v>
      </c>
      <c r="BX49" t="e">
        <f>AND(Answers!S154,"AAAAAEe+/Us=")</f>
        <v>#VALUE!</v>
      </c>
      <c r="BY49" t="e">
        <f>AND(Answers!T154,"AAAAAEe+/Uw=")</f>
        <v>#VALUE!</v>
      </c>
      <c r="BZ49" t="e">
        <f>AND(Answers!U154,"AAAAAEe+/U0=")</f>
        <v>#VALUE!</v>
      </c>
      <c r="CA49" t="e">
        <f>AND(Answers!V154,"AAAAAEe+/U4=")</f>
        <v>#VALUE!</v>
      </c>
      <c r="CB49" t="e">
        <f>AND(Answers!X154,"AAAAAEe+/U8=")</f>
        <v>#VALUE!</v>
      </c>
      <c r="CC49" t="e">
        <f>AND(Answers!Y154,"AAAAAEe+/VA=")</f>
        <v>#VALUE!</v>
      </c>
      <c r="CD49" t="e">
        <f>AND(Answers!Z154,"AAAAAEe+/VE=")</f>
        <v>#VALUE!</v>
      </c>
      <c r="CE49" t="e">
        <f>AND(Answers!AA154,"AAAAAEe+/VI=")</f>
        <v>#VALUE!</v>
      </c>
      <c r="CF49" t="e">
        <f>AND(Answers!AB154,"AAAAAEe+/VM=")</f>
        <v>#VALUE!</v>
      </c>
      <c r="CG49" t="e">
        <f>AND(Answers!AC154,"AAAAAEe+/VQ=")</f>
        <v>#VALUE!</v>
      </c>
      <c r="CH49" t="e">
        <f>AND(Answers!AD154,"AAAAAEe+/VU=")</f>
        <v>#VALUE!</v>
      </c>
      <c r="CI49" t="e">
        <f>AND(Answers!AE154,"AAAAAEe+/VY=")</f>
        <v>#VALUE!</v>
      </c>
      <c r="CJ49" t="e">
        <f>AND(Answers!AF154,"AAAAAEe+/Vc=")</f>
        <v>#VALUE!</v>
      </c>
      <c r="CK49" t="e">
        <f>AND(Answers!AH154,"AAAAAEe+/Vg=")</f>
        <v>#VALUE!</v>
      </c>
      <c r="CL49" t="e">
        <f>AND(Answers!AI154,"AAAAAEe+/Vk=")</f>
        <v>#VALUE!</v>
      </c>
      <c r="CM49" t="e">
        <f>AND(Answers!AK154,"AAAAAEe+/Vo=")</f>
        <v>#VALUE!</v>
      </c>
      <c r="CN49" t="e">
        <f>AND(Answers!#REF!,"AAAAAEe+/Vs=")</f>
        <v>#REF!</v>
      </c>
      <c r="CO49" t="e">
        <f>AND(Answers!AR154,"AAAAAEe+/Vw=")</f>
        <v>#VALUE!</v>
      </c>
      <c r="CP49" t="e">
        <f>AND(Answers!AS154,"AAAAAEe+/V0=")</f>
        <v>#VALUE!</v>
      </c>
      <c r="CQ49" t="e">
        <f>AND(Answers!AT154,"AAAAAEe+/V4=")</f>
        <v>#VALUE!</v>
      </c>
      <c r="CR49" t="e">
        <f>AND(Answers!AU154,"AAAAAEe+/V8=")</f>
        <v>#VALUE!</v>
      </c>
      <c r="CS49" t="e">
        <f>AND(Answers!AW154,"AAAAAEe+/WA=")</f>
        <v>#VALUE!</v>
      </c>
      <c r="CT49" t="e">
        <f>AND(Answers!AX154,"AAAAAEe+/WE=")</f>
        <v>#VALUE!</v>
      </c>
      <c r="CU49" t="e">
        <f>AND(Answers!AY154,"AAAAAEe+/WI=")</f>
        <v>#VALUE!</v>
      </c>
      <c r="CV49" t="e">
        <f>AND(Answers!AZ154,"AAAAAEe+/WM=")</f>
        <v>#VALUE!</v>
      </c>
      <c r="CW49" t="e">
        <f>AND(Answers!BA154,"AAAAAEe+/WQ=")</f>
        <v>#VALUE!</v>
      </c>
      <c r="CX49" t="e">
        <f>AND(Answers!BB154,"AAAAAEe+/WU=")</f>
        <v>#VALUE!</v>
      </c>
      <c r="CY49" t="e">
        <f>AND(Answers!BC154,"AAAAAEe+/WY=")</f>
        <v>#VALUE!</v>
      </c>
      <c r="CZ49" t="e">
        <f>AND(Answers!BD154,"AAAAAEe+/Wc=")</f>
        <v>#VALUE!</v>
      </c>
      <c r="DA49" t="e">
        <f>AND(Answers!BE154,"AAAAAEe+/Wg=")</f>
        <v>#VALUE!</v>
      </c>
      <c r="DB49" t="e">
        <f>AND(Answers!BF154,"AAAAAEe+/Wk=")</f>
        <v>#VALUE!</v>
      </c>
      <c r="DC49" t="e">
        <f>AND(Answers!BG154,"AAAAAEe+/Wo=")</f>
        <v>#VALUE!</v>
      </c>
      <c r="DD49" t="e">
        <f>AND(Answers!BH154,"AAAAAEe+/Ws=")</f>
        <v>#VALUE!</v>
      </c>
      <c r="DE49" t="e">
        <f>AND(Answers!BI154,"AAAAAEe+/Ww=")</f>
        <v>#VALUE!</v>
      </c>
      <c r="DF49" t="e">
        <f>AND(Answers!BK154,"AAAAAEe+/W0=")</f>
        <v>#VALUE!</v>
      </c>
      <c r="DG49" t="e">
        <f>AND(Answers!BL154,"AAAAAEe+/W4=")</f>
        <v>#VALUE!</v>
      </c>
      <c r="DH49" t="e">
        <f>AND(Answers!BM154,"AAAAAEe+/W8=")</f>
        <v>#VALUE!</v>
      </c>
      <c r="DI49" t="e">
        <f>AND(Answers!BN154,"AAAAAEe+/XA=")</f>
        <v>#VALUE!</v>
      </c>
      <c r="DJ49" t="e">
        <f>AND(Answers!BO154,"AAAAAEe+/XE=")</f>
        <v>#VALUE!</v>
      </c>
      <c r="DK49" t="e">
        <f>AND(Answers!BP154,"AAAAAEe+/XI=")</f>
        <v>#VALUE!</v>
      </c>
      <c r="DL49" t="e">
        <f>AND(Answers!BQ154,"AAAAAEe+/XM=")</f>
        <v>#VALUE!</v>
      </c>
      <c r="DM49" t="e">
        <f>AND(Answers!BR154,"AAAAAEe+/XQ=")</f>
        <v>#VALUE!</v>
      </c>
      <c r="DN49" t="e">
        <f>AND(Answers!BS154,"AAAAAEe+/XU=")</f>
        <v>#VALUE!</v>
      </c>
      <c r="DO49" t="e">
        <f>AND(Answers!BU154,"AAAAAEe+/XY=")</f>
        <v>#VALUE!</v>
      </c>
      <c r="DP49" t="e">
        <f>AND(Answers!BV154,"AAAAAEe+/Xc=")</f>
        <v>#VALUE!</v>
      </c>
      <c r="DQ49" t="e">
        <f>AND(Answers!#REF!,"AAAAAEe+/Xg=")</f>
        <v>#REF!</v>
      </c>
      <c r="DR49" t="e">
        <f>AND(Answers!BW154,"AAAAAEe+/Xk=")</f>
        <v>#VALUE!</v>
      </c>
      <c r="DS49" t="e">
        <f>AND(Answers!BX154,"AAAAAEe+/Xo=")</f>
        <v>#VALUE!</v>
      </c>
      <c r="DT49" t="e">
        <f>AND(Answers!BY154,"AAAAAEe+/Xs=")</f>
        <v>#VALUE!</v>
      </c>
      <c r="DU49" t="e">
        <f>AND(Answers!BZ154,"AAAAAEe+/Xw=")</f>
        <v>#VALUE!</v>
      </c>
      <c r="DV49">
        <f>IF(Answers!155:155,"AAAAAEe+/X0=",0)</f>
        <v>0</v>
      </c>
      <c r="DW49" t="e">
        <f>AND(Answers!A155,"AAAAAEe+/X4=")</f>
        <v>#VALUE!</v>
      </c>
      <c r="DX49" t="e">
        <f>AND(Answers!B155,"AAAAAEe+/X8=")</f>
        <v>#VALUE!</v>
      </c>
      <c r="DY49" t="e">
        <f>AND(Answers!C155,"AAAAAEe+/YA=")</f>
        <v>#VALUE!</v>
      </c>
      <c r="DZ49" t="e">
        <f>AND(Answers!D155,"AAAAAEe+/YE=")</f>
        <v>#VALUE!</v>
      </c>
      <c r="EA49" t="e">
        <f>AND(Answers!E155,"AAAAAEe+/YI=")</f>
        <v>#VALUE!</v>
      </c>
      <c r="EB49" t="e">
        <f>AND(Answers!F155,"AAAAAEe+/YM=")</f>
        <v>#VALUE!</v>
      </c>
      <c r="EC49" t="e">
        <f>AND(Answers!G155,"AAAAAEe+/YQ=")</f>
        <v>#VALUE!</v>
      </c>
      <c r="ED49" t="e">
        <f>AND(Answers!H155,"AAAAAEe+/YU=")</f>
        <v>#VALUE!</v>
      </c>
      <c r="EE49" t="e">
        <f>AND(Answers!J155,"AAAAAEe+/YY=")</f>
        <v>#VALUE!</v>
      </c>
      <c r="EF49" t="e">
        <f>AND(Answers!K155,"AAAAAEe+/Yc=")</f>
        <v>#VALUE!</v>
      </c>
      <c r="EG49" t="e">
        <f>AND(Answers!L155,"AAAAAEe+/Yg=")</f>
        <v>#VALUE!</v>
      </c>
      <c r="EH49" t="e">
        <f>AND(Answers!M155,"AAAAAEe+/Yk=")</f>
        <v>#VALUE!</v>
      </c>
      <c r="EI49" t="e">
        <f>AND(Answers!N155,"AAAAAEe+/Yo=")</f>
        <v>#VALUE!</v>
      </c>
      <c r="EJ49" t="e">
        <f>AND(Answers!O155,"AAAAAEe+/Ys=")</f>
        <v>#VALUE!</v>
      </c>
      <c r="EK49" t="e">
        <f>AND(Answers!P155,"AAAAAEe+/Yw=")</f>
        <v>#VALUE!</v>
      </c>
      <c r="EL49" t="e">
        <f>AND(Answers!Q155,"AAAAAEe+/Y0=")</f>
        <v>#VALUE!</v>
      </c>
      <c r="EM49" t="e">
        <f>AND(Answers!R155,"AAAAAEe+/Y4=")</f>
        <v>#VALUE!</v>
      </c>
      <c r="EN49" t="e">
        <f>AND(Answers!S155,"AAAAAEe+/Y8=")</f>
        <v>#VALUE!</v>
      </c>
      <c r="EO49" t="e">
        <f>AND(Answers!T155,"AAAAAEe+/ZA=")</f>
        <v>#VALUE!</v>
      </c>
      <c r="EP49" t="e">
        <f>AND(Answers!U155,"AAAAAEe+/ZE=")</f>
        <v>#VALUE!</v>
      </c>
      <c r="EQ49" t="e">
        <f>AND(Answers!V155,"AAAAAEe+/ZI=")</f>
        <v>#VALUE!</v>
      </c>
      <c r="ER49" t="e">
        <f>AND(Answers!X155,"AAAAAEe+/ZM=")</f>
        <v>#VALUE!</v>
      </c>
      <c r="ES49" t="e">
        <f>AND(Answers!Y155,"AAAAAEe+/ZQ=")</f>
        <v>#VALUE!</v>
      </c>
      <c r="ET49" t="e">
        <f>AND(Answers!Z155,"AAAAAEe+/ZU=")</f>
        <v>#VALUE!</v>
      </c>
      <c r="EU49" t="e">
        <f>AND(Answers!AA155,"AAAAAEe+/ZY=")</f>
        <v>#VALUE!</v>
      </c>
      <c r="EV49" t="e">
        <f>AND(Answers!AB155,"AAAAAEe+/Zc=")</f>
        <v>#VALUE!</v>
      </c>
      <c r="EW49" t="e">
        <f>AND(Answers!AC155,"AAAAAEe+/Zg=")</f>
        <v>#VALUE!</v>
      </c>
      <c r="EX49" t="e">
        <f>AND(Answers!AD155,"AAAAAEe+/Zk=")</f>
        <v>#VALUE!</v>
      </c>
      <c r="EY49" t="e">
        <f>AND(Answers!AE155,"AAAAAEe+/Zo=")</f>
        <v>#VALUE!</v>
      </c>
      <c r="EZ49" t="e">
        <f>AND(Answers!AF155,"AAAAAEe+/Zs=")</f>
        <v>#VALUE!</v>
      </c>
      <c r="FA49" t="e">
        <f>AND(Answers!AH155,"AAAAAEe+/Zw=")</f>
        <v>#VALUE!</v>
      </c>
      <c r="FB49" t="e">
        <f>AND(Answers!AI155,"AAAAAEe+/Z0=")</f>
        <v>#VALUE!</v>
      </c>
      <c r="FC49" t="e">
        <f>AND(Answers!AK155,"AAAAAEe+/Z4=")</f>
        <v>#VALUE!</v>
      </c>
      <c r="FD49" t="e">
        <f>AND(Answers!#REF!,"AAAAAEe+/Z8=")</f>
        <v>#REF!</v>
      </c>
      <c r="FE49" t="e">
        <f>AND(Answers!AR155,"AAAAAEe+/aA=")</f>
        <v>#VALUE!</v>
      </c>
      <c r="FF49" t="e">
        <f>AND(Answers!AS155,"AAAAAEe+/aE=")</f>
        <v>#VALUE!</v>
      </c>
      <c r="FG49" t="e">
        <f>AND(Answers!AT155,"AAAAAEe+/aI=")</f>
        <v>#VALUE!</v>
      </c>
      <c r="FH49" t="e">
        <f>AND(Answers!AU155,"AAAAAEe+/aM=")</f>
        <v>#VALUE!</v>
      </c>
      <c r="FI49" t="e">
        <f>AND(Answers!AW155,"AAAAAEe+/aQ=")</f>
        <v>#VALUE!</v>
      </c>
      <c r="FJ49" t="e">
        <f>AND(Answers!AX155,"AAAAAEe+/aU=")</f>
        <v>#VALUE!</v>
      </c>
      <c r="FK49" t="e">
        <f>AND(Answers!AY155,"AAAAAEe+/aY=")</f>
        <v>#VALUE!</v>
      </c>
      <c r="FL49" t="e">
        <f>AND(Answers!AZ155,"AAAAAEe+/ac=")</f>
        <v>#VALUE!</v>
      </c>
      <c r="FM49" t="e">
        <f>AND(Answers!BA155,"AAAAAEe+/ag=")</f>
        <v>#VALUE!</v>
      </c>
      <c r="FN49" t="e">
        <f>AND(Answers!BB155,"AAAAAEe+/ak=")</f>
        <v>#VALUE!</v>
      </c>
      <c r="FO49" t="e">
        <f>AND(Answers!BC155,"AAAAAEe+/ao=")</f>
        <v>#VALUE!</v>
      </c>
      <c r="FP49" t="e">
        <f>AND(Answers!BD155,"AAAAAEe+/as=")</f>
        <v>#VALUE!</v>
      </c>
      <c r="FQ49" t="e">
        <f>AND(Answers!BE155,"AAAAAEe+/aw=")</f>
        <v>#VALUE!</v>
      </c>
      <c r="FR49" t="e">
        <f>AND(Answers!BF155,"AAAAAEe+/a0=")</f>
        <v>#VALUE!</v>
      </c>
      <c r="FS49" t="e">
        <f>AND(Answers!BG155,"AAAAAEe+/a4=")</f>
        <v>#VALUE!</v>
      </c>
      <c r="FT49" t="e">
        <f>AND(Answers!BH155,"AAAAAEe+/a8=")</f>
        <v>#VALUE!</v>
      </c>
      <c r="FU49" t="e">
        <f>AND(Answers!BI155,"AAAAAEe+/bA=")</f>
        <v>#VALUE!</v>
      </c>
      <c r="FV49" t="e">
        <f>AND(Answers!BK155,"AAAAAEe+/bE=")</f>
        <v>#VALUE!</v>
      </c>
      <c r="FW49" t="e">
        <f>AND(Answers!BL155,"AAAAAEe+/bI=")</f>
        <v>#VALUE!</v>
      </c>
      <c r="FX49" t="e">
        <f>AND(Answers!BM155,"AAAAAEe+/bM=")</f>
        <v>#VALUE!</v>
      </c>
      <c r="FY49" t="e">
        <f>AND(Answers!BN155,"AAAAAEe+/bQ=")</f>
        <v>#VALUE!</v>
      </c>
      <c r="FZ49" t="e">
        <f>AND(Answers!BO155,"AAAAAEe+/bU=")</f>
        <v>#VALUE!</v>
      </c>
      <c r="GA49" t="e">
        <f>AND(Answers!BP155,"AAAAAEe+/bY=")</f>
        <v>#VALUE!</v>
      </c>
      <c r="GB49" t="e">
        <f>AND(Answers!BQ155,"AAAAAEe+/bc=")</f>
        <v>#VALUE!</v>
      </c>
      <c r="GC49" t="e">
        <f>AND(Answers!BR155,"AAAAAEe+/bg=")</f>
        <v>#VALUE!</v>
      </c>
      <c r="GD49" t="e">
        <f>AND(Answers!BS155,"AAAAAEe+/bk=")</f>
        <v>#VALUE!</v>
      </c>
      <c r="GE49" t="e">
        <f>AND(Answers!BU155,"AAAAAEe+/bo=")</f>
        <v>#VALUE!</v>
      </c>
      <c r="GF49" t="e">
        <f>AND(Answers!BV155,"AAAAAEe+/bs=")</f>
        <v>#VALUE!</v>
      </c>
      <c r="GG49" t="e">
        <f>AND(Answers!#REF!,"AAAAAEe+/bw=")</f>
        <v>#REF!</v>
      </c>
      <c r="GH49" t="e">
        <f>AND(Answers!BW155,"AAAAAEe+/b0=")</f>
        <v>#VALUE!</v>
      </c>
      <c r="GI49" t="e">
        <f>AND(Answers!BX155,"AAAAAEe+/b4=")</f>
        <v>#VALUE!</v>
      </c>
      <c r="GJ49" t="e">
        <f>AND(Answers!BY155,"AAAAAEe+/b8=")</f>
        <v>#VALUE!</v>
      </c>
      <c r="GK49" t="e">
        <f>AND(Answers!BZ155,"AAAAAEe+/cA=")</f>
        <v>#VALUE!</v>
      </c>
      <c r="GL49">
        <f>IF(Answers!156:156,"AAAAAEe+/cE=",0)</f>
        <v>0</v>
      </c>
      <c r="GM49" t="e">
        <f>AND(Answers!A156,"AAAAAEe+/cI=")</f>
        <v>#VALUE!</v>
      </c>
      <c r="GN49" t="e">
        <f>AND(Answers!B156,"AAAAAEe+/cM=")</f>
        <v>#VALUE!</v>
      </c>
      <c r="GO49" t="e">
        <f>AND(Answers!C156,"AAAAAEe+/cQ=")</f>
        <v>#VALUE!</v>
      </c>
      <c r="GP49" t="e">
        <f>AND(Answers!D156,"AAAAAEe+/cU=")</f>
        <v>#VALUE!</v>
      </c>
      <c r="GQ49" t="e">
        <f>AND(Answers!E156,"AAAAAEe+/cY=")</f>
        <v>#VALUE!</v>
      </c>
      <c r="GR49" t="e">
        <f>AND(Answers!F156,"AAAAAEe+/cc=")</f>
        <v>#VALUE!</v>
      </c>
      <c r="GS49" t="e">
        <f>AND(Answers!G156,"AAAAAEe+/cg=")</f>
        <v>#VALUE!</v>
      </c>
      <c r="GT49" t="e">
        <f>AND(Answers!H156,"AAAAAEe+/ck=")</f>
        <v>#VALUE!</v>
      </c>
      <c r="GU49" t="e">
        <f>AND(Answers!J156,"AAAAAEe+/co=")</f>
        <v>#VALUE!</v>
      </c>
      <c r="GV49" t="e">
        <f>AND(Answers!K156,"AAAAAEe+/cs=")</f>
        <v>#VALUE!</v>
      </c>
      <c r="GW49" t="e">
        <f>AND(Answers!L156,"AAAAAEe+/cw=")</f>
        <v>#VALUE!</v>
      </c>
      <c r="GX49" t="e">
        <f>AND(Answers!M156,"AAAAAEe+/c0=")</f>
        <v>#VALUE!</v>
      </c>
      <c r="GY49" t="e">
        <f>AND(Answers!N156,"AAAAAEe+/c4=")</f>
        <v>#VALUE!</v>
      </c>
      <c r="GZ49" t="e">
        <f>AND(Answers!O156,"AAAAAEe+/c8=")</f>
        <v>#VALUE!</v>
      </c>
      <c r="HA49" t="e">
        <f>AND(Answers!P156,"AAAAAEe+/dA=")</f>
        <v>#VALUE!</v>
      </c>
      <c r="HB49" t="e">
        <f>AND(Answers!Q156,"AAAAAEe+/dE=")</f>
        <v>#VALUE!</v>
      </c>
      <c r="HC49" t="e">
        <f>AND(Answers!R156,"AAAAAEe+/dI=")</f>
        <v>#VALUE!</v>
      </c>
      <c r="HD49" t="e">
        <f>AND(Answers!S156,"AAAAAEe+/dM=")</f>
        <v>#VALUE!</v>
      </c>
      <c r="HE49" t="e">
        <f>AND(Answers!T156,"AAAAAEe+/dQ=")</f>
        <v>#VALUE!</v>
      </c>
      <c r="HF49" t="e">
        <f>AND(Answers!U156,"AAAAAEe+/dU=")</f>
        <v>#VALUE!</v>
      </c>
      <c r="HG49" t="e">
        <f>AND(Answers!V156,"AAAAAEe+/dY=")</f>
        <v>#VALUE!</v>
      </c>
      <c r="HH49" t="e">
        <f>AND(Answers!X156,"AAAAAEe+/dc=")</f>
        <v>#VALUE!</v>
      </c>
      <c r="HI49" t="e">
        <f>AND(Answers!Y156,"AAAAAEe+/dg=")</f>
        <v>#VALUE!</v>
      </c>
      <c r="HJ49" t="e">
        <f>AND(Answers!Z156,"AAAAAEe+/dk=")</f>
        <v>#VALUE!</v>
      </c>
      <c r="HK49" t="e">
        <f>AND(Answers!AA156,"AAAAAEe+/do=")</f>
        <v>#VALUE!</v>
      </c>
      <c r="HL49" t="e">
        <f>AND(Answers!AB156,"AAAAAEe+/ds=")</f>
        <v>#VALUE!</v>
      </c>
      <c r="HM49" t="e">
        <f>AND(Answers!AC156,"AAAAAEe+/dw=")</f>
        <v>#VALUE!</v>
      </c>
      <c r="HN49" t="e">
        <f>AND(Answers!AD156,"AAAAAEe+/d0=")</f>
        <v>#VALUE!</v>
      </c>
      <c r="HO49" t="e">
        <f>AND(Answers!AE156,"AAAAAEe+/d4=")</f>
        <v>#VALUE!</v>
      </c>
      <c r="HP49" t="e">
        <f>AND(Answers!AF156,"AAAAAEe+/d8=")</f>
        <v>#VALUE!</v>
      </c>
      <c r="HQ49" t="e">
        <f>AND(Answers!AH156,"AAAAAEe+/eA=")</f>
        <v>#VALUE!</v>
      </c>
      <c r="HR49" t="e">
        <f>AND(Answers!AI156,"AAAAAEe+/eE=")</f>
        <v>#VALUE!</v>
      </c>
      <c r="HS49" t="e">
        <f>AND(Answers!AK156,"AAAAAEe+/eI=")</f>
        <v>#VALUE!</v>
      </c>
      <c r="HT49" t="e">
        <f>AND(Answers!#REF!,"AAAAAEe+/eM=")</f>
        <v>#REF!</v>
      </c>
      <c r="HU49" t="e">
        <f>AND(Answers!AR156,"AAAAAEe+/eQ=")</f>
        <v>#VALUE!</v>
      </c>
      <c r="HV49" t="e">
        <f>AND(Answers!AS156,"AAAAAEe+/eU=")</f>
        <v>#VALUE!</v>
      </c>
      <c r="HW49" t="e">
        <f>AND(Answers!AT156,"AAAAAEe+/eY=")</f>
        <v>#VALUE!</v>
      </c>
      <c r="HX49" t="e">
        <f>AND(Answers!AU156,"AAAAAEe+/ec=")</f>
        <v>#VALUE!</v>
      </c>
      <c r="HY49" t="e">
        <f>AND(Answers!AW156,"AAAAAEe+/eg=")</f>
        <v>#VALUE!</v>
      </c>
      <c r="HZ49" t="e">
        <f>AND(Answers!AX156,"AAAAAEe+/ek=")</f>
        <v>#VALUE!</v>
      </c>
      <c r="IA49" t="e">
        <f>AND(Answers!AY156,"AAAAAEe+/eo=")</f>
        <v>#VALUE!</v>
      </c>
      <c r="IB49" t="e">
        <f>AND(Answers!AZ156,"AAAAAEe+/es=")</f>
        <v>#VALUE!</v>
      </c>
      <c r="IC49" t="e">
        <f>AND(Answers!BA156,"AAAAAEe+/ew=")</f>
        <v>#VALUE!</v>
      </c>
      <c r="ID49" t="e">
        <f>AND(Answers!BB156,"AAAAAEe+/e0=")</f>
        <v>#VALUE!</v>
      </c>
      <c r="IE49" t="e">
        <f>AND(Answers!BC156,"AAAAAEe+/e4=")</f>
        <v>#VALUE!</v>
      </c>
      <c r="IF49" t="e">
        <f>AND(Answers!BD156,"AAAAAEe+/e8=")</f>
        <v>#VALUE!</v>
      </c>
      <c r="IG49" t="e">
        <f>AND(Answers!BE156,"AAAAAEe+/fA=")</f>
        <v>#VALUE!</v>
      </c>
      <c r="IH49" t="e">
        <f>AND(Answers!BF156,"AAAAAEe+/fE=")</f>
        <v>#VALUE!</v>
      </c>
      <c r="II49" t="e">
        <f>AND(Answers!BG156,"AAAAAEe+/fI=")</f>
        <v>#VALUE!</v>
      </c>
      <c r="IJ49" t="e">
        <f>AND(Answers!BH156,"AAAAAEe+/fM=")</f>
        <v>#VALUE!</v>
      </c>
      <c r="IK49" t="e">
        <f>AND(Answers!BI156,"AAAAAEe+/fQ=")</f>
        <v>#VALUE!</v>
      </c>
      <c r="IL49" t="e">
        <f>AND(Answers!BK156,"AAAAAEe+/fU=")</f>
        <v>#VALUE!</v>
      </c>
      <c r="IM49" t="e">
        <f>AND(Answers!BL156,"AAAAAEe+/fY=")</f>
        <v>#VALUE!</v>
      </c>
      <c r="IN49" t="e">
        <f>AND(Answers!BM156,"AAAAAEe+/fc=")</f>
        <v>#VALUE!</v>
      </c>
      <c r="IO49" t="e">
        <f>AND(Answers!BN156,"AAAAAEe+/fg=")</f>
        <v>#VALUE!</v>
      </c>
      <c r="IP49" t="e">
        <f>AND(Answers!BO156,"AAAAAEe+/fk=")</f>
        <v>#VALUE!</v>
      </c>
      <c r="IQ49" t="e">
        <f>AND(Answers!BP156,"AAAAAEe+/fo=")</f>
        <v>#VALUE!</v>
      </c>
      <c r="IR49" t="e">
        <f>AND(Answers!BQ156,"AAAAAEe+/fs=")</f>
        <v>#VALUE!</v>
      </c>
      <c r="IS49" t="e">
        <f>AND(Answers!BR156,"AAAAAEe+/fw=")</f>
        <v>#VALUE!</v>
      </c>
      <c r="IT49" t="e">
        <f>AND(Answers!BS156,"AAAAAEe+/f0=")</f>
        <v>#VALUE!</v>
      </c>
      <c r="IU49" t="e">
        <f>AND(Answers!BU156,"AAAAAEe+/f4=")</f>
        <v>#VALUE!</v>
      </c>
      <c r="IV49" t="e">
        <f>AND(Answers!BV156,"AAAAAEe+/f8=")</f>
        <v>#VALUE!</v>
      </c>
    </row>
    <row r="50" spans="1:256" x14ac:dyDescent="0.15">
      <c r="A50" t="e">
        <f>AND(Answers!#REF!,"AAAAAHv3wwA=")</f>
        <v>#REF!</v>
      </c>
      <c r="B50" t="e">
        <f>AND(Answers!BW156,"AAAAAHv3wwE=")</f>
        <v>#VALUE!</v>
      </c>
      <c r="C50" t="e">
        <f>AND(Answers!BX156,"AAAAAHv3wwI=")</f>
        <v>#VALUE!</v>
      </c>
      <c r="D50" t="e">
        <f>AND(Answers!BY156,"AAAAAHv3wwM=")</f>
        <v>#VALUE!</v>
      </c>
      <c r="E50" t="e">
        <f>AND(Answers!BZ156,"AAAAAHv3wwQ=")</f>
        <v>#VALUE!</v>
      </c>
      <c r="F50">
        <f>IF(Answers!157:157,"AAAAAHv3wwU=",0)</f>
        <v>0</v>
      </c>
      <c r="G50" t="e">
        <f>AND(Answers!A157,"AAAAAHv3wwY=")</f>
        <v>#VALUE!</v>
      </c>
      <c r="H50" t="e">
        <f>AND(Answers!B157,"AAAAAHv3wwc=")</f>
        <v>#VALUE!</v>
      </c>
      <c r="I50" t="e">
        <f>AND(Answers!C157,"AAAAAHv3wwg=")</f>
        <v>#VALUE!</v>
      </c>
      <c r="J50" t="e">
        <f>AND(Answers!D157,"AAAAAHv3wwk=")</f>
        <v>#VALUE!</v>
      </c>
      <c r="K50" t="e">
        <f>AND(Answers!E157,"AAAAAHv3wwo=")</f>
        <v>#VALUE!</v>
      </c>
      <c r="L50" t="e">
        <f>AND(Answers!F157,"AAAAAHv3wws=")</f>
        <v>#VALUE!</v>
      </c>
      <c r="M50" t="e">
        <f>AND(Answers!G157,"AAAAAHv3www=")</f>
        <v>#VALUE!</v>
      </c>
      <c r="N50" t="e">
        <f>AND(Answers!H157,"AAAAAHv3ww0=")</f>
        <v>#VALUE!</v>
      </c>
      <c r="O50" t="e">
        <f>AND(Answers!J157,"AAAAAHv3ww4=")</f>
        <v>#VALUE!</v>
      </c>
      <c r="P50" t="e">
        <f>AND(Answers!K157,"AAAAAHv3ww8=")</f>
        <v>#VALUE!</v>
      </c>
      <c r="Q50" t="e">
        <f>AND(Answers!L157,"AAAAAHv3wxA=")</f>
        <v>#VALUE!</v>
      </c>
      <c r="R50" t="e">
        <f>AND(Answers!M157,"AAAAAHv3wxE=")</f>
        <v>#VALUE!</v>
      </c>
      <c r="S50" t="e">
        <f>AND(Answers!N157,"AAAAAHv3wxI=")</f>
        <v>#VALUE!</v>
      </c>
      <c r="T50" t="e">
        <f>AND(Answers!O157,"AAAAAHv3wxM=")</f>
        <v>#VALUE!</v>
      </c>
      <c r="U50" t="e">
        <f>AND(Answers!P157,"AAAAAHv3wxQ=")</f>
        <v>#VALUE!</v>
      </c>
      <c r="V50" t="e">
        <f>AND(Answers!Q157,"AAAAAHv3wxU=")</f>
        <v>#VALUE!</v>
      </c>
      <c r="W50" t="e">
        <f>AND(Answers!R157,"AAAAAHv3wxY=")</f>
        <v>#VALUE!</v>
      </c>
      <c r="X50" t="e">
        <f>AND(Answers!S157,"AAAAAHv3wxc=")</f>
        <v>#VALUE!</v>
      </c>
      <c r="Y50" t="e">
        <f>AND(Answers!T157,"AAAAAHv3wxg=")</f>
        <v>#VALUE!</v>
      </c>
      <c r="Z50" t="e">
        <f>AND(Answers!U157,"AAAAAHv3wxk=")</f>
        <v>#VALUE!</v>
      </c>
      <c r="AA50" t="e">
        <f>AND(Answers!V157,"AAAAAHv3wxo=")</f>
        <v>#VALUE!</v>
      </c>
      <c r="AB50" t="e">
        <f>AND(Answers!X157,"AAAAAHv3wxs=")</f>
        <v>#VALUE!</v>
      </c>
      <c r="AC50" t="e">
        <f>AND(Answers!Y157,"AAAAAHv3wxw=")</f>
        <v>#VALUE!</v>
      </c>
      <c r="AD50" t="e">
        <f>AND(Answers!Z157,"AAAAAHv3wx0=")</f>
        <v>#VALUE!</v>
      </c>
      <c r="AE50" t="e">
        <f>AND(Answers!AA157,"AAAAAHv3wx4=")</f>
        <v>#VALUE!</v>
      </c>
      <c r="AF50" t="e">
        <f>AND(Answers!AB157,"AAAAAHv3wx8=")</f>
        <v>#VALUE!</v>
      </c>
      <c r="AG50" t="e">
        <f>AND(Answers!AC157,"AAAAAHv3wyA=")</f>
        <v>#VALUE!</v>
      </c>
      <c r="AH50" t="e">
        <f>AND(Answers!AD157,"AAAAAHv3wyE=")</f>
        <v>#VALUE!</v>
      </c>
      <c r="AI50" t="e">
        <f>AND(Answers!AE157,"AAAAAHv3wyI=")</f>
        <v>#VALUE!</v>
      </c>
      <c r="AJ50" t="e">
        <f>AND(Answers!AF157,"AAAAAHv3wyM=")</f>
        <v>#VALUE!</v>
      </c>
      <c r="AK50" t="e">
        <f>AND(Answers!AH157,"AAAAAHv3wyQ=")</f>
        <v>#VALUE!</v>
      </c>
      <c r="AL50" t="e">
        <f>AND(Answers!AI157,"AAAAAHv3wyU=")</f>
        <v>#VALUE!</v>
      </c>
      <c r="AM50" t="e">
        <f>AND(Answers!AK157,"AAAAAHv3wyY=")</f>
        <v>#VALUE!</v>
      </c>
      <c r="AN50" t="e">
        <f>AND(Answers!#REF!,"AAAAAHv3wyc=")</f>
        <v>#REF!</v>
      </c>
      <c r="AO50" t="e">
        <f>AND(Answers!AR157,"AAAAAHv3wyg=")</f>
        <v>#VALUE!</v>
      </c>
      <c r="AP50" t="e">
        <f>AND(Answers!AS157,"AAAAAHv3wyk=")</f>
        <v>#VALUE!</v>
      </c>
      <c r="AQ50" t="e">
        <f>AND(Answers!AT157,"AAAAAHv3wyo=")</f>
        <v>#VALUE!</v>
      </c>
      <c r="AR50" t="e">
        <f>AND(Answers!AU157,"AAAAAHv3wys=")</f>
        <v>#VALUE!</v>
      </c>
      <c r="AS50" t="e">
        <f>AND(Answers!AW157,"AAAAAHv3wyw=")</f>
        <v>#VALUE!</v>
      </c>
      <c r="AT50" t="e">
        <f>AND(Answers!AX157,"AAAAAHv3wy0=")</f>
        <v>#VALUE!</v>
      </c>
      <c r="AU50" t="e">
        <f>AND(Answers!AY157,"AAAAAHv3wy4=")</f>
        <v>#VALUE!</v>
      </c>
      <c r="AV50" t="e">
        <f>AND(Answers!AZ157,"AAAAAHv3wy8=")</f>
        <v>#VALUE!</v>
      </c>
      <c r="AW50" t="e">
        <f>AND(Answers!BA157,"AAAAAHv3wzA=")</f>
        <v>#VALUE!</v>
      </c>
      <c r="AX50" t="e">
        <f>AND(Answers!BB157,"AAAAAHv3wzE=")</f>
        <v>#VALUE!</v>
      </c>
      <c r="AY50" t="e">
        <f>AND(Answers!BC157,"AAAAAHv3wzI=")</f>
        <v>#VALUE!</v>
      </c>
      <c r="AZ50" t="e">
        <f>AND(Answers!BD157,"AAAAAHv3wzM=")</f>
        <v>#VALUE!</v>
      </c>
      <c r="BA50" t="e">
        <f>AND(Answers!BE157,"AAAAAHv3wzQ=")</f>
        <v>#VALUE!</v>
      </c>
      <c r="BB50" t="e">
        <f>AND(Answers!BF157,"AAAAAHv3wzU=")</f>
        <v>#VALUE!</v>
      </c>
      <c r="BC50" t="e">
        <f>AND(Answers!BG157,"AAAAAHv3wzY=")</f>
        <v>#VALUE!</v>
      </c>
      <c r="BD50" t="e">
        <f>AND(Answers!BH157,"AAAAAHv3wzc=")</f>
        <v>#VALUE!</v>
      </c>
      <c r="BE50" t="e">
        <f>AND(Answers!BI157,"AAAAAHv3wzg=")</f>
        <v>#VALUE!</v>
      </c>
      <c r="BF50" t="e">
        <f>AND(Answers!BK157,"AAAAAHv3wzk=")</f>
        <v>#VALUE!</v>
      </c>
      <c r="BG50" t="e">
        <f>AND(Answers!BL157,"AAAAAHv3wzo=")</f>
        <v>#VALUE!</v>
      </c>
      <c r="BH50" t="e">
        <f>AND(Answers!BM157,"AAAAAHv3wzs=")</f>
        <v>#VALUE!</v>
      </c>
      <c r="BI50" t="e">
        <f>AND(Answers!BN157,"AAAAAHv3wzw=")</f>
        <v>#VALUE!</v>
      </c>
      <c r="BJ50" t="e">
        <f>AND(Answers!BO157,"AAAAAHv3wz0=")</f>
        <v>#VALUE!</v>
      </c>
      <c r="BK50" t="e">
        <f>AND(Answers!BP157,"AAAAAHv3wz4=")</f>
        <v>#VALUE!</v>
      </c>
      <c r="BL50" t="e">
        <f>AND(Answers!BQ157,"AAAAAHv3wz8=")</f>
        <v>#VALUE!</v>
      </c>
      <c r="BM50" t="e">
        <f>AND(Answers!BR157,"AAAAAHv3w0A=")</f>
        <v>#VALUE!</v>
      </c>
      <c r="BN50" t="e">
        <f>AND(Answers!BS157,"AAAAAHv3w0E=")</f>
        <v>#VALUE!</v>
      </c>
      <c r="BO50" t="e">
        <f>AND(Answers!BU157,"AAAAAHv3w0I=")</f>
        <v>#VALUE!</v>
      </c>
      <c r="BP50" t="e">
        <f>AND(Answers!BV157,"AAAAAHv3w0M=")</f>
        <v>#VALUE!</v>
      </c>
      <c r="BQ50" t="e">
        <f>AND(Answers!#REF!,"AAAAAHv3w0Q=")</f>
        <v>#REF!</v>
      </c>
      <c r="BR50" t="e">
        <f>AND(Answers!BW157,"AAAAAHv3w0U=")</f>
        <v>#VALUE!</v>
      </c>
      <c r="BS50" t="e">
        <f>AND(Answers!BX157,"AAAAAHv3w0Y=")</f>
        <v>#VALUE!</v>
      </c>
      <c r="BT50" t="e">
        <f>AND(Answers!BY157,"AAAAAHv3w0c=")</f>
        <v>#VALUE!</v>
      </c>
      <c r="BU50" t="e">
        <f>AND(Answers!BZ157,"AAAAAHv3w0g=")</f>
        <v>#VALUE!</v>
      </c>
      <c r="BV50">
        <f>IF(Answers!158:158,"AAAAAHv3w0k=",0)</f>
        <v>0</v>
      </c>
      <c r="BW50" t="e">
        <f>AND(Answers!A158,"AAAAAHv3w0o=")</f>
        <v>#VALUE!</v>
      </c>
      <c r="BX50" t="e">
        <f>AND(Answers!B158,"AAAAAHv3w0s=")</f>
        <v>#VALUE!</v>
      </c>
      <c r="BY50" t="e">
        <f>AND(Answers!C158,"AAAAAHv3w0w=")</f>
        <v>#VALUE!</v>
      </c>
      <c r="BZ50" t="e">
        <f>AND(Answers!D158,"AAAAAHv3w00=")</f>
        <v>#VALUE!</v>
      </c>
      <c r="CA50" t="e">
        <f>AND(Answers!E158,"AAAAAHv3w04=")</f>
        <v>#VALUE!</v>
      </c>
      <c r="CB50" t="e">
        <f>AND(Answers!F158,"AAAAAHv3w08=")</f>
        <v>#VALUE!</v>
      </c>
      <c r="CC50" t="e">
        <f>AND(Answers!G158,"AAAAAHv3w1A=")</f>
        <v>#VALUE!</v>
      </c>
      <c r="CD50" t="e">
        <f>AND(Answers!H158,"AAAAAHv3w1E=")</f>
        <v>#VALUE!</v>
      </c>
      <c r="CE50" t="e">
        <f>AND(Answers!J158,"AAAAAHv3w1I=")</f>
        <v>#VALUE!</v>
      </c>
      <c r="CF50" t="e">
        <f>AND(Answers!K158,"AAAAAHv3w1M=")</f>
        <v>#VALUE!</v>
      </c>
      <c r="CG50" t="e">
        <f>AND(Answers!L158,"AAAAAHv3w1Q=")</f>
        <v>#VALUE!</v>
      </c>
      <c r="CH50" t="e">
        <f>AND(Answers!M158,"AAAAAHv3w1U=")</f>
        <v>#VALUE!</v>
      </c>
      <c r="CI50" t="e">
        <f>AND(Answers!N158,"AAAAAHv3w1Y=")</f>
        <v>#VALUE!</v>
      </c>
      <c r="CJ50" t="e">
        <f>AND(Answers!O158,"AAAAAHv3w1c=")</f>
        <v>#VALUE!</v>
      </c>
      <c r="CK50" t="e">
        <f>AND(Answers!P158,"AAAAAHv3w1g=")</f>
        <v>#VALUE!</v>
      </c>
      <c r="CL50" t="e">
        <f>AND(Answers!Q158,"AAAAAHv3w1k=")</f>
        <v>#VALUE!</v>
      </c>
      <c r="CM50" t="e">
        <f>AND(Answers!R158,"AAAAAHv3w1o=")</f>
        <v>#VALUE!</v>
      </c>
      <c r="CN50" t="e">
        <f>AND(Answers!S158,"AAAAAHv3w1s=")</f>
        <v>#VALUE!</v>
      </c>
      <c r="CO50" t="e">
        <f>AND(Answers!T158,"AAAAAHv3w1w=")</f>
        <v>#VALUE!</v>
      </c>
      <c r="CP50" t="e">
        <f>AND(Answers!U158,"AAAAAHv3w10=")</f>
        <v>#VALUE!</v>
      </c>
      <c r="CQ50" t="e">
        <f>AND(Answers!V158,"AAAAAHv3w14=")</f>
        <v>#VALUE!</v>
      </c>
      <c r="CR50" t="e">
        <f>AND(Answers!X158,"AAAAAHv3w18=")</f>
        <v>#VALUE!</v>
      </c>
      <c r="CS50" t="e">
        <f>AND(Answers!Y158,"AAAAAHv3w2A=")</f>
        <v>#VALUE!</v>
      </c>
      <c r="CT50" t="e">
        <f>AND(Answers!Z158,"AAAAAHv3w2E=")</f>
        <v>#VALUE!</v>
      </c>
      <c r="CU50" t="e">
        <f>AND(Answers!AA158,"AAAAAHv3w2I=")</f>
        <v>#VALUE!</v>
      </c>
      <c r="CV50" t="e">
        <f>AND(Answers!AB158,"AAAAAHv3w2M=")</f>
        <v>#VALUE!</v>
      </c>
      <c r="CW50" t="e">
        <f>AND(Answers!AC158,"AAAAAHv3w2Q=")</f>
        <v>#VALUE!</v>
      </c>
      <c r="CX50" t="e">
        <f>AND(Answers!AD158,"AAAAAHv3w2U=")</f>
        <v>#VALUE!</v>
      </c>
      <c r="CY50" t="e">
        <f>AND(Answers!AE158,"AAAAAHv3w2Y=")</f>
        <v>#VALUE!</v>
      </c>
      <c r="CZ50" t="e">
        <f>AND(Answers!AF158,"AAAAAHv3w2c=")</f>
        <v>#VALUE!</v>
      </c>
      <c r="DA50" t="e">
        <f>AND(Answers!AH158,"AAAAAHv3w2g=")</f>
        <v>#VALUE!</v>
      </c>
      <c r="DB50" t="e">
        <f>AND(Answers!AI158,"AAAAAHv3w2k=")</f>
        <v>#VALUE!</v>
      </c>
      <c r="DC50" t="e">
        <f>AND(Answers!AK158,"AAAAAHv3w2o=")</f>
        <v>#VALUE!</v>
      </c>
      <c r="DD50" t="e">
        <f>AND(Answers!#REF!,"AAAAAHv3w2s=")</f>
        <v>#REF!</v>
      </c>
      <c r="DE50" t="e">
        <f>AND(Answers!AR158,"AAAAAHv3w2w=")</f>
        <v>#VALUE!</v>
      </c>
      <c r="DF50" t="e">
        <f>AND(Answers!AS158,"AAAAAHv3w20=")</f>
        <v>#VALUE!</v>
      </c>
      <c r="DG50" t="e">
        <f>AND(Answers!AT158,"AAAAAHv3w24=")</f>
        <v>#VALUE!</v>
      </c>
      <c r="DH50" t="e">
        <f>AND(Answers!AU158,"AAAAAHv3w28=")</f>
        <v>#VALUE!</v>
      </c>
      <c r="DI50" t="e">
        <f>AND(Answers!AW158,"AAAAAHv3w3A=")</f>
        <v>#VALUE!</v>
      </c>
      <c r="DJ50" t="e">
        <f>AND(Answers!AX158,"AAAAAHv3w3E=")</f>
        <v>#VALUE!</v>
      </c>
      <c r="DK50" t="e">
        <f>AND(Answers!AY158,"AAAAAHv3w3I=")</f>
        <v>#VALUE!</v>
      </c>
      <c r="DL50" t="e">
        <f>AND(Answers!AZ158,"AAAAAHv3w3M=")</f>
        <v>#VALUE!</v>
      </c>
      <c r="DM50" t="e">
        <f>AND(Answers!BA158,"AAAAAHv3w3Q=")</f>
        <v>#VALUE!</v>
      </c>
      <c r="DN50" t="e">
        <f>AND(Answers!BB158,"AAAAAHv3w3U=")</f>
        <v>#VALUE!</v>
      </c>
      <c r="DO50" t="e">
        <f>AND(Answers!BC158,"AAAAAHv3w3Y=")</f>
        <v>#VALUE!</v>
      </c>
      <c r="DP50" t="e">
        <f>AND(Answers!BD158,"AAAAAHv3w3c=")</f>
        <v>#VALUE!</v>
      </c>
      <c r="DQ50" t="e">
        <f>AND(Answers!BE158,"AAAAAHv3w3g=")</f>
        <v>#VALUE!</v>
      </c>
      <c r="DR50" t="e">
        <f>AND(Answers!BF158,"AAAAAHv3w3k=")</f>
        <v>#VALUE!</v>
      </c>
      <c r="DS50" t="e">
        <f>AND(Answers!BG158,"AAAAAHv3w3o=")</f>
        <v>#VALUE!</v>
      </c>
      <c r="DT50" t="e">
        <f>AND(Answers!BH158,"AAAAAHv3w3s=")</f>
        <v>#VALUE!</v>
      </c>
      <c r="DU50" t="e">
        <f>AND(Answers!BI158,"AAAAAHv3w3w=")</f>
        <v>#VALUE!</v>
      </c>
      <c r="DV50" t="e">
        <f>AND(Answers!BK158,"AAAAAHv3w30=")</f>
        <v>#VALUE!</v>
      </c>
      <c r="DW50" t="e">
        <f>AND(Answers!BL158,"AAAAAHv3w34=")</f>
        <v>#VALUE!</v>
      </c>
      <c r="DX50" t="e">
        <f>AND(Answers!BM158,"AAAAAHv3w38=")</f>
        <v>#VALUE!</v>
      </c>
      <c r="DY50" t="e">
        <f>AND(Answers!BN158,"AAAAAHv3w4A=")</f>
        <v>#VALUE!</v>
      </c>
      <c r="DZ50" t="e">
        <f>AND(Answers!BO158,"AAAAAHv3w4E=")</f>
        <v>#VALUE!</v>
      </c>
      <c r="EA50" t="e">
        <f>AND(Answers!BP158,"AAAAAHv3w4I=")</f>
        <v>#VALUE!</v>
      </c>
      <c r="EB50" t="e">
        <f>AND(Answers!BQ158,"AAAAAHv3w4M=")</f>
        <v>#VALUE!</v>
      </c>
      <c r="EC50" t="e">
        <f>AND(Answers!BR158,"AAAAAHv3w4Q=")</f>
        <v>#VALUE!</v>
      </c>
      <c r="ED50" t="e">
        <f>AND(Answers!BS158,"AAAAAHv3w4U=")</f>
        <v>#VALUE!</v>
      </c>
      <c r="EE50" t="e">
        <f>AND(Answers!BU158,"AAAAAHv3w4Y=")</f>
        <v>#VALUE!</v>
      </c>
      <c r="EF50" t="e">
        <f>AND(Answers!BV158,"AAAAAHv3w4c=")</f>
        <v>#VALUE!</v>
      </c>
      <c r="EG50" t="e">
        <f>AND(Answers!#REF!,"AAAAAHv3w4g=")</f>
        <v>#REF!</v>
      </c>
      <c r="EH50" t="e">
        <f>AND(Answers!BW158,"AAAAAHv3w4k=")</f>
        <v>#VALUE!</v>
      </c>
      <c r="EI50" t="e">
        <f>AND(Answers!BX158,"AAAAAHv3w4o=")</f>
        <v>#VALUE!</v>
      </c>
      <c r="EJ50" t="e">
        <f>AND(Answers!BY158,"AAAAAHv3w4s=")</f>
        <v>#VALUE!</v>
      </c>
      <c r="EK50" t="e">
        <f>AND(Answers!BZ158,"AAAAAHv3w4w=")</f>
        <v>#VALUE!</v>
      </c>
      <c r="EL50">
        <f>IF(Answers!159:159,"AAAAAHv3w40=",0)</f>
        <v>0</v>
      </c>
      <c r="EM50" t="e">
        <f>AND(Answers!A159,"AAAAAHv3w44=")</f>
        <v>#VALUE!</v>
      </c>
      <c r="EN50" t="e">
        <f>AND(Answers!B159,"AAAAAHv3w48=")</f>
        <v>#VALUE!</v>
      </c>
      <c r="EO50" t="e">
        <f>AND(Answers!C159,"AAAAAHv3w5A=")</f>
        <v>#VALUE!</v>
      </c>
      <c r="EP50" t="e">
        <f>AND(Answers!D159,"AAAAAHv3w5E=")</f>
        <v>#VALUE!</v>
      </c>
      <c r="EQ50" t="e">
        <f>AND(Answers!E159,"AAAAAHv3w5I=")</f>
        <v>#VALUE!</v>
      </c>
      <c r="ER50" t="e">
        <f>AND(Answers!F159,"AAAAAHv3w5M=")</f>
        <v>#VALUE!</v>
      </c>
      <c r="ES50" t="e">
        <f>AND(Answers!G159,"AAAAAHv3w5Q=")</f>
        <v>#VALUE!</v>
      </c>
      <c r="ET50" t="e">
        <f>AND(Answers!H159,"AAAAAHv3w5U=")</f>
        <v>#VALUE!</v>
      </c>
      <c r="EU50" t="e">
        <f>AND(Answers!J159,"AAAAAHv3w5Y=")</f>
        <v>#VALUE!</v>
      </c>
      <c r="EV50" t="e">
        <f>AND(Answers!K159,"AAAAAHv3w5c=")</f>
        <v>#VALUE!</v>
      </c>
      <c r="EW50" t="e">
        <f>AND(Answers!L159,"AAAAAHv3w5g=")</f>
        <v>#VALUE!</v>
      </c>
      <c r="EX50" t="e">
        <f>AND(Answers!M159,"AAAAAHv3w5k=")</f>
        <v>#VALUE!</v>
      </c>
      <c r="EY50" t="e">
        <f>AND(Answers!N159,"AAAAAHv3w5o=")</f>
        <v>#VALUE!</v>
      </c>
      <c r="EZ50" t="e">
        <f>AND(Answers!O159,"AAAAAHv3w5s=")</f>
        <v>#VALUE!</v>
      </c>
      <c r="FA50" t="e">
        <f>AND(Answers!P159,"AAAAAHv3w5w=")</f>
        <v>#VALUE!</v>
      </c>
      <c r="FB50" t="e">
        <f>AND(Answers!Q159,"AAAAAHv3w50=")</f>
        <v>#VALUE!</v>
      </c>
      <c r="FC50" t="e">
        <f>AND(Answers!R159,"AAAAAHv3w54=")</f>
        <v>#VALUE!</v>
      </c>
      <c r="FD50" t="e">
        <f>AND(Answers!S159,"AAAAAHv3w58=")</f>
        <v>#VALUE!</v>
      </c>
      <c r="FE50" t="e">
        <f>AND(Answers!T159,"AAAAAHv3w6A=")</f>
        <v>#VALUE!</v>
      </c>
      <c r="FF50" t="e">
        <f>AND(Answers!U159,"AAAAAHv3w6E=")</f>
        <v>#VALUE!</v>
      </c>
      <c r="FG50" t="e">
        <f>AND(Answers!V159,"AAAAAHv3w6I=")</f>
        <v>#VALUE!</v>
      </c>
      <c r="FH50" t="e">
        <f>AND(Answers!X159,"AAAAAHv3w6M=")</f>
        <v>#VALUE!</v>
      </c>
      <c r="FI50" t="e">
        <f>AND(Answers!Y159,"AAAAAHv3w6Q=")</f>
        <v>#VALUE!</v>
      </c>
      <c r="FJ50" t="e">
        <f>AND(Answers!Z159,"AAAAAHv3w6U=")</f>
        <v>#VALUE!</v>
      </c>
      <c r="FK50" t="e">
        <f>AND(Answers!AA159,"AAAAAHv3w6Y=")</f>
        <v>#VALUE!</v>
      </c>
      <c r="FL50" t="e">
        <f>AND(Answers!AB159,"AAAAAHv3w6c=")</f>
        <v>#VALUE!</v>
      </c>
      <c r="FM50" t="e">
        <f>AND(Answers!AC159,"AAAAAHv3w6g=")</f>
        <v>#VALUE!</v>
      </c>
      <c r="FN50" t="e">
        <f>AND(Answers!AD159,"AAAAAHv3w6k=")</f>
        <v>#VALUE!</v>
      </c>
      <c r="FO50" t="e">
        <f>AND(Answers!AE159,"AAAAAHv3w6o=")</f>
        <v>#VALUE!</v>
      </c>
      <c r="FP50" t="e">
        <f>AND(Answers!AF159,"AAAAAHv3w6s=")</f>
        <v>#VALUE!</v>
      </c>
      <c r="FQ50" t="e">
        <f>AND(Answers!AH159,"AAAAAHv3w6w=")</f>
        <v>#VALUE!</v>
      </c>
      <c r="FR50" t="e">
        <f>AND(Answers!AI159,"AAAAAHv3w60=")</f>
        <v>#VALUE!</v>
      </c>
      <c r="FS50" t="e">
        <f>AND(Answers!AK159,"AAAAAHv3w64=")</f>
        <v>#VALUE!</v>
      </c>
      <c r="FT50" t="e">
        <f>AND(Answers!#REF!,"AAAAAHv3w68=")</f>
        <v>#REF!</v>
      </c>
      <c r="FU50" t="e">
        <f>AND(Answers!AR159,"AAAAAHv3w7A=")</f>
        <v>#VALUE!</v>
      </c>
      <c r="FV50" t="e">
        <f>AND(Answers!AS159,"AAAAAHv3w7E=")</f>
        <v>#VALUE!</v>
      </c>
      <c r="FW50" t="e">
        <f>AND(Answers!AT159,"AAAAAHv3w7I=")</f>
        <v>#VALUE!</v>
      </c>
      <c r="FX50" t="e">
        <f>AND(Answers!AU159,"AAAAAHv3w7M=")</f>
        <v>#VALUE!</v>
      </c>
      <c r="FY50" t="e">
        <f>AND(Answers!AW159,"AAAAAHv3w7Q=")</f>
        <v>#VALUE!</v>
      </c>
      <c r="FZ50" t="e">
        <f>AND(Answers!AX159,"AAAAAHv3w7U=")</f>
        <v>#VALUE!</v>
      </c>
      <c r="GA50" t="e">
        <f>AND(Answers!AY159,"AAAAAHv3w7Y=")</f>
        <v>#VALUE!</v>
      </c>
      <c r="GB50" t="e">
        <f>AND(Answers!AZ159,"AAAAAHv3w7c=")</f>
        <v>#VALUE!</v>
      </c>
      <c r="GC50" t="e">
        <f>AND(Answers!BA159,"AAAAAHv3w7g=")</f>
        <v>#VALUE!</v>
      </c>
      <c r="GD50" t="e">
        <f>AND(Answers!BB159,"AAAAAHv3w7k=")</f>
        <v>#VALUE!</v>
      </c>
      <c r="GE50" t="e">
        <f>AND(Answers!BC159,"AAAAAHv3w7o=")</f>
        <v>#VALUE!</v>
      </c>
      <c r="GF50" t="e">
        <f>AND(Answers!BD159,"AAAAAHv3w7s=")</f>
        <v>#VALUE!</v>
      </c>
      <c r="GG50" t="e">
        <f>AND(Answers!BE159,"AAAAAHv3w7w=")</f>
        <v>#VALUE!</v>
      </c>
      <c r="GH50" t="e">
        <f>AND(Answers!BF159,"AAAAAHv3w70=")</f>
        <v>#VALUE!</v>
      </c>
      <c r="GI50" t="e">
        <f>AND(Answers!BG159,"AAAAAHv3w74=")</f>
        <v>#VALUE!</v>
      </c>
      <c r="GJ50" t="e">
        <f>AND(Answers!BH159,"AAAAAHv3w78=")</f>
        <v>#VALUE!</v>
      </c>
      <c r="GK50" t="e">
        <f>AND(Answers!BI159,"AAAAAHv3w8A=")</f>
        <v>#VALUE!</v>
      </c>
      <c r="GL50" t="e">
        <f>AND(Answers!BK159,"AAAAAHv3w8E=")</f>
        <v>#VALUE!</v>
      </c>
      <c r="GM50" t="e">
        <f>AND(Answers!BL159,"AAAAAHv3w8I=")</f>
        <v>#VALUE!</v>
      </c>
      <c r="GN50" t="e">
        <f>AND(Answers!BM159,"AAAAAHv3w8M=")</f>
        <v>#VALUE!</v>
      </c>
      <c r="GO50" t="e">
        <f>AND(Answers!BN159,"AAAAAHv3w8Q=")</f>
        <v>#VALUE!</v>
      </c>
      <c r="GP50" t="e">
        <f>AND(Answers!BO159,"AAAAAHv3w8U=")</f>
        <v>#VALUE!</v>
      </c>
      <c r="GQ50" t="e">
        <f>AND(Answers!BP159,"AAAAAHv3w8Y=")</f>
        <v>#VALUE!</v>
      </c>
      <c r="GR50" t="e">
        <f>AND(Answers!BQ159,"AAAAAHv3w8c=")</f>
        <v>#VALUE!</v>
      </c>
      <c r="GS50" t="e">
        <f>AND(Answers!BR159,"AAAAAHv3w8g=")</f>
        <v>#VALUE!</v>
      </c>
      <c r="GT50" t="e">
        <f>AND(Answers!BS159,"AAAAAHv3w8k=")</f>
        <v>#VALUE!</v>
      </c>
      <c r="GU50" t="e">
        <f>AND(Answers!BU159,"AAAAAHv3w8o=")</f>
        <v>#VALUE!</v>
      </c>
      <c r="GV50" t="e">
        <f>AND(Answers!BV159,"AAAAAHv3w8s=")</f>
        <v>#VALUE!</v>
      </c>
      <c r="GW50" t="e">
        <f>AND(Answers!#REF!,"AAAAAHv3w8w=")</f>
        <v>#REF!</v>
      </c>
      <c r="GX50" t="e">
        <f>AND(Answers!BW159,"AAAAAHv3w80=")</f>
        <v>#VALUE!</v>
      </c>
      <c r="GY50" t="e">
        <f>AND(Answers!BX159,"AAAAAHv3w84=")</f>
        <v>#VALUE!</v>
      </c>
      <c r="GZ50" t="e">
        <f>AND(Answers!BY159,"AAAAAHv3w88=")</f>
        <v>#VALUE!</v>
      </c>
      <c r="HA50" t="e">
        <f>AND(Answers!BZ159,"AAAAAHv3w9A=")</f>
        <v>#VALUE!</v>
      </c>
      <c r="HB50" t="e">
        <f>IF(Answers!#REF!,"AAAAAHv3w9E=",0)</f>
        <v>#REF!</v>
      </c>
      <c r="HC50" t="e">
        <f>AND(Answers!#REF!,"AAAAAHv3w9I=")</f>
        <v>#REF!</v>
      </c>
      <c r="HD50" t="e">
        <f>AND(Answers!#REF!,"AAAAAHv3w9M=")</f>
        <v>#REF!</v>
      </c>
      <c r="HE50" t="e">
        <f>AND(Answers!#REF!,"AAAAAHv3w9Q=")</f>
        <v>#REF!</v>
      </c>
      <c r="HF50" t="e">
        <f>AND(Answers!#REF!,"AAAAAHv3w9U=")</f>
        <v>#REF!</v>
      </c>
      <c r="HG50" t="e">
        <f>AND(Answers!#REF!,"AAAAAHv3w9Y=")</f>
        <v>#REF!</v>
      </c>
      <c r="HH50" t="e">
        <f>AND(Answers!#REF!,"AAAAAHv3w9c=")</f>
        <v>#REF!</v>
      </c>
      <c r="HI50" t="e">
        <f>AND(Answers!#REF!,"AAAAAHv3w9g=")</f>
        <v>#REF!</v>
      </c>
      <c r="HJ50" t="e">
        <f>AND(Answers!#REF!,"AAAAAHv3w9k=")</f>
        <v>#REF!</v>
      </c>
      <c r="HK50" t="e">
        <f>AND(Answers!#REF!,"AAAAAHv3w9o=")</f>
        <v>#REF!</v>
      </c>
      <c r="HL50" t="e">
        <f>AND(Answers!#REF!,"AAAAAHv3w9s=")</f>
        <v>#REF!</v>
      </c>
      <c r="HM50" t="e">
        <f>AND(Answers!#REF!,"AAAAAHv3w9w=")</f>
        <v>#REF!</v>
      </c>
      <c r="HN50" t="e">
        <f>AND(Answers!#REF!,"AAAAAHv3w90=")</f>
        <v>#REF!</v>
      </c>
      <c r="HO50" t="e">
        <f>AND(Answers!#REF!,"AAAAAHv3w94=")</f>
        <v>#REF!</v>
      </c>
      <c r="HP50" t="e">
        <f>AND(Answers!#REF!,"AAAAAHv3w98=")</f>
        <v>#REF!</v>
      </c>
      <c r="HQ50" t="e">
        <f>AND(Answers!#REF!,"AAAAAHv3w+A=")</f>
        <v>#REF!</v>
      </c>
      <c r="HR50" t="e">
        <f>AND(Answers!#REF!,"AAAAAHv3w+E=")</f>
        <v>#REF!</v>
      </c>
      <c r="HS50" t="e">
        <f>AND(Answers!#REF!,"AAAAAHv3w+I=")</f>
        <v>#REF!</v>
      </c>
      <c r="HT50" t="e">
        <f>AND(Answers!#REF!,"AAAAAHv3w+M=")</f>
        <v>#REF!</v>
      </c>
      <c r="HU50" t="e">
        <f>AND(Answers!#REF!,"AAAAAHv3w+Q=")</f>
        <v>#REF!</v>
      </c>
      <c r="HV50" t="e">
        <f>AND(Answers!#REF!,"AAAAAHv3w+U=")</f>
        <v>#REF!</v>
      </c>
      <c r="HW50" t="e">
        <f>AND(Answers!#REF!,"AAAAAHv3w+Y=")</f>
        <v>#REF!</v>
      </c>
      <c r="HX50" t="e">
        <f>AND(Answers!#REF!,"AAAAAHv3w+c=")</f>
        <v>#REF!</v>
      </c>
      <c r="HY50" t="e">
        <f>AND(Answers!#REF!,"AAAAAHv3w+g=")</f>
        <v>#REF!</v>
      </c>
      <c r="HZ50" t="e">
        <f>AND(Answers!#REF!,"AAAAAHv3w+k=")</f>
        <v>#REF!</v>
      </c>
      <c r="IA50" t="e">
        <f>AND(Answers!#REF!,"AAAAAHv3w+o=")</f>
        <v>#REF!</v>
      </c>
      <c r="IB50" t="e">
        <f>AND(Answers!#REF!,"AAAAAHv3w+s=")</f>
        <v>#REF!</v>
      </c>
      <c r="IC50" t="e">
        <f>AND(Answers!#REF!,"AAAAAHv3w+w=")</f>
        <v>#REF!</v>
      </c>
      <c r="ID50" t="e">
        <f>AND(Answers!#REF!,"AAAAAHv3w+0=")</f>
        <v>#REF!</v>
      </c>
      <c r="IE50" t="e">
        <f>AND(Answers!#REF!,"AAAAAHv3w+4=")</f>
        <v>#REF!</v>
      </c>
      <c r="IF50" t="e">
        <f>AND(Answers!#REF!,"AAAAAHv3w+8=")</f>
        <v>#REF!</v>
      </c>
      <c r="IG50" t="e">
        <f>AND(Answers!#REF!,"AAAAAHv3w/A=")</f>
        <v>#REF!</v>
      </c>
      <c r="IH50" t="e">
        <f>AND(Answers!#REF!,"AAAAAHv3w/E=")</f>
        <v>#REF!</v>
      </c>
      <c r="II50" t="e">
        <f>AND(Answers!#REF!,"AAAAAHv3w/I=")</f>
        <v>#REF!</v>
      </c>
      <c r="IJ50" t="e">
        <f>AND(Answers!#REF!,"AAAAAHv3w/M=")</f>
        <v>#REF!</v>
      </c>
      <c r="IK50" t="e">
        <f>AND(Answers!#REF!,"AAAAAHv3w/Q=")</f>
        <v>#REF!</v>
      </c>
      <c r="IL50" t="e">
        <f>AND(Answers!#REF!,"AAAAAHv3w/U=")</f>
        <v>#REF!</v>
      </c>
      <c r="IM50" t="e">
        <f>AND(Answers!#REF!,"AAAAAHv3w/Y=")</f>
        <v>#REF!</v>
      </c>
      <c r="IN50" t="e">
        <f>AND(Answers!#REF!,"AAAAAHv3w/c=")</f>
        <v>#REF!</v>
      </c>
      <c r="IO50" t="e">
        <f>AND(Answers!#REF!,"AAAAAHv3w/g=")</f>
        <v>#REF!</v>
      </c>
      <c r="IP50" t="e">
        <f>AND(Answers!#REF!,"AAAAAHv3w/k=")</f>
        <v>#REF!</v>
      </c>
      <c r="IQ50" t="e">
        <f>AND(Answers!#REF!,"AAAAAHv3w/o=")</f>
        <v>#REF!</v>
      </c>
      <c r="IR50" t="e">
        <f>AND(Answers!#REF!,"AAAAAHv3w/s=")</f>
        <v>#REF!</v>
      </c>
      <c r="IS50" t="e">
        <f>AND(Answers!#REF!,"AAAAAHv3w/w=")</f>
        <v>#REF!</v>
      </c>
      <c r="IT50" t="e">
        <f>AND(Answers!#REF!,"AAAAAHv3w/0=")</f>
        <v>#REF!</v>
      </c>
      <c r="IU50" t="e">
        <f>AND(Answers!#REF!,"AAAAAHv3w/4=")</f>
        <v>#REF!</v>
      </c>
      <c r="IV50" t="e">
        <f>AND(Answers!#REF!,"AAAAAHv3w/8=")</f>
        <v>#REF!</v>
      </c>
    </row>
    <row r="51" spans="1:256" x14ac:dyDescent="0.15">
      <c r="A51" t="e">
        <f>AND(Answers!#REF!,"AAAAAES+uQA=")</f>
        <v>#REF!</v>
      </c>
      <c r="B51" t="e">
        <f>AND(Answers!#REF!,"AAAAAES+uQE=")</f>
        <v>#REF!</v>
      </c>
      <c r="C51" t="e">
        <f>AND(Answers!#REF!,"AAAAAES+uQI=")</f>
        <v>#REF!</v>
      </c>
      <c r="D51" t="e">
        <f>AND(Answers!#REF!,"AAAAAES+uQM=")</f>
        <v>#REF!</v>
      </c>
      <c r="E51" t="e">
        <f>AND(Answers!#REF!,"AAAAAES+uQQ=")</f>
        <v>#REF!</v>
      </c>
      <c r="F51" t="e">
        <f>AND(Answers!#REF!,"AAAAAES+uQU=")</f>
        <v>#REF!</v>
      </c>
      <c r="G51" t="e">
        <f>AND(Answers!#REF!,"AAAAAES+uQY=")</f>
        <v>#REF!</v>
      </c>
      <c r="H51" t="e">
        <f>AND(Answers!#REF!,"AAAAAES+uQc=")</f>
        <v>#REF!</v>
      </c>
      <c r="I51" t="e">
        <f>AND(Answers!#REF!,"AAAAAES+uQg=")</f>
        <v>#REF!</v>
      </c>
      <c r="J51" t="e">
        <f>AND(Answers!#REF!,"AAAAAES+uQk=")</f>
        <v>#REF!</v>
      </c>
      <c r="K51" t="e">
        <f>AND(Answers!#REF!,"AAAAAES+uQo=")</f>
        <v>#REF!</v>
      </c>
      <c r="L51" t="e">
        <f>AND(Answers!#REF!,"AAAAAES+uQs=")</f>
        <v>#REF!</v>
      </c>
      <c r="M51" t="e">
        <f>AND(Answers!#REF!,"AAAAAES+uQw=")</f>
        <v>#REF!</v>
      </c>
      <c r="N51" t="e">
        <f>AND(Answers!#REF!,"AAAAAES+uQ0=")</f>
        <v>#REF!</v>
      </c>
      <c r="O51" t="e">
        <f>AND(Answers!#REF!,"AAAAAES+uQ4=")</f>
        <v>#REF!</v>
      </c>
      <c r="P51" t="e">
        <f>AND(Answers!#REF!,"AAAAAES+uQ8=")</f>
        <v>#REF!</v>
      </c>
      <c r="Q51" t="e">
        <f>AND(Answers!#REF!,"AAAAAES+uRA=")</f>
        <v>#REF!</v>
      </c>
      <c r="R51" t="e">
        <f>AND(Answers!#REF!,"AAAAAES+uRE=")</f>
        <v>#REF!</v>
      </c>
      <c r="S51" t="e">
        <f>AND(Answers!#REF!,"AAAAAES+uRI=")</f>
        <v>#REF!</v>
      </c>
      <c r="T51" t="e">
        <f>AND(Answers!#REF!,"AAAAAES+uRM=")</f>
        <v>#REF!</v>
      </c>
      <c r="U51" t="e">
        <f>AND(Answers!#REF!,"AAAAAES+uRQ=")</f>
        <v>#REF!</v>
      </c>
      <c r="V51">
        <f>IF(Answers!160:160,"AAAAAES+uRU=",0)</f>
        <v>0</v>
      </c>
      <c r="W51" t="e">
        <f>AND(Answers!A160,"AAAAAES+uRY=")</f>
        <v>#VALUE!</v>
      </c>
      <c r="X51" t="e">
        <f>AND(Answers!B160,"AAAAAES+uRc=")</f>
        <v>#VALUE!</v>
      </c>
      <c r="Y51" t="e">
        <f>AND(Answers!C160,"AAAAAES+uRg=")</f>
        <v>#VALUE!</v>
      </c>
      <c r="Z51" t="e">
        <f>AND(Answers!D160,"AAAAAES+uRk=")</f>
        <v>#VALUE!</v>
      </c>
      <c r="AA51" t="e">
        <f>AND(Answers!E160,"AAAAAES+uRo=")</f>
        <v>#VALUE!</v>
      </c>
      <c r="AB51" t="e">
        <f>AND(Answers!F160,"AAAAAES+uRs=")</f>
        <v>#VALUE!</v>
      </c>
      <c r="AC51" t="e">
        <f>AND(Answers!G160,"AAAAAES+uRw=")</f>
        <v>#VALUE!</v>
      </c>
      <c r="AD51" t="e">
        <f>AND(Answers!H160,"AAAAAES+uR0=")</f>
        <v>#VALUE!</v>
      </c>
      <c r="AE51" t="e">
        <f>AND(Answers!J160,"AAAAAES+uR4=")</f>
        <v>#VALUE!</v>
      </c>
      <c r="AF51" t="e">
        <f>AND(Answers!K160,"AAAAAES+uR8=")</f>
        <v>#VALUE!</v>
      </c>
      <c r="AG51" t="e">
        <f>AND(Answers!L160,"AAAAAES+uSA=")</f>
        <v>#VALUE!</v>
      </c>
      <c r="AH51" t="e">
        <f>AND(Answers!M160,"AAAAAES+uSE=")</f>
        <v>#VALUE!</v>
      </c>
      <c r="AI51" t="e">
        <f>AND(Answers!N160,"AAAAAES+uSI=")</f>
        <v>#VALUE!</v>
      </c>
      <c r="AJ51" t="e">
        <f>AND(Answers!O160,"AAAAAES+uSM=")</f>
        <v>#VALUE!</v>
      </c>
      <c r="AK51" t="e">
        <f>AND(Answers!P160,"AAAAAES+uSQ=")</f>
        <v>#VALUE!</v>
      </c>
      <c r="AL51" t="e">
        <f>AND(Answers!Q160,"AAAAAES+uSU=")</f>
        <v>#VALUE!</v>
      </c>
      <c r="AM51" t="e">
        <f>AND(Answers!R160,"AAAAAES+uSY=")</f>
        <v>#VALUE!</v>
      </c>
      <c r="AN51" t="e">
        <f>AND(Answers!S160,"AAAAAES+uSc=")</f>
        <v>#VALUE!</v>
      </c>
      <c r="AO51" t="e">
        <f>AND(Answers!T160,"AAAAAES+uSg=")</f>
        <v>#VALUE!</v>
      </c>
      <c r="AP51" t="e">
        <f>AND(Answers!U160,"AAAAAES+uSk=")</f>
        <v>#VALUE!</v>
      </c>
      <c r="AQ51" t="e">
        <f>AND(Answers!V160,"AAAAAES+uSo=")</f>
        <v>#VALUE!</v>
      </c>
      <c r="AR51" t="e">
        <f>AND(Answers!X160,"AAAAAES+uSs=")</f>
        <v>#VALUE!</v>
      </c>
      <c r="AS51" t="e">
        <f>AND(Answers!Y160,"AAAAAES+uSw=")</f>
        <v>#VALUE!</v>
      </c>
      <c r="AT51" t="e">
        <f>AND(Answers!Z160,"AAAAAES+uS0=")</f>
        <v>#VALUE!</v>
      </c>
      <c r="AU51" t="e">
        <f>AND(Answers!AA160,"AAAAAES+uS4=")</f>
        <v>#VALUE!</v>
      </c>
      <c r="AV51" t="e">
        <f>AND(Answers!AB160,"AAAAAES+uS8=")</f>
        <v>#VALUE!</v>
      </c>
      <c r="AW51" t="e">
        <f>AND(Answers!AC160,"AAAAAES+uTA=")</f>
        <v>#VALUE!</v>
      </c>
      <c r="AX51" t="e">
        <f>AND(Answers!AD160,"AAAAAES+uTE=")</f>
        <v>#VALUE!</v>
      </c>
      <c r="AY51" t="e">
        <f>AND(Answers!AE160,"AAAAAES+uTI=")</f>
        <v>#VALUE!</v>
      </c>
      <c r="AZ51" t="e">
        <f>AND(Answers!AF160,"AAAAAES+uTM=")</f>
        <v>#VALUE!</v>
      </c>
      <c r="BA51" t="e">
        <f>AND(Answers!AH160,"AAAAAES+uTQ=")</f>
        <v>#VALUE!</v>
      </c>
      <c r="BB51" t="e">
        <f>AND(Answers!AI160,"AAAAAES+uTU=")</f>
        <v>#VALUE!</v>
      </c>
      <c r="BC51" t="e">
        <f>AND(Answers!AK160,"AAAAAES+uTY=")</f>
        <v>#VALUE!</v>
      </c>
      <c r="BD51" t="e">
        <f>AND(Answers!#REF!,"AAAAAES+uTc=")</f>
        <v>#REF!</v>
      </c>
      <c r="BE51" t="e">
        <f>AND(Answers!AR160,"AAAAAES+uTg=")</f>
        <v>#VALUE!</v>
      </c>
      <c r="BF51" t="e">
        <f>AND(Answers!AS160,"AAAAAES+uTk=")</f>
        <v>#VALUE!</v>
      </c>
      <c r="BG51" t="e">
        <f>AND(Answers!AT160,"AAAAAES+uTo=")</f>
        <v>#VALUE!</v>
      </c>
      <c r="BH51" t="e">
        <f>AND(Answers!AU160,"AAAAAES+uTs=")</f>
        <v>#VALUE!</v>
      </c>
      <c r="BI51" t="e">
        <f>AND(Answers!AW160,"AAAAAES+uTw=")</f>
        <v>#VALUE!</v>
      </c>
      <c r="BJ51" t="e">
        <f>AND(Answers!AX160,"AAAAAES+uT0=")</f>
        <v>#VALUE!</v>
      </c>
      <c r="BK51" t="e">
        <f>AND(Answers!AY160,"AAAAAES+uT4=")</f>
        <v>#VALUE!</v>
      </c>
      <c r="BL51" t="e">
        <f>AND(Answers!AZ160,"AAAAAES+uT8=")</f>
        <v>#VALUE!</v>
      </c>
      <c r="BM51" t="e">
        <f>AND(Answers!BA160,"AAAAAES+uUA=")</f>
        <v>#VALUE!</v>
      </c>
      <c r="BN51" t="e">
        <f>AND(Answers!BB160,"AAAAAES+uUE=")</f>
        <v>#VALUE!</v>
      </c>
      <c r="BO51" t="e">
        <f>AND(Answers!BC160,"AAAAAES+uUI=")</f>
        <v>#VALUE!</v>
      </c>
      <c r="BP51" t="e">
        <f>AND(Answers!BD160,"AAAAAES+uUM=")</f>
        <v>#VALUE!</v>
      </c>
      <c r="BQ51" t="e">
        <f>AND(Answers!BE160,"AAAAAES+uUQ=")</f>
        <v>#VALUE!</v>
      </c>
      <c r="BR51" t="e">
        <f>AND(Answers!BF160,"AAAAAES+uUU=")</f>
        <v>#VALUE!</v>
      </c>
      <c r="BS51" t="e">
        <f>AND(Answers!BG160,"AAAAAES+uUY=")</f>
        <v>#VALUE!</v>
      </c>
      <c r="BT51" t="e">
        <f>AND(Answers!BH160,"AAAAAES+uUc=")</f>
        <v>#VALUE!</v>
      </c>
      <c r="BU51" t="e">
        <f>AND(Answers!BI160,"AAAAAES+uUg=")</f>
        <v>#VALUE!</v>
      </c>
      <c r="BV51" t="e">
        <f>AND(Answers!BK160,"AAAAAES+uUk=")</f>
        <v>#VALUE!</v>
      </c>
      <c r="BW51" t="e">
        <f>AND(Answers!BL160,"AAAAAES+uUo=")</f>
        <v>#VALUE!</v>
      </c>
      <c r="BX51" t="e">
        <f>AND(Answers!BM160,"AAAAAES+uUs=")</f>
        <v>#VALUE!</v>
      </c>
      <c r="BY51" t="e">
        <f>AND(Answers!BN160,"AAAAAES+uUw=")</f>
        <v>#VALUE!</v>
      </c>
      <c r="BZ51" t="e">
        <f>AND(Answers!BO160,"AAAAAES+uU0=")</f>
        <v>#VALUE!</v>
      </c>
      <c r="CA51" t="e">
        <f>AND(Answers!BP160,"AAAAAES+uU4=")</f>
        <v>#VALUE!</v>
      </c>
      <c r="CB51" t="e">
        <f>AND(Answers!BQ160,"AAAAAES+uU8=")</f>
        <v>#VALUE!</v>
      </c>
      <c r="CC51" t="e">
        <f>AND(Answers!BR160,"AAAAAES+uVA=")</f>
        <v>#VALUE!</v>
      </c>
      <c r="CD51" t="e">
        <f>AND(Answers!BS160,"AAAAAES+uVE=")</f>
        <v>#VALUE!</v>
      </c>
      <c r="CE51" t="e">
        <f>AND(Answers!BU160,"AAAAAES+uVI=")</f>
        <v>#VALUE!</v>
      </c>
      <c r="CF51" t="e">
        <f>AND(Answers!BV160,"AAAAAES+uVM=")</f>
        <v>#VALUE!</v>
      </c>
      <c r="CG51" t="e">
        <f>AND(Answers!#REF!,"AAAAAES+uVQ=")</f>
        <v>#REF!</v>
      </c>
      <c r="CH51" t="e">
        <f>AND(Answers!BW160,"AAAAAES+uVU=")</f>
        <v>#VALUE!</v>
      </c>
      <c r="CI51" t="e">
        <f>AND(Answers!BX160,"AAAAAES+uVY=")</f>
        <v>#VALUE!</v>
      </c>
      <c r="CJ51" t="e">
        <f>AND(Answers!BY160,"AAAAAES+uVc=")</f>
        <v>#VALUE!</v>
      </c>
      <c r="CK51" t="e">
        <f>AND(Answers!BZ160,"AAAAAES+uVg=")</f>
        <v>#VALUE!</v>
      </c>
      <c r="CL51">
        <f>IF(Answers!161:161,"AAAAAES+uVk=",0)</f>
        <v>0</v>
      </c>
      <c r="CM51" t="e">
        <f>AND(Answers!A161,"AAAAAES+uVo=")</f>
        <v>#VALUE!</v>
      </c>
      <c r="CN51" t="e">
        <f>AND(Answers!B161,"AAAAAES+uVs=")</f>
        <v>#VALUE!</v>
      </c>
      <c r="CO51" t="e">
        <f>AND(Answers!C161,"AAAAAES+uVw=")</f>
        <v>#VALUE!</v>
      </c>
      <c r="CP51" t="e">
        <f>AND(Answers!D161,"AAAAAES+uV0=")</f>
        <v>#VALUE!</v>
      </c>
      <c r="CQ51" t="e">
        <f>AND(Answers!E161,"AAAAAES+uV4=")</f>
        <v>#VALUE!</v>
      </c>
      <c r="CR51" t="e">
        <f>AND(Answers!F161,"AAAAAES+uV8=")</f>
        <v>#VALUE!</v>
      </c>
      <c r="CS51" t="e">
        <f>AND(Answers!G161,"AAAAAES+uWA=")</f>
        <v>#VALUE!</v>
      </c>
      <c r="CT51" t="e">
        <f>AND(Answers!H161,"AAAAAES+uWE=")</f>
        <v>#VALUE!</v>
      </c>
      <c r="CU51" t="e">
        <f>AND(Answers!J161,"AAAAAES+uWI=")</f>
        <v>#VALUE!</v>
      </c>
      <c r="CV51" t="e">
        <f>AND(Answers!K161,"AAAAAES+uWM=")</f>
        <v>#VALUE!</v>
      </c>
      <c r="CW51" t="e">
        <f>AND(Answers!L161,"AAAAAES+uWQ=")</f>
        <v>#VALUE!</v>
      </c>
      <c r="CX51" t="e">
        <f>AND(Answers!M161,"AAAAAES+uWU=")</f>
        <v>#VALUE!</v>
      </c>
      <c r="CY51" t="e">
        <f>AND(Answers!N161,"AAAAAES+uWY=")</f>
        <v>#VALUE!</v>
      </c>
      <c r="CZ51" t="e">
        <f>AND(Answers!O161,"AAAAAES+uWc=")</f>
        <v>#VALUE!</v>
      </c>
      <c r="DA51" t="e">
        <f>AND(Answers!P161,"AAAAAES+uWg=")</f>
        <v>#VALUE!</v>
      </c>
      <c r="DB51" t="e">
        <f>AND(Answers!Q161,"AAAAAES+uWk=")</f>
        <v>#VALUE!</v>
      </c>
      <c r="DC51" t="e">
        <f>AND(Answers!R161,"AAAAAES+uWo=")</f>
        <v>#VALUE!</v>
      </c>
      <c r="DD51" t="e">
        <f>AND(Answers!S161,"AAAAAES+uWs=")</f>
        <v>#VALUE!</v>
      </c>
      <c r="DE51" t="e">
        <f>AND(Answers!T161,"AAAAAES+uWw=")</f>
        <v>#VALUE!</v>
      </c>
      <c r="DF51" t="e">
        <f>AND(Answers!U161,"AAAAAES+uW0=")</f>
        <v>#VALUE!</v>
      </c>
      <c r="DG51" t="e">
        <f>AND(Answers!V161,"AAAAAES+uW4=")</f>
        <v>#VALUE!</v>
      </c>
      <c r="DH51" t="e">
        <f>AND(Answers!X161,"AAAAAES+uW8=")</f>
        <v>#VALUE!</v>
      </c>
      <c r="DI51" t="e">
        <f>AND(Answers!Y161,"AAAAAES+uXA=")</f>
        <v>#VALUE!</v>
      </c>
      <c r="DJ51" t="e">
        <f>AND(Answers!Z161,"AAAAAES+uXE=")</f>
        <v>#VALUE!</v>
      </c>
      <c r="DK51" t="e">
        <f>AND(Answers!AA161,"AAAAAES+uXI=")</f>
        <v>#VALUE!</v>
      </c>
      <c r="DL51" t="e">
        <f>AND(Answers!AB161,"AAAAAES+uXM=")</f>
        <v>#VALUE!</v>
      </c>
      <c r="DM51" t="e">
        <f>AND(Answers!AC161,"AAAAAES+uXQ=")</f>
        <v>#VALUE!</v>
      </c>
      <c r="DN51" t="e">
        <f>AND(Answers!AD161,"AAAAAES+uXU=")</f>
        <v>#VALUE!</v>
      </c>
      <c r="DO51" t="e">
        <f>AND(Answers!AE161,"AAAAAES+uXY=")</f>
        <v>#VALUE!</v>
      </c>
      <c r="DP51" t="e">
        <f>AND(Answers!AF161,"AAAAAES+uXc=")</f>
        <v>#VALUE!</v>
      </c>
      <c r="DQ51" t="e">
        <f>AND(Answers!AH161,"AAAAAES+uXg=")</f>
        <v>#VALUE!</v>
      </c>
      <c r="DR51" t="e">
        <f>AND(Answers!AI161,"AAAAAES+uXk=")</f>
        <v>#VALUE!</v>
      </c>
      <c r="DS51" t="e">
        <f>AND(Answers!AK161,"AAAAAES+uXo=")</f>
        <v>#VALUE!</v>
      </c>
      <c r="DT51" t="e">
        <f>AND(Answers!#REF!,"AAAAAES+uXs=")</f>
        <v>#REF!</v>
      </c>
      <c r="DU51" t="e">
        <f>AND(Answers!AR161,"AAAAAES+uXw=")</f>
        <v>#VALUE!</v>
      </c>
      <c r="DV51" t="e">
        <f>AND(Answers!AS161,"AAAAAES+uX0=")</f>
        <v>#VALUE!</v>
      </c>
      <c r="DW51" t="e">
        <f>AND(Answers!AT161,"AAAAAES+uX4=")</f>
        <v>#VALUE!</v>
      </c>
      <c r="DX51" t="e">
        <f>AND(Answers!AU161,"AAAAAES+uX8=")</f>
        <v>#VALUE!</v>
      </c>
      <c r="DY51" t="e">
        <f>AND(Answers!AW161,"AAAAAES+uYA=")</f>
        <v>#VALUE!</v>
      </c>
      <c r="DZ51" t="e">
        <f>AND(Answers!AX161,"AAAAAES+uYE=")</f>
        <v>#VALUE!</v>
      </c>
      <c r="EA51" t="e">
        <f>AND(Answers!AY161,"AAAAAES+uYI=")</f>
        <v>#VALUE!</v>
      </c>
      <c r="EB51" t="e">
        <f>AND(Answers!AZ161,"AAAAAES+uYM=")</f>
        <v>#VALUE!</v>
      </c>
      <c r="EC51" t="e">
        <f>AND(Answers!BA161,"AAAAAES+uYQ=")</f>
        <v>#VALUE!</v>
      </c>
      <c r="ED51" t="e">
        <f>AND(Answers!BB161,"AAAAAES+uYU=")</f>
        <v>#VALUE!</v>
      </c>
      <c r="EE51" t="e">
        <f>AND(Answers!BC161,"AAAAAES+uYY=")</f>
        <v>#VALUE!</v>
      </c>
      <c r="EF51" t="e">
        <f>AND(Answers!BD161,"AAAAAES+uYc=")</f>
        <v>#VALUE!</v>
      </c>
      <c r="EG51" t="e">
        <f>AND(Answers!BE161,"AAAAAES+uYg=")</f>
        <v>#VALUE!</v>
      </c>
      <c r="EH51" t="e">
        <f>AND(Answers!BF161,"AAAAAES+uYk=")</f>
        <v>#VALUE!</v>
      </c>
      <c r="EI51" t="e">
        <f>AND(Answers!BG161,"AAAAAES+uYo=")</f>
        <v>#VALUE!</v>
      </c>
      <c r="EJ51" t="e">
        <f>AND(Answers!BH161,"AAAAAES+uYs=")</f>
        <v>#VALUE!</v>
      </c>
      <c r="EK51" t="e">
        <f>AND(Answers!BI161,"AAAAAES+uYw=")</f>
        <v>#VALUE!</v>
      </c>
      <c r="EL51" t="e">
        <f>AND(Answers!BK161,"AAAAAES+uY0=")</f>
        <v>#VALUE!</v>
      </c>
      <c r="EM51" t="e">
        <f>AND(Answers!BL161,"AAAAAES+uY4=")</f>
        <v>#VALUE!</v>
      </c>
      <c r="EN51" t="e">
        <f>AND(Answers!BM161,"AAAAAES+uY8=")</f>
        <v>#VALUE!</v>
      </c>
      <c r="EO51" t="e">
        <f>AND(Answers!BN161,"AAAAAES+uZA=")</f>
        <v>#VALUE!</v>
      </c>
      <c r="EP51" t="e">
        <f>AND(Answers!BO161,"AAAAAES+uZE=")</f>
        <v>#VALUE!</v>
      </c>
      <c r="EQ51" t="e">
        <f>AND(Answers!BP161,"AAAAAES+uZI=")</f>
        <v>#VALUE!</v>
      </c>
      <c r="ER51" t="e">
        <f>AND(Answers!BQ161,"AAAAAES+uZM=")</f>
        <v>#VALUE!</v>
      </c>
      <c r="ES51" t="e">
        <f>AND(Answers!BR161,"AAAAAES+uZQ=")</f>
        <v>#VALUE!</v>
      </c>
      <c r="ET51" t="e">
        <f>AND(Answers!BS161,"AAAAAES+uZU=")</f>
        <v>#VALUE!</v>
      </c>
      <c r="EU51" t="e">
        <f>AND(Answers!BU161,"AAAAAES+uZY=")</f>
        <v>#VALUE!</v>
      </c>
      <c r="EV51" t="e">
        <f>AND(Answers!BV161,"AAAAAES+uZc=")</f>
        <v>#VALUE!</v>
      </c>
      <c r="EW51" t="e">
        <f>AND(Answers!#REF!,"AAAAAES+uZg=")</f>
        <v>#REF!</v>
      </c>
      <c r="EX51" t="e">
        <f>AND(Answers!BW161,"AAAAAES+uZk=")</f>
        <v>#VALUE!</v>
      </c>
      <c r="EY51" t="e">
        <f>AND(Answers!BX161,"AAAAAES+uZo=")</f>
        <v>#VALUE!</v>
      </c>
      <c r="EZ51" t="e">
        <f>AND(Answers!BY161,"AAAAAES+uZs=")</f>
        <v>#VALUE!</v>
      </c>
      <c r="FA51" t="e">
        <f>AND(Answers!BZ161,"AAAAAES+uZw=")</f>
        <v>#VALUE!</v>
      </c>
      <c r="FB51">
        <f>IF(Answers!162:162,"AAAAAES+uZ0=",0)</f>
        <v>0</v>
      </c>
      <c r="FC51" t="e">
        <f>AND(Answers!A162,"AAAAAES+uZ4=")</f>
        <v>#VALUE!</v>
      </c>
      <c r="FD51" t="e">
        <f>AND(Answers!B162,"AAAAAES+uZ8=")</f>
        <v>#VALUE!</v>
      </c>
      <c r="FE51" t="e">
        <f>AND(Answers!C162,"AAAAAES+uaA=")</f>
        <v>#VALUE!</v>
      </c>
      <c r="FF51" t="e">
        <f>AND(Answers!D162,"AAAAAES+uaE=")</f>
        <v>#VALUE!</v>
      </c>
      <c r="FG51" t="e">
        <f>AND(Answers!E162,"AAAAAES+uaI=")</f>
        <v>#VALUE!</v>
      </c>
      <c r="FH51" t="e">
        <f>AND(Answers!F162,"AAAAAES+uaM=")</f>
        <v>#VALUE!</v>
      </c>
      <c r="FI51" t="e">
        <f>AND(Answers!G162,"AAAAAES+uaQ=")</f>
        <v>#VALUE!</v>
      </c>
      <c r="FJ51" t="e">
        <f>AND(Answers!H162,"AAAAAES+uaU=")</f>
        <v>#VALUE!</v>
      </c>
      <c r="FK51" t="e">
        <f>AND(Answers!J162,"AAAAAES+uaY=")</f>
        <v>#VALUE!</v>
      </c>
      <c r="FL51" t="e">
        <f>AND(Answers!K162,"AAAAAES+uac=")</f>
        <v>#VALUE!</v>
      </c>
      <c r="FM51" t="e">
        <f>AND(Answers!L162,"AAAAAES+uag=")</f>
        <v>#VALUE!</v>
      </c>
      <c r="FN51" t="e">
        <f>AND(Answers!M162,"AAAAAES+uak=")</f>
        <v>#VALUE!</v>
      </c>
      <c r="FO51" t="e">
        <f>AND(Answers!N162,"AAAAAES+uao=")</f>
        <v>#VALUE!</v>
      </c>
      <c r="FP51" t="e">
        <f>AND(Answers!O162,"AAAAAES+uas=")</f>
        <v>#VALUE!</v>
      </c>
      <c r="FQ51" t="e">
        <f>AND(Answers!P162,"AAAAAES+uaw=")</f>
        <v>#VALUE!</v>
      </c>
      <c r="FR51" t="e">
        <f>AND(Answers!Q162,"AAAAAES+ua0=")</f>
        <v>#VALUE!</v>
      </c>
      <c r="FS51" t="e">
        <f>AND(Answers!R162,"AAAAAES+ua4=")</f>
        <v>#VALUE!</v>
      </c>
      <c r="FT51" t="e">
        <f>AND(Answers!S162,"AAAAAES+ua8=")</f>
        <v>#VALUE!</v>
      </c>
      <c r="FU51" t="e">
        <f>AND(Answers!T162,"AAAAAES+ubA=")</f>
        <v>#VALUE!</v>
      </c>
      <c r="FV51" t="e">
        <f>AND(Answers!U162,"AAAAAES+ubE=")</f>
        <v>#VALUE!</v>
      </c>
      <c r="FW51" t="e">
        <f>AND(Answers!V162,"AAAAAES+ubI=")</f>
        <v>#VALUE!</v>
      </c>
      <c r="FX51" t="e">
        <f>AND(Answers!X162,"AAAAAES+ubM=")</f>
        <v>#VALUE!</v>
      </c>
      <c r="FY51" t="e">
        <f>AND(Answers!Y162,"AAAAAES+ubQ=")</f>
        <v>#VALUE!</v>
      </c>
      <c r="FZ51" t="e">
        <f>AND(Answers!Z162,"AAAAAES+ubU=")</f>
        <v>#VALUE!</v>
      </c>
      <c r="GA51" t="e">
        <f>AND(Answers!AA162,"AAAAAES+ubY=")</f>
        <v>#VALUE!</v>
      </c>
      <c r="GB51" t="e">
        <f>AND(Answers!AB162,"AAAAAES+ubc=")</f>
        <v>#VALUE!</v>
      </c>
      <c r="GC51" t="e">
        <f>AND(Answers!AC162,"AAAAAES+ubg=")</f>
        <v>#VALUE!</v>
      </c>
      <c r="GD51" t="e">
        <f>AND(Answers!AD162,"AAAAAES+ubk=")</f>
        <v>#VALUE!</v>
      </c>
      <c r="GE51" t="e">
        <f>AND(Answers!AE162,"AAAAAES+ubo=")</f>
        <v>#VALUE!</v>
      </c>
      <c r="GF51" t="e">
        <f>AND(Answers!AF162,"AAAAAES+ubs=")</f>
        <v>#VALUE!</v>
      </c>
      <c r="GG51" t="e">
        <f>AND(Answers!AH162,"AAAAAES+ubw=")</f>
        <v>#VALUE!</v>
      </c>
      <c r="GH51" t="e">
        <f>AND(Answers!AI162,"AAAAAES+ub0=")</f>
        <v>#VALUE!</v>
      </c>
      <c r="GI51" t="e">
        <f>AND(Answers!AK162,"AAAAAES+ub4=")</f>
        <v>#VALUE!</v>
      </c>
      <c r="GJ51" t="e">
        <f>AND(Answers!#REF!,"AAAAAES+ub8=")</f>
        <v>#REF!</v>
      </c>
      <c r="GK51" t="e">
        <f>AND(Answers!AR162,"AAAAAES+ucA=")</f>
        <v>#VALUE!</v>
      </c>
      <c r="GL51" t="e">
        <f>AND(Answers!AS162,"AAAAAES+ucE=")</f>
        <v>#VALUE!</v>
      </c>
      <c r="GM51" t="e">
        <f>AND(Answers!AT162,"AAAAAES+ucI=")</f>
        <v>#VALUE!</v>
      </c>
      <c r="GN51" t="e">
        <f>AND(Answers!AU162,"AAAAAES+ucM=")</f>
        <v>#VALUE!</v>
      </c>
      <c r="GO51" t="e">
        <f>AND(Answers!AW162,"AAAAAES+ucQ=")</f>
        <v>#VALUE!</v>
      </c>
      <c r="GP51" t="e">
        <f>AND(Answers!AX162,"AAAAAES+ucU=")</f>
        <v>#VALUE!</v>
      </c>
      <c r="GQ51" t="e">
        <f>AND(Answers!AY162,"AAAAAES+ucY=")</f>
        <v>#VALUE!</v>
      </c>
      <c r="GR51" t="e">
        <f>AND(Answers!AZ162,"AAAAAES+ucc=")</f>
        <v>#VALUE!</v>
      </c>
      <c r="GS51" t="e">
        <f>AND(Answers!BA162,"AAAAAES+ucg=")</f>
        <v>#VALUE!</v>
      </c>
      <c r="GT51" t="e">
        <f>AND(Answers!BB162,"AAAAAES+uck=")</f>
        <v>#VALUE!</v>
      </c>
      <c r="GU51" t="e">
        <f>AND(Answers!BC162,"AAAAAES+uco=")</f>
        <v>#VALUE!</v>
      </c>
      <c r="GV51" t="e">
        <f>AND(Answers!BD162,"AAAAAES+ucs=")</f>
        <v>#VALUE!</v>
      </c>
      <c r="GW51" t="e">
        <f>AND(Answers!BE162,"AAAAAES+ucw=")</f>
        <v>#VALUE!</v>
      </c>
      <c r="GX51" t="e">
        <f>AND(Answers!BF162,"AAAAAES+uc0=")</f>
        <v>#VALUE!</v>
      </c>
      <c r="GY51" t="e">
        <f>AND(Answers!BG162,"AAAAAES+uc4=")</f>
        <v>#VALUE!</v>
      </c>
      <c r="GZ51" t="e">
        <f>AND(Answers!BH162,"AAAAAES+uc8=")</f>
        <v>#VALUE!</v>
      </c>
      <c r="HA51" t="e">
        <f>AND(Answers!BI162,"AAAAAES+udA=")</f>
        <v>#VALUE!</v>
      </c>
      <c r="HB51" t="e">
        <f>AND(Answers!BK162,"AAAAAES+udE=")</f>
        <v>#VALUE!</v>
      </c>
      <c r="HC51" t="e">
        <f>AND(Answers!BL162,"AAAAAES+udI=")</f>
        <v>#VALUE!</v>
      </c>
      <c r="HD51" t="e">
        <f>AND(Answers!BM162,"AAAAAES+udM=")</f>
        <v>#VALUE!</v>
      </c>
      <c r="HE51" t="e">
        <f>AND(Answers!BN162,"AAAAAES+udQ=")</f>
        <v>#VALUE!</v>
      </c>
      <c r="HF51" t="e">
        <f>AND(Answers!BO162,"AAAAAES+udU=")</f>
        <v>#VALUE!</v>
      </c>
      <c r="HG51" t="e">
        <f>AND(Answers!BP162,"AAAAAES+udY=")</f>
        <v>#VALUE!</v>
      </c>
      <c r="HH51" t="e">
        <f>AND(Answers!BQ162,"AAAAAES+udc=")</f>
        <v>#VALUE!</v>
      </c>
      <c r="HI51" t="e">
        <f>AND(Answers!BR162,"AAAAAES+udg=")</f>
        <v>#VALUE!</v>
      </c>
      <c r="HJ51" t="e">
        <f>AND(Answers!BS162,"AAAAAES+udk=")</f>
        <v>#VALUE!</v>
      </c>
      <c r="HK51" t="e">
        <f>AND(Answers!BU162,"AAAAAES+udo=")</f>
        <v>#VALUE!</v>
      </c>
      <c r="HL51" t="e">
        <f>AND(Answers!BV162,"AAAAAES+uds=")</f>
        <v>#VALUE!</v>
      </c>
      <c r="HM51" t="e">
        <f>AND(Answers!#REF!,"AAAAAES+udw=")</f>
        <v>#REF!</v>
      </c>
      <c r="HN51" t="e">
        <f>AND(Answers!BW162,"AAAAAES+ud0=")</f>
        <v>#VALUE!</v>
      </c>
      <c r="HO51" t="e">
        <f>AND(Answers!BX162,"AAAAAES+ud4=")</f>
        <v>#VALUE!</v>
      </c>
      <c r="HP51" t="e">
        <f>AND(Answers!BY162,"AAAAAES+ud8=")</f>
        <v>#VALUE!</v>
      </c>
      <c r="HQ51" t="e">
        <f>AND(Answers!BZ162,"AAAAAES+ueA=")</f>
        <v>#VALUE!</v>
      </c>
      <c r="HR51">
        <f>IF(Answers!163:163,"AAAAAES+ueE=",0)</f>
        <v>0</v>
      </c>
      <c r="HS51" t="e">
        <f>AND(Answers!A163,"AAAAAES+ueI=")</f>
        <v>#VALUE!</v>
      </c>
      <c r="HT51" t="e">
        <f>AND(Answers!B163,"AAAAAES+ueM=")</f>
        <v>#VALUE!</v>
      </c>
      <c r="HU51" t="e">
        <f>AND(Answers!C163,"AAAAAES+ueQ=")</f>
        <v>#VALUE!</v>
      </c>
      <c r="HV51" t="e">
        <f>AND(Answers!D163,"AAAAAES+ueU=")</f>
        <v>#VALUE!</v>
      </c>
      <c r="HW51" t="e">
        <f>AND(Answers!E163,"AAAAAES+ueY=")</f>
        <v>#VALUE!</v>
      </c>
      <c r="HX51" t="e">
        <f>AND(Answers!F163,"AAAAAES+uec=")</f>
        <v>#VALUE!</v>
      </c>
      <c r="HY51" t="e">
        <f>AND(Answers!G163,"AAAAAES+ueg=")</f>
        <v>#VALUE!</v>
      </c>
      <c r="HZ51" t="e">
        <f>AND(Answers!H163,"AAAAAES+uek=")</f>
        <v>#VALUE!</v>
      </c>
      <c r="IA51" t="e">
        <f>AND(Answers!J163,"AAAAAES+ueo=")</f>
        <v>#VALUE!</v>
      </c>
      <c r="IB51" t="e">
        <f>AND(Answers!K163,"AAAAAES+ues=")</f>
        <v>#VALUE!</v>
      </c>
      <c r="IC51" t="e">
        <f>AND(Answers!L163,"AAAAAES+uew=")</f>
        <v>#VALUE!</v>
      </c>
      <c r="ID51" t="e">
        <f>AND(Answers!M163,"AAAAAES+ue0=")</f>
        <v>#VALUE!</v>
      </c>
      <c r="IE51" t="e">
        <f>AND(Answers!N163,"AAAAAES+ue4=")</f>
        <v>#VALUE!</v>
      </c>
      <c r="IF51" t="e">
        <f>AND(Answers!O163,"AAAAAES+ue8=")</f>
        <v>#VALUE!</v>
      </c>
      <c r="IG51" t="e">
        <f>AND(Answers!P163,"AAAAAES+ufA=")</f>
        <v>#VALUE!</v>
      </c>
      <c r="IH51" t="e">
        <f>AND(Answers!Q163,"AAAAAES+ufE=")</f>
        <v>#VALUE!</v>
      </c>
      <c r="II51" t="e">
        <f>AND(Answers!R163,"AAAAAES+ufI=")</f>
        <v>#VALUE!</v>
      </c>
      <c r="IJ51" t="e">
        <f>AND(Answers!S163,"AAAAAES+ufM=")</f>
        <v>#VALUE!</v>
      </c>
      <c r="IK51" t="e">
        <f>AND(Answers!T163,"AAAAAES+ufQ=")</f>
        <v>#VALUE!</v>
      </c>
      <c r="IL51" t="e">
        <f>AND(Answers!U163,"AAAAAES+ufU=")</f>
        <v>#VALUE!</v>
      </c>
      <c r="IM51" t="e">
        <f>AND(Answers!V163,"AAAAAES+ufY=")</f>
        <v>#VALUE!</v>
      </c>
      <c r="IN51" t="e">
        <f>AND(Answers!X163,"AAAAAES+ufc=")</f>
        <v>#VALUE!</v>
      </c>
      <c r="IO51" t="e">
        <f>AND(Answers!Y163,"AAAAAES+ufg=")</f>
        <v>#VALUE!</v>
      </c>
      <c r="IP51" t="e">
        <f>AND(Answers!Z163,"AAAAAES+ufk=")</f>
        <v>#VALUE!</v>
      </c>
      <c r="IQ51" t="e">
        <f>AND(Answers!AA163,"AAAAAES+ufo=")</f>
        <v>#VALUE!</v>
      </c>
      <c r="IR51" t="e">
        <f>AND(Answers!AB163,"AAAAAES+ufs=")</f>
        <v>#VALUE!</v>
      </c>
      <c r="IS51" t="e">
        <f>AND(Answers!AC163,"AAAAAES+ufw=")</f>
        <v>#VALUE!</v>
      </c>
      <c r="IT51" t="e">
        <f>AND(Answers!AD163,"AAAAAES+uf0=")</f>
        <v>#VALUE!</v>
      </c>
      <c r="IU51" t="e">
        <f>AND(Answers!AE163,"AAAAAES+uf4=")</f>
        <v>#VALUE!</v>
      </c>
      <c r="IV51" t="e">
        <f>AND(Answers!AF163,"AAAAAES+uf8=")</f>
        <v>#VALUE!</v>
      </c>
    </row>
    <row r="52" spans="1:256" x14ac:dyDescent="0.15">
      <c r="A52" t="e">
        <f>AND(Answers!AH163,"AAAAABl9/wA=")</f>
        <v>#VALUE!</v>
      </c>
      <c r="B52" t="e">
        <f>AND(Answers!AI163,"AAAAABl9/wE=")</f>
        <v>#VALUE!</v>
      </c>
      <c r="C52" t="e">
        <f>AND(Answers!AK163,"AAAAABl9/wI=")</f>
        <v>#VALUE!</v>
      </c>
      <c r="D52" t="e">
        <f>AND(Answers!#REF!,"AAAAABl9/wM=")</f>
        <v>#REF!</v>
      </c>
      <c r="E52" t="e">
        <f>AND(Answers!AR163,"AAAAABl9/wQ=")</f>
        <v>#VALUE!</v>
      </c>
      <c r="F52" t="e">
        <f>AND(Answers!AS163,"AAAAABl9/wU=")</f>
        <v>#VALUE!</v>
      </c>
      <c r="G52" t="e">
        <f>AND(Answers!AT163,"AAAAABl9/wY=")</f>
        <v>#VALUE!</v>
      </c>
      <c r="H52" t="e">
        <f>AND(Answers!AU163,"AAAAABl9/wc=")</f>
        <v>#VALUE!</v>
      </c>
      <c r="I52" t="e">
        <f>AND(Answers!AW163,"AAAAABl9/wg=")</f>
        <v>#VALUE!</v>
      </c>
      <c r="J52" t="e">
        <f>AND(Answers!AX163,"AAAAABl9/wk=")</f>
        <v>#VALUE!</v>
      </c>
      <c r="K52" t="e">
        <f>AND(Answers!AY163,"AAAAABl9/wo=")</f>
        <v>#VALUE!</v>
      </c>
      <c r="L52" t="e">
        <f>AND(Answers!AZ163,"AAAAABl9/ws=")</f>
        <v>#VALUE!</v>
      </c>
      <c r="M52" t="e">
        <f>AND(Answers!BA163,"AAAAABl9/ww=")</f>
        <v>#VALUE!</v>
      </c>
      <c r="N52" t="e">
        <f>AND(Answers!BB163,"AAAAABl9/w0=")</f>
        <v>#VALUE!</v>
      </c>
      <c r="O52" t="e">
        <f>AND(Answers!BC163,"AAAAABl9/w4=")</f>
        <v>#VALUE!</v>
      </c>
      <c r="P52" t="e">
        <f>AND(Answers!BD163,"AAAAABl9/w8=")</f>
        <v>#VALUE!</v>
      </c>
      <c r="Q52" t="e">
        <f>AND(Answers!BE163,"AAAAABl9/xA=")</f>
        <v>#VALUE!</v>
      </c>
      <c r="R52" t="e">
        <f>AND(Answers!BF163,"AAAAABl9/xE=")</f>
        <v>#VALUE!</v>
      </c>
      <c r="S52" t="e">
        <f>AND(Answers!BG163,"AAAAABl9/xI=")</f>
        <v>#VALUE!</v>
      </c>
      <c r="T52" t="e">
        <f>AND(Answers!BH163,"AAAAABl9/xM=")</f>
        <v>#VALUE!</v>
      </c>
      <c r="U52" t="e">
        <f>AND(Answers!BI163,"AAAAABl9/xQ=")</f>
        <v>#VALUE!</v>
      </c>
      <c r="V52" t="e">
        <f>AND(Answers!BK163,"AAAAABl9/xU=")</f>
        <v>#VALUE!</v>
      </c>
      <c r="W52" t="e">
        <f>AND(Answers!BL163,"AAAAABl9/xY=")</f>
        <v>#VALUE!</v>
      </c>
      <c r="X52" t="e">
        <f>AND(Answers!BM163,"AAAAABl9/xc=")</f>
        <v>#VALUE!</v>
      </c>
      <c r="Y52" t="e">
        <f>AND(Answers!BN163,"AAAAABl9/xg=")</f>
        <v>#VALUE!</v>
      </c>
      <c r="Z52" t="e">
        <f>AND(Answers!BO163,"AAAAABl9/xk=")</f>
        <v>#VALUE!</v>
      </c>
      <c r="AA52" t="e">
        <f>AND(Answers!BP163,"AAAAABl9/xo=")</f>
        <v>#VALUE!</v>
      </c>
      <c r="AB52" t="e">
        <f>AND(Answers!BQ163,"AAAAABl9/xs=")</f>
        <v>#VALUE!</v>
      </c>
      <c r="AC52" t="e">
        <f>AND(Answers!BR163,"AAAAABl9/xw=")</f>
        <v>#VALUE!</v>
      </c>
      <c r="AD52" t="e">
        <f>AND(Answers!BS163,"AAAAABl9/x0=")</f>
        <v>#VALUE!</v>
      </c>
      <c r="AE52" t="e">
        <f>AND(Answers!BU163,"AAAAABl9/x4=")</f>
        <v>#VALUE!</v>
      </c>
      <c r="AF52" t="e">
        <f>AND(Answers!BV163,"AAAAABl9/x8=")</f>
        <v>#VALUE!</v>
      </c>
      <c r="AG52" t="e">
        <f>AND(Answers!#REF!,"AAAAABl9/yA=")</f>
        <v>#REF!</v>
      </c>
      <c r="AH52" t="e">
        <f>AND(Answers!BW163,"AAAAABl9/yE=")</f>
        <v>#VALUE!</v>
      </c>
      <c r="AI52" t="e">
        <f>AND(Answers!BX163,"AAAAABl9/yI=")</f>
        <v>#VALUE!</v>
      </c>
      <c r="AJ52" t="e">
        <f>AND(Answers!BY163,"AAAAABl9/yM=")</f>
        <v>#VALUE!</v>
      </c>
      <c r="AK52" t="e">
        <f>AND(Answers!BZ163,"AAAAABl9/yQ=")</f>
        <v>#VALUE!</v>
      </c>
      <c r="AL52">
        <f>IF(Answers!164:164,"AAAAABl9/yU=",0)</f>
        <v>0</v>
      </c>
      <c r="AM52" t="e">
        <f>AND(Answers!A164,"AAAAABl9/yY=")</f>
        <v>#VALUE!</v>
      </c>
      <c r="AN52" t="e">
        <f>AND(Answers!B164,"AAAAABl9/yc=")</f>
        <v>#VALUE!</v>
      </c>
      <c r="AO52" t="e">
        <f>AND(Answers!C164,"AAAAABl9/yg=")</f>
        <v>#VALUE!</v>
      </c>
      <c r="AP52" t="e">
        <f>AND(Answers!D164,"AAAAABl9/yk=")</f>
        <v>#VALUE!</v>
      </c>
      <c r="AQ52" t="e">
        <f>AND(Answers!E164,"AAAAABl9/yo=")</f>
        <v>#VALUE!</v>
      </c>
      <c r="AR52" t="e">
        <f>AND(Answers!F164,"AAAAABl9/ys=")</f>
        <v>#VALUE!</v>
      </c>
      <c r="AS52" t="e">
        <f>AND(Answers!G164,"AAAAABl9/yw=")</f>
        <v>#VALUE!</v>
      </c>
      <c r="AT52" t="e">
        <f>AND(Answers!H164,"AAAAABl9/y0=")</f>
        <v>#VALUE!</v>
      </c>
      <c r="AU52" t="e">
        <f>AND(Answers!J164,"AAAAABl9/y4=")</f>
        <v>#VALUE!</v>
      </c>
      <c r="AV52" t="e">
        <f>AND(Answers!K164,"AAAAABl9/y8=")</f>
        <v>#VALUE!</v>
      </c>
      <c r="AW52" t="e">
        <f>AND(Answers!L164,"AAAAABl9/zA=")</f>
        <v>#VALUE!</v>
      </c>
      <c r="AX52" t="e">
        <f>AND(Answers!M164,"AAAAABl9/zE=")</f>
        <v>#VALUE!</v>
      </c>
      <c r="AY52" t="e">
        <f>AND(Answers!N164,"AAAAABl9/zI=")</f>
        <v>#VALUE!</v>
      </c>
      <c r="AZ52" t="e">
        <f>AND(Answers!O164,"AAAAABl9/zM=")</f>
        <v>#VALUE!</v>
      </c>
      <c r="BA52" t="e">
        <f>AND(Answers!P164,"AAAAABl9/zQ=")</f>
        <v>#VALUE!</v>
      </c>
      <c r="BB52" t="e">
        <f>AND(Answers!Q164,"AAAAABl9/zU=")</f>
        <v>#VALUE!</v>
      </c>
      <c r="BC52" t="e">
        <f>AND(Answers!R164,"AAAAABl9/zY=")</f>
        <v>#VALUE!</v>
      </c>
      <c r="BD52" t="e">
        <f>AND(Answers!S164,"AAAAABl9/zc=")</f>
        <v>#VALUE!</v>
      </c>
      <c r="BE52" t="e">
        <f>AND(Answers!T164,"AAAAABl9/zg=")</f>
        <v>#VALUE!</v>
      </c>
      <c r="BF52" t="e">
        <f>AND(Answers!U164,"AAAAABl9/zk=")</f>
        <v>#VALUE!</v>
      </c>
      <c r="BG52" t="e">
        <f>AND(Answers!V164,"AAAAABl9/zo=")</f>
        <v>#VALUE!</v>
      </c>
      <c r="BH52" t="e">
        <f>AND(Answers!X164,"AAAAABl9/zs=")</f>
        <v>#VALUE!</v>
      </c>
      <c r="BI52" t="e">
        <f>AND(Answers!Y164,"AAAAABl9/zw=")</f>
        <v>#VALUE!</v>
      </c>
      <c r="BJ52" t="e">
        <f>AND(Answers!Z164,"AAAAABl9/z0=")</f>
        <v>#VALUE!</v>
      </c>
      <c r="BK52" t="e">
        <f>AND(Answers!AA164,"AAAAABl9/z4=")</f>
        <v>#VALUE!</v>
      </c>
      <c r="BL52" t="e">
        <f>AND(Answers!AB164,"AAAAABl9/z8=")</f>
        <v>#VALUE!</v>
      </c>
      <c r="BM52" t="e">
        <f>AND(Answers!AC164,"AAAAABl9/0A=")</f>
        <v>#VALUE!</v>
      </c>
      <c r="BN52" t="e">
        <f>AND(Answers!AD164,"AAAAABl9/0E=")</f>
        <v>#VALUE!</v>
      </c>
      <c r="BO52" t="e">
        <f>AND(Answers!AE164,"AAAAABl9/0I=")</f>
        <v>#VALUE!</v>
      </c>
      <c r="BP52" t="e">
        <f>AND(Answers!AF164,"AAAAABl9/0M=")</f>
        <v>#VALUE!</v>
      </c>
      <c r="BQ52" t="e">
        <f>AND(Answers!AH164,"AAAAABl9/0Q=")</f>
        <v>#VALUE!</v>
      </c>
      <c r="BR52" t="e">
        <f>AND(Answers!AI164,"AAAAABl9/0U=")</f>
        <v>#VALUE!</v>
      </c>
      <c r="BS52" t="e">
        <f>AND(Answers!AK164,"AAAAABl9/0Y=")</f>
        <v>#VALUE!</v>
      </c>
      <c r="BT52" t="e">
        <f>AND(Answers!#REF!,"AAAAABl9/0c=")</f>
        <v>#REF!</v>
      </c>
      <c r="BU52" t="e">
        <f>AND(Answers!AR164,"AAAAABl9/0g=")</f>
        <v>#VALUE!</v>
      </c>
      <c r="BV52" t="e">
        <f>AND(Answers!AS164,"AAAAABl9/0k=")</f>
        <v>#VALUE!</v>
      </c>
      <c r="BW52" t="e">
        <f>AND(Answers!AT164,"AAAAABl9/0o=")</f>
        <v>#VALUE!</v>
      </c>
      <c r="BX52" t="e">
        <f>AND(Answers!AU164,"AAAAABl9/0s=")</f>
        <v>#VALUE!</v>
      </c>
      <c r="BY52" t="e">
        <f>AND(Answers!AW164,"AAAAABl9/0w=")</f>
        <v>#VALUE!</v>
      </c>
      <c r="BZ52" t="e">
        <f>AND(Answers!AX164,"AAAAABl9/00=")</f>
        <v>#VALUE!</v>
      </c>
      <c r="CA52" t="e">
        <f>AND(Answers!AY164,"AAAAABl9/04=")</f>
        <v>#VALUE!</v>
      </c>
      <c r="CB52" t="e">
        <f>AND(Answers!AZ164,"AAAAABl9/08=")</f>
        <v>#VALUE!</v>
      </c>
      <c r="CC52" t="e">
        <f>AND(Answers!BA164,"AAAAABl9/1A=")</f>
        <v>#VALUE!</v>
      </c>
      <c r="CD52" t="e">
        <f>AND(Answers!BB164,"AAAAABl9/1E=")</f>
        <v>#VALUE!</v>
      </c>
      <c r="CE52" t="e">
        <f>AND(Answers!BC164,"AAAAABl9/1I=")</f>
        <v>#VALUE!</v>
      </c>
      <c r="CF52" t="e">
        <f>AND(Answers!BD164,"AAAAABl9/1M=")</f>
        <v>#VALUE!</v>
      </c>
      <c r="CG52" t="e">
        <f>AND(Answers!BE164,"AAAAABl9/1Q=")</f>
        <v>#VALUE!</v>
      </c>
      <c r="CH52" t="e">
        <f>AND(Answers!BF164,"AAAAABl9/1U=")</f>
        <v>#VALUE!</v>
      </c>
      <c r="CI52" t="e">
        <f>AND(Answers!BG164,"AAAAABl9/1Y=")</f>
        <v>#VALUE!</v>
      </c>
      <c r="CJ52" t="e">
        <f>AND(Answers!BH164,"AAAAABl9/1c=")</f>
        <v>#VALUE!</v>
      </c>
      <c r="CK52" t="e">
        <f>AND(Answers!BI164,"AAAAABl9/1g=")</f>
        <v>#VALUE!</v>
      </c>
      <c r="CL52" t="e">
        <f>AND(Answers!BK164,"AAAAABl9/1k=")</f>
        <v>#VALUE!</v>
      </c>
      <c r="CM52" t="e">
        <f>AND(Answers!BL164,"AAAAABl9/1o=")</f>
        <v>#VALUE!</v>
      </c>
      <c r="CN52" t="e">
        <f>AND(Answers!BM164,"AAAAABl9/1s=")</f>
        <v>#VALUE!</v>
      </c>
      <c r="CO52" t="e">
        <f>AND(Answers!BN164,"AAAAABl9/1w=")</f>
        <v>#VALUE!</v>
      </c>
      <c r="CP52" t="e">
        <f>AND(Answers!BO164,"AAAAABl9/10=")</f>
        <v>#VALUE!</v>
      </c>
      <c r="CQ52" t="e">
        <f>AND(Answers!BP164,"AAAAABl9/14=")</f>
        <v>#VALUE!</v>
      </c>
      <c r="CR52" t="e">
        <f>AND(Answers!BQ164,"AAAAABl9/18=")</f>
        <v>#VALUE!</v>
      </c>
      <c r="CS52" t="e">
        <f>AND(Answers!BR164,"AAAAABl9/2A=")</f>
        <v>#VALUE!</v>
      </c>
      <c r="CT52" t="e">
        <f>AND(Answers!BS164,"AAAAABl9/2E=")</f>
        <v>#VALUE!</v>
      </c>
      <c r="CU52" t="e">
        <f>AND(Answers!BU164,"AAAAABl9/2I=")</f>
        <v>#VALUE!</v>
      </c>
      <c r="CV52" t="e">
        <f>AND(Answers!BV164,"AAAAABl9/2M=")</f>
        <v>#VALUE!</v>
      </c>
      <c r="CW52" t="e">
        <f>AND(Answers!#REF!,"AAAAABl9/2Q=")</f>
        <v>#REF!</v>
      </c>
      <c r="CX52" t="e">
        <f>AND(Answers!BW164,"AAAAABl9/2U=")</f>
        <v>#VALUE!</v>
      </c>
      <c r="CY52" t="e">
        <f>AND(Answers!BX164,"AAAAABl9/2Y=")</f>
        <v>#VALUE!</v>
      </c>
      <c r="CZ52" t="e">
        <f>AND(Answers!BY164,"AAAAABl9/2c=")</f>
        <v>#VALUE!</v>
      </c>
      <c r="DA52" t="e">
        <f>AND(Answers!BZ164,"AAAAABl9/2g=")</f>
        <v>#VALUE!</v>
      </c>
      <c r="DB52">
        <f>IF(Answers!165:165,"AAAAABl9/2k=",0)</f>
        <v>0</v>
      </c>
      <c r="DC52" t="e">
        <f>AND(Answers!A165,"AAAAABl9/2o=")</f>
        <v>#VALUE!</v>
      </c>
      <c r="DD52" t="e">
        <f>AND(Answers!B165,"AAAAABl9/2s=")</f>
        <v>#VALUE!</v>
      </c>
      <c r="DE52" t="e">
        <f>AND(Answers!C165,"AAAAABl9/2w=")</f>
        <v>#VALUE!</v>
      </c>
      <c r="DF52" t="e">
        <f>AND(Answers!D165,"AAAAABl9/20=")</f>
        <v>#VALUE!</v>
      </c>
      <c r="DG52" t="e">
        <f>AND(Answers!E165,"AAAAABl9/24=")</f>
        <v>#VALUE!</v>
      </c>
      <c r="DH52" t="e">
        <f>AND(Answers!F165,"AAAAABl9/28=")</f>
        <v>#VALUE!</v>
      </c>
      <c r="DI52" t="e">
        <f>AND(Answers!G165,"AAAAABl9/3A=")</f>
        <v>#VALUE!</v>
      </c>
      <c r="DJ52" t="e">
        <f>AND(Answers!H165,"AAAAABl9/3E=")</f>
        <v>#VALUE!</v>
      </c>
      <c r="DK52" t="e">
        <f>AND(Answers!J165,"AAAAABl9/3I=")</f>
        <v>#VALUE!</v>
      </c>
      <c r="DL52" t="e">
        <f>AND(Answers!K165,"AAAAABl9/3M=")</f>
        <v>#VALUE!</v>
      </c>
      <c r="DM52" t="e">
        <f>AND(Answers!L165,"AAAAABl9/3Q=")</f>
        <v>#VALUE!</v>
      </c>
      <c r="DN52" t="e">
        <f>AND(Answers!M165,"AAAAABl9/3U=")</f>
        <v>#VALUE!</v>
      </c>
      <c r="DO52" t="e">
        <f>AND(Answers!N165,"AAAAABl9/3Y=")</f>
        <v>#VALUE!</v>
      </c>
      <c r="DP52" t="e">
        <f>AND(Answers!O165,"AAAAABl9/3c=")</f>
        <v>#VALUE!</v>
      </c>
      <c r="DQ52" t="e">
        <f>AND(Answers!P165,"AAAAABl9/3g=")</f>
        <v>#VALUE!</v>
      </c>
      <c r="DR52" t="e">
        <f>AND(Answers!Q165,"AAAAABl9/3k=")</f>
        <v>#VALUE!</v>
      </c>
      <c r="DS52" t="e">
        <f>AND(Answers!R165,"AAAAABl9/3o=")</f>
        <v>#VALUE!</v>
      </c>
      <c r="DT52" t="e">
        <f>AND(Answers!S165,"AAAAABl9/3s=")</f>
        <v>#VALUE!</v>
      </c>
      <c r="DU52" t="e">
        <f>AND(Answers!T165,"AAAAABl9/3w=")</f>
        <v>#VALUE!</v>
      </c>
      <c r="DV52" t="e">
        <f>AND(Answers!U165,"AAAAABl9/30=")</f>
        <v>#VALUE!</v>
      </c>
      <c r="DW52" t="e">
        <f>AND(Answers!V165,"AAAAABl9/34=")</f>
        <v>#VALUE!</v>
      </c>
      <c r="DX52" t="e">
        <f>AND(Answers!X165,"AAAAABl9/38=")</f>
        <v>#VALUE!</v>
      </c>
      <c r="DY52" t="e">
        <f>AND(Answers!Y165,"AAAAABl9/4A=")</f>
        <v>#VALUE!</v>
      </c>
      <c r="DZ52" t="e">
        <f>AND(Answers!Z165,"AAAAABl9/4E=")</f>
        <v>#VALUE!</v>
      </c>
      <c r="EA52" t="e">
        <f>AND(Answers!AA165,"AAAAABl9/4I=")</f>
        <v>#VALUE!</v>
      </c>
      <c r="EB52" t="e">
        <f>AND(Answers!AB165,"AAAAABl9/4M=")</f>
        <v>#VALUE!</v>
      </c>
      <c r="EC52" t="e">
        <f>AND(Answers!AC165,"AAAAABl9/4Q=")</f>
        <v>#VALUE!</v>
      </c>
      <c r="ED52" t="e">
        <f>AND(Answers!AD165,"AAAAABl9/4U=")</f>
        <v>#VALUE!</v>
      </c>
      <c r="EE52" t="e">
        <f>AND(Answers!AE165,"AAAAABl9/4Y=")</f>
        <v>#VALUE!</v>
      </c>
      <c r="EF52" t="e">
        <f>AND(Answers!AF165,"AAAAABl9/4c=")</f>
        <v>#VALUE!</v>
      </c>
      <c r="EG52" t="e">
        <f>AND(Answers!AH165,"AAAAABl9/4g=")</f>
        <v>#VALUE!</v>
      </c>
      <c r="EH52" t="e">
        <f>AND(Answers!AI165,"AAAAABl9/4k=")</f>
        <v>#VALUE!</v>
      </c>
      <c r="EI52" t="e">
        <f>AND(Answers!AK165,"AAAAABl9/4o=")</f>
        <v>#VALUE!</v>
      </c>
      <c r="EJ52" t="e">
        <f>AND(Answers!#REF!,"AAAAABl9/4s=")</f>
        <v>#REF!</v>
      </c>
      <c r="EK52" t="e">
        <f>AND(Answers!AR165,"AAAAABl9/4w=")</f>
        <v>#VALUE!</v>
      </c>
      <c r="EL52" t="e">
        <f>AND(Answers!AS165,"AAAAABl9/40=")</f>
        <v>#VALUE!</v>
      </c>
      <c r="EM52" t="e">
        <f>AND(Answers!AT165,"AAAAABl9/44=")</f>
        <v>#VALUE!</v>
      </c>
      <c r="EN52" t="e">
        <f>AND(Answers!AU165,"AAAAABl9/48=")</f>
        <v>#VALUE!</v>
      </c>
      <c r="EO52" t="e">
        <f>AND(Answers!AW165,"AAAAABl9/5A=")</f>
        <v>#VALUE!</v>
      </c>
      <c r="EP52" t="e">
        <f>AND(Answers!AX165,"AAAAABl9/5E=")</f>
        <v>#VALUE!</v>
      </c>
      <c r="EQ52" t="e">
        <f>AND(Answers!AY165,"AAAAABl9/5I=")</f>
        <v>#VALUE!</v>
      </c>
      <c r="ER52" t="e">
        <f>AND(Answers!AZ165,"AAAAABl9/5M=")</f>
        <v>#VALUE!</v>
      </c>
      <c r="ES52" t="e">
        <f>AND(Answers!BA165,"AAAAABl9/5Q=")</f>
        <v>#VALUE!</v>
      </c>
      <c r="ET52" t="e">
        <f>AND(Answers!BB165,"AAAAABl9/5U=")</f>
        <v>#VALUE!</v>
      </c>
      <c r="EU52" t="e">
        <f>AND(Answers!BC165,"AAAAABl9/5Y=")</f>
        <v>#VALUE!</v>
      </c>
      <c r="EV52" t="e">
        <f>AND(Answers!BD165,"AAAAABl9/5c=")</f>
        <v>#VALUE!</v>
      </c>
      <c r="EW52" t="e">
        <f>AND(Answers!BE165,"AAAAABl9/5g=")</f>
        <v>#VALUE!</v>
      </c>
      <c r="EX52" t="e">
        <f>AND(Answers!BF165,"AAAAABl9/5k=")</f>
        <v>#VALUE!</v>
      </c>
      <c r="EY52" t="e">
        <f>AND(Answers!BG165,"AAAAABl9/5o=")</f>
        <v>#VALUE!</v>
      </c>
      <c r="EZ52" t="e">
        <f>AND(Answers!BH165,"AAAAABl9/5s=")</f>
        <v>#VALUE!</v>
      </c>
      <c r="FA52" t="e">
        <f>AND(Answers!BI165,"AAAAABl9/5w=")</f>
        <v>#VALUE!</v>
      </c>
      <c r="FB52" t="e">
        <f>AND(Answers!BK165,"AAAAABl9/50=")</f>
        <v>#VALUE!</v>
      </c>
      <c r="FC52" t="e">
        <f>AND(Answers!BL165,"AAAAABl9/54=")</f>
        <v>#VALUE!</v>
      </c>
      <c r="FD52" t="e">
        <f>AND(Answers!BM165,"AAAAABl9/58=")</f>
        <v>#VALUE!</v>
      </c>
      <c r="FE52" t="e">
        <f>AND(Answers!BN165,"AAAAABl9/6A=")</f>
        <v>#VALUE!</v>
      </c>
      <c r="FF52" t="e">
        <f>AND(Answers!BO165,"AAAAABl9/6E=")</f>
        <v>#VALUE!</v>
      </c>
      <c r="FG52" t="e">
        <f>AND(Answers!BP165,"AAAAABl9/6I=")</f>
        <v>#VALUE!</v>
      </c>
      <c r="FH52" t="e">
        <f>AND(Answers!BQ165,"AAAAABl9/6M=")</f>
        <v>#VALUE!</v>
      </c>
      <c r="FI52" t="e">
        <f>AND(Answers!BR165,"AAAAABl9/6Q=")</f>
        <v>#VALUE!</v>
      </c>
      <c r="FJ52" t="e">
        <f>AND(Answers!BS165,"AAAAABl9/6U=")</f>
        <v>#VALUE!</v>
      </c>
      <c r="FK52" t="e">
        <f>AND(Answers!BU165,"AAAAABl9/6Y=")</f>
        <v>#VALUE!</v>
      </c>
      <c r="FL52" t="e">
        <f>AND(Answers!BV165,"AAAAABl9/6c=")</f>
        <v>#VALUE!</v>
      </c>
      <c r="FM52" t="e">
        <f>AND(Answers!#REF!,"AAAAABl9/6g=")</f>
        <v>#REF!</v>
      </c>
      <c r="FN52" t="e">
        <f>AND(Answers!BW165,"AAAAABl9/6k=")</f>
        <v>#VALUE!</v>
      </c>
      <c r="FO52" t="e">
        <f>AND(Answers!BX165,"AAAAABl9/6o=")</f>
        <v>#VALUE!</v>
      </c>
      <c r="FP52" t="e">
        <f>AND(Answers!BY165,"AAAAABl9/6s=")</f>
        <v>#VALUE!</v>
      </c>
      <c r="FQ52" t="e">
        <f>AND(Answers!BZ165,"AAAAABl9/6w=")</f>
        <v>#VALUE!</v>
      </c>
      <c r="FR52">
        <f>IF(Answers!166:166,"AAAAABl9/60=",0)</f>
        <v>0</v>
      </c>
      <c r="FS52" t="e">
        <f>AND(Answers!A166,"AAAAABl9/64=")</f>
        <v>#VALUE!</v>
      </c>
      <c r="FT52" t="e">
        <f>AND(Answers!B166,"AAAAABl9/68=")</f>
        <v>#VALUE!</v>
      </c>
      <c r="FU52" t="e">
        <f>AND(Answers!C166,"AAAAABl9/7A=")</f>
        <v>#VALUE!</v>
      </c>
      <c r="FV52" t="e">
        <f>AND(Answers!D166,"AAAAABl9/7E=")</f>
        <v>#VALUE!</v>
      </c>
      <c r="FW52" t="e">
        <f>AND(Answers!E166,"AAAAABl9/7I=")</f>
        <v>#VALUE!</v>
      </c>
      <c r="FX52" t="e">
        <f>AND(Answers!F166,"AAAAABl9/7M=")</f>
        <v>#VALUE!</v>
      </c>
      <c r="FY52" t="e">
        <f>AND(Answers!G166,"AAAAABl9/7Q=")</f>
        <v>#VALUE!</v>
      </c>
      <c r="FZ52" t="e">
        <f>AND(Answers!H166,"AAAAABl9/7U=")</f>
        <v>#VALUE!</v>
      </c>
      <c r="GA52" t="e">
        <f>AND(Answers!J166,"AAAAABl9/7Y=")</f>
        <v>#VALUE!</v>
      </c>
      <c r="GB52" t="e">
        <f>AND(Answers!K166,"AAAAABl9/7c=")</f>
        <v>#VALUE!</v>
      </c>
      <c r="GC52" t="e">
        <f>AND(Answers!L166,"AAAAABl9/7g=")</f>
        <v>#VALUE!</v>
      </c>
      <c r="GD52" t="e">
        <f>AND(Answers!M166,"AAAAABl9/7k=")</f>
        <v>#VALUE!</v>
      </c>
      <c r="GE52" t="e">
        <f>AND(Answers!N166,"AAAAABl9/7o=")</f>
        <v>#VALUE!</v>
      </c>
      <c r="GF52" t="e">
        <f>AND(Answers!O166,"AAAAABl9/7s=")</f>
        <v>#VALUE!</v>
      </c>
      <c r="GG52" t="e">
        <f>AND(Answers!P166,"AAAAABl9/7w=")</f>
        <v>#VALUE!</v>
      </c>
      <c r="GH52" t="e">
        <f>AND(Answers!Q166,"AAAAABl9/70=")</f>
        <v>#VALUE!</v>
      </c>
      <c r="GI52" t="e">
        <f>AND(Answers!R166,"AAAAABl9/74=")</f>
        <v>#VALUE!</v>
      </c>
      <c r="GJ52" t="e">
        <f>AND(Answers!S166,"AAAAABl9/78=")</f>
        <v>#VALUE!</v>
      </c>
      <c r="GK52" t="e">
        <f>AND(Answers!T166,"AAAAABl9/8A=")</f>
        <v>#VALUE!</v>
      </c>
      <c r="GL52" t="e">
        <f>AND(Answers!U166,"AAAAABl9/8E=")</f>
        <v>#VALUE!</v>
      </c>
      <c r="GM52" t="e">
        <f>AND(Answers!V166,"AAAAABl9/8I=")</f>
        <v>#VALUE!</v>
      </c>
      <c r="GN52" t="e">
        <f>AND(Answers!X166,"AAAAABl9/8M=")</f>
        <v>#VALUE!</v>
      </c>
      <c r="GO52" t="e">
        <f>AND(Answers!Y166,"AAAAABl9/8Q=")</f>
        <v>#VALUE!</v>
      </c>
      <c r="GP52" t="e">
        <f>AND(Answers!Z166,"AAAAABl9/8U=")</f>
        <v>#VALUE!</v>
      </c>
      <c r="GQ52" t="e">
        <f>AND(Answers!AA166,"AAAAABl9/8Y=")</f>
        <v>#VALUE!</v>
      </c>
      <c r="GR52" t="e">
        <f>AND(Answers!AB166,"AAAAABl9/8c=")</f>
        <v>#VALUE!</v>
      </c>
      <c r="GS52" t="e">
        <f>AND(Answers!AC166,"AAAAABl9/8g=")</f>
        <v>#VALUE!</v>
      </c>
      <c r="GT52" t="e">
        <f>AND(Answers!AD166,"AAAAABl9/8k=")</f>
        <v>#VALUE!</v>
      </c>
      <c r="GU52" t="e">
        <f>AND(Answers!AE166,"AAAAABl9/8o=")</f>
        <v>#VALUE!</v>
      </c>
      <c r="GV52" t="e">
        <f>AND(Answers!AF166,"AAAAABl9/8s=")</f>
        <v>#VALUE!</v>
      </c>
      <c r="GW52" t="e">
        <f>AND(Answers!AH166,"AAAAABl9/8w=")</f>
        <v>#VALUE!</v>
      </c>
      <c r="GX52" t="e">
        <f>AND(Answers!AI166,"AAAAABl9/80=")</f>
        <v>#VALUE!</v>
      </c>
      <c r="GY52" t="e">
        <f>AND(Answers!AK166,"AAAAABl9/84=")</f>
        <v>#VALUE!</v>
      </c>
      <c r="GZ52" t="e">
        <f>AND(Answers!#REF!,"AAAAABl9/88=")</f>
        <v>#REF!</v>
      </c>
      <c r="HA52" t="e">
        <f>AND(Answers!AR166,"AAAAABl9/9A=")</f>
        <v>#VALUE!</v>
      </c>
      <c r="HB52" t="e">
        <f>AND(Answers!AS166,"AAAAABl9/9E=")</f>
        <v>#VALUE!</v>
      </c>
      <c r="HC52" t="e">
        <f>AND(Answers!AT166,"AAAAABl9/9I=")</f>
        <v>#VALUE!</v>
      </c>
      <c r="HD52" t="e">
        <f>AND(Answers!AU166,"AAAAABl9/9M=")</f>
        <v>#VALUE!</v>
      </c>
      <c r="HE52" t="e">
        <f>AND(Answers!AW166,"AAAAABl9/9Q=")</f>
        <v>#VALUE!</v>
      </c>
      <c r="HF52" t="e">
        <f>AND(Answers!AX166,"AAAAABl9/9U=")</f>
        <v>#VALUE!</v>
      </c>
      <c r="HG52" t="e">
        <f>AND(Answers!AY166,"AAAAABl9/9Y=")</f>
        <v>#VALUE!</v>
      </c>
      <c r="HH52" t="e">
        <f>AND(Answers!AZ166,"AAAAABl9/9c=")</f>
        <v>#VALUE!</v>
      </c>
      <c r="HI52" t="e">
        <f>AND(Answers!BA166,"AAAAABl9/9g=")</f>
        <v>#VALUE!</v>
      </c>
      <c r="HJ52" t="e">
        <f>AND(Answers!BB166,"AAAAABl9/9k=")</f>
        <v>#VALUE!</v>
      </c>
      <c r="HK52" t="e">
        <f>AND(Answers!BC166,"AAAAABl9/9o=")</f>
        <v>#VALUE!</v>
      </c>
      <c r="HL52" t="e">
        <f>AND(Answers!BD166,"AAAAABl9/9s=")</f>
        <v>#VALUE!</v>
      </c>
      <c r="HM52" t="e">
        <f>AND(Answers!BE166,"AAAAABl9/9w=")</f>
        <v>#VALUE!</v>
      </c>
      <c r="HN52" t="e">
        <f>AND(Answers!BF166,"AAAAABl9/90=")</f>
        <v>#VALUE!</v>
      </c>
      <c r="HO52" t="e">
        <f>AND(Answers!BG166,"AAAAABl9/94=")</f>
        <v>#VALUE!</v>
      </c>
      <c r="HP52" t="e">
        <f>AND(Answers!BH166,"AAAAABl9/98=")</f>
        <v>#VALUE!</v>
      </c>
      <c r="HQ52" t="e">
        <f>AND(Answers!BI166,"AAAAABl9/+A=")</f>
        <v>#VALUE!</v>
      </c>
      <c r="HR52" t="e">
        <f>AND(Answers!BK166,"AAAAABl9/+E=")</f>
        <v>#VALUE!</v>
      </c>
      <c r="HS52" t="e">
        <f>AND(Answers!BL166,"AAAAABl9/+I=")</f>
        <v>#VALUE!</v>
      </c>
      <c r="HT52" t="e">
        <f>AND(Answers!BM166,"AAAAABl9/+M=")</f>
        <v>#VALUE!</v>
      </c>
      <c r="HU52" t="e">
        <f>AND(Answers!BN166,"AAAAABl9/+Q=")</f>
        <v>#VALUE!</v>
      </c>
      <c r="HV52" t="e">
        <f>AND(Answers!BO166,"AAAAABl9/+U=")</f>
        <v>#VALUE!</v>
      </c>
      <c r="HW52" t="e">
        <f>AND(Answers!BP166,"AAAAABl9/+Y=")</f>
        <v>#VALUE!</v>
      </c>
      <c r="HX52" t="e">
        <f>AND(Answers!BQ166,"AAAAABl9/+c=")</f>
        <v>#VALUE!</v>
      </c>
      <c r="HY52" t="e">
        <f>AND(Answers!BR166,"AAAAABl9/+g=")</f>
        <v>#VALUE!</v>
      </c>
      <c r="HZ52" t="e">
        <f>AND(Answers!BS166,"AAAAABl9/+k=")</f>
        <v>#VALUE!</v>
      </c>
      <c r="IA52" t="e">
        <f>AND(Answers!BU166,"AAAAABl9/+o=")</f>
        <v>#VALUE!</v>
      </c>
      <c r="IB52" t="e">
        <f>AND(Answers!BV166,"AAAAABl9/+s=")</f>
        <v>#VALUE!</v>
      </c>
      <c r="IC52" t="e">
        <f>AND(Answers!#REF!,"AAAAABl9/+w=")</f>
        <v>#REF!</v>
      </c>
      <c r="ID52" t="e">
        <f>AND(Answers!BW166,"AAAAABl9/+0=")</f>
        <v>#VALUE!</v>
      </c>
      <c r="IE52" t="e">
        <f>AND(Answers!BX166,"AAAAABl9/+4=")</f>
        <v>#VALUE!</v>
      </c>
      <c r="IF52" t="e">
        <f>AND(Answers!BY166,"AAAAABl9/+8=")</f>
        <v>#VALUE!</v>
      </c>
      <c r="IG52" t="e">
        <f>AND(Answers!BZ166,"AAAAABl9//A=")</f>
        <v>#VALUE!</v>
      </c>
      <c r="IH52">
        <f>IF(Answers!167:167,"AAAAABl9//E=",0)</f>
        <v>0</v>
      </c>
      <c r="II52" t="e">
        <f>AND(Answers!A167,"AAAAABl9//I=")</f>
        <v>#VALUE!</v>
      </c>
      <c r="IJ52" t="e">
        <f>AND(Answers!B167,"AAAAABl9//M=")</f>
        <v>#VALUE!</v>
      </c>
      <c r="IK52" t="e">
        <f>AND(Answers!C167,"AAAAABl9//Q=")</f>
        <v>#VALUE!</v>
      </c>
      <c r="IL52" t="e">
        <f>AND(Answers!D167,"AAAAABl9//U=")</f>
        <v>#VALUE!</v>
      </c>
      <c r="IM52" t="e">
        <f>AND(Answers!E167,"AAAAABl9//Y=")</f>
        <v>#VALUE!</v>
      </c>
      <c r="IN52" t="e">
        <f>AND(Answers!F167,"AAAAABl9//c=")</f>
        <v>#VALUE!</v>
      </c>
      <c r="IO52" t="e">
        <f>AND(Answers!G167,"AAAAABl9//g=")</f>
        <v>#VALUE!</v>
      </c>
      <c r="IP52" t="e">
        <f>AND(Answers!H167,"AAAAABl9//k=")</f>
        <v>#VALUE!</v>
      </c>
      <c r="IQ52" t="e">
        <f>AND(Answers!J167,"AAAAABl9//o=")</f>
        <v>#VALUE!</v>
      </c>
      <c r="IR52" t="e">
        <f>AND(Answers!K167,"AAAAABl9//s=")</f>
        <v>#VALUE!</v>
      </c>
      <c r="IS52" t="e">
        <f>AND(Answers!L167,"AAAAABl9//w=")</f>
        <v>#VALUE!</v>
      </c>
      <c r="IT52" t="e">
        <f>AND(Answers!M167,"AAAAABl9//0=")</f>
        <v>#VALUE!</v>
      </c>
      <c r="IU52" t="e">
        <f>AND(Answers!N167,"AAAAABl9//4=")</f>
        <v>#VALUE!</v>
      </c>
      <c r="IV52" t="e">
        <f>AND(Answers!O167,"AAAAABl9//8=")</f>
        <v>#VALUE!</v>
      </c>
    </row>
    <row r="53" spans="1:256" x14ac:dyDescent="0.15">
      <c r="A53" t="e">
        <f>AND(Answers!P167,"AAAAAH9/1wA=")</f>
        <v>#VALUE!</v>
      </c>
      <c r="B53" t="e">
        <f>AND(Answers!Q167,"AAAAAH9/1wE=")</f>
        <v>#VALUE!</v>
      </c>
      <c r="C53" t="e">
        <f>AND(Answers!R167,"AAAAAH9/1wI=")</f>
        <v>#VALUE!</v>
      </c>
      <c r="D53" t="e">
        <f>AND(Answers!S167,"AAAAAH9/1wM=")</f>
        <v>#VALUE!</v>
      </c>
      <c r="E53" t="e">
        <f>AND(Answers!T167,"AAAAAH9/1wQ=")</f>
        <v>#VALUE!</v>
      </c>
      <c r="F53" t="e">
        <f>AND(Answers!U167,"AAAAAH9/1wU=")</f>
        <v>#VALUE!</v>
      </c>
      <c r="G53" t="e">
        <f>AND(Answers!V167,"AAAAAH9/1wY=")</f>
        <v>#VALUE!</v>
      </c>
      <c r="H53" t="e">
        <f>AND(Answers!X167,"AAAAAH9/1wc=")</f>
        <v>#VALUE!</v>
      </c>
      <c r="I53" t="e">
        <f>AND(Answers!Y167,"AAAAAH9/1wg=")</f>
        <v>#VALUE!</v>
      </c>
      <c r="J53" t="e">
        <f>AND(Answers!Z167,"AAAAAH9/1wk=")</f>
        <v>#VALUE!</v>
      </c>
      <c r="K53" t="e">
        <f>AND(Answers!AA167,"AAAAAH9/1wo=")</f>
        <v>#VALUE!</v>
      </c>
      <c r="L53" t="e">
        <f>AND(Answers!AB167,"AAAAAH9/1ws=")</f>
        <v>#VALUE!</v>
      </c>
      <c r="M53" t="e">
        <f>AND(Answers!AC167,"AAAAAH9/1ww=")</f>
        <v>#VALUE!</v>
      </c>
      <c r="N53" t="e">
        <f>AND(Answers!AD167,"AAAAAH9/1w0=")</f>
        <v>#VALUE!</v>
      </c>
      <c r="O53" t="e">
        <f>AND(Answers!AE167,"AAAAAH9/1w4=")</f>
        <v>#VALUE!</v>
      </c>
      <c r="P53" t="e">
        <f>AND(Answers!AF167,"AAAAAH9/1w8=")</f>
        <v>#VALUE!</v>
      </c>
      <c r="Q53" t="e">
        <f>AND(Answers!AH167,"AAAAAH9/1xA=")</f>
        <v>#VALUE!</v>
      </c>
      <c r="R53" t="e">
        <f>AND(Answers!AI167,"AAAAAH9/1xE=")</f>
        <v>#VALUE!</v>
      </c>
      <c r="S53" t="e">
        <f>AND(Answers!AK167,"AAAAAH9/1xI=")</f>
        <v>#VALUE!</v>
      </c>
      <c r="T53" t="e">
        <f>AND(Answers!#REF!,"AAAAAH9/1xM=")</f>
        <v>#REF!</v>
      </c>
      <c r="U53" t="e">
        <f>AND(Answers!AR167,"AAAAAH9/1xQ=")</f>
        <v>#VALUE!</v>
      </c>
      <c r="V53" t="e">
        <f>AND(Answers!AS167,"AAAAAH9/1xU=")</f>
        <v>#VALUE!</v>
      </c>
      <c r="W53" t="e">
        <f>AND(Answers!AT167,"AAAAAH9/1xY=")</f>
        <v>#VALUE!</v>
      </c>
      <c r="X53" t="e">
        <f>AND(Answers!AU167,"AAAAAH9/1xc=")</f>
        <v>#VALUE!</v>
      </c>
      <c r="Y53" t="e">
        <f>AND(Answers!AW167,"AAAAAH9/1xg=")</f>
        <v>#VALUE!</v>
      </c>
      <c r="Z53" t="e">
        <f>AND(Answers!AX167,"AAAAAH9/1xk=")</f>
        <v>#VALUE!</v>
      </c>
      <c r="AA53" t="e">
        <f>AND(Answers!AY167,"AAAAAH9/1xo=")</f>
        <v>#VALUE!</v>
      </c>
      <c r="AB53" t="e">
        <f>AND(Answers!AZ167,"AAAAAH9/1xs=")</f>
        <v>#VALUE!</v>
      </c>
      <c r="AC53" t="e">
        <f>AND(Answers!BA167,"AAAAAH9/1xw=")</f>
        <v>#VALUE!</v>
      </c>
      <c r="AD53" t="e">
        <f>AND(Answers!BB167,"AAAAAH9/1x0=")</f>
        <v>#VALUE!</v>
      </c>
      <c r="AE53" t="e">
        <f>AND(Answers!BC167,"AAAAAH9/1x4=")</f>
        <v>#VALUE!</v>
      </c>
      <c r="AF53" t="e">
        <f>AND(Answers!BD167,"AAAAAH9/1x8=")</f>
        <v>#VALUE!</v>
      </c>
      <c r="AG53" t="e">
        <f>AND(Answers!BE167,"AAAAAH9/1yA=")</f>
        <v>#VALUE!</v>
      </c>
      <c r="AH53" t="e">
        <f>AND(Answers!BF167,"AAAAAH9/1yE=")</f>
        <v>#VALUE!</v>
      </c>
      <c r="AI53" t="e">
        <f>AND(Answers!BG167,"AAAAAH9/1yI=")</f>
        <v>#VALUE!</v>
      </c>
      <c r="AJ53" t="e">
        <f>AND(Answers!BH167,"AAAAAH9/1yM=")</f>
        <v>#VALUE!</v>
      </c>
      <c r="AK53" t="e">
        <f>AND(Answers!BI167,"AAAAAH9/1yQ=")</f>
        <v>#VALUE!</v>
      </c>
      <c r="AL53" t="e">
        <f>AND(Answers!BK167,"AAAAAH9/1yU=")</f>
        <v>#VALUE!</v>
      </c>
      <c r="AM53" t="e">
        <f>AND(Answers!BL167,"AAAAAH9/1yY=")</f>
        <v>#VALUE!</v>
      </c>
      <c r="AN53" t="e">
        <f>AND(Answers!BM167,"AAAAAH9/1yc=")</f>
        <v>#VALUE!</v>
      </c>
      <c r="AO53" t="e">
        <f>AND(Answers!BN167,"AAAAAH9/1yg=")</f>
        <v>#VALUE!</v>
      </c>
      <c r="AP53" t="e">
        <f>AND(Answers!BO167,"AAAAAH9/1yk=")</f>
        <v>#VALUE!</v>
      </c>
      <c r="AQ53" t="e">
        <f>AND(Answers!BP167,"AAAAAH9/1yo=")</f>
        <v>#VALUE!</v>
      </c>
      <c r="AR53" t="e">
        <f>AND(Answers!BQ167,"AAAAAH9/1ys=")</f>
        <v>#VALUE!</v>
      </c>
      <c r="AS53" t="e">
        <f>AND(Answers!BR167,"AAAAAH9/1yw=")</f>
        <v>#VALUE!</v>
      </c>
      <c r="AT53" t="e">
        <f>AND(Answers!BS167,"AAAAAH9/1y0=")</f>
        <v>#VALUE!</v>
      </c>
      <c r="AU53" t="e">
        <f>AND(Answers!BU167,"AAAAAH9/1y4=")</f>
        <v>#VALUE!</v>
      </c>
      <c r="AV53" t="e">
        <f>AND(Answers!BV167,"AAAAAH9/1y8=")</f>
        <v>#VALUE!</v>
      </c>
      <c r="AW53" t="e">
        <f>AND(Answers!#REF!,"AAAAAH9/1zA=")</f>
        <v>#REF!</v>
      </c>
      <c r="AX53" t="e">
        <f>AND(Answers!BW167,"AAAAAH9/1zE=")</f>
        <v>#VALUE!</v>
      </c>
      <c r="AY53" t="e">
        <f>AND(Answers!BX167,"AAAAAH9/1zI=")</f>
        <v>#VALUE!</v>
      </c>
      <c r="AZ53" t="e">
        <f>AND(Answers!BY167,"AAAAAH9/1zM=")</f>
        <v>#VALUE!</v>
      </c>
      <c r="BA53" t="e">
        <f>AND(Answers!BZ167,"AAAAAH9/1zQ=")</f>
        <v>#VALUE!</v>
      </c>
      <c r="BB53">
        <f>IF(Answers!168:168,"AAAAAH9/1zU=",0)</f>
        <v>0</v>
      </c>
      <c r="BC53" t="e">
        <f>AND(Answers!A168,"AAAAAH9/1zY=")</f>
        <v>#VALUE!</v>
      </c>
      <c r="BD53" t="e">
        <f>AND(Answers!B168,"AAAAAH9/1zc=")</f>
        <v>#VALUE!</v>
      </c>
      <c r="BE53" t="e">
        <f>AND(Answers!C168,"AAAAAH9/1zg=")</f>
        <v>#VALUE!</v>
      </c>
      <c r="BF53" t="e">
        <f>AND(Answers!D168,"AAAAAH9/1zk=")</f>
        <v>#VALUE!</v>
      </c>
      <c r="BG53" t="e">
        <f>AND(Answers!E168,"AAAAAH9/1zo=")</f>
        <v>#VALUE!</v>
      </c>
      <c r="BH53" t="e">
        <f>AND(Answers!F168,"AAAAAH9/1zs=")</f>
        <v>#VALUE!</v>
      </c>
      <c r="BI53" t="e">
        <f>AND(Answers!G168,"AAAAAH9/1zw=")</f>
        <v>#VALUE!</v>
      </c>
      <c r="BJ53" t="e">
        <f>AND(Answers!H168,"AAAAAH9/1z0=")</f>
        <v>#VALUE!</v>
      </c>
      <c r="BK53" t="e">
        <f>AND(Answers!J168,"AAAAAH9/1z4=")</f>
        <v>#VALUE!</v>
      </c>
      <c r="BL53" t="e">
        <f>AND(Answers!K168,"AAAAAH9/1z8=")</f>
        <v>#VALUE!</v>
      </c>
      <c r="BM53" t="e">
        <f>AND(Answers!L168,"AAAAAH9/10A=")</f>
        <v>#VALUE!</v>
      </c>
      <c r="BN53" t="e">
        <f>AND(Answers!M168,"AAAAAH9/10E=")</f>
        <v>#VALUE!</v>
      </c>
      <c r="BO53" t="e">
        <f>AND(Answers!N168,"AAAAAH9/10I=")</f>
        <v>#VALUE!</v>
      </c>
      <c r="BP53" t="e">
        <f>AND(Answers!O168,"AAAAAH9/10M=")</f>
        <v>#VALUE!</v>
      </c>
      <c r="BQ53" t="e">
        <f>AND(Answers!P168,"AAAAAH9/10Q=")</f>
        <v>#VALUE!</v>
      </c>
      <c r="BR53" t="e">
        <f>AND(Answers!Q168,"AAAAAH9/10U=")</f>
        <v>#VALUE!</v>
      </c>
      <c r="BS53" t="e">
        <f>AND(Answers!R168,"AAAAAH9/10Y=")</f>
        <v>#VALUE!</v>
      </c>
      <c r="BT53" t="e">
        <f>AND(Answers!S168,"AAAAAH9/10c=")</f>
        <v>#VALUE!</v>
      </c>
      <c r="BU53" t="e">
        <f>AND(Answers!T168,"AAAAAH9/10g=")</f>
        <v>#VALUE!</v>
      </c>
      <c r="BV53" t="e">
        <f>AND(Answers!U168,"AAAAAH9/10k=")</f>
        <v>#VALUE!</v>
      </c>
      <c r="BW53" t="e">
        <f>AND(Answers!V168,"AAAAAH9/10o=")</f>
        <v>#VALUE!</v>
      </c>
      <c r="BX53" t="e">
        <f>AND(Answers!X168,"AAAAAH9/10s=")</f>
        <v>#VALUE!</v>
      </c>
      <c r="BY53" t="e">
        <f>AND(Answers!Y168,"AAAAAH9/10w=")</f>
        <v>#VALUE!</v>
      </c>
      <c r="BZ53" t="e">
        <f>AND(Answers!Z168,"AAAAAH9/100=")</f>
        <v>#VALUE!</v>
      </c>
      <c r="CA53" t="e">
        <f>AND(Answers!AA168,"AAAAAH9/104=")</f>
        <v>#VALUE!</v>
      </c>
      <c r="CB53" t="e">
        <f>AND(Answers!AB168,"AAAAAH9/108=")</f>
        <v>#VALUE!</v>
      </c>
      <c r="CC53" t="e">
        <f>AND(Answers!AC168,"AAAAAH9/11A=")</f>
        <v>#VALUE!</v>
      </c>
      <c r="CD53" t="e">
        <f>AND(Answers!AD168,"AAAAAH9/11E=")</f>
        <v>#VALUE!</v>
      </c>
      <c r="CE53" t="e">
        <f>AND(Answers!AE168,"AAAAAH9/11I=")</f>
        <v>#VALUE!</v>
      </c>
      <c r="CF53" t="e">
        <f>AND(Answers!AF168,"AAAAAH9/11M=")</f>
        <v>#VALUE!</v>
      </c>
      <c r="CG53" t="e">
        <f>AND(Answers!AH168,"AAAAAH9/11Q=")</f>
        <v>#VALUE!</v>
      </c>
      <c r="CH53" t="e">
        <f>AND(Answers!AI168,"AAAAAH9/11U=")</f>
        <v>#VALUE!</v>
      </c>
      <c r="CI53" t="e">
        <f>AND(Answers!AK168,"AAAAAH9/11Y=")</f>
        <v>#VALUE!</v>
      </c>
      <c r="CJ53" t="e">
        <f>AND(Answers!#REF!,"AAAAAH9/11c=")</f>
        <v>#REF!</v>
      </c>
      <c r="CK53" t="e">
        <f>AND(Answers!AR168,"AAAAAH9/11g=")</f>
        <v>#VALUE!</v>
      </c>
      <c r="CL53" t="e">
        <f>AND(Answers!AS168,"AAAAAH9/11k=")</f>
        <v>#VALUE!</v>
      </c>
      <c r="CM53" t="e">
        <f>AND(Answers!AT168,"AAAAAH9/11o=")</f>
        <v>#VALUE!</v>
      </c>
      <c r="CN53" t="e">
        <f>AND(Answers!AU168,"AAAAAH9/11s=")</f>
        <v>#VALUE!</v>
      </c>
      <c r="CO53" t="e">
        <f>AND(Answers!AW168,"AAAAAH9/11w=")</f>
        <v>#VALUE!</v>
      </c>
      <c r="CP53" t="e">
        <f>AND(Answers!AX168,"AAAAAH9/110=")</f>
        <v>#VALUE!</v>
      </c>
      <c r="CQ53" t="e">
        <f>AND(Answers!AY168,"AAAAAH9/114=")</f>
        <v>#VALUE!</v>
      </c>
      <c r="CR53" t="e">
        <f>AND(Answers!AZ168,"AAAAAH9/118=")</f>
        <v>#VALUE!</v>
      </c>
      <c r="CS53" t="e">
        <f>AND(Answers!BA168,"AAAAAH9/12A=")</f>
        <v>#VALUE!</v>
      </c>
      <c r="CT53" t="e">
        <f>AND(Answers!BB168,"AAAAAH9/12E=")</f>
        <v>#VALUE!</v>
      </c>
      <c r="CU53" t="e">
        <f>AND(Answers!BC168,"AAAAAH9/12I=")</f>
        <v>#VALUE!</v>
      </c>
      <c r="CV53" t="e">
        <f>AND(Answers!BD168,"AAAAAH9/12M=")</f>
        <v>#VALUE!</v>
      </c>
      <c r="CW53" t="e">
        <f>AND(Answers!BE168,"AAAAAH9/12Q=")</f>
        <v>#VALUE!</v>
      </c>
      <c r="CX53" t="e">
        <f>AND(Answers!BF168,"AAAAAH9/12U=")</f>
        <v>#VALUE!</v>
      </c>
      <c r="CY53" t="e">
        <f>AND(Answers!BG168,"AAAAAH9/12Y=")</f>
        <v>#VALUE!</v>
      </c>
      <c r="CZ53" t="e">
        <f>AND(Answers!BH168,"AAAAAH9/12c=")</f>
        <v>#VALUE!</v>
      </c>
      <c r="DA53" t="e">
        <f>AND(Answers!BI168,"AAAAAH9/12g=")</f>
        <v>#VALUE!</v>
      </c>
      <c r="DB53" t="e">
        <f>AND(Answers!BK168,"AAAAAH9/12k=")</f>
        <v>#VALUE!</v>
      </c>
      <c r="DC53" t="e">
        <f>AND(Answers!BL168,"AAAAAH9/12o=")</f>
        <v>#VALUE!</v>
      </c>
      <c r="DD53" t="e">
        <f>AND(Answers!BM168,"AAAAAH9/12s=")</f>
        <v>#VALUE!</v>
      </c>
      <c r="DE53" t="e">
        <f>AND(Answers!BN168,"AAAAAH9/12w=")</f>
        <v>#VALUE!</v>
      </c>
      <c r="DF53" t="e">
        <f>AND(Answers!BO168,"AAAAAH9/120=")</f>
        <v>#VALUE!</v>
      </c>
      <c r="DG53" t="e">
        <f>AND(Answers!BP168,"AAAAAH9/124=")</f>
        <v>#VALUE!</v>
      </c>
      <c r="DH53" t="e">
        <f>AND(Answers!BQ168,"AAAAAH9/128=")</f>
        <v>#VALUE!</v>
      </c>
      <c r="DI53" t="e">
        <f>AND(Answers!BR168,"AAAAAH9/13A=")</f>
        <v>#VALUE!</v>
      </c>
      <c r="DJ53" t="e">
        <f>AND(Answers!BS168,"AAAAAH9/13E=")</f>
        <v>#VALUE!</v>
      </c>
      <c r="DK53" t="e">
        <f>AND(Answers!BU168,"AAAAAH9/13I=")</f>
        <v>#VALUE!</v>
      </c>
      <c r="DL53" t="e">
        <f>AND(Answers!BV168,"AAAAAH9/13M=")</f>
        <v>#VALUE!</v>
      </c>
      <c r="DM53" t="e">
        <f>AND(Answers!#REF!,"AAAAAH9/13Q=")</f>
        <v>#REF!</v>
      </c>
      <c r="DN53" t="e">
        <f>AND(Answers!BW168,"AAAAAH9/13U=")</f>
        <v>#VALUE!</v>
      </c>
      <c r="DO53" t="e">
        <f>AND(Answers!BX168,"AAAAAH9/13Y=")</f>
        <v>#VALUE!</v>
      </c>
      <c r="DP53" t="e">
        <f>AND(Answers!BY168,"AAAAAH9/13c=")</f>
        <v>#VALUE!</v>
      </c>
      <c r="DQ53" t="e">
        <f>AND(Answers!BZ168,"AAAAAH9/13g=")</f>
        <v>#VALUE!</v>
      </c>
      <c r="DR53" t="e">
        <f>IF(Answers!#REF!,"AAAAAH9/13k=",0)</f>
        <v>#REF!</v>
      </c>
      <c r="DS53" t="e">
        <f>AND(Answers!#REF!,"AAAAAH9/13o=")</f>
        <v>#REF!</v>
      </c>
      <c r="DT53" t="e">
        <f>AND(Answers!#REF!,"AAAAAH9/13s=")</f>
        <v>#REF!</v>
      </c>
      <c r="DU53" t="e">
        <f>AND(Answers!#REF!,"AAAAAH9/13w=")</f>
        <v>#REF!</v>
      </c>
      <c r="DV53" t="e">
        <f>AND(Answers!#REF!,"AAAAAH9/130=")</f>
        <v>#REF!</v>
      </c>
      <c r="DW53" t="e">
        <f>AND(Answers!#REF!,"AAAAAH9/134=")</f>
        <v>#REF!</v>
      </c>
      <c r="DX53" t="e">
        <f>AND(Answers!#REF!,"AAAAAH9/138=")</f>
        <v>#REF!</v>
      </c>
      <c r="DY53" t="e">
        <f>AND(Answers!#REF!,"AAAAAH9/14A=")</f>
        <v>#REF!</v>
      </c>
      <c r="DZ53" t="e">
        <f>AND(Answers!#REF!,"AAAAAH9/14E=")</f>
        <v>#REF!</v>
      </c>
      <c r="EA53" t="e">
        <f>AND(Answers!#REF!,"AAAAAH9/14I=")</f>
        <v>#REF!</v>
      </c>
      <c r="EB53" t="e">
        <f>AND(Answers!#REF!,"AAAAAH9/14M=")</f>
        <v>#REF!</v>
      </c>
      <c r="EC53" t="e">
        <f>AND(Answers!#REF!,"AAAAAH9/14Q=")</f>
        <v>#REF!</v>
      </c>
      <c r="ED53" t="e">
        <f>AND(Answers!#REF!,"AAAAAH9/14U=")</f>
        <v>#REF!</v>
      </c>
      <c r="EE53" t="e">
        <f>AND(Answers!#REF!,"AAAAAH9/14Y=")</f>
        <v>#REF!</v>
      </c>
      <c r="EF53" t="e">
        <f>AND(Answers!#REF!,"AAAAAH9/14c=")</f>
        <v>#REF!</v>
      </c>
      <c r="EG53" t="e">
        <f>AND(Answers!#REF!,"AAAAAH9/14g=")</f>
        <v>#REF!</v>
      </c>
      <c r="EH53" t="e">
        <f>AND(Answers!#REF!,"AAAAAH9/14k=")</f>
        <v>#REF!</v>
      </c>
      <c r="EI53" t="e">
        <f>AND(Answers!#REF!,"AAAAAH9/14o=")</f>
        <v>#REF!</v>
      </c>
      <c r="EJ53" t="e">
        <f>AND(Answers!#REF!,"AAAAAH9/14s=")</f>
        <v>#REF!</v>
      </c>
      <c r="EK53" t="e">
        <f>AND(Answers!#REF!,"AAAAAH9/14w=")</f>
        <v>#REF!</v>
      </c>
      <c r="EL53" t="e">
        <f>AND(Answers!#REF!,"AAAAAH9/140=")</f>
        <v>#REF!</v>
      </c>
      <c r="EM53" t="e">
        <f>AND(Answers!#REF!,"AAAAAH9/144=")</f>
        <v>#REF!</v>
      </c>
      <c r="EN53" t="e">
        <f>AND(Answers!#REF!,"AAAAAH9/148=")</f>
        <v>#REF!</v>
      </c>
      <c r="EO53" t="e">
        <f>AND(Answers!#REF!,"AAAAAH9/15A=")</f>
        <v>#REF!</v>
      </c>
      <c r="EP53" t="e">
        <f>AND(Answers!#REF!,"AAAAAH9/15E=")</f>
        <v>#REF!</v>
      </c>
      <c r="EQ53" t="e">
        <f>AND(Answers!#REF!,"AAAAAH9/15I=")</f>
        <v>#REF!</v>
      </c>
      <c r="ER53" t="e">
        <f>AND(Answers!#REF!,"AAAAAH9/15M=")</f>
        <v>#REF!</v>
      </c>
      <c r="ES53" t="e">
        <f>AND(Answers!#REF!,"AAAAAH9/15Q=")</f>
        <v>#REF!</v>
      </c>
      <c r="ET53" t="e">
        <f>AND(Answers!#REF!,"AAAAAH9/15U=")</f>
        <v>#REF!</v>
      </c>
      <c r="EU53" t="e">
        <f>AND(Answers!#REF!,"AAAAAH9/15Y=")</f>
        <v>#REF!</v>
      </c>
      <c r="EV53" t="e">
        <f>AND(Answers!#REF!,"AAAAAH9/15c=")</f>
        <v>#REF!</v>
      </c>
      <c r="EW53" t="e">
        <f>AND(Answers!#REF!,"AAAAAH9/15g=")</f>
        <v>#REF!</v>
      </c>
      <c r="EX53" t="e">
        <f>AND(Answers!#REF!,"AAAAAH9/15k=")</f>
        <v>#REF!</v>
      </c>
      <c r="EY53" t="e">
        <f>AND(Answers!#REF!,"AAAAAH9/15o=")</f>
        <v>#REF!</v>
      </c>
      <c r="EZ53" t="e">
        <f>AND(Answers!#REF!,"AAAAAH9/15s=")</f>
        <v>#REF!</v>
      </c>
      <c r="FA53" t="e">
        <f>AND(Answers!#REF!,"AAAAAH9/15w=")</f>
        <v>#REF!</v>
      </c>
      <c r="FB53" t="e">
        <f>AND(Answers!#REF!,"AAAAAH9/150=")</f>
        <v>#REF!</v>
      </c>
      <c r="FC53" t="e">
        <f>AND(Answers!#REF!,"AAAAAH9/154=")</f>
        <v>#REF!</v>
      </c>
      <c r="FD53" t="e">
        <f>AND(Answers!#REF!,"AAAAAH9/158=")</f>
        <v>#REF!</v>
      </c>
      <c r="FE53" t="e">
        <f>AND(Answers!#REF!,"AAAAAH9/16A=")</f>
        <v>#REF!</v>
      </c>
      <c r="FF53" t="e">
        <f>AND(Answers!#REF!,"AAAAAH9/16E=")</f>
        <v>#REF!</v>
      </c>
      <c r="FG53" t="e">
        <f>AND(Answers!#REF!,"AAAAAH9/16I=")</f>
        <v>#REF!</v>
      </c>
      <c r="FH53" t="e">
        <f>AND(Answers!#REF!,"AAAAAH9/16M=")</f>
        <v>#REF!</v>
      </c>
      <c r="FI53" t="e">
        <f>AND(Answers!#REF!,"AAAAAH9/16Q=")</f>
        <v>#REF!</v>
      </c>
      <c r="FJ53" t="e">
        <f>AND(Answers!#REF!,"AAAAAH9/16U=")</f>
        <v>#REF!</v>
      </c>
      <c r="FK53" t="e">
        <f>AND(Answers!#REF!,"AAAAAH9/16Y=")</f>
        <v>#REF!</v>
      </c>
      <c r="FL53" t="e">
        <f>AND(Answers!#REF!,"AAAAAH9/16c=")</f>
        <v>#REF!</v>
      </c>
      <c r="FM53" t="e">
        <f>AND(Answers!#REF!,"AAAAAH9/16g=")</f>
        <v>#REF!</v>
      </c>
      <c r="FN53" t="e">
        <f>AND(Answers!#REF!,"AAAAAH9/16k=")</f>
        <v>#REF!</v>
      </c>
      <c r="FO53" t="e">
        <f>AND(Answers!#REF!,"AAAAAH9/16o=")</f>
        <v>#REF!</v>
      </c>
      <c r="FP53" t="e">
        <f>AND(Answers!#REF!,"AAAAAH9/16s=")</f>
        <v>#REF!</v>
      </c>
      <c r="FQ53" t="e">
        <f>AND(Answers!#REF!,"AAAAAH9/16w=")</f>
        <v>#REF!</v>
      </c>
      <c r="FR53" t="e">
        <f>AND(Answers!#REF!,"AAAAAH9/160=")</f>
        <v>#REF!</v>
      </c>
      <c r="FS53" t="e">
        <f>AND(Answers!#REF!,"AAAAAH9/164=")</f>
        <v>#REF!</v>
      </c>
      <c r="FT53" t="e">
        <f>AND(Answers!#REF!,"AAAAAH9/168=")</f>
        <v>#REF!</v>
      </c>
      <c r="FU53" t="e">
        <f>AND(Answers!#REF!,"AAAAAH9/17A=")</f>
        <v>#REF!</v>
      </c>
      <c r="FV53" t="e">
        <f>AND(Answers!#REF!,"AAAAAH9/17E=")</f>
        <v>#REF!</v>
      </c>
      <c r="FW53" t="e">
        <f>AND(Answers!#REF!,"AAAAAH9/17I=")</f>
        <v>#REF!</v>
      </c>
      <c r="FX53" t="e">
        <f>AND(Answers!#REF!,"AAAAAH9/17M=")</f>
        <v>#REF!</v>
      </c>
      <c r="FY53" t="e">
        <f>AND(Answers!#REF!,"AAAAAH9/17Q=")</f>
        <v>#REF!</v>
      </c>
      <c r="FZ53" t="e">
        <f>AND(Answers!#REF!,"AAAAAH9/17U=")</f>
        <v>#REF!</v>
      </c>
      <c r="GA53" t="e">
        <f>AND(Answers!#REF!,"AAAAAH9/17Y=")</f>
        <v>#REF!</v>
      </c>
      <c r="GB53" t="e">
        <f>AND(Answers!#REF!,"AAAAAH9/17c=")</f>
        <v>#REF!</v>
      </c>
      <c r="GC53" t="e">
        <f>AND(Answers!#REF!,"AAAAAH9/17g=")</f>
        <v>#REF!</v>
      </c>
      <c r="GD53" t="e">
        <f>AND(Answers!#REF!,"AAAAAH9/17k=")</f>
        <v>#REF!</v>
      </c>
      <c r="GE53" t="e">
        <f>AND(Answers!#REF!,"AAAAAH9/17o=")</f>
        <v>#REF!</v>
      </c>
      <c r="GF53" t="e">
        <f>AND(Answers!#REF!,"AAAAAH9/17s=")</f>
        <v>#REF!</v>
      </c>
      <c r="GG53" t="e">
        <f>AND(Answers!#REF!,"AAAAAH9/17w=")</f>
        <v>#REF!</v>
      </c>
      <c r="GH53">
        <f>IF(Answers!169:169,"AAAAAH9/170=",0)</f>
        <v>0</v>
      </c>
      <c r="GI53" t="e">
        <f>AND(Answers!A169,"AAAAAH9/174=")</f>
        <v>#VALUE!</v>
      </c>
      <c r="GJ53" t="e">
        <f>AND(Answers!B169,"AAAAAH9/178=")</f>
        <v>#VALUE!</v>
      </c>
      <c r="GK53" t="e">
        <f>AND(Answers!C169,"AAAAAH9/18A=")</f>
        <v>#VALUE!</v>
      </c>
      <c r="GL53" t="e">
        <f>AND(Answers!D169,"AAAAAH9/18E=")</f>
        <v>#VALUE!</v>
      </c>
      <c r="GM53" t="e">
        <f>AND(Answers!E169,"AAAAAH9/18I=")</f>
        <v>#VALUE!</v>
      </c>
      <c r="GN53" t="e">
        <f>AND(Answers!F169,"AAAAAH9/18M=")</f>
        <v>#VALUE!</v>
      </c>
      <c r="GO53" t="e">
        <f>AND(Answers!G169,"AAAAAH9/18Q=")</f>
        <v>#VALUE!</v>
      </c>
      <c r="GP53" t="e">
        <f>AND(Answers!H169,"AAAAAH9/18U=")</f>
        <v>#VALUE!</v>
      </c>
      <c r="GQ53" t="e">
        <f>AND(Answers!J169,"AAAAAH9/18Y=")</f>
        <v>#VALUE!</v>
      </c>
      <c r="GR53" t="e">
        <f>AND(Answers!K169,"AAAAAH9/18c=")</f>
        <v>#VALUE!</v>
      </c>
      <c r="GS53" t="e">
        <f>AND(Answers!L169,"AAAAAH9/18g=")</f>
        <v>#VALUE!</v>
      </c>
      <c r="GT53" t="e">
        <f>AND(Answers!M169,"AAAAAH9/18k=")</f>
        <v>#VALUE!</v>
      </c>
      <c r="GU53" t="e">
        <f>AND(Answers!N169,"AAAAAH9/18o=")</f>
        <v>#VALUE!</v>
      </c>
      <c r="GV53" t="e">
        <f>AND(Answers!O169,"AAAAAH9/18s=")</f>
        <v>#VALUE!</v>
      </c>
      <c r="GW53" t="e">
        <f>AND(Answers!P169,"AAAAAH9/18w=")</f>
        <v>#VALUE!</v>
      </c>
      <c r="GX53" t="e">
        <f>AND(Answers!Q169,"AAAAAH9/180=")</f>
        <v>#VALUE!</v>
      </c>
      <c r="GY53" t="e">
        <f>AND(Answers!R169,"AAAAAH9/184=")</f>
        <v>#VALUE!</v>
      </c>
      <c r="GZ53" t="e">
        <f>AND(Answers!S169,"AAAAAH9/188=")</f>
        <v>#VALUE!</v>
      </c>
      <c r="HA53" t="e">
        <f>AND(Answers!T169,"AAAAAH9/19A=")</f>
        <v>#VALUE!</v>
      </c>
      <c r="HB53" t="e">
        <f>AND(Answers!U169,"AAAAAH9/19E=")</f>
        <v>#VALUE!</v>
      </c>
      <c r="HC53" t="e">
        <f>AND(Answers!V169,"AAAAAH9/19I=")</f>
        <v>#VALUE!</v>
      </c>
      <c r="HD53" t="e">
        <f>AND(Answers!X169,"AAAAAH9/19M=")</f>
        <v>#VALUE!</v>
      </c>
      <c r="HE53" t="e">
        <f>AND(Answers!Y169,"AAAAAH9/19Q=")</f>
        <v>#VALUE!</v>
      </c>
      <c r="HF53" t="e">
        <f>AND(Answers!Z169,"AAAAAH9/19U=")</f>
        <v>#VALUE!</v>
      </c>
      <c r="HG53" t="e">
        <f>AND(Answers!AA169,"AAAAAH9/19Y=")</f>
        <v>#VALUE!</v>
      </c>
      <c r="HH53" t="e">
        <f>AND(Answers!AB169,"AAAAAH9/19c=")</f>
        <v>#VALUE!</v>
      </c>
      <c r="HI53" t="e">
        <f>AND(Answers!AC169,"AAAAAH9/19g=")</f>
        <v>#VALUE!</v>
      </c>
      <c r="HJ53" t="e">
        <f>AND(Answers!AD169,"AAAAAH9/19k=")</f>
        <v>#VALUE!</v>
      </c>
      <c r="HK53" t="e">
        <f>AND(Answers!AE169,"AAAAAH9/19o=")</f>
        <v>#VALUE!</v>
      </c>
      <c r="HL53" t="e">
        <f>AND(Answers!AF169,"AAAAAH9/19s=")</f>
        <v>#VALUE!</v>
      </c>
      <c r="HM53" t="e">
        <f>AND(Answers!AH169,"AAAAAH9/19w=")</f>
        <v>#VALUE!</v>
      </c>
      <c r="HN53" t="e">
        <f>AND(Answers!AI169,"AAAAAH9/190=")</f>
        <v>#VALUE!</v>
      </c>
      <c r="HO53" t="e">
        <f>AND(Answers!AK169,"AAAAAH9/194=")</f>
        <v>#VALUE!</v>
      </c>
      <c r="HP53" t="e">
        <f>AND(Answers!#REF!,"AAAAAH9/198=")</f>
        <v>#REF!</v>
      </c>
      <c r="HQ53" t="e">
        <f>AND(Answers!AR169,"AAAAAH9/1+A=")</f>
        <v>#VALUE!</v>
      </c>
      <c r="HR53" t="e">
        <f>AND(Answers!AS169,"AAAAAH9/1+E=")</f>
        <v>#VALUE!</v>
      </c>
      <c r="HS53" t="e">
        <f>AND(Answers!AT169,"AAAAAH9/1+I=")</f>
        <v>#VALUE!</v>
      </c>
      <c r="HT53" t="e">
        <f>AND(Answers!AU169,"AAAAAH9/1+M=")</f>
        <v>#VALUE!</v>
      </c>
      <c r="HU53" t="e">
        <f>AND(Answers!AW169,"AAAAAH9/1+Q=")</f>
        <v>#VALUE!</v>
      </c>
      <c r="HV53" t="e">
        <f>AND(Answers!AX169,"AAAAAH9/1+U=")</f>
        <v>#VALUE!</v>
      </c>
      <c r="HW53" t="e">
        <f>AND(Answers!AY169,"AAAAAH9/1+Y=")</f>
        <v>#VALUE!</v>
      </c>
      <c r="HX53" t="e">
        <f>AND(Answers!AZ169,"AAAAAH9/1+c=")</f>
        <v>#VALUE!</v>
      </c>
      <c r="HY53" t="e">
        <f>AND(Answers!BA169,"AAAAAH9/1+g=")</f>
        <v>#VALUE!</v>
      </c>
      <c r="HZ53" t="e">
        <f>AND(Answers!BB169,"AAAAAH9/1+k=")</f>
        <v>#VALUE!</v>
      </c>
      <c r="IA53" t="e">
        <f>AND(Answers!BC169,"AAAAAH9/1+o=")</f>
        <v>#VALUE!</v>
      </c>
      <c r="IB53" t="e">
        <f>AND(Answers!BD169,"AAAAAH9/1+s=")</f>
        <v>#VALUE!</v>
      </c>
      <c r="IC53" t="e">
        <f>AND(Answers!BE169,"AAAAAH9/1+w=")</f>
        <v>#VALUE!</v>
      </c>
      <c r="ID53" t="e">
        <f>AND(Answers!BF169,"AAAAAH9/1+0=")</f>
        <v>#VALUE!</v>
      </c>
      <c r="IE53" t="e">
        <f>AND(Answers!BG169,"AAAAAH9/1+4=")</f>
        <v>#VALUE!</v>
      </c>
      <c r="IF53" t="e">
        <f>AND(Answers!BH169,"AAAAAH9/1+8=")</f>
        <v>#VALUE!</v>
      </c>
      <c r="IG53" t="e">
        <f>AND(Answers!BI169,"AAAAAH9/1/A=")</f>
        <v>#VALUE!</v>
      </c>
      <c r="IH53" t="e">
        <f>AND(Answers!BK169,"AAAAAH9/1/E=")</f>
        <v>#VALUE!</v>
      </c>
      <c r="II53" t="e">
        <f>AND(Answers!BL169,"AAAAAH9/1/I=")</f>
        <v>#VALUE!</v>
      </c>
      <c r="IJ53" t="e">
        <f>AND(Answers!BM169,"AAAAAH9/1/M=")</f>
        <v>#VALUE!</v>
      </c>
      <c r="IK53" t="e">
        <f>AND(Answers!BN169,"AAAAAH9/1/Q=")</f>
        <v>#VALUE!</v>
      </c>
      <c r="IL53" t="e">
        <f>AND(Answers!BO169,"AAAAAH9/1/U=")</f>
        <v>#VALUE!</v>
      </c>
      <c r="IM53" t="e">
        <f>AND(Answers!BP169,"AAAAAH9/1/Y=")</f>
        <v>#VALUE!</v>
      </c>
      <c r="IN53" t="e">
        <f>AND(Answers!BQ169,"AAAAAH9/1/c=")</f>
        <v>#VALUE!</v>
      </c>
      <c r="IO53" t="e">
        <f>AND(Answers!BR169,"AAAAAH9/1/g=")</f>
        <v>#VALUE!</v>
      </c>
      <c r="IP53" t="e">
        <f>AND(Answers!BS169,"AAAAAH9/1/k=")</f>
        <v>#VALUE!</v>
      </c>
      <c r="IQ53" t="e">
        <f>AND(Answers!BU169,"AAAAAH9/1/o=")</f>
        <v>#VALUE!</v>
      </c>
      <c r="IR53" t="e">
        <f>AND(Answers!BV169,"AAAAAH9/1/s=")</f>
        <v>#VALUE!</v>
      </c>
      <c r="IS53" t="e">
        <f>AND(Answers!#REF!,"AAAAAH9/1/w=")</f>
        <v>#REF!</v>
      </c>
      <c r="IT53" t="e">
        <f>AND(Answers!BW169,"AAAAAH9/1/0=")</f>
        <v>#VALUE!</v>
      </c>
      <c r="IU53" t="e">
        <f>AND(Answers!BX169,"AAAAAH9/1/4=")</f>
        <v>#VALUE!</v>
      </c>
      <c r="IV53" t="e">
        <f>AND(Answers!BY169,"AAAAAH9/1/8=")</f>
        <v>#VALUE!</v>
      </c>
    </row>
    <row r="54" spans="1:256" x14ac:dyDescent="0.15">
      <c r="A54" t="e">
        <f>AND(Answers!BZ169,"AAAAAH/51gA=")</f>
        <v>#VALUE!</v>
      </c>
      <c r="B54">
        <f>IF(Answers!170:170,"AAAAAH/51gE=",0)</f>
        <v>0</v>
      </c>
      <c r="C54" t="e">
        <f>AND(Answers!A170,"AAAAAH/51gI=")</f>
        <v>#VALUE!</v>
      </c>
      <c r="D54" t="e">
        <f>AND(Answers!B170,"AAAAAH/51gM=")</f>
        <v>#VALUE!</v>
      </c>
      <c r="E54" t="e">
        <f>AND(Answers!C170,"AAAAAH/51gQ=")</f>
        <v>#VALUE!</v>
      </c>
      <c r="F54" t="e">
        <f>AND(Answers!D170,"AAAAAH/51gU=")</f>
        <v>#VALUE!</v>
      </c>
      <c r="G54" t="e">
        <f>AND(Answers!E170,"AAAAAH/51gY=")</f>
        <v>#VALUE!</v>
      </c>
      <c r="H54" t="e">
        <f>AND(Answers!F170,"AAAAAH/51gc=")</f>
        <v>#VALUE!</v>
      </c>
      <c r="I54" t="e">
        <f>AND(Answers!G170,"AAAAAH/51gg=")</f>
        <v>#VALUE!</v>
      </c>
      <c r="J54" t="e">
        <f>AND(Answers!H170,"AAAAAH/51gk=")</f>
        <v>#VALUE!</v>
      </c>
      <c r="K54" t="e">
        <f>AND(Answers!J170,"AAAAAH/51go=")</f>
        <v>#VALUE!</v>
      </c>
      <c r="L54" t="e">
        <f>AND(Answers!K170,"AAAAAH/51gs=")</f>
        <v>#VALUE!</v>
      </c>
      <c r="M54" t="e">
        <f>AND(Answers!L170,"AAAAAH/51gw=")</f>
        <v>#VALUE!</v>
      </c>
      <c r="N54" t="e">
        <f>AND(Answers!M170,"AAAAAH/51g0=")</f>
        <v>#VALUE!</v>
      </c>
      <c r="O54" t="e">
        <f>AND(Answers!N170,"AAAAAH/51g4=")</f>
        <v>#VALUE!</v>
      </c>
      <c r="P54" t="e">
        <f>AND(Answers!O170,"AAAAAH/51g8=")</f>
        <v>#VALUE!</v>
      </c>
      <c r="Q54" t="e">
        <f>AND(Answers!P170,"AAAAAH/51hA=")</f>
        <v>#VALUE!</v>
      </c>
      <c r="R54" t="e">
        <f>AND(Answers!Q170,"AAAAAH/51hE=")</f>
        <v>#VALUE!</v>
      </c>
      <c r="S54" t="e">
        <f>AND(Answers!R170,"AAAAAH/51hI=")</f>
        <v>#VALUE!</v>
      </c>
      <c r="T54" t="e">
        <f>AND(Answers!S170,"AAAAAH/51hM=")</f>
        <v>#VALUE!</v>
      </c>
      <c r="U54" t="e">
        <f>AND(Answers!T170,"AAAAAH/51hQ=")</f>
        <v>#VALUE!</v>
      </c>
      <c r="V54" t="e">
        <f>AND(Answers!U170,"AAAAAH/51hU=")</f>
        <v>#VALUE!</v>
      </c>
      <c r="W54" t="e">
        <f>AND(Answers!V170,"AAAAAH/51hY=")</f>
        <v>#VALUE!</v>
      </c>
      <c r="X54" t="e">
        <f>AND(Answers!X170,"AAAAAH/51hc=")</f>
        <v>#VALUE!</v>
      </c>
      <c r="Y54" t="e">
        <f>AND(Answers!Y170,"AAAAAH/51hg=")</f>
        <v>#VALUE!</v>
      </c>
      <c r="Z54" t="e">
        <f>AND(Answers!Z170,"AAAAAH/51hk=")</f>
        <v>#VALUE!</v>
      </c>
      <c r="AA54" t="e">
        <f>AND(Answers!AA170,"AAAAAH/51ho=")</f>
        <v>#VALUE!</v>
      </c>
      <c r="AB54" t="e">
        <f>AND(Answers!AB170,"AAAAAH/51hs=")</f>
        <v>#VALUE!</v>
      </c>
      <c r="AC54" t="e">
        <f>AND(Answers!AC170,"AAAAAH/51hw=")</f>
        <v>#VALUE!</v>
      </c>
      <c r="AD54" t="e">
        <f>AND(Answers!AD170,"AAAAAH/51h0=")</f>
        <v>#VALUE!</v>
      </c>
      <c r="AE54" t="e">
        <f>AND(Answers!AE170,"AAAAAH/51h4=")</f>
        <v>#VALUE!</v>
      </c>
      <c r="AF54" t="e">
        <f>AND(Answers!AF170,"AAAAAH/51h8=")</f>
        <v>#VALUE!</v>
      </c>
      <c r="AG54" t="e">
        <f>AND(Answers!AH170,"AAAAAH/51iA=")</f>
        <v>#VALUE!</v>
      </c>
      <c r="AH54" t="e">
        <f>AND(Answers!AI170,"AAAAAH/51iE=")</f>
        <v>#VALUE!</v>
      </c>
      <c r="AI54" t="e">
        <f>AND(Answers!AK170,"AAAAAH/51iI=")</f>
        <v>#VALUE!</v>
      </c>
      <c r="AJ54" t="e">
        <f>AND(Answers!#REF!,"AAAAAH/51iM=")</f>
        <v>#REF!</v>
      </c>
      <c r="AK54" t="e">
        <f>AND(Answers!AR170,"AAAAAH/51iQ=")</f>
        <v>#VALUE!</v>
      </c>
      <c r="AL54" t="e">
        <f>AND(Answers!AS170,"AAAAAH/51iU=")</f>
        <v>#VALUE!</v>
      </c>
      <c r="AM54" t="e">
        <f>AND(Answers!AT170,"AAAAAH/51iY=")</f>
        <v>#VALUE!</v>
      </c>
      <c r="AN54" t="e">
        <f>AND(Answers!AU170,"AAAAAH/51ic=")</f>
        <v>#VALUE!</v>
      </c>
      <c r="AO54" t="e">
        <f>AND(Answers!AW170,"AAAAAH/51ig=")</f>
        <v>#VALUE!</v>
      </c>
      <c r="AP54" t="e">
        <f>AND(Answers!AX170,"AAAAAH/51ik=")</f>
        <v>#VALUE!</v>
      </c>
      <c r="AQ54" t="e">
        <f>AND(Answers!AY170,"AAAAAH/51io=")</f>
        <v>#VALUE!</v>
      </c>
      <c r="AR54" t="e">
        <f>AND(Answers!AZ170,"AAAAAH/51is=")</f>
        <v>#VALUE!</v>
      </c>
      <c r="AS54" t="e">
        <f>AND(Answers!BA170,"AAAAAH/51iw=")</f>
        <v>#VALUE!</v>
      </c>
      <c r="AT54" t="e">
        <f>AND(Answers!BB170,"AAAAAH/51i0=")</f>
        <v>#VALUE!</v>
      </c>
      <c r="AU54" t="e">
        <f>AND(Answers!BC170,"AAAAAH/51i4=")</f>
        <v>#VALUE!</v>
      </c>
      <c r="AV54" t="e">
        <f>AND(Answers!BD170,"AAAAAH/51i8=")</f>
        <v>#VALUE!</v>
      </c>
      <c r="AW54" t="e">
        <f>AND(Answers!BE170,"AAAAAH/51jA=")</f>
        <v>#VALUE!</v>
      </c>
      <c r="AX54" t="e">
        <f>AND(Answers!BF170,"AAAAAH/51jE=")</f>
        <v>#VALUE!</v>
      </c>
      <c r="AY54" t="e">
        <f>AND(Answers!BG170,"AAAAAH/51jI=")</f>
        <v>#VALUE!</v>
      </c>
      <c r="AZ54" t="e">
        <f>AND(Answers!BH170,"AAAAAH/51jM=")</f>
        <v>#VALUE!</v>
      </c>
      <c r="BA54" t="e">
        <f>AND(Answers!BI170,"AAAAAH/51jQ=")</f>
        <v>#VALUE!</v>
      </c>
      <c r="BB54" t="e">
        <f>AND(Answers!BK170,"AAAAAH/51jU=")</f>
        <v>#VALUE!</v>
      </c>
      <c r="BC54" t="e">
        <f>AND(Answers!BL170,"AAAAAH/51jY=")</f>
        <v>#VALUE!</v>
      </c>
      <c r="BD54" t="e">
        <f>AND(Answers!BM170,"AAAAAH/51jc=")</f>
        <v>#VALUE!</v>
      </c>
      <c r="BE54" t="e">
        <f>AND(Answers!BN170,"AAAAAH/51jg=")</f>
        <v>#VALUE!</v>
      </c>
      <c r="BF54" t="e">
        <f>AND(Answers!BO170,"AAAAAH/51jk=")</f>
        <v>#VALUE!</v>
      </c>
      <c r="BG54" t="e">
        <f>AND(Answers!BP170,"AAAAAH/51jo=")</f>
        <v>#VALUE!</v>
      </c>
      <c r="BH54" t="e">
        <f>AND(Answers!BQ170,"AAAAAH/51js=")</f>
        <v>#VALUE!</v>
      </c>
      <c r="BI54" t="e">
        <f>AND(Answers!BR170,"AAAAAH/51jw=")</f>
        <v>#VALUE!</v>
      </c>
      <c r="BJ54" t="e">
        <f>AND(Answers!BS170,"AAAAAH/51j0=")</f>
        <v>#VALUE!</v>
      </c>
      <c r="BK54" t="e">
        <f>AND(Answers!BU170,"AAAAAH/51j4=")</f>
        <v>#VALUE!</v>
      </c>
      <c r="BL54" t="e">
        <f>AND(Answers!BV170,"AAAAAH/51j8=")</f>
        <v>#VALUE!</v>
      </c>
      <c r="BM54" t="e">
        <f>AND(Answers!#REF!,"AAAAAH/51kA=")</f>
        <v>#REF!</v>
      </c>
      <c r="BN54" t="e">
        <f>AND(Answers!BW170,"AAAAAH/51kE=")</f>
        <v>#VALUE!</v>
      </c>
      <c r="BO54" t="e">
        <f>AND(Answers!BX170,"AAAAAH/51kI=")</f>
        <v>#VALUE!</v>
      </c>
      <c r="BP54" t="e">
        <f>AND(Answers!BY170,"AAAAAH/51kM=")</f>
        <v>#VALUE!</v>
      </c>
      <c r="BQ54" t="e">
        <f>AND(Answers!BZ170,"AAAAAH/51kQ=")</f>
        <v>#VALUE!</v>
      </c>
      <c r="BR54">
        <f>IF(Answers!171:171,"AAAAAH/51kU=",0)</f>
        <v>0</v>
      </c>
      <c r="BS54" t="e">
        <f>AND(Answers!A171,"AAAAAH/51kY=")</f>
        <v>#VALUE!</v>
      </c>
      <c r="BT54" t="e">
        <f>AND(Answers!B171,"AAAAAH/51kc=")</f>
        <v>#VALUE!</v>
      </c>
      <c r="BU54" t="e">
        <f>AND(Answers!C171,"AAAAAH/51kg=")</f>
        <v>#VALUE!</v>
      </c>
      <c r="BV54" t="e">
        <f>AND(Answers!D171,"AAAAAH/51kk=")</f>
        <v>#VALUE!</v>
      </c>
      <c r="BW54" t="e">
        <f>AND(Answers!E171,"AAAAAH/51ko=")</f>
        <v>#VALUE!</v>
      </c>
      <c r="BX54" t="e">
        <f>AND(Answers!F171,"AAAAAH/51ks=")</f>
        <v>#VALUE!</v>
      </c>
      <c r="BY54" t="e">
        <f>AND(Answers!G171,"AAAAAH/51kw=")</f>
        <v>#VALUE!</v>
      </c>
      <c r="BZ54" t="e">
        <f>AND(Answers!H171,"AAAAAH/51k0=")</f>
        <v>#VALUE!</v>
      </c>
      <c r="CA54" t="e">
        <f>AND(Answers!J171,"AAAAAH/51k4=")</f>
        <v>#VALUE!</v>
      </c>
      <c r="CB54" t="e">
        <f>AND(Answers!K171,"AAAAAH/51k8=")</f>
        <v>#VALUE!</v>
      </c>
      <c r="CC54" t="e">
        <f>AND(Answers!L171,"AAAAAH/51lA=")</f>
        <v>#VALUE!</v>
      </c>
      <c r="CD54" t="e">
        <f>AND(Answers!M171,"AAAAAH/51lE=")</f>
        <v>#VALUE!</v>
      </c>
      <c r="CE54" t="e">
        <f>AND(Answers!N171,"AAAAAH/51lI=")</f>
        <v>#VALUE!</v>
      </c>
      <c r="CF54" t="e">
        <f>AND(Answers!O171,"AAAAAH/51lM=")</f>
        <v>#VALUE!</v>
      </c>
      <c r="CG54" t="e">
        <f>AND(Answers!P171,"AAAAAH/51lQ=")</f>
        <v>#VALUE!</v>
      </c>
      <c r="CH54" t="e">
        <f>AND(Answers!Q171,"AAAAAH/51lU=")</f>
        <v>#VALUE!</v>
      </c>
      <c r="CI54" t="e">
        <f>AND(Answers!R171,"AAAAAH/51lY=")</f>
        <v>#VALUE!</v>
      </c>
      <c r="CJ54" t="e">
        <f>AND(Answers!S171,"AAAAAH/51lc=")</f>
        <v>#VALUE!</v>
      </c>
      <c r="CK54" t="e">
        <f>AND(Answers!T171,"AAAAAH/51lg=")</f>
        <v>#VALUE!</v>
      </c>
      <c r="CL54" t="e">
        <f>AND(Answers!U171,"AAAAAH/51lk=")</f>
        <v>#VALUE!</v>
      </c>
      <c r="CM54" t="e">
        <f>AND(Answers!V171,"AAAAAH/51lo=")</f>
        <v>#VALUE!</v>
      </c>
      <c r="CN54" t="e">
        <f>AND(Answers!X171,"AAAAAH/51ls=")</f>
        <v>#VALUE!</v>
      </c>
      <c r="CO54" t="e">
        <f>AND(Answers!Y171,"AAAAAH/51lw=")</f>
        <v>#VALUE!</v>
      </c>
      <c r="CP54" t="e">
        <f>AND(Answers!Z171,"AAAAAH/51l0=")</f>
        <v>#VALUE!</v>
      </c>
      <c r="CQ54" t="e">
        <f>AND(Answers!AA171,"AAAAAH/51l4=")</f>
        <v>#VALUE!</v>
      </c>
      <c r="CR54" t="e">
        <f>AND(Answers!AB171,"AAAAAH/51l8=")</f>
        <v>#VALUE!</v>
      </c>
      <c r="CS54" t="e">
        <f>AND(Answers!AC171,"AAAAAH/51mA=")</f>
        <v>#VALUE!</v>
      </c>
      <c r="CT54" t="e">
        <f>AND(Answers!AD171,"AAAAAH/51mE=")</f>
        <v>#VALUE!</v>
      </c>
      <c r="CU54" t="e">
        <f>AND(Answers!AE171,"AAAAAH/51mI=")</f>
        <v>#VALUE!</v>
      </c>
      <c r="CV54" t="e">
        <f>AND(Answers!AF171,"AAAAAH/51mM=")</f>
        <v>#VALUE!</v>
      </c>
      <c r="CW54" t="e">
        <f>AND(Answers!AH171,"AAAAAH/51mQ=")</f>
        <v>#VALUE!</v>
      </c>
      <c r="CX54" t="e">
        <f>AND(Answers!AI171,"AAAAAH/51mU=")</f>
        <v>#VALUE!</v>
      </c>
      <c r="CY54" t="e">
        <f>AND(Answers!AK171,"AAAAAH/51mY=")</f>
        <v>#VALUE!</v>
      </c>
      <c r="CZ54" t="e">
        <f>AND(Answers!#REF!,"AAAAAH/51mc=")</f>
        <v>#REF!</v>
      </c>
      <c r="DA54" t="e">
        <f>AND(Answers!AR171,"AAAAAH/51mg=")</f>
        <v>#VALUE!</v>
      </c>
      <c r="DB54" t="e">
        <f>AND(Answers!AS171,"AAAAAH/51mk=")</f>
        <v>#VALUE!</v>
      </c>
      <c r="DC54" t="e">
        <f>AND(Answers!AT171,"AAAAAH/51mo=")</f>
        <v>#VALUE!</v>
      </c>
      <c r="DD54" t="e">
        <f>AND(Answers!AU171,"AAAAAH/51ms=")</f>
        <v>#VALUE!</v>
      </c>
      <c r="DE54" t="e">
        <f>AND(Answers!AW171,"AAAAAH/51mw=")</f>
        <v>#VALUE!</v>
      </c>
      <c r="DF54" t="e">
        <f>AND(Answers!AX171,"AAAAAH/51m0=")</f>
        <v>#VALUE!</v>
      </c>
      <c r="DG54" t="e">
        <f>AND(Answers!AY171,"AAAAAH/51m4=")</f>
        <v>#VALUE!</v>
      </c>
      <c r="DH54" t="e">
        <f>AND(Answers!AZ171,"AAAAAH/51m8=")</f>
        <v>#VALUE!</v>
      </c>
      <c r="DI54" t="e">
        <f>AND(Answers!BA171,"AAAAAH/51nA=")</f>
        <v>#VALUE!</v>
      </c>
      <c r="DJ54" t="e">
        <f>AND(Answers!BB171,"AAAAAH/51nE=")</f>
        <v>#VALUE!</v>
      </c>
      <c r="DK54" t="e">
        <f>AND(Answers!BC171,"AAAAAH/51nI=")</f>
        <v>#VALUE!</v>
      </c>
      <c r="DL54" t="e">
        <f>AND(Answers!BD171,"AAAAAH/51nM=")</f>
        <v>#VALUE!</v>
      </c>
      <c r="DM54" t="e">
        <f>AND(Answers!BE171,"AAAAAH/51nQ=")</f>
        <v>#VALUE!</v>
      </c>
      <c r="DN54" t="e">
        <f>AND(Answers!BF171,"AAAAAH/51nU=")</f>
        <v>#VALUE!</v>
      </c>
      <c r="DO54" t="e">
        <f>AND(Answers!BG171,"AAAAAH/51nY=")</f>
        <v>#VALUE!</v>
      </c>
      <c r="DP54" t="e">
        <f>AND(Answers!BH171,"AAAAAH/51nc=")</f>
        <v>#VALUE!</v>
      </c>
      <c r="DQ54" t="e">
        <f>AND(Answers!BI171,"AAAAAH/51ng=")</f>
        <v>#VALUE!</v>
      </c>
      <c r="DR54" t="e">
        <f>AND(Answers!BK171,"AAAAAH/51nk=")</f>
        <v>#VALUE!</v>
      </c>
      <c r="DS54" t="e">
        <f>AND(Answers!BL171,"AAAAAH/51no=")</f>
        <v>#VALUE!</v>
      </c>
      <c r="DT54" t="e">
        <f>AND(Answers!BM171,"AAAAAH/51ns=")</f>
        <v>#VALUE!</v>
      </c>
      <c r="DU54" t="e">
        <f>AND(Answers!BN171,"AAAAAH/51nw=")</f>
        <v>#VALUE!</v>
      </c>
      <c r="DV54" t="e">
        <f>AND(Answers!BO171,"AAAAAH/51n0=")</f>
        <v>#VALUE!</v>
      </c>
      <c r="DW54" t="e">
        <f>AND(Answers!BP171,"AAAAAH/51n4=")</f>
        <v>#VALUE!</v>
      </c>
      <c r="DX54" t="e">
        <f>AND(Answers!BQ171,"AAAAAH/51n8=")</f>
        <v>#VALUE!</v>
      </c>
      <c r="DY54" t="e">
        <f>AND(Answers!BR171,"AAAAAH/51oA=")</f>
        <v>#VALUE!</v>
      </c>
      <c r="DZ54" t="e">
        <f>AND(Answers!BS171,"AAAAAH/51oE=")</f>
        <v>#VALUE!</v>
      </c>
      <c r="EA54" t="e">
        <f>AND(Answers!BU171,"AAAAAH/51oI=")</f>
        <v>#VALUE!</v>
      </c>
      <c r="EB54" t="e">
        <f>AND(Answers!BV171,"AAAAAH/51oM=")</f>
        <v>#VALUE!</v>
      </c>
      <c r="EC54" t="e">
        <f>AND(Answers!#REF!,"AAAAAH/51oQ=")</f>
        <v>#REF!</v>
      </c>
      <c r="ED54" t="e">
        <f>AND(Answers!BW171,"AAAAAH/51oU=")</f>
        <v>#VALUE!</v>
      </c>
      <c r="EE54" t="e">
        <f>AND(Answers!BX171,"AAAAAH/51oY=")</f>
        <v>#VALUE!</v>
      </c>
      <c r="EF54" t="e">
        <f>AND(Answers!BY171,"AAAAAH/51oc=")</f>
        <v>#VALUE!</v>
      </c>
      <c r="EG54" t="e">
        <f>AND(Answers!BZ171,"AAAAAH/51og=")</f>
        <v>#VALUE!</v>
      </c>
      <c r="EH54">
        <f>IF(Answers!172:172,"AAAAAH/51ok=",0)</f>
        <v>0</v>
      </c>
      <c r="EI54" t="e">
        <f>AND(Answers!A172,"AAAAAH/51oo=")</f>
        <v>#VALUE!</v>
      </c>
      <c r="EJ54" t="e">
        <f>AND(Answers!B172,"AAAAAH/51os=")</f>
        <v>#VALUE!</v>
      </c>
      <c r="EK54" t="e">
        <f>AND(Answers!C172,"AAAAAH/51ow=")</f>
        <v>#VALUE!</v>
      </c>
      <c r="EL54" t="e">
        <f>AND(Answers!D172,"AAAAAH/51o0=")</f>
        <v>#VALUE!</v>
      </c>
      <c r="EM54" t="e">
        <f>AND(Answers!E172,"AAAAAH/51o4=")</f>
        <v>#VALUE!</v>
      </c>
      <c r="EN54" t="e">
        <f>AND(Answers!F172,"AAAAAH/51o8=")</f>
        <v>#VALUE!</v>
      </c>
      <c r="EO54" t="e">
        <f>AND(Answers!G172,"AAAAAH/51pA=")</f>
        <v>#VALUE!</v>
      </c>
      <c r="EP54" t="e">
        <f>AND(Answers!H172,"AAAAAH/51pE=")</f>
        <v>#VALUE!</v>
      </c>
      <c r="EQ54" t="e">
        <f>AND(Answers!J172,"AAAAAH/51pI=")</f>
        <v>#VALUE!</v>
      </c>
      <c r="ER54" t="e">
        <f>AND(Answers!K172,"AAAAAH/51pM=")</f>
        <v>#VALUE!</v>
      </c>
      <c r="ES54" t="e">
        <f>AND(Answers!L172,"AAAAAH/51pQ=")</f>
        <v>#VALUE!</v>
      </c>
      <c r="ET54" t="e">
        <f>AND(Answers!M172,"AAAAAH/51pU=")</f>
        <v>#VALUE!</v>
      </c>
      <c r="EU54" t="e">
        <f>AND(Answers!N172,"AAAAAH/51pY=")</f>
        <v>#VALUE!</v>
      </c>
      <c r="EV54" t="e">
        <f>AND(Answers!O172,"AAAAAH/51pc=")</f>
        <v>#VALUE!</v>
      </c>
      <c r="EW54" t="e">
        <f>AND(Answers!P172,"AAAAAH/51pg=")</f>
        <v>#VALUE!</v>
      </c>
      <c r="EX54" t="e">
        <f>AND(Answers!Q172,"AAAAAH/51pk=")</f>
        <v>#VALUE!</v>
      </c>
      <c r="EY54" t="e">
        <f>AND(Answers!R172,"AAAAAH/51po=")</f>
        <v>#VALUE!</v>
      </c>
      <c r="EZ54" t="e">
        <f>AND(Answers!S172,"AAAAAH/51ps=")</f>
        <v>#VALUE!</v>
      </c>
      <c r="FA54" t="e">
        <f>AND(Answers!T172,"AAAAAH/51pw=")</f>
        <v>#VALUE!</v>
      </c>
      <c r="FB54" t="e">
        <f>AND(Answers!U172,"AAAAAH/51p0=")</f>
        <v>#VALUE!</v>
      </c>
      <c r="FC54" t="e">
        <f>AND(Answers!V172,"AAAAAH/51p4=")</f>
        <v>#VALUE!</v>
      </c>
      <c r="FD54" t="e">
        <f>AND(Answers!X172,"AAAAAH/51p8=")</f>
        <v>#VALUE!</v>
      </c>
      <c r="FE54" t="e">
        <f>AND(Answers!Y172,"AAAAAH/51qA=")</f>
        <v>#VALUE!</v>
      </c>
      <c r="FF54" t="e">
        <f>AND(Answers!Z172,"AAAAAH/51qE=")</f>
        <v>#VALUE!</v>
      </c>
      <c r="FG54" t="e">
        <f>AND(Answers!AA172,"AAAAAH/51qI=")</f>
        <v>#VALUE!</v>
      </c>
      <c r="FH54" t="e">
        <f>AND(Answers!AB172,"AAAAAH/51qM=")</f>
        <v>#VALUE!</v>
      </c>
      <c r="FI54" t="e">
        <f>AND(Answers!AC172,"AAAAAH/51qQ=")</f>
        <v>#VALUE!</v>
      </c>
      <c r="FJ54" t="e">
        <f>AND(Answers!AD172,"AAAAAH/51qU=")</f>
        <v>#VALUE!</v>
      </c>
      <c r="FK54" t="e">
        <f>AND(Answers!AE172,"AAAAAH/51qY=")</f>
        <v>#VALUE!</v>
      </c>
      <c r="FL54" t="e">
        <f>AND(Answers!AF172,"AAAAAH/51qc=")</f>
        <v>#VALUE!</v>
      </c>
      <c r="FM54" t="e">
        <f>AND(Answers!AH172,"AAAAAH/51qg=")</f>
        <v>#VALUE!</v>
      </c>
      <c r="FN54" t="e">
        <f>AND(Answers!AI172,"AAAAAH/51qk=")</f>
        <v>#VALUE!</v>
      </c>
      <c r="FO54" t="e">
        <f>AND(Answers!AK172,"AAAAAH/51qo=")</f>
        <v>#VALUE!</v>
      </c>
      <c r="FP54" t="e">
        <f>AND(Answers!#REF!,"AAAAAH/51qs=")</f>
        <v>#REF!</v>
      </c>
      <c r="FQ54" t="e">
        <f>AND(Answers!AR172,"AAAAAH/51qw=")</f>
        <v>#VALUE!</v>
      </c>
      <c r="FR54" t="e">
        <f>AND(Answers!AS172,"AAAAAH/51q0=")</f>
        <v>#VALUE!</v>
      </c>
      <c r="FS54" t="e">
        <f>AND(Answers!AT172,"AAAAAH/51q4=")</f>
        <v>#VALUE!</v>
      </c>
      <c r="FT54" t="e">
        <f>AND(Answers!AU172,"AAAAAH/51q8=")</f>
        <v>#VALUE!</v>
      </c>
      <c r="FU54" t="e">
        <f>AND(Answers!AW172,"AAAAAH/51rA=")</f>
        <v>#VALUE!</v>
      </c>
      <c r="FV54" t="e">
        <f>AND(Answers!AX172,"AAAAAH/51rE=")</f>
        <v>#VALUE!</v>
      </c>
      <c r="FW54" t="e">
        <f>AND(Answers!AY172,"AAAAAH/51rI=")</f>
        <v>#VALUE!</v>
      </c>
      <c r="FX54" t="e">
        <f>AND(Answers!AZ172,"AAAAAH/51rM=")</f>
        <v>#VALUE!</v>
      </c>
      <c r="FY54" t="e">
        <f>AND(Answers!BA172,"AAAAAH/51rQ=")</f>
        <v>#VALUE!</v>
      </c>
      <c r="FZ54" t="e">
        <f>AND(Answers!BB172,"AAAAAH/51rU=")</f>
        <v>#VALUE!</v>
      </c>
      <c r="GA54" t="e">
        <f>AND(Answers!BC172,"AAAAAH/51rY=")</f>
        <v>#VALUE!</v>
      </c>
      <c r="GB54" t="e">
        <f>AND(Answers!BD172,"AAAAAH/51rc=")</f>
        <v>#VALUE!</v>
      </c>
      <c r="GC54" t="e">
        <f>AND(Answers!BE172,"AAAAAH/51rg=")</f>
        <v>#VALUE!</v>
      </c>
      <c r="GD54" t="e">
        <f>AND(Answers!BF172,"AAAAAH/51rk=")</f>
        <v>#VALUE!</v>
      </c>
      <c r="GE54" t="e">
        <f>AND(Answers!BG172,"AAAAAH/51ro=")</f>
        <v>#VALUE!</v>
      </c>
      <c r="GF54" t="e">
        <f>AND(Answers!BH172,"AAAAAH/51rs=")</f>
        <v>#VALUE!</v>
      </c>
      <c r="GG54" t="e">
        <f>AND(Answers!BI172,"AAAAAH/51rw=")</f>
        <v>#VALUE!</v>
      </c>
      <c r="GH54" t="e">
        <f>AND(Answers!BK172,"AAAAAH/51r0=")</f>
        <v>#VALUE!</v>
      </c>
      <c r="GI54" t="e">
        <f>AND(Answers!BL172,"AAAAAH/51r4=")</f>
        <v>#VALUE!</v>
      </c>
      <c r="GJ54" t="e">
        <f>AND(Answers!BM172,"AAAAAH/51r8=")</f>
        <v>#VALUE!</v>
      </c>
      <c r="GK54" t="e">
        <f>AND(Answers!BN172,"AAAAAH/51sA=")</f>
        <v>#VALUE!</v>
      </c>
      <c r="GL54" t="e">
        <f>AND(Answers!BO172,"AAAAAH/51sE=")</f>
        <v>#VALUE!</v>
      </c>
      <c r="GM54" t="e">
        <f>AND(Answers!BP172,"AAAAAH/51sI=")</f>
        <v>#VALUE!</v>
      </c>
      <c r="GN54" t="e">
        <f>AND(Answers!BQ172,"AAAAAH/51sM=")</f>
        <v>#VALUE!</v>
      </c>
      <c r="GO54" t="e">
        <f>AND(Answers!BR172,"AAAAAH/51sQ=")</f>
        <v>#VALUE!</v>
      </c>
      <c r="GP54" t="e">
        <f>AND(Answers!BS172,"AAAAAH/51sU=")</f>
        <v>#VALUE!</v>
      </c>
      <c r="GQ54" t="e">
        <f>AND(Answers!BU172,"AAAAAH/51sY=")</f>
        <v>#VALUE!</v>
      </c>
      <c r="GR54" t="e">
        <f>AND(Answers!BV172,"AAAAAH/51sc=")</f>
        <v>#VALUE!</v>
      </c>
      <c r="GS54" t="e">
        <f>AND(Answers!#REF!,"AAAAAH/51sg=")</f>
        <v>#REF!</v>
      </c>
      <c r="GT54" t="e">
        <f>AND(Answers!BW172,"AAAAAH/51sk=")</f>
        <v>#VALUE!</v>
      </c>
      <c r="GU54" t="e">
        <f>AND(Answers!BX172,"AAAAAH/51so=")</f>
        <v>#VALUE!</v>
      </c>
      <c r="GV54" t="e">
        <f>AND(Answers!BY172,"AAAAAH/51ss=")</f>
        <v>#VALUE!</v>
      </c>
      <c r="GW54" t="e">
        <f>AND(Answers!BZ172,"AAAAAH/51sw=")</f>
        <v>#VALUE!</v>
      </c>
      <c r="GX54">
        <f>IF(Answers!173:173,"AAAAAH/51s0=",0)</f>
        <v>0</v>
      </c>
      <c r="GY54" t="e">
        <f>AND(Answers!A173,"AAAAAH/51s4=")</f>
        <v>#VALUE!</v>
      </c>
      <c r="GZ54" t="e">
        <f>AND(Answers!B173,"AAAAAH/51s8=")</f>
        <v>#VALUE!</v>
      </c>
      <c r="HA54" t="e">
        <f>AND(Answers!C173,"AAAAAH/51tA=")</f>
        <v>#VALUE!</v>
      </c>
      <c r="HB54" t="e">
        <f>AND(Answers!D173,"AAAAAH/51tE=")</f>
        <v>#VALUE!</v>
      </c>
      <c r="HC54" t="e">
        <f>AND(Answers!E173,"AAAAAH/51tI=")</f>
        <v>#VALUE!</v>
      </c>
      <c r="HD54" t="e">
        <f>AND(Answers!F173,"AAAAAH/51tM=")</f>
        <v>#VALUE!</v>
      </c>
      <c r="HE54" t="e">
        <f>AND(Answers!G173,"AAAAAH/51tQ=")</f>
        <v>#VALUE!</v>
      </c>
      <c r="HF54" t="e">
        <f>AND(Answers!H173,"AAAAAH/51tU=")</f>
        <v>#VALUE!</v>
      </c>
      <c r="HG54" t="e">
        <f>AND(Answers!J173,"AAAAAH/51tY=")</f>
        <v>#VALUE!</v>
      </c>
      <c r="HH54" t="e">
        <f>AND(Answers!K173,"AAAAAH/51tc=")</f>
        <v>#VALUE!</v>
      </c>
      <c r="HI54" t="e">
        <f>AND(Answers!L173,"AAAAAH/51tg=")</f>
        <v>#VALUE!</v>
      </c>
      <c r="HJ54" t="e">
        <f>AND(Answers!M173,"AAAAAH/51tk=")</f>
        <v>#VALUE!</v>
      </c>
      <c r="HK54" t="e">
        <f>AND(Answers!N173,"AAAAAH/51to=")</f>
        <v>#VALUE!</v>
      </c>
      <c r="HL54" t="e">
        <f>AND(Answers!O173,"AAAAAH/51ts=")</f>
        <v>#VALUE!</v>
      </c>
      <c r="HM54" t="e">
        <f>AND(Answers!P173,"AAAAAH/51tw=")</f>
        <v>#VALUE!</v>
      </c>
      <c r="HN54" t="e">
        <f>AND(Answers!Q173,"AAAAAH/51t0=")</f>
        <v>#VALUE!</v>
      </c>
      <c r="HO54" t="e">
        <f>AND(Answers!R173,"AAAAAH/51t4=")</f>
        <v>#VALUE!</v>
      </c>
      <c r="HP54" t="e">
        <f>AND(Answers!S173,"AAAAAH/51t8=")</f>
        <v>#VALUE!</v>
      </c>
      <c r="HQ54" t="e">
        <f>AND(Answers!T173,"AAAAAH/51uA=")</f>
        <v>#VALUE!</v>
      </c>
      <c r="HR54" t="e">
        <f>AND(Answers!U173,"AAAAAH/51uE=")</f>
        <v>#VALUE!</v>
      </c>
      <c r="HS54" t="e">
        <f>AND(Answers!V173,"AAAAAH/51uI=")</f>
        <v>#VALUE!</v>
      </c>
      <c r="HT54" t="e">
        <f>AND(Answers!X173,"AAAAAH/51uM=")</f>
        <v>#VALUE!</v>
      </c>
      <c r="HU54" t="e">
        <f>AND(Answers!Y173,"AAAAAH/51uQ=")</f>
        <v>#VALUE!</v>
      </c>
      <c r="HV54" t="e">
        <f>AND(Answers!Z173,"AAAAAH/51uU=")</f>
        <v>#VALUE!</v>
      </c>
      <c r="HW54" t="e">
        <f>AND(Answers!AA173,"AAAAAH/51uY=")</f>
        <v>#VALUE!</v>
      </c>
      <c r="HX54" t="e">
        <f>AND(Answers!AB173,"AAAAAH/51uc=")</f>
        <v>#VALUE!</v>
      </c>
      <c r="HY54" t="e">
        <f>AND(Answers!AC173,"AAAAAH/51ug=")</f>
        <v>#VALUE!</v>
      </c>
      <c r="HZ54" t="e">
        <f>AND(Answers!AD173,"AAAAAH/51uk=")</f>
        <v>#VALUE!</v>
      </c>
      <c r="IA54" t="e">
        <f>AND(Answers!AE173,"AAAAAH/51uo=")</f>
        <v>#VALUE!</v>
      </c>
      <c r="IB54" t="e">
        <f>AND(Answers!AF173,"AAAAAH/51us=")</f>
        <v>#VALUE!</v>
      </c>
      <c r="IC54" t="e">
        <f>AND(Answers!AH173,"AAAAAH/51uw=")</f>
        <v>#VALUE!</v>
      </c>
      <c r="ID54" t="e">
        <f>AND(Answers!AI173,"AAAAAH/51u0=")</f>
        <v>#VALUE!</v>
      </c>
      <c r="IE54" t="e">
        <f>AND(Answers!AK173,"AAAAAH/51u4=")</f>
        <v>#VALUE!</v>
      </c>
      <c r="IF54" t="e">
        <f>AND(Answers!#REF!,"AAAAAH/51u8=")</f>
        <v>#REF!</v>
      </c>
      <c r="IG54" t="e">
        <f>AND(Answers!AR173,"AAAAAH/51vA=")</f>
        <v>#VALUE!</v>
      </c>
      <c r="IH54" t="e">
        <f>AND(Answers!AS173,"AAAAAH/51vE=")</f>
        <v>#VALUE!</v>
      </c>
      <c r="II54" t="e">
        <f>AND(Answers!AT173,"AAAAAH/51vI=")</f>
        <v>#VALUE!</v>
      </c>
      <c r="IJ54" t="e">
        <f>AND(Answers!AU173,"AAAAAH/51vM=")</f>
        <v>#VALUE!</v>
      </c>
      <c r="IK54" t="e">
        <f>AND(Answers!AW173,"AAAAAH/51vQ=")</f>
        <v>#VALUE!</v>
      </c>
      <c r="IL54" t="e">
        <f>AND(Answers!AX173,"AAAAAH/51vU=")</f>
        <v>#VALUE!</v>
      </c>
      <c r="IM54" t="e">
        <f>AND(Answers!AY173,"AAAAAH/51vY=")</f>
        <v>#VALUE!</v>
      </c>
      <c r="IN54" t="e">
        <f>AND(Answers!AZ173,"AAAAAH/51vc=")</f>
        <v>#VALUE!</v>
      </c>
      <c r="IO54" t="e">
        <f>AND(Answers!BA173,"AAAAAH/51vg=")</f>
        <v>#VALUE!</v>
      </c>
      <c r="IP54" t="e">
        <f>AND(Answers!BB173,"AAAAAH/51vk=")</f>
        <v>#VALUE!</v>
      </c>
      <c r="IQ54" t="e">
        <f>AND(Answers!BC173,"AAAAAH/51vo=")</f>
        <v>#VALUE!</v>
      </c>
      <c r="IR54" t="e">
        <f>AND(Answers!BD173,"AAAAAH/51vs=")</f>
        <v>#VALUE!</v>
      </c>
      <c r="IS54" t="e">
        <f>AND(Answers!BE173,"AAAAAH/51vw=")</f>
        <v>#VALUE!</v>
      </c>
      <c r="IT54" t="e">
        <f>AND(Answers!BF173,"AAAAAH/51v0=")</f>
        <v>#VALUE!</v>
      </c>
      <c r="IU54" t="e">
        <f>AND(Answers!BG173,"AAAAAH/51v4=")</f>
        <v>#VALUE!</v>
      </c>
      <c r="IV54" t="e">
        <f>AND(Answers!BH173,"AAAAAH/51v8=")</f>
        <v>#VALUE!</v>
      </c>
    </row>
    <row r="55" spans="1:256" x14ac:dyDescent="0.15">
      <c r="A55" t="e">
        <f>AND(Answers!BI173,"AAAAADt63wA=")</f>
        <v>#VALUE!</v>
      </c>
      <c r="B55" t="e">
        <f>AND(Answers!BK173,"AAAAADt63wE=")</f>
        <v>#VALUE!</v>
      </c>
      <c r="C55" t="e">
        <f>AND(Answers!BL173,"AAAAADt63wI=")</f>
        <v>#VALUE!</v>
      </c>
      <c r="D55" t="e">
        <f>AND(Answers!BM173,"AAAAADt63wM=")</f>
        <v>#VALUE!</v>
      </c>
      <c r="E55" t="e">
        <f>AND(Answers!BN173,"AAAAADt63wQ=")</f>
        <v>#VALUE!</v>
      </c>
      <c r="F55" t="e">
        <f>AND(Answers!BO173,"AAAAADt63wU=")</f>
        <v>#VALUE!</v>
      </c>
      <c r="G55" t="e">
        <f>AND(Answers!BP173,"AAAAADt63wY=")</f>
        <v>#VALUE!</v>
      </c>
      <c r="H55" t="e">
        <f>AND(Answers!BQ173,"AAAAADt63wc=")</f>
        <v>#VALUE!</v>
      </c>
      <c r="I55" t="e">
        <f>AND(Answers!BR173,"AAAAADt63wg=")</f>
        <v>#VALUE!</v>
      </c>
      <c r="J55" t="e">
        <f>AND(Answers!BS173,"AAAAADt63wk=")</f>
        <v>#VALUE!</v>
      </c>
      <c r="K55" t="e">
        <f>AND(Answers!BU173,"AAAAADt63wo=")</f>
        <v>#VALUE!</v>
      </c>
      <c r="L55" t="e">
        <f>AND(Answers!BV173,"AAAAADt63ws=")</f>
        <v>#VALUE!</v>
      </c>
      <c r="M55" t="e">
        <f>AND(Answers!#REF!,"AAAAADt63ww=")</f>
        <v>#REF!</v>
      </c>
      <c r="N55" t="e">
        <f>AND(Answers!BW173,"AAAAADt63w0=")</f>
        <v>#VALUE!</v>
      </c>
      <c r="O55" t="e">
        <f>AND(Answers!BX173,"AAAAADt63w4=")</f>
        <v>#VALUE!</v>
      </c>
      <c r="P55" t="e">
        <f>AND(Answers!BY173,"AAAAADt63w8=")</f>
        <v>#VALUE!</v>
      </c>
      <c r="Q55" t="e">
        <f>AND(Answers!BZ173,"AAAAADt63xA=")</f>
        <v>#VALUE!</v>
      </c>
      <c r="R55">
        <f>IF(Answers!174:174,"AAAAADt63xE=",0)</f>
        <v>0</v>
      </c>
      <c r="S55" t="e">
        <f>AND(Answers!A174,"AAAAADt63xI=")</f>
        <v>#VALUE!</v>
      </c>
      <c r="T55" t="e">
        <f>AND(Answers!B174,"AAAAADt63xM=")</f>
        <v>#VALUE!</v>
      </c>
      <c r="U55" t="e">
        <f>AND(Answers!C174,"AAAAADt63xQ=")</f>
        <v>#VALUE!</v>
      </c>
      <c r="V55" t="e">
        <f>AND(Answers!D174,"AAAAADt63xU=")</f>
        <v>#VALUE!</v>
      </c>
      <c r="W55" t="e">
        <f>AND(Answers!E174,"AAAAADt63xY=")</f>
        <v>#VALUE!</v>
      </c>
      <c r="X55" t="e">
        <f>AND(Answers!F174,"AAAAADt63xc=")</f>
        <v>#VALUE!</v>
      </c>
      <c r="Y55" t="e">
        <f>AND(Answers!G174,"AAAAADt63xg=")</f>
        <v>#VALUE!</v>
      </c>
      <c r="Z55" t="e">
        <f>AND(Answers!H174,"AAAAADt63xk=")</f>
        <v>#VALUE!</v>
      </c>
      <c r="AA55" t="e">
        <f>AND(Answers!J174,"AAAAADt63xo=")</f>
        <v>#VALUE!</v>
      </c>
      <c r="AB55" t="e">
        <f>AND(Answers!K174,"AAAAADt63xs=")</f>
        <v>#VALUE!</v>
      </c>
      <c r="AC55" t="e">
        <f>AND(Answers!L174,"AAAAADt63xw=")</f>
        <v>#VALUE!</v>
      </c>
      <c r="AD55" t="e">
        <f>AND(Answers!M174,"AAAAADt63x0=")</f>
        <v>#VALUE!</v>
      </c>
      <c r="AE55" t="e">
        <f>AND(Answers!N174,"AAAAADt63x4=")</f>
        <v>#VALUE!</v>
      </c>
      <c r="AF55" t="e">
        <f>AND(Answers!O174,"AAAAADt63x8=")</f>
        <v>#VALUE!</v>
      </c>
      <c r="AG55" t="e">
        <f>AND(Answers!P174,"AAAAADt63yA=")</f>
        <v>#VALUE!</v>
      </c>
      <c r="AH55" t="e">
        <f>AND(Answers!Q174,"AAAAADt63yE=")</f>
        <v>#VALUE!</v>
      </c>
      <c r="AI55" t="e">
        <f>AND(Answers!R174,"AAAAADt63yI=")</f>
        <v>#VALUE!</v>
      </c>
      <c r="AJ55" t="e">
        <f>AND(Answers!S174,"AAAAADt63yM=")</f>
        <v>#VALUE!</v>
      </c>
      <c r="AK55" t="e">
        <f>AND(Answers!T174,"AAAAADt63yQ=")</f>
        <v>#VALUE!</v>
      </c>
      <c r="AL55" t="e">
        <f>AND(Answers!U174,"AAAAADt63yU=")</f>
        <v>#VALUE!</v>
      </c>
      <c r="AM55" t="e">
        <f>AND(Answers!V174,"AAAAADt63yY=")</f>
        <v>#VALUE!</v>
      </c>
      <c r="AN55" t="e">
        <f>AND(Answers!X174,"AAAAADt63yc=")</f>
        <v>#VALUE!</v>
      </c>
      <c r="AO55" t="e">
        <f>AND(Answers!Y174,"AAAAADt63yg=")</f>
        <v>#VALUE!</v>
      </c>
      <c r="AP55" t="e">
        <f>AND(Answers!Z174,"AAAAADt63yk=")</f>
        <v>#VALUE!</v>
      </c>
      <c r="AQ55" t="e">
        <f>AND(Answers!AA174,"AAAAADt63yo=")</f>
        <v>#VALUE!</v>
      </c>
      <c r="AR55" t="e">
        <f>AND(Answers!AB174,"AAAAADt63ys=")</f>
        <v>#VALUE!</v>
      </c>
      <c r="AS55" t="e">
        <f>AND(Answers!AC174,"AAAAADt63yw=")</f>
        <v>#VALUE!</v>
      </c>
      <c r="AT55" t="e">
        <f>AND(Answers!AD174,"AAAAADt63y0=")</f>
        <v>#VALUE!</v>
      </c>
      <c r="AU55" t="e">
        <f>AND(Answers!AE174,"AAAAADt63y4=")</f>
        <v>#VALUE!</v>
      </c>
      <c r="AV55" t="e">
        <f>AND(Answers!AF174,"AAAAADt63y8=")</f>
        <v>#VALUE!</v>
      </c>
      <c r="AW55" t="e">
        <f>AND(Answers!AH174,"AAAAADt63zA=")</f>
        <v>#VALUE!</v>
      </c>
      <c r="AX55" t="e">
        <f>AND(Answers!AI174,"AAAAADt63zE=")</f>
        <v>#VALUE!</v>
      </c>
      <c r="AY55" t="e">
        <f>AND(Answers!AK174,"AAAAADt63zI=")</f>
        <v>#VALUE!</v>
      </c>
      <c r="AZ55" t="e">
        <f>AND(Answers!#REF!,"AAAAADt63zM=")</f>
        <v>#REF!</v>
      </c>
      <c r="BA55" t="e">
        <f>AND(Answers!AR174,"AAAAADt63zQ=")</f>
        <v>#VALUE!</v>
      </c>
      <c r="BB55" t="e">
        <f>AND(Answers!AS174,"AAAAADt63zU=")</f>
        <v>#VALUE!</v>
      </c>
      <c r="BC55" t="e">
        <f>AND(Answers!AT174,"AAAAADt63zY=")</f>
        <v>#VALUE!</v>
      </c>
      <c r="BD55" t="e">
        <f>AND(Answers!AU174,"AAAAADt63zc=")</f>
        <v>#VALUE!</v>
      </c>
      <c r="BE55" t="e">
        <f>AND(Answers!AW174,"AAAAADt63zg=")</f>
        <v>#VALUE!</v>
      </c>
      <c r="BF55" t="e">
        <f>AND(Answers!AX174,"AAAAADt63zk=")</f>
        <v>#VALUE!</v>
      </c>
      <c r="BG55" t="e">
        <f>AND(Answers!AY174,"AAAAADt63zo=")</f>
        <v>#VALUE!</v>
      </c>
      <c r="BH55" t="e">
        <f>AND(Answers!AZ174,"AAAAADt63zs=")</f>
        <v>#VALUE!</v>
      </c>
      <c r="BI55" t="e">
        <f>AND(Answers!BA174,"AAAAADt63zw=")</f>
        <v>#VALUE!</v>
      </c>
      <c r="BJ55" t="e">
        <f>AND(Answers!BB174,"AAAAADt63z0=")</f>
        <v>#VALUE!</v>
      </c>
      <c r="BK55" t="e">
        <f>AND(Answers!BC174,"AAAAADt63z4=")</f>
        <v>#VALUE!</v>
      </c>
      <c r="BL55" t="e">
        <f>AND(Answers!BD174,"AAAAADt63z8=")</f>
        <v>#VALUE!</v>
      </c>
      <c r="BM55" t="e">
        <f>AND(Answers!BE174,"AAAAADt630A=")</f>
        <v>#VALUE!</v>
      </c>
      <c r="BN55" t="e">
        <f>AND(Answers!BF174,"AAAAADt630E=")</f>
        <v>#VALUE!</v>
      </c>
      <c r="BO55" t="e">
        <f>AND(Answers!BG174,"AAAAADt630I=")</f>
        <v>#VALUE!</v>
      </c>
      <c r="BP55" t="e">
        <f>AND(Answers!BH174,"AAAAADt630M=")</f>
        <v>#VALUE!</v>
      </c>
      <c r="BQ55" t="e">
        <f>AND(Answers!BI174,"AAAAADt630Q=")</f>
        <v>#VALUE!</v>
      </c>
      <c r="BR55" t="e">
        <f>AND(Answers!BK174,"AAAAADt630U=")</f>
        <v>#VALUE!</v>
      </c>
      <c r="BS55" t="e">
        <f>AND(Answers!BL174,"AAAAADt630Y=")</f>
        <v>#VALUE!</v>
      </c>
      <c r="BT55" t="e">
        <f>AND(Answers!BM174,"AAAAADt630c=")</f>
        <v>#VALUE!</v>
      </c>
      <c r="BU55" t="e">
        <f>AND(Answers!BN174,"AAAAADt630g=")</f>
        <v>#VALUE!</v>
      </c>
      <c r="BV55" t="e">
        <f>AND(Answers!BO174,"AAAAADt630k=")</f>
        <v>#VALUE!</v>
      </c>
      <c r="BW55" t="e">
        <f>AND(Answers!BP174,"AAAAADt630o=")</f>
        <v>#VALUE!</v>
      </c>
      <c r="BX55" t="e">
        <f>AND(Answers!BQ174,"AAAAADt630s=")</f>
        <v>#VALUE!</v>
      </c>
      <c r="BY55" t="e">
        <f>AND(Answers!BR174,"AAAAADt630w=")</f>
        <v>#VALUE!</v>
      </c>
      <c r="BZ55" t="e">
        <f>AND(Answers!BS174,"AAAAADt6300=")</f>
        <v>#VALUE!</v>
      </c>
      <c r="CA55" t="e">
        <f>AND(Answers!BU174,"AAAAADt6304=")</f>
        <v>#VALUE!</v>
      </c>
      <c r="CB55" t="e">
        <f>AND(Answers!BV174,"AAAAADt6308=")</f>
        <v>#VALUE!</v>
      </c>
      <c r="CC55" t="e">
        <f>AND(Answers!#REF!,"AAAAADt631A=")</f>
        <v>#REF!</v>
      </c>
      <c r="CD55" t="e">
        <f>AND(Answers!BW174,"AAAAADt631E=")</f>
        <v>#VALUE!</v>
      </c>
      <c r="CE55" t="e">
        <f>AND(Answers!BX174,"AAAAADt631I=")</f>
        <v>#VALUE!</v>
      </c>
      <c r="CF55" t="e">
        <f>AND(Answers!BY174,"AAAAADt631M=")</f>
        <v>#VALUE!</v>
      </c>
      <c r="CG55" t="e">
        <f>AND(Answers!BZ174,"AAAAADt631Q=")</f>
        <v>#VALUE!</v>
      </c>
      <c r="CH55">
        <f>IF(Answers!175:175,"AAAAADt631U=",0)</f>
        <v>0</v>
      </c>
      <c r="CI55" t="e">
        <f>AND(Answers!A175,"AAAAADt631Y=")</f>
        <v>#VALUE!</v>
      </c>
      <c r="CJ55" t="e">
        <f>AND(Answers!B175,"AAAAADt631c=")</f>
        <v>#VALUE!</v>
      </c>
      <c r="CK55" t="e">
        <f>AND(Answers!C175,"AAAAADt631g=")</f>
        <v>#VALUE!</v>
      </c>
      <c r="CL55" t="e">
        <f>AND(Answers!D175,"AAAAADt631k=")</f>
        <v>#VALUE!</v>
      </c>
      <c r="CM55" t="e">
        <f>AND(Answers!E175,"AAAAADt631o=")</f>
        <v>#VALUE!</v>
      </c>
      <c r="CN55" t="e">
        <f>AND(Answers!F175,"AAAAADt631s=")</f>
        <v>#VALUE!</v>
      </c>
      <c r="CO55" t="e">
        <f>AND(Answers!G175,"AAAAADt631w=")</f>
        <v>#VALUE!</v>
      </c>
      <c r="CP55" t="e">
        <f>AND(Answers!H175,"AAAAADt6310=")</f>
        <v>#VALUE!</v>
      </c>
      <c r="CQ55" t="e">
        <f>AND(Answers!J175,"AAAAADt6314=")</f>
        <v>#VALUE!</v>
      </c>
      <c r="CR55" t="e">
        <f>AND(Answers!K175,"AAAAADt6318=")</f>
        <v>#VALUE!</v>
      </c>
      <c r="CS55" t="e">
        <f>AND(Answers!L175,"AAAAADt632A=")</f>
        <v>#VALUE!</v>
      </c>
      <c r="CT55" t="e">
        <f>AND(Answers!M175,"AAAAADt632E=")</f>
        <v>#VALUE!</v>
      </c>
      <c r="CU55" t="e">
        <f>AND(Answers!N175,"AAAAADt632I=")</f>
        <v>#VALUE!</v>
      </c>
      <c r="CV55" t="e">
        <f>AND(Answers!O175,"AAAAADt632M=")</f>
        <v>#VALUE!</v>
      </c>
      <c r="CW55" t="e">
        <f>AND(Answers!P175,"AAAAADt632Q=")</f>
        <v>#VALUE!</v>
      </c>
      <c r="CX55" t="e">
        <f>AND(Answers!Q175,"AAAAADt632U=")</f>
        <v>#VALUE!</v>
      </c>
      <c r="CY55" t="e">
        <f>AND(Answers!R175,"AAAAADt632Y=")</f>
        <v>#VALUE!</v>
      </c>
      <c r="CZ55" t="e">
        <f>AND(Answers!S175,"AAAAADt632c=")</f>
        <v>#VALUE!</v>
      </c>
      <c r="DA55" t="e">
        <f>AND(Answers!T175,"AAAAADt632g=")</f>
        <v>#VALUE!</v>
      </c>
      <c r="DB55" t="e">
        <f>AND(Answers!U175,"AAAAADt632k=")</f>
        <v>#VALUE!</v>
      </c>
      <c r="DC55" t="e">
        <f>AND(Answers!V175,"AAAAADt632o=")</f>
        <v>#VALUE!</v>
      </c>
      <c r="DD55" t="e">
        <f>AND(Answers!X175,"AAAAADt632s=")</f>
        <v>#VALUE!</v>
      </c>
      <c r="DE55" t="e">
        <f>AND(Answers!Y175,"AAAAADt632w=")</f>
        <v>#VALUE!</v>
      </c>
      <c r="DF55" t="e">
        <f>AND(Answers!Z175,"AAAAADt6320=")</f>
        <v>#VALUE!</v>
      </c>
      <c r="DG55" t="e">
        <f>AND(Answers!AA175,"AAAAADt6324=")</f>
        <v>#VALUE!</v>
      </c>
      <c r="DH55" t="e">
        <f>AND(Answers!AB175,"AAAAADt6328=")</f>
        <v>#VALUE!</v>
      </c>
      <c r="DI55" t="e">
        <f>AND(Answers!AC175,"AAAAADt633A=")</f>
        <v>#VALUE!</v>
      </c>
      <c r="DJ55" t="e">
        <f>AND(Answers!AD175,"AAAAADt633E=")</f>
        <v>#VALUE!</v>
      </c>
      <c r="DK55" t="e">
        <f>AND(Answers!AE175,"AAAAADt633I=")</f>
        <v>#VALUE!</v>
      </c>
      <c r="DL55" t="e">
        <f>AND(Answers!AF175,"AAAAADt633M=")</f>
        <v>#VALUE!</v>
      </c>
      <c r="DM55" t="e">
        <f>AND(Answers!AH175,"AAAAADt633Q=")</f>
        <v>#VALUE!</v>
      </c>
      <c r="DN55" t="e">
        <f>AND(Answers!AI175,"AAAAADt633U=")</f>
        <v>#VALUE!</v>
      </c>
      <c r="DO55" t="e">
        <f>AND(Answers!AK175,"AAAAADt633Y=")</f>
        <v>#VALUE!</v>
      </c>
      <c r="DP55" t="e">
        <f>AND(Answers!#REF!,"AAAAADt633c=")</f>
        <v>#REF!</v>
      </c>
      <c r="DQ55" t="e">
        <f>AND(Answers!AR175,"AAAAADt633g=")</f>
        <v>#VALUE!</v>
      </c>
      <c r="DR55" t="e">
        <f>AND(Answers!AS175,"AAAAADt633k=")</f>
        <v>#VALUE!</v>
      </c>
      <c r="DS55" t="e">
        <f>AND(Answers!AT175,"AAAAADt633o=")</f>
        <v>#VALUE!</v>
      </c>
      <c r="DT55" t="e">
        <f>AND(Answers!AU175,"AAAAADt633s=")</f>
        <v>#VALUE!</v>
      </c>
      <c r="DU55" t="e">
        <f>AND(Answers!AW175,"AAAAADt633w=")</f>
        <v>#VALUE!</v>
      </c>
      <c r="DV55" t="e">
        <f>AND(Answers!AX175,"AAAAADt6330=")</f>
        <v>#VALUE!</v>
      </c>
      <c r="DW55" t="e">
        <f>AND(Answers!AY175,"AAAAADt6334=")</f>
        <v>#VALUE!</v>
      </c>
      <c r="DX55" t="e">
        <f>AND(Answers!AZ175,"AAAAADt6338=")</f>
        <v>#VALUE!</v>
      </c>
      <c r="DY55" t="e">
        <f>AND(Answers!BA175,"AAAAADt634A=")</f>
        <v>#VALUE!</v>
      </c>
      <c r="DZ55" t="e">
        <f>AND(Answers!BB175,"AAAAADt634E=")</f>
        <v>#VALUE!</v>
      </c>
      <c r="EA55" t="e">
        <f>AND(Answers!BC175,"AAAAADt634I=")</f>
        <v>#VALUE!</v>
      </c>
      <c r="EB55" t="e">
        <f>AND(Answers!BD175,"AAAAADt634M=")</f>
        <v>#VALUE!</v>
      </c>
      <c r="EC55" t="e">
        <f>AND(Answers!BE175,"AAAAADt634Q=")</f>
        <v>#VALUE!</v>
      </c>
      <c r="ED55" t="e">
        <f>AND(Answers!BF175,"AAAAADt634U=")</f>
        <v>#VALUE!</v>
      </c>
      <c r="EE55" t="e">
        <f>AND(Answers!BG175,"AAAAADt634Y=")</f>
        <v>#VALUE!</v>
      </c>
      <c r="EF55" t="e">
        <f>AND(Answers!BH175,"AAAAADt634c=")</f>
        <v>#VALUE!</v>
      </c>
      <c r="EG55" t="e">
        <f>AND(Answers!BI175,"AAAAADt634g=")</f>
        <v>#VALUE!</v>
      </c>
      <c r="EH55" t="e">
        <f>AND(Answers!BK175,"AAAAADt634k=")</f>
        <v>#VALUE!</v>
      </c>
      <c r="EI55" t="e">
        <f>AND(Answers!BL175,"AAAAADt634o=")</f>
        <v>#VALUE!</v>
      </c>
      <c r="EJ55" t="e">
        <f>AND(Answers!BM175,"AAAAADt634s=")</f>
        <v>#VALUE!</v>
      </c>
      <c r="EK55" t="e">
        <f>AND(Answers!BN175,"AAAAADt634w=")</f>
        <v>#VALUE!</v>
      </c>
      <c r="EL55" t="e">
        <f>AND(Answers!BO175,"AAAAADt6340=")</f>
        <v>#VALUE!</v>
      </c>
      <c r="EM55" t="e">
        <f>AND(Answers!BP175,"AAAAADt6344=")</f>
        <v>#VALUE!</v>
      </c>
      <c r="EN55" t="e">
        <f>AND(Answers!BQ175,"AAAAADt6348=")</f>
        <v>#VALUE!</v>
      </c>
      <c r="EO55" t="e">
        <f>AND(Answers!BR175,"AAAAADt635A=")</f>
        <v>#VALUE!</v>
      </c>
      <c r="EP55" t="e">
        <f>AND(Answers!BS175,"AAAAADt635E=")</f>
        <v>#VALUE!</v>
      </c>
      <c r="EQ55" t="e">
        <f>AND(Answers!BU175,"AAAAADt635I=")</f>
        <v>#VALUE!</v>
      </c>
      <c r="ER55" t="e">
        <f>AND(Answers!BV175,"AAAAADt635M=")</f>
        <v>#VALUE!</v>
      </c>
      <c r="ES55" t="e">
        <f>AND(Answers!#REF!,"AAAAADt635Q=")</f>
        <v>#REF!</v>
      </c>
      <c r="ET55" t="e">
        <f>AND(Answers!BW175,"AAAAADt635U=")</f>
        <v>#VALUE!</v>
      </c>
      <c r="EU55" t="e">
        <f>AND(Answers!BX175,"AAAAADt635Y=")</f>
        <v>#VALUE!</v>
      </c>
      <c r="EV55" t="e">
        <f>AND(Answers!BY175,"AAAAADt635c=")</f>
        <v>#VALUE!</v>
      </c>
      <c r="EW55" t="e">
        <f>AND(Answers!BZ175,"AAAAADt635g=")</f>
        <v>#VALUE!</v>
      </c>
      <c r="EX55">
        <f>IF(Answers!176:176,"AAAAADt635k=",0)</f>
        <v>0</v>
      </c>
      <c r="EY55" t="e">
        <f>AND(Answers!A176,"AAAAADt635o=")</f>
        <v>#VALUE!</v>
      </c>
      <c r="EZ55" t="e">
        <f>AND(Answers!B176,"AAAAADt635s=")</f>
        <v>#VALUE!</v>
      </c>
      <c r="FA55" t="e">
        <f>AND(Answers!C176,"AAAAADt635w=")</f>
        <v>#VALUE!</v>
      </c>
      <c r="FB55" t="e">
        <f>AND(Answers!D176,"AAAAADt6350=")</f>
        <v>#VALUE!</v>
      </c>
      <c r="FC55" t="e">
        <f>AND(Answers!E176,"AAAAADt6354=")</f>
        <v>#VALUE!</v>
      </c>
      <c r="FD55" t="e">
        <f>AND(Answers!F176,"AAAAADt6358=")</f>
        <v>#VALUE!</v>
      </c>
      <c r="FE55" t="e">
        <f>AND(Answers!G176,"AAAAADt636A=")</f>
        <v>#VALUE!</v>
      </c>
      <c r="FF55" t="e">
        <f>AND(Answers!H176,"AAAAADt636E=")</f>
        <v>#VALUE!</v>
      </c>
      <c r="FG55" t="e">
        <f>AND(Answers!J176,"AAAAADt636I=")</f>
        <v>#VALUE!</v>
      </c>
      <c r="FH55" t="e">
        <f>AND(Answers!K176,"AAAAADt636M=")</f>
        <v>#VALUE!</v>
      </c>
      <c r="FI55" t="e">
        <f>AND(Answers!L176,"AAAAADt636Q=")</f>
        <v>#VALUE!</v>
      </c>
      <c r="FJ55" t="e">
        <f>AND(Answers!M176,"AAAAADt636U=")</f>
        <v>#VALUE!</v>
      </c>
      <c r="FK55" t="e">
        <f>AND(Answers!N176,"AAAAADt636Y=")</f>
        <v>#VALUE!</v>
      </c>
      <c r="FL55" t="e">
        <f>AND(Answers!O176,"AAAAADt636c=")</f>
        <v>#VALUE!</v>
      </c>
      <c r="FM55" t="e">
        <f>AND(Answers!P176,"AAAAADt636g=")</f>
        <v>#VALUE!</v>
      </c>
      <c r="FN55" t="e">
        <f>AND(Answers!Q176,"AAAAADt636k=")</f>
        <v>#VALUE!</v>
      </c>
      <c r="FO55" t="e">
        <f>AND(Answers!R176,"AAAAADt636o=")</f>
        <v>#VALUE!</v>
      </c>
      <c r="FP55" t="e">
        <f>AND(Answers!S176,"AAAAADt636s=")</f>
        <v>#VALUE!</v>
      </c>
      <c r="FQ55" t="e">
        <f>AND(Answers!T176,"AAAAADt636w=")</f>
        <v>#VALUE!</v>
      </c>
      <c r="FR55" t="e">
        <f>AND(Answers!U176,"AAAAADt6360=")</f>
        <v>#VALUE!</v>
      </c>
      <c r="FS55" t="e">
        <f>AND(Answers!V176,"AAAAADt6364=")</f>
        <v>#VALUE!</v>
      </c>
      <c r="FT55" t="e">
        <f>AND(Answers!X176,"AAAAADt6368=")</f>
        <v>#VALUE!</v>
      </c>
      <c r="FU55" t="e">
        <f>AND(Answers!Y176,"AAAAADt637A=")</f>
        <v>#VALUE!</v>
      </c>
      <c r="FV55" t="e">
        <f>AND(Answers!Z176,"AAAAADt637E=")</f>
        <v>#VALUE!</v>
      </c>
      <c r="FW55" t="e">
        <f>AND(Answers!AA176,"AAAAADt637I=")</f>
        <v>#VALUE!</v>
      </c>
      <c r="FX55" t="e">
        <f>AND(Answers!AB176,"AAAAADt637M=")</f>
        <v>#VALUE!</v>
      </c>
      <c r="FY55" t="e">
        <f>AND(Answers!AC176,"AAAAADt637Q=")</f>
        <v>#VALUE!</v>
      </c>
      <c r="FZ55" t="e">
        <f>AND(Answers!AD176,"AAAAADt637U=")</f>
        <v>#VALUE!</v>
      </c>
      <c r="GA55" t="e">
        <f>AND(Answers!AE176,"AAAAADt637Y=")</f>
        <v>#VALUE!</v>
      </c>
      <c r="GB55" t="e">
        <f>AND(Answers!AF176,"AAAAADt637c=")</f>
        <v>#VALUE!</v>
      </c>
      <c r="GC55" t="e">
        <f>AND(Answers!AH176,"AAAAADt637g=")</f>
        <v>#VALUE!</v>
      </c>
      <c r="GD55" t="e">
        <f>AND(Answers!AI176,"AAAAADt637k=")</f>
        <v>#VALUE!</v>
      </c>
      <c r="GE55" t="e">
        <f>AND(Answers!AK176,"AAAAADt637o=")</f>
        <v>#VALUE!</v>
      </c>
      <c r="GF55" t="e">
        <f>AND(Answers!#REF!,"AAAAADt637s=")</f>
        <v>#REF!</v>
      </c>
      <c r="GG55" t="e">
        <f>AND(Answers!AR176,"AAAAADt637w=")</f>
        <v>#VALUE!</v>
      </c>
      <c r="GH55" t="e">
        <f>AND(Answers!AS176,"AAAAADt6370=")</f>
        <v>#VALUE!</v>
      </c>
      <c r="GI55" t="e">
        <f>AND(Answers!AT176,"AAAAADt6374=")</f>
        <v>#VALUE!</v>
      </c>
      <c r="GJ55" t="e">
        <f>AND(Answers!AU176,"AAAAADt6378=")</f>
        <v>#VALUE!</v>
      </c>
      <c r="GK55" t="e">
        <f>AND(Answers!AW176,"AAAAADt638A=")</f>
        <v>#VALUE!</v>
      </c>
      <c r="GL55" t="e">
        <f>AND(Answers!AX176,"AAAAADt638E=")</f>
        <v>#VALUE!</v>
      </c>
      <c r="GM55" t="e">
        <f>AND(Answers!AY176,"AAAAADt638I=")</f>
        <v>#VALUE!</v>
      </c>
      <c r="GN55" t="e">
        <f>AND(Answers!AZ176,"AAAAADt638M=")</f>
        <v>#VALUE!</v>
      </c>
      <c r="GO55" t="e">
        <f>AND(Answers!BA176,"AAAAADt638Q=")</f>
        <v>#VALUE!</v>
      </c>
      <c r="GP55" t="e">
        <f>AND(Answers!BB176,"AAAAADt638U=")</f>
        <v>#VALUE!</v>
      </c>
      <c r="GQ55" t="e">
        <f>AND(Answers!BC176,"AAAAADt638Y=")</f>
        <v>#VALUE!</v>
      </c>
      <c r="GR55" t="e">
        <f>AND(Answers!BD176,"AAAAADt638c=")</f>
        <v>#VALUE!</v>
      </c>
      <c r="GS55" t="e">
        <f>AND(Answers!BE176,"AAAAADt638g=")</f>
        <v>#VALUE!</v>
      </c>
      <c r="GT55" t="e">
        <f>AND(Answers!BF176,"AAAAADt638k=")</f>
        <v>#VALUE!</v>
      </c>
      <c r="GU55" t="e">
        <f>AND(Answers!BG176,"AAAAADt638o=")</f>
        <v>#VALUE!</v>
      </c>
      <c r="GV55" t="e">
        <f>AND(Answers!BH176,"AAAAADt638s=")</f>
        <v>#VALUE!</v>
      </c>
      <c r="GW55" t="e">
        <f>AND(Answers!BI176,"AAAAADt638w=")</f>
        <v>#VALUE!</v>
      </c>
      <c r="GX55" t="e">
        <f>AND(Answers!BK176,"AAAAADt6380=")</f>
        <v>#VALUE!</v>
      </c>
      <c r="GY55" t="e">
        <f>AND(Answers!BL176,"AAAAADt6384=")</f>
        <v>#VALUE!</v>
      </c>
      <c r="GZ55" t="e">
        <f>AND(Answers!BM176,"AAAAADt6388=")</f>
        <v>#VALUE!</v>
      </c>
      <c r="HA55" t="e">
        <f>AND(Answers!BN176,"AAAAADt639A=")</f>
        <v>#VALUE!</v>
      </c>
      <c r="HB55" t="e">
        <f>AND(Answers!BO176,"AAAAADt639E=")</f>
        <v>#VALUE!</v>
      </c>
      <c r="HC55" t="e">
        <f>AND(Answers!BP176,"AAAAADt639I=")</f>
        <v>#VALUE!</v>
      </c>
      <c r="HD55" t="e">
        <f>AND(Answers!BQ176,"AAAAADt639M=")</f>
        <v>#VALUE!</v>
      </c>
      <c r="HE55" t="e">
        <f>AND(Answers!BR176,"AAAAADt639Q=")</f>
        <v>#VALUE!</v>
      </c>
      <c r="HF55" t="e">
        <f>AND(Answers!BS176,"AAAAADt639U=")</f>
        <v>#VALUE!</v>
      </c>
      <c r="HG55" t="e">
        <f>AND(Answers!BU176,"AAAAADt639Y=")</f>
        <v>#VALUE!</v>
      </c>
      <c r="HH55" t="e">
        <f>AND(Answers!BV176,"AAAAADt639c=")</f>
        <v>#VALUE!</v>
      </c>
      <c r="HI55" t="e">
        <f>AND(Answers!#REF!,"AAAAADt639g=")</f>
        <v>#REF!</v>
      </c>
      <c r="HJ55" t="e">
        <f>AND(Answers!BW176,"AAAAADt639k=")</f>
        <v>#VALUE!</v>
      </c>
      <c r="HK55" t="e">
        <f>AND(Answers!BX176,"AAAAADt639o=")</f>
        <v>#VALUE!</v>
      </c>
      <c r="HL55" t="e">
        <f>AND(Answers!BY176,"AAAAADt639s=")</f>
        <v>#VALUE!</v>
      </c>
      <c r="HM55" t="e">
        <f>AND(Answers!BZ176,"AAAAADt639w=")</f>
        <v>#VALUE!</v>
      </c>
      <c r="HN55">
        <f>IF(Answers!177:177,"AAAAADt6390=",0)</f>
        <v>0</v>
      </c>
      <c r="HO55" t="e">
        <f>AND(Answers!A177,"AAAAADt6394=")</f>
        <v>#VALUE!</v>
      </c>
      <c r="HP55" t="e">
        <f>AND(Answers!B177,"AAAAADt6398=")</f>
        <v>#VALUE!</v>
      </c>
      <c r="HQ55" t="e">
        <f>AND(Answers!C177,"AAAAADt63+A=")</f>
        <v>#VALUE!</v>
      </c>
      <c r="HR55" t="e">
        <f>AND(Answers!D177,"AAAAADt63+E=")</f>
        <v>#VALUE!</v>
      </c>
      <c r="HS55" t="e">
        <f>AND(Answers!E177,"AAAAADt63+I=")</f>
        <v>#VALUE!</v>
      </c>
      <c r="HT55" t="e">
        <f>AND(Answers!F177,"AAAAADt63+M=")</f>
        <v>#VALUE!</v>
      </c>
      <c r="HU55" t="e">
        <f>AND(Answers!G177,"AAAAADt63+Q=")</f>
        <v>#VALUE!</v>
      </c>
      <c r="HV55" t="e">
        <f>AND(Answers!H177,"AAAAADt63+U=")</f>
        <v>#VALUE!</v>
      </c>
      <c r="HW55" t="e">
        <f>AND(Answers!J177,"AAAAADt63+Y=")</f>
        <v>#VALUE!</v>
      </c>
      <c r="HX55" t="e">
        <f>AND(Answers!K177,"AAAAADt63+c=")</f>
        <v>#VALUE!</v>
      </c>
      <c r="HY55" t="e">
        <f>AND(Answers!L177,"AAAAADt63+g=")</f>
        <v>#VALUE!</v>
      </c>
      <c r="HZ55" t="e">
        <f>AND(Answers!M177,"AAAAADt63+k=")</f>
        <v>#VALUE!</v>
      </c>
      <c r="IA55" t="e">
        <f>AND(Answers!N177,"AAAAADt63+o=")</f>
        <v>#VALUE!</v>
      </c>
      <c r="IB55" t="e">
        <f>AND(Answers!O177,"AAAAADt63+s=")</f>
        <v>#VALUE!</v>
      </c>
      <c r="IC55" t="e">
        <f>AND(Answers!P177,"AAAAADt63+w=")</f>
        <v>#VALUE!</v>
      </c>
      <c r="ID55" t="e">
        <f>AND(Answers!Q177,"AAAAADt63+0=")</f>
        <v>#VALUE!</v>
      </c>
      <c r="IE55" t="e">
        <f>AND(Answers!R177,"AAAAADt63+4=")</f>
        <v>#VALUE!</v>
      </c>
      <c r="IF55" t="e">
        <f>AND(Answers!S177,"AAAAADt63+8=")</f>
        <v>#VALUE!</v>
      </c>
      <c r="IG55" t="e">
        <f>AND(Answers!T177,"AAAAADt63/A=")</f>
        <v>#VALUE!</v>
      </c>
      <c r="IH55" t="e">
        <f>AND(Answers!U177,"AAAAADt63/E=")</f>
        <v>#VALUE!</v>
      </c>
      <c r="II55" t="e">
        <f>AND(Answers!V177,"AAAAADt63/I=")</f>
        <v>#VALUE!</v>
      </c>
      <c r="IJ55" t="e">
        <f>AND(Answers!X177,"AAAAADt63/M=")</f>
        <v>#VALUE!</v>
      </c>
      <c r="IK55" t="e">
        <f>AND(Answers!Y177,"AAAAADt63/Q=")</f>
        <v>#VALUE!</v>
      </c>
      <c r="IL55" t="e">
        <f>AND(Answers!Z177,"AAAAADt63/U=")</f>
        <v>#VALUE!</v>
      </c>
      <c r="IM55" t="e">
        <f>AND(Answers!AA177,"AAAAADt63/Y=")</f>
        <v>#VALUE!</v>
      </c>
      <c r="IN55" t="e">
        <f>AND(Answers!AB177,"AAAAADt63/c=")</f>
        <v>#VALUE!</v>
      </c>
      <c r="IO55" t="e">
        <f>AND(Answers!AC177,"AAAAADt63/g=")</f>
        <v>#VALUE!</v>
      </c>
      <c r="IP55" t="e">
        <f>AND(Answers!AD177,"AAAAADt63/k=")</f>
        <v>#VALUE!</v>
      </c>
      <c r="IQ55" t="e">
        <f>AND(Answers!AE177,"AAAAADt63/o=")</f>
        <v>#VALUE!</v>
      </c>
      <c r="IR55" t="e">
        <f>AND(Answers!AF177,"AAAAADt63/s=")</f>
        <v>#VALUE!</v>
      </c>
      <c r="IS55" t="e">
        <f>AND(Answers!AH177,"AAAAADt63/w=")</f>
        <v>#VALUE!</v>
      </c>
      <c r="IT55" t="e">
        <f>AND(Answers!AI177,"AAAAADt63/0=")</f>
        <v>#VALUE!</v>
      </c>
      <c r="IU55" t="e">
        <f>AND(Answers!AK177,"AAAAADt63/4=")</f>
        <v>#VALUE!</v>
      </c>
      <c r="IV55" t="e">
        <f>AND(Answers!#REF!,"AAAAADt63/8=")</f>
        <v>#REF!</v>
      </c>
    </row>
    <row r="56" spans="1:256" x14ac:dyDescent="0.15">
      <c r="A56" t="e">
        <f>AND(Answers!AR177,"AAAAADbn6QA=")</f>
        <v>#VALUE!</v>
      </c>
      <c r="B56" t="e">
        <f>AND(Answers!AS177,"AAAAADbn6QE=")</f>
        <v>#VALUE!</v>
      </c>
      <c r="C56" t="e">
        <f>AND(Answers!AT177,"AAAAADbn6QI=")</f>
        <v>#VALUE!</v>
      </c>
      <c r="D56" t="e">
        <f>AND(Answers!AU177,"AAAAADbn6QM=")</f>
        <v>#VALUE!</v>
      </c>
      <c r="E56" t="e">
        <f>AND(Answers!AW177,"AAAAADbn6QQ=")</f>
        <v>#VALUE!</v>
      </c>
      <c r="F56" t="e">
        <f>AND(Answers!AX177,"AAAAADbn6QU=")</f>
        <v>#VALUE!</v>
      </c>
      <c r="G56" t="e">
        <f>AND(Answers!AY177,"AAAAADbn6QY=")</f>
        <v>#VALUE!</v>
      </c>
      <c r="H56" t="e">
        <f>AND(Answers!AZ177,"AAAAADbn6Qc=")</f>
        <v>#VALUE!</v>
      </c>
      <c r="I56" t="e">
        <f>AND(Answers!BA177,"AAAAADbn6Qg=")</f>
        <v>#VALUE!</v>
      </c>
      <c r="J56" t="e">
        <f>AND(Answers!BB177,"AAAAADbn6Qk=")</f>
        <v>#VALUE!</v>
      </c>
      <c r="K56" t="e">
        <f>AND(Answers!BC177,"AAAAADbn6Qo=")</f>
        <v>#VALUE!</v>
      </c>
      <c r="L56" t="e">
        <f>AND(Answers!BD177,"AAAAADbn6Qs=")</f>
        <v>#VALUE!</v>
      </c>
      <c r="M56" t="e">
        <f>AND(Answers!BE177,"AAAAADbn6Qw=")</f>
        <v>#VALUE!</v>
      </c>
      <c r="N56" t="e">
        <f>AND(Answers!BF177,"AAAAADbn6Q0=")</f>
        <v>#VALUE!</v>
      </c>
      <c r="O56" t="e">
        <f>AND(Answers!BG177,"AAAAADbn6Q4=")</f>
        <v>#VALUE!</v>
      </c>
      <c r="P56" t="e">
        <f>AND(Answers!BH177,"AAAAADbn6Q8=")</f>
        <v>#VALUE!</v>
      </c>
      <c r="Q56" t="e">
        <f>AND(Answers!BI177,"AAAAADbn6RA=")</f>
        <v>#VALUE!</v>
      </c>
      <c r="R56" t="e">
        <f>AND(Answers!BK177,"AAAAADbn6RE=")</f>
        <v>#VALUE!</v>
      </c>
      <c r="S56" t="e">
        <f>AND(Answers!BL177,"AAAAADbn6RI=")</f>
        <v>#VALUE!</v>
      </c>
      <c r="T56" t="e">
        <f>AND(Answers!BM177,"AAAAADbn6RM=")</f>
        <v>#VALUE!</v>
      </c>
      <c r="U56" t="e">
        <f>AND(Answers!BN177,"AAAAADbn6RQ=")</f>
        <v>#VALUE!</v>
      </c>
      <c r="V56" t="e">
        <f>AND(Answers!BO177,"AAAAADbn6RU=")</f>
        <v>#VALUE!</v>
      </c>
      <c r="W56" t="e">
        <f>AND(Answers!BP177,"AAAAADbn6RY=")</f>
        <v>#VALUE!</v>
      </c>
      <c r="X56" t="e">
        <f>AND(Answers!BQ177,"AAAAADbn6Rc=")</f>
        <v>#VALUE!</v>
      </c>
      <c r="Y56" t="e">
        <f>AND(Answers!BR177,"AAAAADbn6Rg=")</f>
        <v>#VALUE!</v>
      </c>
      <c r="Z56" t="e">
        <f>AND(Answers!BS177,"AAAAADbn6Rk=")</f>
        <v>#VALUE!</v>
      </c>
      <c r="AA56" t="e">
        <f>AND(Answers!BU177,"AAAAADbn6Ro=")</f>
        <v>#VALUE!</v>
      </c>
      <c r="AB56" t="e">
        <f>AND(Answers!BV177,"AAAAADbn6Rs=")</f>
        <v>#VALUE!</v>
      </c>
      <c r="AC56" t="e">
        <f>AND(Answers!#REF!,"AAAAADbn6Rw=")</f>
        <v>#REF!</v>
      </c>
      <c r="AD56" t="e">
        <f>AND(Answers!BW177,"AAAAADbn6R0=")</f>
        <v>#VALUE!</v>
      </c>
      <c r="AE56" t="e">
        <f>AND(Answers!BX177,"AAAAADbn6R4=")</f>
        <v>#VALUE!</v>
      </c>
      <c r="AF56" t="e">
        <f>AND(Answers!BY177,"AAAAADbn6R8=")</f>
        <v>#VALUE!</v>
      </c>
      <c r="AG56" t="e">
        <f>AND(Answers!BZ177,"AAAAADbn6SA=")</f>
        <v>#VALUE!</v>
      </c>
      <c r="AH56">
        <f>IF(Answers!178:178,"AAAAADbn6SE=",0)</f>
        <v>0</v>
      </c>
      <c r="AI56" t="e">
        <f>AND(Answers!A178,"AAAAADbn6SI=")</f>
        <v>#VALUE!</v>
      </c>
      <c r="AJ56" t="e">
        <f>AND(Answers!B178,"AAAAADbn6SM=")</f>
        <v>#VALUE!</v>
      </c>
      <c r="AK56" t="e">
        <f>AND(Answers!C178,"AAAAADbn6SQ=")</f>
        <v>#VALUE!</v>
      </c>
      <c r="AL56" t="e">
        <f>AND(Answers!D178,"AAAAADbn6SU=")</f>
        <v>#VALUE!</v>
      </c>
      <c r="AM56" t="e">
        <f>AND(Answers!E178,"AAAAADbn6SY=")</f>
        <v>#VALUE!</v>
      </c>
      <c r="AN56" t="e">
        <f>AND(Answers!F178,"AAAAADbn6Sc=")</f>
        <v>#VALUE!</v>
      </c>
      <c r="AO56" t="e">
        <f>AND(Answers!G178,"AAAAADbn6Sg=")</f>
        <v>#VALUE!</v>
      </c>
      <c r="AP56" t="e">
        <f>AND(Answers!H178,"AAAAADbn6Sk=")</f>
        <v>#VALUE!</v>
      </c>
      <c r="AQ56" t="e">
        <f>AND(Answers!J178,"AAAAADbn6So=")</f>
        <v>#VALUE!</v>
      </c>
      <c r="AR56" t="e">
        <f>AND(Answers!K178,"AAAAADbn6Ss=")</f>
        <v>#VALUE!</v>
      </c>
      <c r="AS56" t="e">
        <f>AND(Answers!L178,"AAAAADbn6Sw=")</f>
        <v>#VALUE!</v>
      </c>
      <c r="AT56" t="e">
        <f>AND(Answers!M178,"AAAAADbn6S0=")</f>
        <v>#VALUE!</v>
      </c>
      <c r="AU56" t="e">
        <f>AND(Answers!N178,"AAAAADbn6S4=")</f>
        <v>#VALUE!</v>
      </c>
      <c r="AV56" t="e">
        <f>AND(Answers!O178,"AAAAADbn6S8=")</f>
        <v>#VALUE!</v>
      </c>
      <c r="AW56" t="e">
        <f>AND(Answers!P178,"AAAAADbn6TA=")</f>
        <v>#VALUE!</v>
      </c>
      <c r="AX56" t="e">
        <f>AND(Answers!Q178,"AAAAADbn6TE=")</f>
        <v>#VALUE!</v>
      </c>
      <c r="AY56" t="e">
        <f>AND(Answers!R178,"AAAAADbn6TI=")</f>
        <v>#VALUE!</v>
      </c>
      <c r="AZ56" t="e">
        <f>AND(Answers!S178,"AAAAADbn6TM=")</f>
        <v>#VALUE!</v>
      </c>
      <c r="BA56" t="e">
        <f>AND(Answers!T178,"AAAAADbn6TQ=")</f>
        <v>#VALUE!</v>
      </c>
      <c r="BB56" t="e">
        <f>AND(Answers!U178,"AAAAADbn6TU=")</f>
        <v>#VALUE!</v>
      </c>
      <c r="BC56" t="e">
        <f>AND(Answers!V178,"AAAAADbn6TY=")</f>
        <v>#VALUE!</v>
      </c>
      <c r="BD56" t="e">
        <f>AND(Answers!X178,"AAAAADbn6Tc=")</f>
        <v>#VALUE!</v>
      </c>
      <c r="BE56" t="e">
        <f>AND(Answers!Y178,"AAAAADbn6Tg=")</f>
        <v>#VALUE!</v>
      </c>
      <c r="BF56" t="e">
        <f>AND(Answers!Z178,"AAAAADbn6Tk=")</f>
        <v>#VALUE!</v>
      </c>
      <c r="BG56" t="e">
        <f>AND(Answers!AA178,"AAAAADbn6To=")</f>
        <v>#VALUE!</v>
      </c>
      <c r="BH56" t="e">
        <f>AND(Answers!AB178,"AAAAADbn6Ts=")</f>
        <v>#VALUE!</v>
      </c>
      <c r="BI56" t="e">
        <f>AND(Answers!AC178,"AAAAADbn6Tw=")</f>
        <v>#VALUE!</v>
      </c>
      <c r="BJ56" t="e">
        <f>AND(Answers!AD178,"AAAAADbn6T0=")</f>
        <v>#VALUE!</v>
      </c>
      <c r="BK56" t="e">
        <f>AND(Answers!AE178,"AAAAADbn6T4=")</f>
        <v>#VALUE!</v>
      </c>
      <c r="BL56" t="e">
        <f>AND(Answers!AF178,"AAAAADbn6T8=")</f>
        <v>#VALUE!</v>
      </c>
      <c r="BM56" t="e">
        <f>AND(Answers!AH178,"AAAAADbn6UA=")</f>
        <v>#VALUE!</v>
      </c>
      <c r="BN56" t="e">
        <f>AND(Answers!AI178,"AAAAADbn6UE=")</f>
        <v>#VALUE!</v>
      </c>
      <c r="BO56" t="e">
        <f>AND(Answers!AK178,"AAAAADbn6UI=")</f>
        <v>#VALUE!</v>
      </c>
      <c r="BP56" t="e">
        <f>AND(Answers!#REF!,"AAAAADbn6UM=")</f>
        <v>#REF!</v>
      </c>
      <c r="BQ56" t="e">
        <f>AND(Answers!AR178,"AAAAADbn6UQ=")</f>
        <v>#VALUE!</v>
      </c>
      <c r="BR56" t="e">
        <f>AND(Answers!AS178,"AAAAADbn6UU=")</f>
        <v>#VALUE!</v>
      </c>
      <c r="BS56" t="e">
        <f>AND(Answers!AT178,"AAAAADbn6UY=")</f>
        <v>#VALUE!</v>
      </c>
      <c r="BT56" t="e">
        <f>AND(Answers!AU178,"AAAAADbn6Uc=")</f>
        <v>#VALUE!</v>
      </c>
      <c r="BU56" t="e">
        <f>AND(Answers!AW178,"AAAAADbn6Ug=")</f>
        <v>#VALUE!</v>
      </c>
      <c r="BV56" t="e">
        <f>AND(Answers!AX178,"AAAAADbn6Uk=")</f>
        <v>#VALUE!</v>
      </c>
      <c r="BW56" t="e">
        <f>AND(Answers!AY178,"AAAAADbn6Uo=")</f>
        <v>#VALUE!</v>
      </c>
      <c r="BX56" t="e">
        <f>AND(Answers!AZ178,"AAAAADbn6Us=")</f>
        <v>#VALUE!</v>
      </c>
      <c r="BY56" t="e">
        <f>AND(Answers!BA178,"AAAAADbn6Uw=")</f>
        <v>#VALUE!</v>
      </c>
      <c r="BZ56" t="e">
        <f>AND(Answers!BB178,"AAAAADbn6U0=")</f>
        <v>#VALUE!</v>
      </c>
      <c r="CA56" t="e">
        <f>AND(Answers!BC178,"AAAAADbn6U4=")</f>
        <v>#VALUE!</v>
      </c>
      <c r="CB56" t="e">
        <f>AND(Answers!BD178,"AAAAADbn6U8=")</f>
        <v>#VALUE!</v>
      </c>
      <c r="CC56" t="e">
        <f>AND(Answers!BE178,"AAAAADbn6VA=")</f>
        <v>#VALUE!</v>
      </c>
      <c r="CD56" t="e">
        <f>AND(Answers!BF178,"AAAAADbn6VE=")</f>
        <v>#VALUE!</v>
      </c>
      <c r="CE56" t="e">
        <f>AND(Answers!BG178,"AAAAADbn6VI=")</f>
        <v>#VALUE!</v>
      </c>
      <c r="CF56" t="e">
        <f>AND(Answers!BH178,"AAAAADbn6VM=")</f>
        <v>#VALUE!</v>
      </c>
      <c r="CG56" t="e">
        <f>AND(Answers!BI178,"AAAAADbn6VQ=")</f>
        <v>#VALUE!</v>
      </c>
      <c r="CH56" t="e">
        <f>AND(Answers!BK178,"AAAAADbn6VU=")</f>
        <v>#VALUE!</v>
      </c>
      <c r="CI56" t="e">
        <f>AND(Answers!BL178,"AAAAADbn6VY=")</f>
        <v>#VALUE!</v>
      </c>
      <c r="CJ56" t="e">
        <f>AND(Answers!BM178,"AAAAADbn6Vc=")</f>
        <v>#VALUE!</v>
      </c>
      <c r="CK56" t="e">
        <f>AND(Answers!BN178,"AAAAADbn6Vg=")</f>
        <v>#VALUE!</v>
      </c>
      <c r="CL56" t="e">
        <f>AND(Answers!BO178,"AAAAADbn6Vk=")</f>
        <v>#VALUE!</v>
      </c>
      <c r="CM56" t="e">
        <f>AND(Answers!BP178,"AAAAADbn6Vo=")</f>
        <v>#VALUE!</v>
      </c>
      <c r="CN56" t="e">
        <f>AND(Answers!BQ178,"AAAAADbn6Vs=")</f>
        <v>#VALUE!</v>
      </c>
      <c r="CO56" t="e">
        <f>AND(Answers!BR178,"AAAAADbn6Vw=")</f>
        <v>#VALUE!</v>
      </c>
      <c r="CP56" t="e">
        <f>AND(Answers!BS178,"AAAAADbn6V0=")</f>
        <v>#VALUE!</v>
      </c>
      <c r="CQ56" t="e">
        <f>AND(Answers!BU178,"AAAAADbn6V4=")</f>
        <v>#VALUE!</v>
      </c>
      <c r="CR56" t="e">
        <f>AND(Answers!BV178,"AAAAADbn6V8=")</f>
        <v>#VALUE!</v>
      </c>
      <c r="CS56" t="e">
        <f>AND(Answers!#REF!,"AAAAADbn6WA=")</f>
        <v>#REF!</v>
      </c>
      <c r="CT56" t="e">
        <f>AND(Answers!BW178,"AAAAADbn6WE=")</f>
        <v>#VALUE!</v>
      </c>
      <c r="CU56" t="e">
        <f>AND(Answers!BX178,"AAAAADbn6WI=")</f>
        <v>#VALUE!</v>
      </c>
      <c r="CV56" t="e">
        <f>AND(Answers!BY178,"AAAAADbn6WM=")</f>
        <v>#VALUE!</v>
      </c>
      <c r="CW56" t="e">
        <f>AND(Answers!BZ178,"AAAAADbn6WQ=")</f>
        <v>#VALUE!</v>
      </c>
      <c r="CX56">
        <f>IF(Answers!179:179,"AAAAADbn6WU=",0)</f>
        <v>0</v>
      </c>
      <c r="CY56" t="e">
        <f>AND(Answers!A179,"AAAAADbn6WY=")</f>
        <v>#VALUE!</v>
      </c>
      <c r="CZ56" t="e">
        <f>AND(Answers!B179,"AAAAADbn6Wc=")</f>
        <v>#VALUE!</v>
      </c>
      <c r="DA56" t="e">
        <f>AND(Answers!C179,"AAAAADbn6Wg=")</f>
        <v>#VALUE!</v>
      </c>
      <c r="DB56" t="e">
        <f>AND(Answers!D179,"AAAAADbn6Wk=")</f>
        <v>#VALUE!</v>
      </c>
      <c r="DC56" t="e">
        <f>AND(Answers!E179,"AAAAADbn6Wo=")</f>
        <v>#VALUE!</v>
      </c>
      <c r="DD56" t="e">
        <f>AND(Answers!F179,"AAAAADbn6Ws=")</f>
        <v>#VALUE!</v>
      </c>
      <c r="DE56" t="e">
        <f>AND(Answers!G179,"AAAAADbn6Ww=")</f>
        <v>#VALUE!</v>
      </c>
      <c r="DF56" t="e">
        <f>AND(Answers!H179,"AAAAADbn6W0=")</f>
        <v>#VALUE!</v>
      </c>
      <c r="DG56" t="e">
        <f>AND(Answers!J179,"AAAAADbn6W4=")</f>
        <v>#VALUE!</v>
      </c>
      <c r="DH56" t="e">
        <f>AND(Answers!K179,"AAAAADbn6W8=")</f>
        <v>#VALUE!</v>
      </c>
      <c r="DI56" t="e">
        <f>AND(Answers!L179,"AAAAADbn6XA=")</f>
        <v>#VALUE!</v>
      </c>
      <c r="DJ56" t="e">
        <f>AND(Answers!M179,"AAAAADbn6XE=")</f>
        <v>#VALUE!</v>
      </c>
      <c r="DK56" t="e">
        <f>AND(Answers!N179,"AAAAADbn6XI=")</f>
        <v>#VALUE!</v>
      </c>
      <c r="DL56" t="e">
        <f>AND(Answers!O179,"AAAAADbn6XM=")</f>
        <v>#VALUE!</v>
      </c>
      <c r="DM56" t="e">
        <f>AND(Answers!P179,"AAAAADbn6XQ=")</f>
        <v>#VALUE!</v>
      </c>
      <c r="DN56" t="e">
        <f>AND(Answers!Q179,"AAAAADbn6XU=")</f>
        <v>#VALUE!</v>
      </c>
      <c r="DO56" t="e">
        <f>AND(Answers!R179,"AAAAADbn6XY=")</f>
        <v>#VALUE!</v>
      </c>
      <c r="DP56" t="e">
        <f>AND(Answers!S179,"AAAAADbn6Xc=")</f>
        <v>#VALUE!</v>
      </c>
      <c r="DQ56" t="e">
        <f>AND(Answers!T179,"AAAAADbn6Xg=")</f>
        <v>#VALUE!</v>
      </c>
      <c r="DR56" t="e">
        <f>AND(Answers!U179,"AAAAADbn6Xk=")</f>
        <v>#VALUE!</v>
      </c>
      <c r="DS56" t="e">
        <f>AND(Answers!V179,"AAAAADbn6Xo=")</f>
        <v>#VALUE!</v>
      </c>
      <c r="DT56" t="e">
        <f>AND(Answers!X179,"AAAAADbn6Xs=")</f>
        <v>#VALUE!</v>
      </c>
      <c r="DU56" t="e">
        <f>AND(Answers!Y179,"AAAAADbn6Xw=")</f>
        <v>#VALUE!</v>
      </c>
      <c r="DV56" t="e">
        <f>AND(Answers!Z179,"AAAAADbn6X0=")</f>
        <v>#VALUE!</v>
      </c>
      <c r="DW56" t="e">
        <f>AND(Answers!AA179,"AAAAADbn6X4=")</f>
        <v>#VALUE!</v>
      </c>
      <c r="DX56" t="e">
        <f>AND(Answers!AB179,"AAAAADbn6X8=")</f>
        <v>#VALUE!</v>
      </c>
      <c r="DY56" t="e">
        <f>AND(Answers!AC179,"AAAAADbn6YA=")</f>
        <v>#VALUE!</v>
      </c>
      <c r="DZ56" t="e">
        <f>AND(Answers!AD179,"AAAAADbn6YE=")</f>
        <v>#VALUE!</v>
      </c>
      <c r="EA56" t="e">
        <f>AND(Answers!AE179,"AAAAADbn6YI=")</f>
        <v>#VALUE!</v>
      </c>
      <c r="EB56" t="e">
        <f>AND(Answers!AF179,"AAAAADbn6YM=")</f>
        <v>#VALUE!</v>
      </c>
      <c r="EC56" t="e">
        <f>AND(Answers!AH179,"AAAAADbn6YQ=")</f>
        <v>#VALUE!</v>
      </c>
      <c r="ED56" t="e">
        <f>AND(Answers!AI179,"AAAAADbn6YU=")</f>
        <v>#VALUE!</v>
      </c>
      <c r="EE56" t="e">
        <f>AND(Answers!AK179,"AAAAADbn6YY=")</f>
        <v>#VALUE!</v>
      </c>
      <c r="EF56" t="e">
        <f>AND(Answers!#REF!,"AAAAADbn6Yc=")</f>
        <v>#REF!</v>
      </c>
      <c r="EG56" t="e">
        <f>AND(Answers!AR179,"AAAAADbn6Yg=")</f>
        <v>#VALUE!</v>
      </c>
      <c r="EH56" t="e">
        <f>AND(Answers!AS179,"AAAAADbn6Yk=")</f>
        <v>#VALUE!</v>
      </c>
      <c r="EI56" t="e">
        <f>AND(Answers!AT179,"AAAAADbn6Yo=")</f>
        <v>#VALUE!</v>
      </c>
      <c r="EJ56" t="e">
        <f>AND(Answers!AU179,"AAAAADbn6Ys=")</f>
        <v>#VALUE!</v>
      </c>
      <c r="EK56" t="e">
        <f>AND(Answers!AW179,"AAAAADbn6Yw=")</f>
        <v>#VALUE!</v>
      </c>
      <c r="EL56" t="e">
        <f>AND(Answers!AX179,"AAAAADbn6Y0=")</f>
        <v>#VALUE!</v>
      </c>
      <c r="EM56" t="e">
        <f>AND(Answers!AY179,"AAAAADbn6Y4=")</f>
        <v>#VALUE!</v>
      </c>
      <c r="EN56" t="e">
        <f>AND(Answers!AZ179,"AAAAADbn6Y8=")</f>
        <v>#VALUE!</v>
      </c>
      <c r="EO56" t="e">
        <f>AND(Answers!BA179,"AAAAADbn6ZA=")</f>
        <v>#VALUE!</v>
      </c>
      <c r="EP56" t="e">
        <f>AND(Answers!BB179,"AAAAADbn6ZE=")</f>
        <v>#VALUE!</v>
      </c>
      <c r="EQ56" t="e">
        <f>AND(Answers!BC179,"AAAAADbn6ZI=")</f>
        <v>#VALUE!</v>
      </c>
      <c r="ER56" t="e">
        <f>AND(Answers!BD179,"AAAAADbn6ZM=")</f>
        <v>#VALUE!</v>
      </c>
      <c r="ES56" t="e">
        <f>AND(Answers!BE179,"AAAAADbn6ZQ=")</f>
        <v>#VALUE!</v>
      </c>
      <c r="ET56" t="e">
        <f>AND(Answers!BF179,"AAAAADbn6ZU=")</f>
        <v>#VALUE!</v>
      </c>
      <c r="EU56" t="e">
        <f>AND(Answers!BG179,"AAAAADbn6ZY=")</f>
        <v>#VALUE!</v>
      </c>
      <c r="EV56" t="e">
        <f>AND(Answers!BH179,"AAAAADbn6Zc=")</f>
        <v>#VALUE!</v>
      </c>
      <c r="EW56" t="e">
        <f>AND(Answers!BI179,"AAAAADbn6Zg=")</f>
        <v>#VALUE!</v>
      </c>
      <c r="EX56" t="e">
        <f>AND(Answers!BK179,"AAAAADbn6Zk=")</f>
        <v>#VALUE!</v>
      </c>
      <c r="EY56" t="e">
        <f>AND(Answers!BL179,"AAAAADbn6Zo=")</f>
        <v>#VALUE!</v>
      </c>
      <c r="EZ56" t="e">
        <f>AND(Answers!BM179,"AAAAADbn6Zs=")</f>
        <v>#VALUE!</v>
      </c>
      <c r="FA56" t="e">
        <f>AND(Answers!BN179,"AAAAADbn6Zw=")</f>
        <v>#VALUE!</v>
      </c>
      <c r="FB56" t="e">
        <f>AND(Answers!BO179,"AAAAADbn6Z0=")</f>
        <v>#VALUE!</v>
      </c>
      <c r="FC56" t="e">
        <f>AND(Answers!BP179,"AAAAADbn6Z4=")</f>
        <v>#VALUE!</v>
      </c>
      <c r="FD56" t="e">
        <f>AND(Answers!BQ179,"AAAAADbn6Z8=")</f>
        <v>#VALUE!</v>
      </c>
      <c r="FE56" t="e">
        <f>AND(Answers!BR179,"AAAAADbn6aA=")</f>
        <v>#VALUE!</v>
      </c>
      <c r="FF56" t="e">
        <f>AND(Answers!BS179,"AAAAADbn6aE=")</f>
        <v>#VALUE!</v>
      </c>
      <c r="FG56" t="e">
        <f>AND(Answers!BU179,"AAAAADbn6aI=")</f>
        <v>#VALUE!</v>
      </c>
      <c r="FH56" t="e">
        <f>AND(Answers!BV179,"AAAAADbn6aM=")</f>
        <v>#VALUE!</v>
      </c>
      <c r="FI56" t="e">
        <f>AND(Answers!#REF!,"AAAAADbn6aQ=")</f>
        <v>#REF!</v>
      </c>
      <c r="FJ56" t="e">
        <f>AND(Answers!BW179,"AAAAADbn6aU=")</f>
        <v>#VALUE!</v>
      </c>
      <c r="FK56" t="e">
        <f>AND(Answers!BX179,"AAAAADbn6aY=")</f>
        <v>#VALUE!</v>
      </c>
      <c r="FL56" t="e">
        <f>AND(Answers!BY179,"AAAAADbn6ac=")</f>
        <v>#VALUE!</v>
      </c>
      <c r="FM56" t="e">
        <f>AND(Answers!BZ179,"AAAAADbn6ag=")</f>
        <v>#VALUE!</v>
      </c>
      <c r="FN56">
        <f>IF(Answers!180:180,"AAAAADbn6ak=",0)</f>
        <v>0</v>
      </c>
      <c r="FO56" t="e">
        <f>AND(Answers!A180,"AAAAADbn6ao=")</f>
        <v>#VALUE!</v>
      </c>
      <c r="FP56" t="e">
        <f>AND(Answers!B180,"AAAAADbn6as=")</f>
        <v>#VALUE!</v>
      </c>
      <c r="FQ56" t="e">
        <f>AND(Answers!C180,"AAAAADbn6aw=")</f>
        <v>#VALUE!</v>
      </c>
      <c r="FR56" t="e">
        <f>AND(Answers!D180,"AAAAADbn6a0=")</f>
        <v>#VALUE!</v>
      </c>
      <c r="FS56" t="e">
        <f>AND(Answers!E180,"AAAAADbn6a4=")</f>
        <v>#VALUE!</v>
      </c>
      <c r="FT56" t="e">
        <f>AND(Answers!F180,"AAAAADbn6a8=")</f>
        <v>#VALUE!</v>
      </c>
      <c r="FU56" t="e">
        <f>AND(Answers!G180,"AAAAADbn6bA=")</f>
        <v>#VALUE!</v>
      </c>
      <c r="FV56" t="e">
        <f>AND(Answers!H180,"AAAAADbn6bE=")</f>
        <v>#VALUE!</v>
      </c>
      <c r="FW56" t="e">
        <f>AND(Answers!J180,"AAAAADbn6bI=")</f>
        <v>#VALUE!</v>
      </c>
      <c r="FX56" t="e">
        <f>AND(Answers!K180,"AAAAADbn6bM=")</f>
        <v>#VALUE!</v>
      </c>
      <c r="FY56" t="e">
        <f>AND(Answers!L180,"AAAAADbn6bQ=")</f>
        <v>#VALUE!</v>
      </c>
      <c r="FZ56" t="e">
        <f>AND(Answers!M180,"AAAAADbn6bU=")</f>
        <v>#VALUE!</v>
      </c>
      <c r="GA56" t="e">
        <f>AND(Answers!N180,"AAAAADbn6bY=")</f>
        <v>#VALUE!</v>
      </c>
      <c r="GB56" t="e">
        <f>AND(Answers!O180,"AAAAADbn6bc=")</f>
        <v>#VALUE!</v>
      </c>
      <c r="GC56" t="e">
        <f>AND(Answers!P180,"AAAAADbn6bg=")</f>
        <v>#VALUE!</v>
      </c>
      <c r="GD56" t="e">
        <f>AND(Answers!Q180,"AAAAADbn6bk=")</f>
        <v>#VALUE!</v>
      </c>
      <c r="GE56" t="e">
        <f>AND(Answers!R180,"AAAAADbn6bo=")</f>
        <v>#VALUE!</v>
      </c>
      <c r="GF56" t="e">
        <f>AND(Answers!S180,"AAAAADbn6bs=")</f>
        <v>#VALUE!</v>
      </c>
      <c r="GG56" t="e">
        <f>AND(Answers!T180,"AAAAADbn6bw=")</f>
        <v>#VALUE!</v>
      </c>
      <c r="GH56" t="e">
        <f>AND(Answers!U180,"AAAAADbn6b0=")</f>
        <v>#VALUE!</v>
      </c>
      <c r="GI56" t="e">
        <f>AND(Answers!V180,"AAAAADbn6b4=")</f>
        <v>#VALUE!</v>
      </c>
      <c r="GJ56" t="e">
        <f>AND(Answers!X180,"AAAAADbn6b8=")</f>
        <v>#VALUE!</v>
      </c>
      <c r="GK56" t="e">
        <f>AND(Answers!Y180,"AAAAADbn6cA=")</f>
        <v>#VALUE!</v>
      </c>
      <c r="GL56" t="e">
        <f>AND(Answers!Z180,"AAAAADbn6cE=")</f>
        <v>#VALUE!</v>
      </c>
      <c r="GM56" t="e">
        <f>AND(Answers!AA180,"AAAAADbn6cI=")</f>
        <v>#VALUE!</v>
      </c>
      <c r="GN56" t="e">
        <f>AND(Answers!AB180,"AAAAADbn6cM=")</f>
        <v>#VALUE!</v>
      </c>
      <c r="GO56" t="e">
        <f>AND(Answers!AC180,"AAAAADbn6cQ=")</f>
        <v>#VALUE!</v>
      </c>
      <c r="GP56" t="e">
        <f>AND(Answers!AD180,"AAAAADbn6cU=")</f>
        <v>#VALUE!</v>
      </c>
      <c r="GQ56" t="e">
        <f>AND(Answers!AE180,"AAAAADbn6cY=")</f>
        <v>#VALUE!</v>
      </c>
      <c r="GR56" t="e">
        <f>AND(Answers!AF180,"AAAAADbn6cc=")</f>
        <v>#VALUE!</v>
      </c>
      <c r="GS56" t="e">
        <f>AND(Answers!AH180,"AAAAADbn6cg=")</f>
        <v>#VALUE!</v>
      </c>
      <c r="GT56" t="e">
        <f>AND(Answers!AI180,"AAAAADbn6ck=")</f>
        <v>#VALUE!</v>
      </c>
      <c r="GU56" t="e">
        <f>AND(Answers!AK180,"AAAAADbn6co=")</f>
        <v>#VALUE!</v>
      </c>
      <c r="GV56" t="e">
        <f>AND(Answers!#REF!,"AAAAADbn6cs=")</f>
        <v>#REF!</v>
      </c>
      <c r="GW56" t="e">
        <f>AND(Answers!AR180,"AAAAADbn6cw=")</f>
        <v>#VALUE!</v>
      </c>
      <c r="GX56" t="e">
        <f>AND(Answers!AS180,"AAAAADbn6c0=")</f>
        <v>#VALUE!</v>
      </c>
      <c r="GY56" t="e">
        <f>AND(Answers!AT180,"AAAAADbn6c4=")</f>
        <v>#VALUE!</v>
      </c>
      <c r="GZ56" t="e">
        <f>AND(Answers!AU180,"AAAAADbn6c8=")</f>
        <v>#VALUE!</v>
      </c>
      <c r="HA56" t="e">
        <f>AND(Answers!AW180,"AAAAADbn6dA=")</f>
        <v>#VALUE!</v>
      </c>
      <c r="HB56" t="e">
        <f>AND(Answers!AX180,"AAAAADbn6dE=")</f>
        <v>#VALUE!</v>
      </c>
      <c r="HC56" t="e">
        <f>AND(Answers!AY180,"AAAAADbn6dI=")</f>
        <v>#VALUE!</v>
      </c>
      <c r="HD56" t="e">
        <f>AND(Answers!AZ180,"AAAAADbn6dM=")</f>
        <v>#VALUE!</v>
      </c>
      <c r="HE56" t="e">
        <f>AND(Answers!BA180,"AAAAADbn6dQ=")</f>
        <v>#VALUE!</v>
      </c>
      <c r="HF56" t="e">
        <f>AND(Answers!BB180,"AAAAADbn6dU=")</f>
        <v>#VALUE!</v>
      </c>
      <c r="HG56" t="e">
        <f>AND(Answers!BC180,"AAAAADbn6dY=")</f>
        <v>#VALUE!</v>
      </c>
      <c r="HH56" t="e">
        <f>AND(Answers!BD180,"AAAAADbn6dc=")</f>
        <v>#VALUE!</v>
      </c>
      <c r="HI56" t="e">
        <f>AND(Answers!BE180,"AAAAADbn6dg=")</f>
        <v>#VALUE!</v>
      </c>
      <c r="HJ56" t="e">
        <f>AND(Answers!BF180,"AAAAADbn6dk=")</f>
        <v>#VALUE!</v>
      </c>
      <c r="HK56" t="e">
        <f>AND(Answers!BG180,"AAAAADbn6do=")</f>
        <v>#VALUE!</v>
      </c>
      <c r="HL56" t="e">
        <f>AND(Answers!BH180,"AAAAADbn6ds=")</f>
        <v>#VALUE!</v>
      </c>
      <c r="HM56" t="e">
        <f>AND(Answers!BI180,"AAAAADbn6dw=")</f>
        <v>#VALUE!</v>
      </c>
      <c r="HN56" t="e">
        <f>AND(Answers!BK180,"AAAAADbn6d0=")</f>
        <v>#VALUE!</v>
      </c>
      <c r="HO56" t="e">
        <f>AND(Answers!BL180,"AAAAADbn6d4=")</f>
        <v>#VALUE!</v>
      </c>
      <c r="HP56" t="e">
        <f>AND(Answers!BM180,"AAAAADbn6d8=")</f>
        <v>#VALUE!</v>
      </c>
      <c r="HQ56" t="e">
        <f>AND(Answers!BN180,"AAAAADbn6eA=")</f>
        <v>#VALUE!</v>
      </c>
      <c r="HR56" t="e">
        <f>AND(Answers!BO180,"AAAAADbn6eE=")</f>
        <v>#VALUE!</v>
      </c>
      <c r="HS56" t="e">
        <f>AND(Answers!BP180,"AAAAADbn6eI=")</f>
        <v>#VALUE!</v>
      </c>
      <c r="HT56" t="e">
        <f>AND(Answers!BQ180,"AAAAADbn6eM=")</f>
        <v>#VALUE!</v>
      </c>
      <c r="HU56" t="e">
        <f>AND(Answers!BR180,"AAAAADbn6eQ=")</f>
        <v>#VALUE!</v>
      </c>
      <c r="HV56" t="e">
        <f>AND(Answers!BS180,"AAAAADbn6eU=")</f>
        <v>#VALUE!</v>
      </c>
      <c r="HW56" t="e">
        <f>AND(Answers!BU180,"AAAAADbn6eY=")</f>
        <v>#VALUE!</v>
      </c>
      <c r="HX56" t="e">
        <f>AND(Answers!BV180,"AAAAADbn6ec=")</f>
        <v>#VALUE!</v>
      </c>
      <c r="HY56" t="e">
        <f>AND(Answers!#REF!,"AAAAADbn6eg=")</f>
        <v>#REF!</v>
      </c>
      <c r="HZ56" t="e">
        <f>AND(Answers!BW180,"AAAAADbn6ek=")</f>
        <v>#VALUE!</v>
      </c>
      <c r="IA56" t="e">
        <f>AND(Answers!BX180,"AAAAADbn6eo=")</f>
        <v>#VALUE!</v>
      </c>
      <c r="IB56" t="e">
        <f>AND(Answers!BY180,"AAAAADbn6es=")</f>
        <v>#VALUE!</v>
      </c>
      <c r="IC56" t="e">
        <f>AND(Answers!BZ180,"AAAAADbn6ew=")</f>
        <v>#VALUE!</v>
      </c>
      <c r="ID56">
        <f>IF(Answers!181:181,"AAAAADbn6e0=",0)</f>
        <v>0</v>
      </c>
      <c r="IE56" t="e">
        <f>AND(Answers!A181,"AAAAADbn6e4=")</f>
        <v>#VALUE!</v>
      </c>
      <c r="IF56" t="e">
        <f>AND(Answers!B181,"AAAAADbn6e8=")</f>
        <v>#VALUE!</v>
      </c>
      <c r="IG56" t="e">
        <f>AND(Answers!C181,"AAAAADbn6fA=")</f>
        <v>#VALUE!</v>
      </c>
      <c r="IH56" t="e">
        <f>AND(Answers!D181,"AAAAADbn6fE=")</f>
        <v>#VALUE!</v>
      </c>
      <c r="II56" t="e">
        <f>AND(Answers!E181,"AAAAADbn6fI=")</f>
        <v>#VALUE!</v>
      </c>
      <c r="IJ56" t="e">
        <f>AND(Answers!F181,"AAAAADbn6fM=")</f>
        <v>#VALUE!</v>
      </c>
      <c r="IK56" t="e">
        <f>AND(Answers!G181,"AAAAADbn6fQ=")</f>
        <v>#VALUE!</v>
      </c>
      <c r="IL56" t="e">
        <f>AND(Answers!H181,"AAAAADbn6fU=")</f>
        <v>#VALUE!</v>
      </c>
      <c r="IM56" t="e">
        <f>AND(Answers!J181,"AAAAADbn6fY=")</f>
        <v>#VALUE!</v>
      </c>
      <c r="IN56" t="e">
        <f>AND(Answers!K181,"AAAAADbn6fc=")</f>
        <v>#VALUE!</v>
      </c>
      <c r="IO56" t="e">
        <f>AND(Answers!L181,"AAAAADbn6fg=")</f>
        <v>#VALUE!</v>
      </c>
      <c r="IP56" t="e">
        <f>AND(Answers!M181,"AAAAADbn6fk=")</f>
        <v>#VALUE!</v>
      </c>
      <c r="IQ56" t="e">
        <f>AND(Answers!N181,"AAAAADbn6fo=")</f>
        <v>#VALUE!</v>
      </c>
      <c r="IR56" t="e">
        <f>AND(Answers!O181,"AAAAADbn6fs=")</f>
        <v>#VALUE!</v>
      </c>
      <c r="IS56" t="e">
        <f>AND(Answers!P181,"AAAAADbn6fw=")</f>
        <v>#VALUE!</v>
      </c>
      <c r="IT56" t="e">
        <f>AND(Answers!Q181,"AAAAADbn6f0=")</f>
        <v>#VALUE!</v>
      </c>
      <c r="IU56" t="e">
        <f>AND(Answers!R181,"AAAAADbn6f4=")</f>
        <v>#VALUE!</v>
      </c>
      <c r="IV56" t="e">
        <f>AND(Answers!S181,"AAAAADbn6f8=")</f>
        <v>#VALUE!</v>
      </c>
    </row>
    <row r="57" spans="1:256" x14ac:dyDescent="0.15">
      <c r="A57" t="e">
        <f>AND(Answers!T181,"AAAAAB+M7QA=")</f>
        <v>#VALUE!</v>
      </c>
      <c r="B57" t="e">
        <f>AND(Answers!U181,"AAAAAB+M7QE=")</f>
        <v>#VALUE!</v>
      </c>
      <c r="C57" t="e">
        <f>AND(Answers!V181,"AAAAAB+M7QI=")</f>
        <v>#VALUE!</v>
      </c>
      <c r="D57" t="e">
        <f>AND(Answers!X181,"AAAAAB+M7QM=")</f>
        <v>#VALUE!</v>
      </c>
      <c r="E57" t="e">
        <f>AND(Answers!Y181,"AAAAAB+M7QQ=")</f>
        <v>#VALUE!</v>
      </c>
      <c r="F57" t="e">
        <f>AND(Answers!Z181,"AAAAAB+M7QU=")</f>
        <v>#VALUE!</v>
      </c>
      <c r="G57" t="e">
        <f>AND(Answers!AA181,"AAAAAB+M7QY=")</f>
        <v>#VALUE!</v>
      </c>
      <c r="H57" t="e">
        <f>AND(Answers!AB181,"AAAAAB+M7Qc=")</f>
        <v>#VALUE!</v>
      </c>
      <c r="I57" t="e">
        <f>AND(Answers!AC181,"AAAAAB+M7Qg=")</f>
        <v>#VALUE!</v>
      </c>
      <c r="J57" t="e">
        <f>AND(Answers!AD181,"AAAAAB+M7Qk=")</f>
        <v>#VALUE!</v>
      </c>
      <c r="K57" t="e">
        <f>AND(Answers!AE181,"AAAAAB+M7Qo=")</f>
        <v>#VALUE!</v>
      </c>
      <c r="L57" t="e">
        <f>AND(Answers!AF181,"AAAAAB+M7Qs=")</f>
        <v>#VALUE!</v>
      </c>
      <c r="M57" t="e">
        <f>AND(Answers!AH181,"AAAAAB+M7Qw=")</f>
        <v>#VALUE!</v>
      </c>
      <c r="N57" t="e">
        <f>AND(Answers!AI181,"AAAAAB+M7Q0=")</f>
        <v>#VALUE!</v>
      </c>
      <c r="O57" t="e">
        <f>AND(Answers!AK181,"AAAAAB+M7Q4=")</f>
        <v>#VALUE!</v>
      </c>
      <c r="P57" t="e">
        <f>AND(Answers!#REF!,"AAAAAB+M7Q8=")</f>
        <v>#REF!</v>
      </c>
      <c r="Q57" t="e">
        <f>AND(Answers!AR181,"AAAAAB+M7RA=")</f>
        <v>#VALUE!</v>
      </c>
      <c r="R57" t="e">
        <f>AND(Answers!AS181,"AAAAAB+M7RE=")</f>
        <v>#VALUE!</v>
      </c>
      <c r="S57" t="e">
        <f>AND(Answers!AT181,"AAAAAB+M7RI=")</f>
        <v>#VALUE!</v>
      </c>
      <c r="T57" t="e">
        <f>AND(Answers!AU181,"AAAAAB+M7RM=")</f>
        <v>#VALUE!</v>
      </c>
      <c r="U57" t="e">
        <f>AND(Answers!AW181,"AAAAAB+M7RQ=")</f>
        <v>#VALUE!</v>
      </c>
      <c r="V57" t="e">
        <f>AND(Answers!AX181,"AAAAAB+M7RU=")</f>
        <v>#VALUE!</v>
      </c>
      <c r="W57" t="e">
        <f>AND(Answers!AY181,"AAAAAB+M7RY=")</f>
        <v>#VALUE!</v>
      </c>
      <c r="X57" t="e">
        <f>AND(Answers!AZ181,"AAAAAB+M7Rc=")</f>
        <v>#VALUE!</v>
      </c>
      <c r="Y57" t="e">
        <f>AND(Answers!BA181,"AAAAAB+M7Rg=")</f>
        <v>#VALUE!</v>
      </c>
      <c r="Z57" t="e">
        <f>AND(Answers!BB181,"AAAAAB+M7Rk=")</f>
        <v>#VALUE!</v>
      </c>
      <c r="AA57" t="e">
        <f>AND(Answers!BC181,"AAAAAB+M7Ro=")</f>
        <v>#VALUE!</v>
      </c>
      <c r="AB57" t="e">
        <f>AND(Answers!BD181,"AAAAAB+M7Rs=")</f>
        <v>#VALUE!</v>
      </c>
      <c r="AC57" t="e">
        <f>AND(Answers!BE181,"AAAAAB+M7Rw=")</f>
        <v>#VALUE!</v>
      </c>
      <c r="AD57" t="e">
        <f>AND(Answers!BF181,"AAAAAB+M7R0=")</f>
        <v>#VALUE!</v>
      </c>
      <c r="AE57" t="e">
        <f>AND(Answers!BG181,"AAAAAB+M7R4=")</f>
        <v>#VALUE!</v>
      </c>
      <c r="AF57" t="e">
        <f>AND(Answers!BH181,"AAAAAB+M7R8=")</f>
        <v>#VALUE!</v>
      </c>
      <c r="AG57" t="e">
        <f>AND(Answers!BI181,"AAAAAB+M7SA=")</f>
        <v>#VALUE!</v>
      </c>
      <c r="AH57" t="e">
        <f>AND(Answers!BK181,"AAAAAB+M7SE=")</f>
        <v>#VALUE!</v>
      </c>
      <c r="AI57" t="e">
        <f>AND(Answers!BL181,"AAAAAB+M7SI=")</f>
        <v>#VALUE!</v>
      </c>
      <c r="AJ57" t="e">
        <f>AND(Answers!BM181,"AAAAAB+M7SM=")</f>
        <v>#VALUE!</v>
      </c>
      <c r="AK57" t="e">
        <f>AND(Answers!BN181,"AAAAAB+M7SQ=")</f>
        <v>#VALUE!</v>
      </c>
      <c r="AL57" t="e">
        <f>AND(Answers!BO181,"AAAAAB+M7SU=")</f>
        <v>#VALUE!</v>
      </c>
      <c r="AM57" t="e">
        <f>AND(Answers!BP181,"AAAAAB+M7SY=")</f>
        <v>#VALUE!</v>
      </c>
      <c r="AN57" t="e">
        <f>AND(Answers!BQ181,"AAAAAB+M7Sc=")</f>
        <v>#VALUE!</v>
      </c>
      <c r="AO57" t="e">
        <f>AND(Answers!BR181,"AAAAAB+M7Sg=")</f>
        <v>#VALUE!</v>
      </c>
      <c r="AP57" t="e">
        <f>AND(Answers!BS181,"AAAAAB+M7Sk=")</f>
        <v>#VALUE!</v>
      </c>
      <c r="AQ57" t="e">
        <f>AND(Answers!BU181,"AAAAAB+M7So=")</f>
        <v>#VALUE!</v>
      </c>
      <c r="AR57" t="e">
        <f>AND(Answers!BV181,"AAAAAB+M7Ss=")</f>
        <v>#VALUE!</v>
      </c>
      <c r="AS57" t="e">
        <f>AND(Answers!#REF!,"AAAAAB+M7Sw=")</f>
        <v>#REF!</v>
      </c>
      <c r="AT57" t="e">
        <f>AND(Answers!BW181,"AAAAAB+M7S0=")</f>
        <v>#VALUE!</v>
      </c>
      <c r="AU57" t="e">
        <f>AND(Answers!BX181,"AAAAAB+M7S4=")</f>
        <v>#VALUE!</v>
      </c>
      <c r="AV57" t="e">
        <f>AND(Answers!BY181,"AAAAAB+M7S8=")</f>
        <v>#VALUE!</v>
      </c>
      <c r="AW57" t="e">
        <f>AND(Answers!BZ181,"AAAAAB+M7TA=")</f>
        <v>#VALUE!</v>
      </c>
      <c r="AX57">
        <f>IF(Answers!182:182,"AAAAAB+M7TE=",0)</f>
        <v>0</v>
      </c>
      <c r="AY57" t="e">
        <f>AND(Answers!A182,"AAAAAB+M7TI=")</f>
        <v>#VALUE!</v>
      </c>
      <c r="AZ57" t="e">
        <f>AND(Answers!B182,"AAAAAB+M7TM=")</f>
        <v>#VALUE!</v>
      </c>
      <c r="BA57" t="e">
        <f>AND(Answers!C182,"AAAAAB+M7TQ=")</f>
        <v>#VALUE!</v>
      </c>
      <c r="BB57" t="e">
        <f>AND(Answers!D182,"AAAAAB+M7TU=")</f>
        <v>#VALUE!</v>
      </c>
      <c r="BC57" t="e">
        <f>AND(Answers!E182,"AAAAAB+M7TY=")</f>
        <v>#VALUE!</v>
      </c>
      <c r="BD57" t="e">
        <f>AND(Answers!F182,"AAAAAB+M7Tc=")</f>
        <v>#VALUE!</v>
      </c>
      <c r="BE57" t="e">
        <f>AND(Answers!G182,"AAAAAB+M7Tg=")</f>
        <v>#VALUE!</v>
      </c>
      <c r="BF57" t="e">
        <f>AND(Answers!H182,"AAAAAB+M7Tk=")</f>
        <v>#VALUE!</v>
      </c>
      <c r="BG57" t="e">
        <f>AND(Answers!J182,"AAAAAB+M7To=")</f>
        <v>#VALUE!</v>
      </c>
      <c r="BH57" t="e">
        <f>AND(Answers!K182,"AAAAAB+M7Ts=")</f>
        <v>#VALUE!</v>
      </c>
      <c r="BI57" t="e">
        <f>AND(Answers!L182,"AAAAAB+M7Tw=")</f>
        <v>#VALUE!</v>
      </c>
      <c r="BJ57" t="e">
        <f>AND(Answers!M182,"AAAAAB+M7T0=")</f>
        <v>#VALUE!</v>
      </c>
      <c r="BK57" t="e">
        <f>AND(Answers!N182,"AAAAAB+M7T4=")</f>
        <v>#VALUE!</v>
      </c>
      <c r="BL57" t="e">
        <f>AND(Answers!O182,"AAAAAB+M7T8=")</f>
        <v>#VALUE!</v>
      </c>
      <c r="BM57" t="e">
        <f>AND(Answers!P182,"AAAAAB+M7UA=")</f>
        <v>#VALUE!</v>
      </c>
      <c r="BN57" t="e">
        <f>AND(Answers!Q182,"AAAAAB+M7UE=")</f>
        <v>#VALUE!</v>
      </c>
      <c r="BO57" t="e">
        <f>AND(Answers!R182,"AAAAAB+M7UI=")</f>
        <v>#VALUE!</v>
      </c>
      <c r="BP57" t="e">
        <f>AND(Answers!S182,"AAAAAB+M7UM=")</f>
        <v>#VALUE!</v>
      </c>
      <c r="BQ57" t="e">
        <f>AND(Answers!T182,"AAAAAB+M7UQ=")</f>
        <v>#VALUE!</v>
      </c>
      <c r="BR57" t="e">
        <f>AND(Answers!U182,"AAAAAB+M7UU=")</f>
        <v>#VALUE!</v>
      </c>
      <c r="BS57" t="e">
        <f>AND(Answers!V182,"AAAAAB+M7UY=")</f>
        <v>#VALUE!</v>
      </c>
      <c r="BT57" t="e">
        <f>AND(Answers!X182,"AAAAAB+M7Uc=")</f>
        <v>#VALUE!</v>
      </c>
      <c r="BU57" t="e">
        <f>AND(Answers!Y182,"AAAAAB+M7Ug=")</f>
        <v>#VALUE!</v>
      </c>
      <c r="BV57" t="e">
        <f>AND(Answers!Z182,"AAAAAB+M7Uk=")</f>
        <v>#VALUE!</v>
      </c>
      <c r="BW57" t="e">
        <f>AND(Answers!AA182,"AAAAAB+M7Uo=")</f>
        <v>#VALUE!</v>
      </c>
      <c r="BX57" t="e">
        <f>AND(Answers!AB182,"AAAAAB+M7Us=")</f>
        <v>#VALUE!</v>
      </c>
      <c r="BY57" t="e">
        <f>AND(Answers!AC182,"AAAAAB+M7Uw=")</f>
        <v>#VALUE!</v>
      </c>
      <c r="BZ57" t="e">
        <f>AND(Answers!AD182,"AAAAAB+M7U0=")</f>
        <v>#VALUE!</v>
      </c>
      <c r="CA57" t="e">
        <f>AND(Answers!AE182,"AAAAAB+M7U4=")</f>
        <v>#VALUE!</v>
      </c>
      <c r="CB57" t="e">
        <f>AND(Answers!AF182,"AAAAAB+M7U8=")</f>
        <v>#VALUE!</v>
      </c>
      <c r="CC57" t="e">
        <f>AND(Answers!AH182,"AAAAAB+M7VA=")</f>
        <v>#VALUE!</v>
      </c>
      <c r="CD57" t="e">
        <f>AND(Answers!AI182,"AAAAAB+M7VE=")</f>
        <v>#VALUE!</v>
      </c>
      <c r="CE57" t="e">
        <f>AND(Answers!AK182,"AAAAAB+M7VI=")</f>
        <v>#VALUE!</v>
      </c>
      <c r="CF57" t="e">
        <f>AND(Answers!#REF!,"AAAAAB+M7VM=")</f>
        <v>#REF!</v>
      </c>
      <c r="CG57" t="e">
        <f>AND(Answers!AR182,"AAAAAB+M7VQ=")</f>
        <v>#VALUE!</v>
      </c>
      <c r="CH57" t="e">
        <f>AND(Answers!AS182,"AAAAAB+M7VU=")</f>
        <v>#VALUE!</v>
      </c>
      <c r="CI57" t="e">
        <f>AND(Answers!AT182,"AAAAAB+M7VY=")</f>
        <v>#VALUE!</v>
      </c>
      <c r="CJ57" t="e">
        <f>AND(Answers!AU182,"AAAAAB+M7Vc=")</f>
        <v>#VALUE!</v>
      </c>
      <c r="CK57" t="e">
        <f>AND(Answers!AW182,"AAAAAB+M7Vg=")</f>
        <v>#VALUE!</v>
      </c>
      <c r="CL57" t="e">
        <f>AND(Answers!AX182,"AAAAAB+M7Vk=")</f>
        <v>#VALUE!</v>
      </c>
      <c r="CM57" t="e">
        <f>AND(Answers!AY182,"AAAAAB+M7Vo=")</f>
        <v>#VALUE!</v>
      </c>
      <c r="CN57" t="e">
        <f>AND(Answers!AZ182,"AAAAAB+M7Vs=")</f>
        <v>#VALUE!</v>
      </c>
      <c r="CO57" t="e">
        <f>AND(Answers!BA182,"AAAAAB+M7Vw=")</f>
        <v>#VALUE!</v>
      </c>
      <c r="CP57" t="e">
        <f>AND(Answers!BB182,"AAAAAB+M7V0=")</f>
        <v>#VALUE!</v>
      </c>
      <c r="CQ57" t="e">
        <f>AND(Answers!BC182,"AAAAAB+M7V4=")</f>
        <v>#VALUE!</v>
      </c>
      <c r="CR57" t="e">
        <f>AND(Answers!BD182,"AAAAAB+M7V8=")</f>
        <v>#VALUE!</v>
      </c>
      <c r="CS57" t="e">
        <f>AND(Answers!BE182,"AAAAAB+M7WA=")</f>
        <v>#VALUE!</v>
      </c>
      <c r="CT57" t="e">
        <f>AND(Answers!BF182,"AAAAAB+M7WE=")</f>
        <v>#VALUE!</v>
      </c>
      <c r="CU57" t="e">
        <f>AND(Answers!BG182,"AAAAAB+M7WI=")</f>
        <v>#VALUE!</v>
      </c>
      <c r="CV57" t="e">
        <f>AND(Answers!BH182,"AAAAAB+M7WM=")</f>
        <v>#VALUE!</v>
      </c>
      <c r="CW57" t="e">
        <f>AND(Answers!BI182,"AAAAAB+M7WQ=")</f>
        <v>#VALUE!</v>
      </c>
      <c r="CX57" t="e">
        <f>AND(Answers!BK182,"AAAAAB+M7WU=")</f>
        <v>#VALUE!</v>
      </c>
      <c r="CY57" t="e">
        <f>AND(Answers!BL182,"AAAAAB+M7WY=")</f>
        <v>#VALUE!</v>
      </c>
      <c r="CZ57" t="e">
        <f>AND(Answers!BM182,"AAAAAB+M7Wc=")</f>
        <v>#VALUE!</v>
      </c>
      <c r="DA57" t="e">
        <f>AND(Answers!BN182,"AAAAAB+M7Wg=")</f>
        <v>#VALUE!</v>
      </c>
      <c r="DB57" t="e">
        <f>AND(Answers!BO182,"AAAAAB+M7Wk=")</f>
        <v>#VALUE!</v>
      </c>
      <c r="DC57" t="e">
        <f>AND(Answers!BP182,"AAAAAB+M7Wo=")</f>
        <v>#VALUE!</v>
      </c>
      <c r="DD57" t="e">
        <f>AND(Answers!BQ182,"AAAAAB+M7Ws=")</f>
        <v>#VALUE!</v>
      </c>
      <c r="DE57" t="e">
        <f>AND(Answers!BR182,"AAAAAB+M7Ww=")</f>
        <v>#VALUE!</v>
      </c>
      <c r="DF57" t="e">
        <f>AND(Answers!BS182,"AAAAAB+M7W0=")</f>
        <v>#VALUE!</v>
      </c>
      <c r="DG57" t="e">
        <f>AND(Answers!BU182,"AAAAAB+M7W4=")</f>
        <v>#VALUE!</v>
      </c>
      <c r="DH57" t="e">
        <f>AND(Answers!BV182,"AAAAAB+M7W8=")</f>
        <v>#VALUE!</v>
      </c>
      <c r="DI57" t="e">
        <f>AND(Answers!#REF!,"AAAAAB+M7XA=")</f>
        <v>#REF!</v>
      </c>
      <c r="DJ57" t="e">
        <f>AND(Answers!BW182,"AAAAAB+M7XE=")</f>
        <v>#VALUE!</v>
      </c>
      <c r="DK57" t="e">
        <f>AND(Answers!BX182,"AAAAAB+M7XI=")</f>
        <v>#VALUE!</v>
      </c>
      <c r="DL57" t="e">
        <f>AND(Answers!BY182,"AAAAAB+M7XM=")</f>
        <v>#VALUE!</v>
      </c>
      <c r="DM57" t="e">
        <f>AND(Answers!BZ182,"AAAAAB+M7XQ=")</f>
        <v>#VALUE!</v>
      </c>
      <c r="DN57">
        <f>IF(Answers!183:183,"AAAAAB+M7XU=",0)</f>
        <v>0</v>
      </c>
      <c r="DO57" t="e">
        <f>AND(Answers!A183,"AAAAAB+M7XY=")</f>
        <v>#VALUE!</v>
      </c>
      <c r="DP57" t="e">
        <f>AND(Answers!B183,"AAAAAB+M7Xc=")</f>
        <v>#VALUE!</v>
      </c>
      <c r="DQ57" t="e">
        <f>AND(Answers!C183,"AAAAAB+M7Xg=")</f>
        <v>#VALUE!</v>
      </c>
      <c r="DR57" t="e">
        <f>AND(Answers!D183,"AAAAAB+M7Xk=")</f>
        <v>#VALUE!</v>
      </c>
      <c r="DS57" t="e">
        <f>AND(Answers!E183,"AAAAAB+M7Xo=")</f>
        <v>#VALUE!</v>
      </c>
      <c r="DT57" t="e">
        <f>AND(Answers!F183,"AAAAAB+M7Xs=")</f>
        <v>#VALUE!</v>
      </c>
      <c r="DU57" t="e">
        <f>AND(Answers!G183,"AAAAAB+M7Xw=")</f>
        <v>#VALUE!</v>
      </c>
      <c r="DV57" t="e">
        <f>AND(Answers!H183,"AAAAAB+M7X0=")</f>
        <v>#VALUE!</v>
      </c>
      <c r="DW57" t="e">
        <f>AND(Answers!J183,"AAAAAB+M7X4=")</f>
        <v>#VALUE!</v>
      </c>
      <c r="DX57" t="e">
        <f>AND(Answers!K183,"AAAAAB+M7X8=")</f>
        <v>#VALUE!</v>
      </c>
      <c r="DY57" t="e">
        <f>AND(Answers!L183,"AAAAAB+M7YA=")</f>
        <v>#VALUE!</v>
      </c>
      <c r="DZ57" t="e">
        <f>AND(Answers!M183,"AAAAAB+M7YE=")</f>
        <v>#VALUE!</v>
      </c>
      <c r="EA57" t="e">
        <f>AND(Answers!N183,"AAAAAB+M7YI=")</f>
        <v>#VALUE!</v>
      </c>
      <c r="EB57" t="e">
        <f>AND(Answers!O183,"AAAAAB+M7YM=")</f>
        <v>#VALUE!</v>
      </c>
      <c r="EC57" t="e">
        <f>AND(Answers!P183,"AAAAAB+M7YQ=")</f>
        <v>#VALUE!</v>
      </c>
      <c r="ED57" t="e">
        <f>AND(Answers!Q183,"AAAAAB+M7YU=")</f>
        <v>#VALUE!</v>
      </c>
      <c r="EE57" t="e">
        <f>AND(Answers!R183,"AAAAAB+M7YY=")</f>
        <v>#VALUE!</v>
      </c>
      <c r="EF57" t="e">
        <f>AND(Answers!S183,"AAAAAB+M7Yc=")</f>
        <v>#VALUE!</v>
      </c>
      <c r="EG57" t="e">
        <f>AND(Answers!T183,"AAAAAB+M7Yg=")</f>
        <v>#VALUE!</v>
      </c>
      <c r="EH57" t="e">
        <f>AND(Answers!U183,"AAAAAB+M7Yk=")</f>
        <v>#VALUE!</v>
      </c>
      <c r="EI57" t="e">
        <f>AND(Answers!V183,"AAAAAB+M7Yo=")</f>
        <v>#VALUE!</v>
      </c>
      <c r="EJ57" t="e">
        <f>AND(Answers!X183,"AAAAAB+M7Ys=")</f>
        <v>#VALUE!</v>
      </c>
      <c r="EK57" t="e">
        <f>AND(Answers!Y183,"AAAAAB+M7Yw=")</f>
        <v>#VALUE!</v>
      </c>
      <c r="EL57" t="e">
        <f>AND(Answers!Z183,"AAAAAB+M7Y0=")</f>
        <v>#VALUE!</v>
      </c>
      <c r="EM57" t="e">
        <f>AND(Answers!AA183,"AAAAAB+M7Y4=")</f>
        <v>#VALUE!</v>
      </c>
      <c r="EN57" t="e">
        <f>AND(Answers!AB183,"AAAAAB+M7Y8=")</f>
        <v>#VALUE!</v>
      </c>
      <c r="EO57" t="e">
        <f>AND(Answers!AC183,"AAAAAB+M7ZA=")</f>
        <v>#VALUE!</v>
      </c>
      <c r="EP57" t="e">
        <f>AND(Answers!AD183,"AAAAAB+M7ZE=")</f>
        <v>#VALUE!</v>
      </c>
      <c r="EQ57" t="e">
        <f>AND(Answers!AE183,"AAAAAB+M7ZI=")</f>
        <v>#VALUE!</v>
      </c>
      <c r="ER57" t="e">
        <f>AND(Answers!AF183,"AAAAAB+M7ZM=")</f>
        <v>#VALUE!</v>
      </c>
      <c r="ES57" t="e">
        <f>AND(Answers!AH183,"AAAAAB+M7ZQ=")</f>
        <v>#VALUE!</v>
      </c>
      <c r="ET57" t="e">
        <f>AND(Answers!AI183,"AAAAAB+M7ZU=")</f>
        <v>#VALUE!</v>
      </c>
      <c r="EU57" t="e">
        <f>AND(Answers!AK183,"AAAAAB+M7ZY=")</f>
        <v>#VALUE!</v>
      </c>
      <c r="EV57" t="e">
        <f>AND(Answers!#REF!,"AAAAAB+M7Zc=")</f>
        <v>#REF!</v>
      </c>
      <c r="EW57" t="e">
        <f>AND(Answers!AR183,"AAAAAB+M7Zg=")</f>
        <v>#VALUE!</v>
      </c>
      <c r="EX57" t="e">
        <f>AND(Answers!AS183,"AAAAAB+M7Zk=")</f>
        <v>#VALUE!</v>
      </c>
      <c r="EY57" t="e">
        <f>AND(Answers!AT183,"AAAAAB+M7Zo=")</f>
        <v>#VALUE!</v>
      </c>
      <c r="EZ57" t="e">
        <f>AND(Answers!AU183,"AAAAAB+M7Zs=")</f>
        <v>#VALUE!</v>
      </c>
      <c r="FA57" t="e">
        <f>AND(Answers!AW183,"AAAAAB+M7Zw=")</f>
        <v>#VALUE!</v>
      </c>
      <c r="FB57" t="e">
        <f>AND(Answers!AX183,"AAAAAB+M7Z0=")</f>
        <v>#VALUE!</v>
      </c>
      <c r="FC57" t="e">
        <f>AND(Answers!AY183,"AAAAAB+M7Z4=")</f>
        <v>#VALUE!</v>
      </c>
      <c r="FD57" t="e">
        <f>AND(Answers!AZ183,"AAAAAB+M7Z8=")</f>
        <v>#VALUE!</v>
      </c>
      <c r="FE57" t="e">
        <f>AND(Answers!BA183,"AAAAAB+M7aA=")</f>
        <v>#VALUE!</v>
      </c>
      <c r="FF57" t="e">
        <f>AND(Answers!BB183,"AAAAAB+M7aE=")</f>
        <v>#VALUE!</v>
      </c>
      <c r="FG57" t="e">
        <f>AND(Answers!BC183,"AAAAAB+M7aI=")</f>
        <v>#VALUE!</v>
      </c>
      <c r="FH57" t="e">
        <f>AND(Answers!BD183,"AAAAAB+M7aM=")</f>
        <v>#VALUE!</v>
      </c>
      <c r="FI57" t="e">
        <f>AND(Answers!BE183,"AAAAAB+M7aQ=")</f>
        <v>#VALUE!</v>
      </c>
      <c r="FJ57" t="e">
        <f>AND(Answers!BF183,"AAAAAB+M7aU=")</f>
        <v>#VALUE!</v>
      </c>
      <c r="FK57" t="e">
        <f>AND(Answers!BG183,"AAAAAB+M7aY=")</f>
        <v>#VALUE!</v>
      </c>
      <c r="FL57" t="e">
        <f>AND(Answers!BH183,"AAAAAB+M7ac=")</f>
        <v>#VALUE!</v>
      </c>
      <c r="FM57" t="e">
        <f>AND(Answers!BI183,"AAAAAB+M7ag=")</f>
        <v>#VALUE!</v>
      </c>
      <c r="FN57" t="e">
        <f>AND(Answers!BK183,"AAAAAB+M7ak=")</f>
        <v>#VALUE!</v>
      </c>
      <c r="FO57" t="e">
        <f>AND(Answers!BL183,"AAAAAB+M7ao=")</f>
        <v>#VALUE!</v>
      </c>
      <c r="FP57" t="e">
        <f>AND(Answers!BM183,"AAAAAB+M7as=")</f>
        <v>#VALUE!</v>
      </c>
      <c r="FQ57" t="e">
        <f>AND(Answers!BN183,"AAAAAB+M7aw=")</f>
        <v>#VALUE!</v>
      </c>
      <c r="FR57" t="e">
        <f>AND(Answers!BO183,"AAAAAB+M7a0=")</f>
        <v>#VALUE!</v>
      </c>
      <c r="FS57" t="e">
        <f>AND(Answers!BP183,"AAAAAB+M7a4=")</f>
        <v>#VALUE!</v>
      </c>
      <c r="FT57" t="e">
        <f>AND(Answers!BQ183,"AAAAAB+M7a8=")</f>
        <v>#VALUE!</v>
      </c>
      <c r="FU57" t="e">
        <f>AND(Answers!BR183,"AAAAAB+M7bA=")</f>
        <v>#VALUE!</v>
      </c>
      <c r="FV57" t="e">
        <f>AND(Answers!BS183,"AAAAAB+M7bE=")</f>
        <v>#VALUE!</v>
      </c>
      <c r="FW57" t="e">
        <f>AND(Answers!BU183,"AAAAAB+M7bI=")</f>
        <v>#VALUE!</v>
      </c>
      <c r="FX57" t="e">
        <f>AND(Answers!BV183,"AAAAAB+M7bM=")</f>
        <v>#VALUE!</v>
      </c>
      <c r="FY57" t="e">
        <f>AND(Answers!#REF!,"AAAAAB+M7bQ=")</f>
        <v>#REF!</v>
      </c>
      <c r="FZ57" t="e">
        <f>AND(Answers!BW183,"AAAAAB+M7bU=")</f>
        <v>#VALUE!</v>
      </c>
      <c r="GA57" t="e">
        <f>AND(Answers!BX183,"AAAAAB+M7bY=")</f>
        <v>#VALUE!</v>
      </c>
      <c r="GB57" t="e">
        <f>AND(Answers!BY183,"AAAAAB+M7bc=")</f>
        <v>#VALUE!</v>
      </c>
      <c r="GC57" t="e">
        <f>AND(Answers!BZ183,"AAAAAB+M7bg=")</f>
        <v>#VALUE!</v>
      </c>
      <c r="GD57">
        <f>IF(Answers!184:184,"AAAAAB+M7bk=",0)</f>
        <v>0</v>
      </c>
      <c r="GE57" t="e">
        <f>AND(Answers!A184,"AAAAAB+M7bo=")</f>
        <v>#VALUE!</v>
      </c>
      <c r="GF57" t="e">
        <f>AND(Answers!B184,"AAAAAB+M7bs=")</f>
        <v>#VALUE!</v>
      </c>
      <c r="GG57" t="e">
        <f>AND(Answers!C184,"AAAAAB+M7bw=")</f>
        <v>#VALUE!</v>
      </c>
      <c r="GH57" t="e">
        <f>AND(Answers!D184,"AAAAAB+M7b0=")</f>
        <v>#VALUE!</v>
      </c>
      <c r="GI57" t="e">
        <f>AND(Answers!E184,"AAAAAB+M7b4=")</f>
        <v>#VALUE!</v>
      </c>
      <c r="GJ57" t="e">
        <f>AND(Answers!F184,"AAAAAB+M7b8=")</f>
        <v>#VALUE!</v>
      </c>
      <c r="GK57" t="e">
        <f>AND(Answers!G184,"AAAAAB+M7cA=")</f>
        <v>#VALUE!</v>
      </c>
      <c r="GL57" t="e">
        <f>AND(Answers!H184,"AAAAAB+M7cE=")</f>
        <v>#VALUE!</v>
      </c>
      <c r="GM57" t="e">
        <f>AND(Answers!J184,"AAAAAB+M7cI=")</f>
        <v>#VALUE!</v>
      </c>
      <c r="GN57" t="e">
        <f>AND(Answers!K184,"AAAAAB+M7cM=")</f>
        <v>#VALUE!</v>
      </c>
      <c r="GO57" t="e">
        <f>AND(Answers!L184,"AAAAAB+M7cQ=")</f>
        <v>#VALUE!</v>
      </c>
      <c r="GP57" t="e">
        <f>AND(Answers!M184,"AAAAAB+M7cU=")</f>
        <v>#VALUE!</v>
      </c>
      <c r="GQ57" t="e">
        <f>AND(Answers!N184,"AAAAAB+M7cY=")</f>
        <v>#VALUE!</v>
      </c>
      <c r="GR57" t="e">
        <f>AND(Answers!O184,"AAAAAB+M7cc=")</f>
        <v>#VALUE!</v>
      </c>
      <c r="GS57" t="e">
        <f>AND(Answers!P184,"AAAAAB+M7cg=")</f>
        <v>#VALUE!</v>
      </c>
      <c r="GT57" t="e">
        <f>AND(Answers!Q184,"AAAAAB+M7ck=")</f>
        <v>#VALUE!</v>
      </c>
      <c r="GU57" t="e">
        <f>AND(Answers!R184,"AAAAAB+M7co=")</f>
        <v>#VALUE!</v>
      </c>
      <c r="GV57" t="e">
        <f>AND(Answers!S184,"AAAAAB+M7cs=")</f>
        <v>#VALUE!</v>
      </c>
      <c r="GW57" t="e">
        <f>AND(Answers!T184,"AAAAAB+M7cw=")</f>
        <v>#VALUE!</v>
      </c>
      <c r="GX57" t="e">
        <f>AND(Answers!U184,"AAAAAB+M7c0=")</f>
        <v>#VALUE!</v>
      </c>
      <c r="GY57" t="e">
        <f>AND(Answers!V184,"AAAAAB+M7c4=")</f>
        <v>#VALUE!</v>
      </c>
      <c r="GZ57" t="e">
        <f>AND(Answers!X184,"AAAAAB+M7c8=")</f>
        <v>#VALUE!</v>
      </c>
      <c r="HA57" t="e">
        <f>AND(Answers!Y184,"AAAAAB+M7dA=")</f>
        <v>#VALUE!</v>
      </c>
      <c r="HB57" t="e">
        <f>AND(Answers!Z184,"AAAAAB+M7dE=")</f>
        <v>#VALUE!</v>
      </c>
      <c r="HC57" t="e">
        <f>AND(Answers!AA184,"AAAAAB+M7dI=")</f>
        <v>#VALUE!</v>
      </c>
      <c r="HD57" t="e">
        <f>AND(Answers!AB184,"AAAAAB+M7dM=")</f>
        <v>#VALUE!</v>
      </c>
      <c r="HE57" t="e">
        <f>AND(Answers!AC184,"AAAAAB+M7dQ=")</f>
        <v>#VALUE!</v>
      </c>
      <c r="HF57" t="e">
        <f>AND(Answers!AD184,"AAAAAB+M7dU=")</f>
        <v>#VALUE!</v>
      </c>
      <c r="HG57" t="e">
        <f>AND(Answers!AE184,"AAAAAB+M7dY=")</f>
        <v>#VALUE!</v>
      </c>
      <c r="HH57" t="e">
        <f>AND(Answers!AF184,"AAAAAB+M7dc=")</f>
        <v>#VALUE!</v>
      </c>
      <c r="HI57" t="e">
        <f>AND(Answers!AH184,"AAAAAB+M7dg=")</f>
        <v>#VALUE!</v>
      </c>
      <c r="HJ57" t="e">
        <f>AND(Answers!AI184,"AAAAAB+M7dk=")</f>
        <v>#VALUE!</v>
      </c>
      <c r="HK57" t="e">
        <f>AND(Answers!AK184,"AAAAAB+M7do=")</f>
        <v>#VALUE!</v>
      </c>
      <c r="HL57" t="e">
        <f>AND(Answers!#REF!,"AAAAAB+M7ds=")</f>
        <v>#REF!</v>
      </c>
      <c r="HM57" t="e">
        <f>AND(Answers!AR184,"AAAAAB+M7dw=")</f>
        <v>#VALUE!</v>
      </c>
      <c r="HN57" t="e">
        <f>AND(Answers!AS184,"AAAAAB+M7d0=")</f>
        <v>#VALUE!</v>
      </c>
      <c r="HO57" t="e">
        <f>AND(Answers!AT184,"AAAAAB+M7d4=")</f>
        <v>#VALUE!</v>
      </c>
      <c r="HP57" t="e">
        <f>AND(Answers!AU184,"AAAAAB+M7d8=")</f>
        <v>#VALUE!</v>
      </c>
      <c r="HQ57" t="e">
        <f>AND(Answers!AW184,"AAAAAB+M7eA=")</f>
        <v>#VALUE!</v>
      </c>
      <c r="HR57" t="e">
        <f>AND(Answers!AX184,"AAAAAB+M7eE=")</f>
        <v>#VALUE!</v>
      </c>
      <c r="HS57" t="e">
        <f>AND(Answers!AY184,"AAAAAB+M7eI=")</f>
        <v>#VALUE!</v>
      </c>
      <c r="HT57" t="e">
        <f>AND(Answers!AZ184,"AAAAAB+M7eM=")</f>
        <v>#VALUE!</v>
      </c>
      <c r="HU57" t="e">
        <f>AND(Answers!BA184,"AAAAAB+M7eQ=")</f>
        <v>#VALUE!</v>
      </c>
      <c r="HV57" t="e">
        <f>AND(Answers!BB184,"AAAAAB+M7eU=")</f>
        <v>#VALUE!</v>
      </c>
      <c r="HW57" t="e">
        <f>AND(Answers!BC184,"AAAAAB+M7eY=")</f>
        <v>#VALUE!</v>
      </c>
      <c r="HX57" t="e">
        <f>AND(Answers!BD184,"AAAAAB+M7ec=")</f>
        <v>#VALUE!</v>
      </c>
      <c r="HY57" t="e">
        <f>AND(Answers!BE184,"AAAAAB+M7eg=")</f>
        <v>#VALUE!</v>
      </c>
      <c r="HZ57" t="e">
        <f>AND(Answers!BF184,"AAAAAB+M7ek=")</f>
        <v>#VALUE!</v>
      </c>
      <c r="IA57" t="e">
        <f>AND(Answers!BG184,"AAAAAB+M7eo=")</f>
        <v>#VALUE!</v>
      </c>
      <c r="IB57" t="e">
        <f>AND(Answers!BH184,"AAAAAB+M7es=")</f>
        <v>#VALUE!</v>
      </c>
      <c r="IC57" t="e">
        <f>AND(Answers!BI184,"AAAAAB+M7ew=")</f>
        <v>#VALUE!</v>
      </c>
      <c r="ID57" t="e">
        <f>AND(Answers!BK184,"AAAAAB+M7e0=")</f>
        <v>#VALUE!</v>
      </c>
      <c r="IE57" t="e">
        <f>AND(Answers!BL184,"AAAAAB+M7e4=")</f>
        <v>#VALUE!</v>
      </c>
      <c r="IF57" t="e">
        <f>AND(Answers!BM184,"AAAAAB+M7e8=")</f>
        <v>#VALUE!</v>
      </c>
      <c r="IG57" t="e">
        <f>AND(Answers!BN184,"AAAAAB+M7fA=")</f>
        <v>#VALUE!</v>
      </c>
      <c r="IH57" t="e">
        <f>AND(Answers!BO184,"AAAAAB+M7fE=")</f>
        <v>#VALUE!</v>
      </c>
      <c r="II57" t="e">
        <f>AND(Answers!BP184,"AAAAAB+M7fI=")</f>
        <v>#VALUE!</v>
      </c>
      <c r="IJ57" t="e">
        <f>AND(Answers!BQ184,"AAAAAB+M7fM=")</f>
        <v>#VALUE!</v>
      </c>
      <c r="IK57" t="e">
        <f>AND(Answers!BR184,"AAAAAB+M7fQ=")</f>
        <v>#VALUE!</v>
      </c>
      <c r="IL57" t="e">
        <f>AND(Answers!BS184,"AAAAAB+M7fU=")</f>
        <v>#VALUE!</v>
      </c>
      <c r="IM57" t="e">
        <f>AND(Answers!BU184,"AAAAAB+M7fY=")</f>
        <v>#VALUE!</v>
      </c>
      <c r="IN57" t="e">
        <f>AND(Answers!BV184,"AAAAAB+M7fc=")</f>
        <v>#VALUE!</v>
      </c>
      <c r="IO57" t="e">
        <f>AND(Answers!#REF!,"AAAAAB+M7fg=")</f>
        <v>#REF!</v>
      </c>
      <c r="IP57" t="e">
        <f>AND(Answers!BW184,"AAAAAB+M7fk=")</f>
        <v>#VALUE!</v>
      </c>
      <c r="IQ57" t="e">
        <f>AND(Answers!BX184,"AAAAAB+M7fo=")</f>
        <v>#VALUE!</v>
      </c>
      <c r="IR57" t="e">
        <f>AND(Answers!BY184,"AAAAAB+M7fs=")</f>
        <v>#VALUE!</v>
      </c>
      <c r="IS57" t="e">
        <f>AND(Answers!BZ184,"AAAAAB+M7fw=")</f>
        <v>#VALUE!</v>
      </c>
      <c r="IT57">
        <f>IF(Answers!185:185,"AAAAAB+M7f0=",0)</f>
        <v>0</v>
      </c>
      <c r="IU57" t="e">
        <f>AND(Answers!A185,"AAAAAB+M7f4=")</f>
        <v>#VALUE!</v>
      </c>
      <c r="IV57" t="e">
        <f>AND(Answers!B185,"AAAAAB+M7f8=")</f>
        <v>#VALUE!</v>
      </c>
    </row>
    <row r="58" spans="1:256" x14ac:dyDescent="0.15">
      <c r="A58" t="e">
        <f>AND(Answers!C185,"AAAAAHfj0AA=")</f>
        <v>#VALUE!</v>
      </c>
      <c r="B58" t="e">
        <f>AND(Answers!D185,"AAAAAHfj0AE=")</f>
        <v>#VALUE!</v>
      </c>
      <c r="C58" t="e">
        <f>AND(Answers!E185,"AAAAAHfj0AI=")</f>
        <v>#VALUE!</v>
      </c>
      <c r="D58" t="e">
        <f>AND(Answers!F185,"AAAAAHfj0AM=")</f>
        <v>#VALUE!</v>
      </c>
      <c r="E58" t="e">
        <f>AND(Answers!G185,"AAAAAHfj0AQ=")</f>
        <v>#VALUE!</v>
      </c>
      <c r="F58" t="e">
        <f>AND(Answers!H185,"AAAAAHfj0AU=")</f>
        <v>#VALUE!</v>
      </c>
      <c r="G58" t="e">
        <f>AND(Answers!J185,"AAAAAHfj0AY=")</f>
        <v>#VALUE!</v>
      </c>
      <c r="H58" t="e">
        <f>AND(Answers!K185,"AAAAAHfj0Ac=")</f>
        <v>#VALUE!</v>
      </c>
      <c r="I58" t="e">
        <f>AND(Answers!L185,"AAAAAHfj0Ag=")</f>
        <v>#VALUE!</v>
      </c>
      <c r="J58" t="e">
        <f>AND(Answers!M185,"AAAAAHfj0Ak=")</f>
        <v>#VALUE!</v>
      </c>
      <c r="K58" t="e">
        <f>AND(Answers!N185,"AAAAAHfj0Ao=")</f>
        <v>#VALUE!</v>
      </c>
      <c r="L58" t="e">
        <f>AND(Answers!O185,"AAAAAHfj0As=")</f>
        <v>#VALUE!</v>
      </c>
      <c r="M58" t="e">
        <f>AND(Answers!P185,"AAAAAHfj0Aw=")</f>
        <v>#VALUE!</v>
      </c>
      <c r="N58" t="e">
        <f>AND(Answers!Q185,"AAAAAHfj0A0=")</f>
        <v>#VALUE!</v>
      </c>
      <c r="O58" t="e">
        <f>AND(Answers!R185,"AAAAAHfj0A4=")</f>
        <v>#VALUE!</v>
      </c>
      <c r="P58" t="e">
        <f>AND(Answers!S185,"AAAAAHfj0A8=")</f>
        <v>#VALUE!</v>
      </c>
      <c r="Q58" t="e">
        <f>AND(Answers!T185,"AAAAAHfj0BA=")</f>
        <v>#VALUE!</v>
      </c>
      <c r="R58" t="e">
        <f>AND(Answers!U185,"AAAAAHfj0BE=")</f>
        <v>#VALUE!</v>
      </c>
      <c r="S58" t="e">
        <f>AND(Answers!V185,"AAAAAHfj0BI=")</f>
        <v>#VALUE!</v>
      </c>
      <c r="T58" t="e">
        <f>AND(Answers!X185,"AAAAAHfj0BM=")</f>
        <v>#VALUE!</v>
      </c>
      <c r="U58" t="e">
        <f>AND(Answers!Y185,"AAAAAHfj0BQ=")</f>
        <v>#VALUE!</v>
      </c>
      <c r="V58" t="e">
        <f>AND(Answers!Z185,"AAAAAHfj0BU=")</f>
        <v>#VALUE!</v>
      </c>
      <c r="W58" t="e">
        <f>AND(Answers!AA185,"AAAAAHfj0BY=")</f>
        <v>#VALUE!</v>
      </c>
      <c r="X58" t="e">
        <f>AND(Answers!AB185,"AAAAAHfj0Bc=")</f>
        <v>#VALUE!</v>
      </c>
      <c r="Y58" t="e">
        <f>AND(Answers!AC185,"AAAAAHfj0Bg=")</f>
        <v>#VALUE!</v>
      </c>
      <c r="Z58" t="e">
        <f>AND(Answers!AD185,"AAAAAHfj0Bk=")</f>
        <v>#VALUE!</v>
      </c>
      <c r="AA58" t="e">
        <f>AND(Answers!AE185,"AAAAAHfj0Bo=")</f>
        <v>#VALUE!</v>
      </c>
      <c r="AB58" t="e">
        <f>AND(Answers!AF185,"AAAAAHfj0Bs=")</f>
        <v>#VALUE!</v>
      </c>
      <c r="AC58" t="e">
        <f>AND(Answers!AH185,"AAAAAHfj0Bw=")</f>
        <v>#VALUE!</v>
      </c>
      <c r="AD58" t="e">
        <f>AND(Answers!AI185,"AAAAAHfj0B0=")</f>
        <v>#VALUE!</v>
      </c>
      <c r="AE58" t="e">
        <f>AND(Answers!AK185,"AAAAAHfj0B4=")</f>
        <v>#VALUE!</v>
      </c>
      <c r="AF58" t="e">
        <f>AND(Answers!#REF!,"AAAAAHfj0B8=")</f>
        <v>#REF!</v>
      </c>
      <c r="AG58" t="e">
        <f>AND(Answers!AR185,"AAAAAHfj0CA=")</f>
        <v>#VALUE!</v>
      </c>
      <c r="AH58" t="e">
        <f>AND(Answers!AS185,"AAAAAHfj0CE=")</f>
        <v>#VALUE!</v>
      </c>
      <c r="AI58" t="e">
        <f>AND(Answers!AT185,"AAAAAHfj0CI=")</f>
        <v>#VALUE!</v>
      </c>
      <c r="AJ58" t="e">
        <f>AND(Answers!AU185,"AAAAAHfj0CM=")</f>
        <v>#VALUE!</v>
      </c>
      <c r="AK58" t="e">
        <f>AND(Answers!AW185,"AAAAAHfj0CQ=")</f>
        <v>#VALUE!</v>
      </c>
      <c r="AL58" t="e">
        <f>AND(Answers!AX185,"AAAAAHfj0CU=")</f>
        <v>#VALUE!</v>
      </c>
      <c r="AM58" t="e">
        <f>AND(Answers!AY185,"AAAAAHfj0CY=")</f>
        <v>#VALUE!</v>
      </c>
      <c r="AN58" t="e">
        <f>AND(Answers!AZ185,"AAAAAHfj0Cc=")</f>
        <v>#VALUE!</v>
      </c>
      <c r="AO58" t="e">
        <f>AND(Answers!BA185,"AAAAAHfj0Cg=")</f>
        <v>#VALUE!</v>
      </c>
      <c r="AP58" t="e">
        <f>AND(Answers!BB185,"AAAAAHfj0Ck=")</f>
        <v>#VALUE!</v>
      </c>
      <c r="AQ58" t="e">
        <f>AND(Answers!BC185,"AAAAAHfj0Co=")</f>
        <v>#VALUE!</v>
      </c>
      <c r="AR58" t="e">
        <f>AND(Answers!BD185,"AAAAAHfj0Cs=")</f>
        <v>#VALUE!</v>
      </c>
      <c r="AS58" t="e">
        <f>AND(Answers!BE185,"AAAAAHfj0Cw=")</f>
        <v>#VALUE!</v>
      </c>
      <c r="AT58" t="e">
        <f>AND(Answers!BF185,"AAAAAHfj0C0=")</f>
        <v>#VALUE!</v>
      </c>
      <c r="AU58" t="e">
        <f>AND(Answers!BG185,"AAAAAHfj0C4=")</f>
        <v>#VALUE!</v>
      </c>
      <c r="AV58" t="e">
        <f>AND(Answers!BH185,"AAAAAHfj0C8=")</f>
        <v>#VALUE!</v>
      </c>
      <c r="AW58" t="e">
        <f>AND(Answers!BI185,"AAAAAHfj0DA=")</f>
        <v>#VALUE!</v>
      </c>
      <c r="AX58" t="e">
        <f>AND(Answers!BK185,"AAAAAHfj0DE=")</f>
        <v>#VALUE!</v>
      </c>
      <c r="AY58" t="e">
        <f>AND(Answers!BL185,"AAAAAHfj0DI=")</f>
        <v>#VALUE!</v>
      </c>
      <c r="AZ58" t="e">
        <f>AND(Answers!BM185,"AAAAAHfj0DM=")</f>
        <v>#VALUE!</v>
      </c>
      <c r="BA58" t="e">
        <f>AND(Answers!BN185,"AAAAAHfj0DQ=")</f>
        <v>#VALUE!</v>
      </c>
      <c r="BB58" t="e">
        <f>AND(Answers!BO185,"AAAAAHfj0DU=")</f>
        <v>#VALUE!</v>
      </c>
      <c r="BC58" t="e">
        <f>AND(Answers!BP185,"AAAAAHfj0DY=")</f>
        <v>#VALUE!</v>
      </c>
      <c r="BD58" t="e">
        <f>AND(Answers!BQ185,"AAAAAHfj0Dc=")</f>
        <v>#VALUE!</v>
      </c>
      <c r="BE58" t="e">
        <f>AND(Answers!BR185,"AAAAAHfj0Dg=")</f>
        <v>#VALUE!</v>
      </c>
      <c r="BF58" t="e">
        <f>AND(Answers!BS185,"AAAAAHfj0Dk=")</f>
        <v>#VALUE!</v>
      </c>
      <c r="BG58" t="e">
        <f>AND(Answers!BU185,"AAAAAHfj0Do=")</f>
        <v>#VALUE!</v>
      </c>
      <c r="BH58" t="e">
        <f>AND(Answers!BV185,"AAAAAHfj0Ds=")</f>
        <v>#VALUE!</v>
      </c>
      <c r="BI58" t="e">
        <f>AND(Answers!#REF!,"AAAAAHfj0Dw=")</f>
        <v>#REF!</v>
      </c>
      <c r="BJ58" t="e">
        <f>AND(Answers!BW185,"AAAAAHfj0D0=")</f>
        <v>#VALUE!</v>
      </c>
      <c r="BK58" t="e">
        <f>AND(Answers!BX185,"AAAAAHfj0D4=")</f>
        <v>#VALUE!</v>
      </c>
      <c r="BL58" t="e">
        <f>AND(Answers!BY185,"AAAAAHfj0D8=")</f>
        <v>#VALUE!</v>
      </c>
      <c r="BM58" t="e">
        <f>AND(Answers!BZ185,"AAAAAHfj0EA=")</f>
        <v>#VALUE!</v>
      </c>
      <c r="BN58">
        <f>IF(Answers!186:186,"AAAAAHfj0EE=",0)</f>
        <v>0</v>
      </c>
      <c r="BO58" t="e">
        <f>AND(Answers!A186,"AAAAAHfj0EI=")</f>
        <v>#VALUE!</v>
      </c>
      <c r="BP58" t="e">
        <f>AND(Answers!B186,"AAAAAHfj0EM=")</f>
        <v>#VALUE!</v>
      </c>
      <c r="BQ58" t="e">
        <f>AND(Answers!C186,"AAAAAHfj0EQ=")</f>
        <v>#VALUE!</v>
      </c>
      <c r="BR58" t="e">
        <f>AND(Answers!D186,"AAAAAHfj0EU=")</f>
        <v>#VALUE!</v>
      </c>
      <c r="BS58" t="e">
        <f>AND(Answers!E186,"AAAAAHfj0EY=")</f>
        <v>#VALUE!</v>
      </c>
      <c r="BT58" t="e">
        <f>AND(Answers!F186,"AAAAAHfj0Ec=")</f>
        <v>#VALUE!</v>
      </c>
      <c r="BU58" t="e">
        <f>AND(Answers!G186,"AAAAAHfj0Eg=")</f>
        <v>#VALUE!</v>
      </c>
      <c r="BV58" t="e">
        <f>AND(Answers!H186,"AAAAAHfj0Ek=")</f>
        <v>#VALUE!</v>
      </c>
      <c r="BW58" t="e">
        <f>AND(Answers!J186,"AAAAAHfj0Eo=")</f>
        <v>#VALUE!</v>
      </c>
      <c r="BX58" t="e">
        <f>AND(Answers!K186,"AAAAAHfj0Es=")</f>
        <v>#VALUE!</v>
      </c>
      <c r="BY58" t="e">
        <f>AND(Answers!L186,"AAAAAHfj0Ew=")</f>
        <v>#VALUE!</v>
      </c>
      <c r="BZ58" t="e">
        <f>AND(Answers!M186,"AAAAAHfj0E0=")</f>
        <v>#VALUE!</v>
      </c>
      <c r="CA58" t="e">
        <f>AND(Answers!N186,"AAAAAHfj0E4=")</f>
        <v>#VALUE!</v>
      </c>
      <c r="CB58" t="e">
        <f>AND(Answers!O186,"AAAAAHfj0E8=")</f>
        <v>#VALUE!</v>
      </c>
      <c r="CC58" t="e">
        <f>AND(Answers!P186,"AAAAAHfj0FA=")</f>
        <v>#VALUE!</v>
      </c>
      <c r="CD58" t="e">
        <f>AND(Answers!Q186,"AAAAAHfj0FE=")</f>
        <v>#VALUE!</v>
      </c>
      <c r="CE58" t="e">
        <f>AND(Answers!R186,"AAAAAHfj0FI=")</f>
        <v>#VALUE!</v>
      </c>
      <c r="CF58" t="e">
        <f>AND(Answers!S186,"AAAAAHfj0FM=")</f>
        <v>#VALUE!</v>
      </c>
      <c r="CG58" t="e">
        <f>AND(Answers!T186,"AAAAAHfj0FQ=")</f>
        <v>#VALUE!</v>
      </c>
      <c r="CH58" t="e">
        <f>AND(Answers!U186,"AAAAAHfj0FU=")</f>
        <v>#VALUE!</v>
      </c>
      <c r="CI58" t="e">
        <f>AND(Answers!V186,"AAAAAHfj0FY=")</f>
        <v>#VALUE!</v>
      </c>
      <c r="CJ58" t="e">
        <f>AND(Answers!X186,"AAAAAHfj0Fc=")</f>
        <v>#VALUE!</v>
      </c>
      <c r="CK58" t="e">
        <f>AND(Answers!Y186,"AAAAAHfj0Fg=")</f>
        <v>#VALUE!</v>
      </c>
      <c r="CL58" t="e">
        <f>AND(Answers!Z186,"AAAAAHfj0Fk=")</f>
        <v>#VALUE!</v>
      </c>
      <c r="CM58" t="e">
        <f>AND(Answers!AA186,"AAAAAHfj0Fo=")</f>
        <v>#VALUE!</v>
      </c>
      <c r="CN58" t="e">
        <f>AND(Answers!AB186,"AAAAAHfj0Fs=")</f>
        <v>#VALUE!</v>
      </c>
      <c r="CO58" t="e">
        <f>AND(Answers!AC186,"AAAAAHfj0Fw=")</f>
        <v>#VALUE!</v>
      </c>
      <c r="CP58" t="e">
        <f>AND(Answers!AD186,"AAAAAHfj0F0=")</f>
        <v>#VALUE!</v>
      </c>
      <c r="CQ58" t="e">
        <f>AND(Answers!AE186,"AAAAAHfj0F4=")</f>
        <v>#VALUE!</v>
      </c>
      <c r="CR58" t="e">
        <f>AND(Answers!AF186,"AAAAAHfj0F8=")</f>
        <v>#VALUE!</v>
      </c>
      <c r="CS58" t="e">
        <f>AND(Answers!AH186,"AAAAAHfj0GA=")</f>
        <v>#VALUE!</v>
      </c>
      <c r="CT58" t="e">
        <f>AND(Answers!AI186,"AAAAAHfj0GE=")</f>
        <v>#VALUE!</v>
      </c>
      <c r="CU58" t="e">
        <f>AND(Answers!AK186,"AAAAAHfj0GI=")</f>
        <v>#VALUE!</v>
      </c>
      <c r="CV58" t="e">
        <f>AND(Answers!#REF!,"AAAAAHfj0GM=")</f>
        <v>#REF!</v>
      </c>
      <c r="CW58" t="e">
        <f>AND(Answers!AR186,"AAAAAHfj0GQ=")</f>
        <v>#VALUE!</v>
      </c>
      <c r="CX58" t="e">
        <f>AND(Answers!AS186,"AAAAAHfj0GU=")</f>
        <v>#VALUE!</v>
      </c>
      <c r="CY58" t="e">
        <f>AND(Answers!AT186,"AAAAAHfj0GY=")</f>
        <v>#VALUE!</v>
      </c>
      <c r="CZ58" t="e">
        <f>AND(Answers!AU186,"AAAAAHfj0Gc=")</f>
        <v>#VALUE!</v>
      </c>
      <c r="DA58" t="e">
        <f>AND(Answers!AW186,"AAAAAHfj0Gg=")</f>
        <v>#VALUE!</v>
      </c>
      <c r="DB58" t="e">
        <f>AND(Answers!AX186,"AAAAAHfj0Gk=")</f>
        <v>#VALUE!</v>
      </c>
      <c r="DC58" t="e">
        <f>AND(Answers!AY186,"AAAAAHfj0Go=")</f>
        <v>#VALUE!</v>
      </c>
      <c r="DD58" t="e">
        <f>AND(Answers!AZ186,"AAAAAHfj0Gs=")</f>
        <v>#VALUE!</v>
      </c>
      <c r="DE58" t="e">
        <f>AND(Answers!BA186,"AAAAAHfj0Gw=")</f>
        <v>#VALUE!</v>
      </c>
      <c r="DF58" t="e">
        <f>AND(Answers!BB186,"AAAAAHfj0G0=")</f>
        <v>#VALUE!</v>
      </c>
      <c r="DG58" t="e">
        <f>AND(Answers!BC186,"AAAAAHfj0G4=")</f>
        <v>#VALUE!</v>
      </c>
      <c r="DH58" t="e">
        <f>AND(Answers!BD186,"AAAAAHfj0G8=")</f>
        <v>#VALUE!</v>
      </c>
      <c r="DI58" t="e">
        <f>AND(Answers!BE186,"AAAAAHfj0HA=")</f>
        <v>#VALUE!</v>
      </c>
      <c r="DJ58" t="e">
        <f>AND(Answers!BF186,"AAAAAHfj0HE=")</f>
        <v>#VALUE!</v>
      </c>
      <c r="DK58" t="e">
        <f>AND(Answers!BG186,"AAAAAHfj0HI=")</f>
        <v>#VALUE!</v>
      </c>
      <c r="DL58" t="e">
        <f>AND(Answers!BH186,"AAAAAHfj0HM=")</f>
        <v>#VALUE!</v>
      </c>
      <c r="DM58" t="e">
        <f>AND(Answers!BI186,"AAAAAHfj0HQ=")</f>
        <v>#VALUE!</v>
      </c>
      <c r="DN58" t="e">
        <f>AND(Answers!BK186,"AAAAAHfj0HU=")</f>
        <v>#VALUE!</v>
      </c>
      <c r="DO58" t="e">
        <f>AND(Answers!BL186,"AAAAAHfj0HY=")</f>
        <v>#VALUE!</v>
      </c>
      <c r="DP58" t="e">
        <f>AND(Answers!BM186,"AAAAAHfj0Hc=")</f>
        <v>#VALUE!</v>
      </c>
      <c r="DQ58" t="e">
        <f>AND(Answers!BN186,"AAAAAHfj0Hg=")</f>
        <v>#VALUE!</v>
      </c>
      <c r="DR58" t="e">
        <f>AND(Answers!BO186,"AAAAAHfj0Hk=")</f>
        <v>#VALUE!</v>
      </c>
      <c r="DS58" t="e">
        <f>AND(Answers!BP186,"AAAAAHfj0Ho=")</f>
        <v>#VALUE!</v>
      </c>
      <c r="DT58" t="e">
        <f>AND(Answers!BQ186,"AAAAAHfj0Hs=")</f>
        <v>#VALUE!</v>
      </c>
      <c r="DU58" t="e">
        <f>AND(Answers!BR186,"AAAAAHfj0Hw=")</f>
        <v>#VALUE!</v>
      </c>
      <c r="DV58" t="e">
        <f>AND(Answers!BS186,"AAAAAHfj0H0=")</f>
        <v>#VALUE!</v>
      </c>
      <c r="DW58" t="e">
        <f>AND(Answers!BU186,"AAAAAHfj0H4=")</f>
        <v>#VALUE!</v>
      </c>
      <c r="DX58" t="e">
        <f>AND(Answers!BV186,"AAAAAHfj0H8=")</f>
        <v>#VALUE!</v>
      </c>
      <c r="DY58" t="e">
        <f>AND(Answers!#REF!,"AAAAAHfj0IA=")</f>
        <v>#REF!</v>
      </c>
      <c r="DZ58" t="e">
        <f>AND(Answers!BW186,"AAAAAHfj0IE=")</f>
        <v>#VALUE!</v>
      </c>
      <c r="EA58" t="e">
        <f>AND(Answers!BX186,"AAAAAHfj0II=")</f>
        <v>#VALUE!</v>
      </c>
      <c r="EB58" t="e">
        <f>AND(Answers!BY186,"AAAAAHfj0IM=")</f>
        <v>#VALUE!</v>
      </c>
      <c r="EC58" t="e">
        <f>AND(Answers!BZ186,"AAAAAHfj0IQ=")</f>
        <v>#VALUE!</v>
      </c>
      <c r="ED58">
        <f>IF(Answers!187:187,"AAAAAHfj0IU=",0)</f>
        <v>0</v>
      </c>
      <c r="EE58" t="e">
        <f>AND(Answers!A187,"AAAAAHfj0IY=")</f>
        <v>#VALUE!</v>
      </c>
      <c r="EF58" t="e">
        <f>AND(Answers!B187,"AAAAAHfj0Ic=")</f>
        <v>#VALUE!</v>
      </c>
      <c r="EG58" t="e">
        <f>AND(Answers!C187,"AAAAAHfj0Ig=")</f>
        <v>#VALUE!</v>
      </c>
      <c r="EH58" t="e">
        <f>AND(Answers!D187,"AAAAAHfj0Ik=")</f>
        <v>#VALUE!</v>
      </c>
      <c r="EI58" t="e">
        <f>AND(Answers!E187,"AAAAAHfj0Io=")</f>
        <v>#VALUE!</v>
      </c>
      <c r="EJ58" t="e">
        <f>AND(Answers!F187,"AAAAAHfj0Is=")</f>
        <v>#VALUE!</v>
      </c>
      <c r="EK58" t="e">
        <f>AND(Answers!G187,"AAAAAHfj0Iw=")</f>
        <v>#VALUE!</v>
      </c>
      <c r="EL58" t="e">
        <f>AND(Answers!H187,"AAAAAHfj0I0=")</f>
        <v>#VALUE!</v>
      </c>
      <c r="EM58" t="e">
        <f>AND(Answers!J187,"AAAAAHfj0I4=")</f>
        <v>#VALUE!</v>
      </c>
      <c r="EN58" t="e">
        <f>AND(Answers!K187,"AAAAAHfj0I8=")</f>
        <v>#VALUE!</v>
      </c>
      <c r="EO58" t="e">
        <f>AND(Answers!L187,"AAAAAHfj0JA=")</f>
        <v>#VALUE!</v>
      </c>
      <c r="EP58" t="e">
        <f>AND(Answers!M187,"AAAAAHfj0JE=")</f>
        <v>#VALUE!</v>
      </c>
      <c r="EQ58" t="e">
        <f>AND(Answers!N187,"AAAAAHfj0JI=")</f>
        <v>#VALUE!</v>
      </c>
      <c r="ER58" t="e">
        <f>AND(Answers!O187,"AAAAAHfj0JM=")</f>
        <v>#VALUE!</v>
      </c>
      <c r="ES58" t="e">
        <f>AND(Answers!P187,"AAAAAHfj0JQ=")</f>
        <v>#VALUE!</v>
      </c>
      <c r="ET58" t="e">
        <f>AND(Answers!Q187,"AAAAAHfj0JU=")</f>
        <v>#VALUE!</v>
      </c>
      <c r="EU58" t="e">
        <f>AND(Answers!R187,"AAAAAHfj0JY=")</f>
        <v>#VALUE!</v>
      </c>
      <c r="EV58" t="e">
        <f>AND(Answers!S187,"AAAAAHfj0Jc=")</f>
        <v>#VALUE!</v>
      </c>
      <c r="EW58" t="e">
        <f>AND(Answers!T187,"AAAAAHfj0Jg=")</f>
        <v>#VALUE!</v>
      </c>
      <c r="EX58" t="e">
        <f>AND(Answers!U187,"AAAAAHfj0Jk=")</f>
        <v>#VALUE!</v>
      </c>
      <c r="EY58" t="e">
        <f>AND(Answers!V187,"AAAAAHfj0Jo=")</f>
        <v>#VALUE!</v>
      </c>
      <c r="EZ58" t="e">
        <f>AND(Answers!X187,"AAAAAHfj0Js=")</f>
        <v>#VALUE!</v>
      </c>
      <c r="FA58" t="e">
        <f>AND(Answers!Y187,"AAAAAHfj0Jw=")</f>
        <v>#VALUE!</v>
      </c>
      <c r="FB58" t="e">
        <f>AND(Answers!Z187,"AAAAAHfj0J0=")</f>
        <v>#VALUE!</v>
      </c>
      <c r="FC58" t="e">
        <f>AND(Answers!AA187,"AAAAAHfj0J4=")</f>
        <v>#VALUE!</v>
      </c>
      <c r="FD58" t="e">
        <f>AND(Answers!AB187,"AAAAAHfj0J8=")</f>
        <v>#VALUE!</v>
      </c>
      <c r="FE58" t="e">
        <f>AND(Answers!AC187,"AAAAAHfj0KA=")</f>
        <v>#VALUE!</v>
      </c>
      <c r="FF58" t="e">
        <f>AND(Answers!AD187,"AAAAAHfj0KE=")</f>
        <v>#VALUE!</v>
      </c>
      <c r="FG58" t="e">
        <f>AND(Answers!AE187,"AAAAAHfj0KI=")</f>
        <v>#VALUE!</v>
      </c>
      <c r="FH58" t="e">
        <f>AND(Answers!AF187,"AAAAAHfj0KM=")</f>
        <v>#VALUE!</v>
      </c>
      <c r="FI58" t="e">
        <f>AND(Answers!AH187,"AAAAAHfj0KQ=")</f>
        <v>#VALUE!</v>
      </c>
      <c r="FJ58" t="e">
        <f>AND(Answers!AI187,"AAAAAHfj0KU=")</f>
        <v>#VALUE!</v>
      </c>
      <c r="FK58" t="e">
        <f>AND(Answers!AK187,"AAAAAHfj0KY=")</f>
        <v>#VALUE!</v>
      </c>
      <c r="FL58" t="e">
        <f>AND(Answers!#REF!,"AAAAAHfj0Kc=")</f>
        <v>#REF!</v>
      </c>
      <c r="FM58" t="e">
        <f>AND(Answers!AR187,"AAAAAHfj0Kg=")</f>
        <v>#VALUE!</v>
      </c>
      <c r="FN58" t="e">
        <f>AND(Answers!AS187,"AAAAAHfj0Kk=")</f>
        <v>#VALUE!</v>
      </c>
      <c r="FO58" t="e">
        <f>AND(Answers!AT187,"AAAAAHfj0Ko=")</f>
        <v>#VALUE!</v>
      </c>
      <c r="FP58" t="e">
        <f>AND(Answers!AU187,"AAAAAHfj0Ks=")</f>
        <v>#VALUE!</v>
      </c>
      <c r="FQ58" t="e">
        <f>AND(Answers!AW187,"AAAAAHfj0Kw=")</f>
        <v>#VALUE!</v>
      </c>
      <c r="FR58" t="e">
        <f>AND(Answers!AX187,"AAAAAHfj0K0=")</f>
        <v>#VALUE!</v>
      </c>
      <c r="FS58" t="e">
        <f>AND(Answers!AY187,"AAAAAHfj0K4=")</f>
        <v>#VALUE!</v>
      </c>
      <c r="FT58" t="e">
        <f>AND(Answers!AZ187,"AAAAAHfj0K8=")</f>
        <v>#VALUE!</v>
      </c>
      <c r="FU58" t="e">
        <f>AND(Answers!BA187,"AAAAAHfj0LA=")</f>
        <v>#VALUE!</v>
      </c>
      <c r="FV58" t="e">
        <f>AND(Answers!BB187,"AAAAAHfj0LE=")</f>
        <v>#VALUE!</v>
      </c>
      <c r="FW58" t="e">
        <f>AND(Answers!BC187,"AAAAAHfj0LI=")</f>
        <v>#VALUE!</v>
      </c>
      <c r="FX58" t="e">
        <f>AND(Answers!BD187,"AAAAAHfj0LM=")</f>
        <v>#VALUE!</v>
      </c>
      <c r="FY58" t="e">
        <f>AND(Answers!BE187,"AAAAAHfj0LQ=")</f>
        <v>#VALUE!</v>
      </c>
      <c r="FZ58" t="e">
        <f>AND(Answers!BF187,"AAAAAHfj0LU=")</f>
        <v>#VALUE!</v>
      </c>
      <c r="GA58" t="e">
        <f>AND(Answers!BG187,"AAAAAHfj0LY=")</f>
        <v>#VALUE!</v>
      </c>
      <c r="GB58" t="e">
        <f>AND(Answers!BH187,"AAAAAHfj0Lc=")</f>
        <v>#VALUE!</v>
      </c>
      <c r="GC58" t="e">
        <f>AND(Answers!BI187,"AAAAAHfj0Lg=")</f>
        <v>#VALUE!</v>
      </c>
      <c r="GD58" t="e">
        <f>AND(Answers!BK187,"AAAAAHfj0Lk=")</f>
        <v>#VALUE!</v>
      </c>
      <c r="GE58" t="e">
        <f>AND(Answers!BL187,"AAAAAHfj0Lo=")</f>
        <v>#VALUE!</v>
      </c>
      <c r="GF58" t="e">
        <f>AND(Answers!BM187,"AAAAAHfj0Ls=")</f>
        <v>#VALUE!</v>
      </c>
      <c r="GG58" t="e">
        <f>AND(Answers!BN187,"AAAAAHfj0Lw=")</f>
        <v>#VALUE!</v>
      </c>
      <c r="GH58" t="e">
        <f>AND(Answers!BO187,"AAAAAHfj0L0=")</f>
        <v>#VALUE!</v>
      </c>
      <c r="GI58" t="e">
        <f>AND(Answers!BP187,"AAAAAHfj0L4=")</f>
        <v>#VALUE!</v>
      </c>
      <c r="GJ58" t="e">
        <f>AND(Answers!BQ187,"AAAAAHfj0L8=")</f>
        <v>#VALUE!</v>
      </c>
      <c r="GK58" t="e">
        <f>AND(Answers!BR187,"AAAAAHfj0MA=")</f>
        <v>#VALUE!</v>
      </c>
      <c r="GL58" t="e">
        <f>AND(Answers!BS187,"AAAAAHfj0ME=")</f>
        <v>#VALUE!</v>
      </c>
      <c r="GM58" t="e">
        <f>AND(Answers!BU187,"AAAAAHfj0MI=")</f>
        <v>#VALUE!</v>
      </c>
      <c r="GN58" t="e">
        <f>AND(Answers!BV187,"AAAAAHfj0MM=")</f>
        <v>#VALUE!</v>
      </c>
      <c r="GO58" t="e">
        <f>AND(Answers!#REF!,"AAAAAHfj0MQ=")</f>
        <v>#REF!</v>
      </c>
      <c r="GP58" t="e">
        <f>AND(Answers!BW187,"AAAAAHfj0MU=")</f>
        <v>#VALUE!</v>
      </c>
      <c r="GQ58" t="e">
        <f>AND(Answers!BX187,"AAAAAHfj0MY=")</f>
        <v>#VALUE!</v>
      </c>
      <c r="GR58" t="e">
        <f>AND(Answers!BY187,"AAAAAHfj0Mc=")</f>
        <v>#VALUE!</v>
      </c>
      <c r="GS58" t="e">
        <f>AND(Answers!BZ187,"AAAAAHfj0Mg=")</f>
        <v>#VALUE!</v>
      </c>
      <c r="GT58">
        <f>IF(Answers!188:188,"AAAAAHfj0Mk=",0)</f>
        <v>0</v>
      </c>
      <c r="GU58" t="e">
        <f>AND(Answers!A188,"AAAAAHfj0Mo=")</f>
        <v>#VALUE!</v>
      </c>
      <c r="GV58" t="e">
        <f>AND(Answers!B188,"AAAAAHfj0Ms=")</f>
        <v>#VALUE!</v>
      </c>
      <c r="GW58" t="e">
        <f>AND(Answers!C188,"AAAAAHfj0Mw=")</f>
        <v>#VALUE!</v>
      </c>
      <c r="GX58" t="e">
        <f>AND(Answers!D188,"AAAAAHfj0M0=")</f>
        <v>#VALUE!</v>
      </c>
      <c r="GY58" t="e">
        <f>AND(Answers!E188,"AAAAAHfj0M4=")</f>
        <v>#VALUE!</v>
      </c>
      <c r="GZ58" t="e">
        <f>AND(Answers!F188,"AAAAAHfj0M8=")</f>
        <v>#VALUE!</v>
      </c>
      <c r="HA58" t="e">
        <f>AND(Answers!G188,"AAAAAHfj0NA=")</f>
        <v>#VALUE!</v>
      </c>
      <c r="HB58" t="e">
        <f>AND(Answers!H188,"AAAAAHfj0NE=")</f>
        <v>#VALUE!</v>
      </c>
      <c r="HC58" t="e">
        <f>AND(Answers!J188,"AAAAAHfj0NI=")</f>
        <v>#VALUE!</v>
      </c>
      <c r="HD58" t="e">
        <f>AND(Answers!K188,"AAAAAHfj0NM=")</f>
        <v>#VALUE!</v>
      </c>
      <c r="HE58" t="e">
        <f>AND(Answers!L188,"AAAAAHfj0NQ=")</f>
        <v>#VALUE!</v>
      </c>
      <c r="HF58" t="e">
        <f>AND(Answers!M188,"AAAAAHfj0NU=")</f>
        <v>#VALUE!</v>
      </c>
      <c r="HG58" t="e">
        <f>AND(Answers!N188,"AAAAAHfj0NY=")</f>
        <v>#VALUE!</v>
      </c>
      <c r="HH58" t="e">
        <f>AND(Answers!O188,"AAAAAHfj0Nc=")</f>
        <v>#VALUE!</v>
      </c>
      <c r="HI58" t="e">
        <f>AND(Answers!P188,"AAAAAHfj0Ng=")</f>
        <v>#VALUE!</v>
      </c>
      <c r="HJ58" t="e">
        <f>AND(Answers!Q188,"AAAAAHfj0Nk=")</f>
        <v>#VALUE!</v>
      </c>
      <c r="HK58" t="e">
        <f>AND(Answers!R188,"AAAAAHfj0No=")</f>
        <v>#VALUE!</v>
      </c>
      <c r="HL58" t="e">
        <f>AND(Answers!S188,"AAAAAHfj0Ns=")</f>
        <v>#VALUE!</v>
      </c>
      <c r="HM58" t="e">
        <f>AND(Answers!T188,"AAAAAHfj0Nw=")</f>
        <v>#VALUE!</v>
      </c>
      <c r="HN58" t="e">
        <f>AND(Answers!U188,"AAAAAHfj0N0=")</f>
        <v>#VALUE!</v>
      </c>
      <c r="HO58" t="e">
        <f>AND(Answers!V188,"AAAAAHfj0N4=")</f>
        <v>#VALUE!</v>
      </c>
      <c r="HP58" t="e">
        <f>AND(Answers!X188,"AAAAAHfj0N8=")</f>
        <v>#VALUE!</v>
      </c>
      <c r="HQ58" t="e">
        <f>AND(Answers!Y188,"AAAAAHfj0OA=")</f>
        <v>#VALUE!</v>
      </c>
      <c r="HR58" t="e">
        <f>AND(Answers!Z188,"AAAAAHfj0OE=")</f>
        <v>#VALUE!</v>
      </c>
      <c r="HS58" t="e">
        <f>AND(Answers!AA188,"AAAAAHfj0OI=")</f>
        <v>#VALUE!</v>
      </c>
      <c r="HT58" t="e">
        <f>AND(Answers!AB188,"AAAAAHfj0OM=")</f>
        <v>#VALUE!</v>
      </c>
      <c r="HU58" t="e">
        <f>AND(Answers!AC188,"AAAAAHfj0OQ=")</f>
        <v>#VALUE!</v>
      </c>
      <c r="HV58" t="e">
        <f>AND(Answers!AD188,"AAAAAHfj0OU=")</f>
        <v>#VALUE!</v>
      </c>
      <c r="HW58" t="e">
        <f>AND(Answers!AE188,"AAAAAHfj0OY=")</f>
        <v>#VALUE!</v>
      </c>
      <c r="HX58" t="e">
        <f>AND(Answers!AF188,"AAAAAHfj0Oc=")</f>
        <v>#VALUE!</v>
      </c>
      <c r="HY58" t="e">
        <f>AND(Answers!AH188,"AAAAAHfj0Og=")</f>
        <v>#VALUE!</v>
      </c>
      <c r="HZ58" t="e">
        <f>AND(Answers!AI188,"AAAAAHfj0Ok=")</f>
        <v>#VALUE!</v>
      </c>
      <c r="IA58" t="e">
        <f>AND(Answers!AK188,"AAAAAHfj0Oo=")</f>
        <v>#VALUE!</v>
      </c>
      <c r="IB58" t="e">
        <f>AND(Answers!#REF!,"AAAAAHfj0Os=")</f>
        <v>#REF!</v>
      </c>
      <c r="IC58" t="e">
        <f>AND(Answers!AR188,"AAAAAHfj0Ow=")</f>
        <v>#VALUE!</v>
      </c>
      <c r="ID58" t="e">
        <f>AND(Answers!AS188,"AAAAAHfj0O0=")</f>
        <v>#VALUE!</v>
      </c>
      <c r="IE58" t="e">
        <f>AND(Answers!AT188,"AAAAAHfj0O4=")</f>
        <v>#VALUE!</v>
      </c>
      <c r="IF58" t="e">
        <f>AND(Answers!AU188,"AAAAAHfj0O8=")</f>
        <v>#VALUE!</v>
      </c>
      <c r="IG58" t="e">
        <f>AND(Answers!AW188,"AAAAAHfj0PA=")</f>
        <v>#VALUE!</v>
      </c>
      <c r="IH58" t="e">
        <f>AND(Answers!AX188,"AAAAAHfj0PE=")</f>
        <v>#VALUE!</v>
      </c>
      <c r="II58" t="e">
        <f>AND(Answers!AY188,"AAAAAHfj0PI=")</f>
        <v>#VALUE!</v>
      </c>
      <c r="IJ58" t="e">
        <f>AND(Answers!AZ188,"AAAAAHfj0PM=")</f>
        <v>#VALUE!</v>
      </c>
      <c r="IK58" t="e">
        <f>AND(Answers!BA188,"AAAAAHfj0PQ=")</f>
        <v>#VALUE!</v>
      </c>
      <c r="IL58" t="e">
        <f>AND(Answers!BB188,"AAAAAHfj0PU=")</f>
        <v>#VALUE!</v>
      </c>
      <c r="IM58" t="e">
        <f>AND(Answers!BC188,"AAAAAHfj0PY=")</f>
        <v>#VALUE!</v>
      </c>
      <c r="IN58" t="e">
        <f>AND(Answers!BD188,"AAAAAHfj0Pc=")</f>
        <v>#VALUE!</v>
      </c>
      <c r="IO58" t="e">
        <f>AND(Answers!BE188,"AAAAAHfj0Pg=")</f>
        <v>#VALUE!</v>
      </c>
      <c r="IP58" t="e">
        <f>AND(Answers!BF188,"AAAAAHfj0Pk=")</f>
        <v>#VALUE!</v>
      </c>
      <c r="IQ58" t="e">
        <f>AND(Answers!BG188,"AAAAAHfj0Po=")</f>
        <v>#VALUE!</v>
      </c>
      <c r="IR58" t="e">
        <f>AND(Answers!BH188,"AAAAAHfj0Ps=")</f>
        <v>#VALUE!</v>
      </c>
      <c r="IS58" t="e">
        <f>AND(Answers!BI188,"AAAAAHfj0Pw=")</f>
        <v>#VALUE!</v>
      </c>
      <c r="IT58" t="e">
        <f>AND(Answers!BK188,"AAAAAHfj0P0=")</f>
        <v>#VALUE!</v>
      </c>
      <c r="IU58" t="e">
        <f>AND(Answers!BL188,"AAAAAHfj0P4=")</f>
        <v>#VALUE!</v>
      </c>
      <c r="IV58" t="e">
        <f>AND(Answers!BM188,"AAAAAHfj0P8=")</f>
        <v>#VALUE!</v>
      </c>
    </row>
    <row r="59" spans="1:256" x14ac:dyDescent="0.15">
      <c r="A59" t="e">
        <f>AND(Answers!BN188,"AAAAADkl7wA=")</f>
        <v>#VALUE!</v>
      </c>
      <c r="B59" t="e">
        <f>AND(Answers!BO188,"AAAAADkl7wE=")</f>
        <v>#VALUE!</v>
      </c>
      <c r="C59" t="e">
        <f>AND(Answers!BP188,"AAAAADkl7wI=")</f>
        <v>#VALUE!</v>
      </c>
      <c r="D59" t="e">
        <f>AND(Answers!BQ188,"AAAAADkl7wM=")</f>
        <v>#VALUE!</v>
      </c>
      <c r="E59" t="e">
        <f>AND(Answers!BR188,"AAAAADkl7wQ=")</f>
        <v>#VALUE!</v>
      </c>
      <c r="F59" t="e">
        <f>AND(Answers!BS188,"AAAAADkl7wU=")</f>
        <v>#VALUE!</v>
      </c>
      <c r="G59" t="e">
        <f>AND(Answers!BU188,"AAAAADkl7wY=")</f>
        <v>#VALUE!</v>
      </c>
      <c r="H59" t="e">
        <f>AND(Answers!BV188,"AAAAADkl7wc=")</f>
        <v>#VALUE!</v>
      </c>
      <c r="I59" t="e">
        <f>AND(Answers!#REF!,"AAAAADkl7wg=")</f>
        <v>#REF!</v>
      </c>
      <c r="J59" t="e">
        <f>AND(Answers!BW188,"AAAAADkl7wk=")</f>
        <v>#VALUE!</v>
      </c>
      <c r="K59" t="e">
        <f>AND(Answers!BX188,"AAAAADkl7wo=")</f>
        <v>#VALUE!</v>
      </c>
      <c r="L59" t="e">
        <f>AND(Answers!BY188,"AAAAADkl7ws=")</f>
        <v>#VALUE!</v>
      </c>
      <c r="M59" t="e">
        <f>AND(Answers!BZ188,"AAAAADkl7ww=")</f>
        <v>#VALUE!</v>
      </c>
      <c r="N59">
        <f>IF(Answers!189:189,"AAAAADkl7w0=",0)</f>
        <v>0</v>
      </c>
      <c r="O59" t="e">
        <f>AND(Answers!A189,"AAAAADkl7w4=")</f>
        <v>#VALUE!</v>
      </c>
      <c r="P59" t="e">
        <f>AND(Answers!B189,"AAAAADkl7w8=")</f>
        <v>#VALUE!</v>
      </c>
      <c r="Q59" t="e">
        <f>AND(Answers!C189,"AAAAADkl7xA=")</f>
        <v>#VALUE!</v>
      </c>
      <c r="R59" t="e">
        <f>AND(Answers!D189,"AAAAADkl7xE=")</f>
        <v>#VALUE!</v>
      </c>
      <c r="S59" t="e">
        <f>AND(Answers!E189,"AAAAADkl7xI=")</f>
        <v>#VALUE!</v>
      </c>
      <c r="T59" t="e">
        <f>AND(Answers!F189,"AAAAADkl7xM=")</f>
        <v>#VALUE!</v>
      </c>
      <c r="U59" t="e">
        <f>AND(Answers!G189,"AAAAADkl7xQ=")</f>
        <v>#VALUE!</v>
      </c>
      <c r="V59" t="e">
        <f>AND(Answers!H189,"AAAAADkl7xU=")</f>
        <v>#VALUE!</v>
      </c>
      <c r="W59" t="e">
        <f>AND(Answers!J189,"AAAAADkl7xY=")</f>
        <v>#VALUE!</v>
      </c>
      <c r="X59" t="e">
        <f>AND(Answers!K189,"AAAAADkl7xc=")</f>
        <v>#VALUE!</v>
      </c>
      <c r="Y59" t="e">
        <f>AND(Answers!L189,"AAAAADkl7xg=")</f>
        <v>#VALUE!</v>
      </c>
      <c r="Z59" t="e">
        <f>AND(Answers!M189,"AAAAADkl7xk=")</f>
        <v>#VALUE!</v>
      </c>
      <c r="AA59" t="e">
        <f>AND(Answers!N189,"AAAAADkl7xo=")</f>
        <v>#VALUE!</v>
      </c>
      <c r="AB59" t="e">
        <f>AND(Answers!O189,"AAAAADkl7xs=")</f>
        <v>#VALUE!</v>
      </c>
      <c r="AC59" t="e">
        <f>AND(Answers!P189,"AAAAADkl7xw=")</f>
        <v>#VALUE!</v>
      </c>
      <c r="AD59" t="e">
        <f>AND(Answers!Q189,"AAAAADkl7x0=")</f>
        <v>#VALUE!</v>
      </c>
      <c r="AE59" t="e">
        <f>AND(Answers!R189,"AAAAADkl7x4=")</f>
        <v>#VALUE!</v>
      </c>
      <c r="AF59" t="e">
        <f>AND(Answers!S189,"AAAAADkl7x8=")</f>
        <v>#VALUE!</v>
      </c>
      <c r="AG59" t="e">
        <f>AND(Answers!T189,"AAAAADkl7yA=")</f>
        <v>#VALUE!</v>
      </c>
      <c r="AH59" t="e">
        <f>AND(Answers!U189,"AAAAADkl7yE=")</f>
        <v>#VALUE!</v>
      </c>
      <c r="AI59" t="e">
        <f>AND(Answers!V189,"AAAAADkl7yI=")</f>
        <v>#VALUE!</v>
      </c>
      <c r="AJ59" t="e">
        <f>AND(Answers!X189,"AAAAADkl7yM=")</f>
        <v>#VALUE!</v>
      </c>
      <c r="AK59" t="e">
        <f>AND(Answers!Y189,"AAAAADkl7yQ=")</f>
        <v>#VALUE!</v>
      </c>
      <c r="AL59" t="e">
        <f>AND(Answers!Z189,"AAAAADkl7yU=")</f>
        <v>#VALUE!</v>
      </c>
      <c r="AM59" t="e">
        <f>AND(Answers!AA189,"AAAAADkl7yY=")</f>
        <v>#VALUE!</v>
      </c>
      <c r="AN59" t="e">
        <f>AND(Answers!AB189,"AAAAADkl7yc=")</f>
        <v>#VALUE!</v>
      </c>
      <c r="AO59" t="e">
        <f>AND(Answers!AC189,"AAAAADkl7yg=")</f>
        <v>#VALUE!</v>
      </c>
      <c r="AP59" t="e">
        <f>AND(Answers!AD189,"AAAAADkl7yk=")</f>
        <v>#VALUE!</v>
      </c>
      <c r="AQ59" t="e">
        <f>AND(Answers!AE189,"AAAAADkl7yo=")</f>
        <v>#VALUE!</v>
      </c>
      <c r="AR59" t="e">
        <f>AND(Answers!AF189,"AAAAADkl7ys=")</f>
        <v>#VALUE!</v>
      </c>
      <c r="AS59" t="e">
        <f>AND(Answers!AH189,"AAAAADkl7yw=")</f>
        <v>#VALUE!</v>
      </c>
      <c r="AT59" t="e">
        <f>AND(Answers!AI189,"AAAAADkl7y0=")</f>
        <v>#VALUE!</v>
      </c>
      <c r="AU59" t="e">
        <f>AND(Answers!AK189,"AAAAADkl7y4=")</f>
        <v>#VALUE!</v>
      </c>
      <c r="AV59" t="e">
        <f>AND(Answers!#REF!,"AAAAADkl7y8=")</f>
        <v>#REF!</v>
      </c>
      <c r="AW59" t="e">
        <f>AND(Answers!AR189,"AAAAADkl7zA=")</f>
        <v>#VALUE!</v>
      </c>
      <c r="AX59" t="e">
        <f>AND(Answers!AS189,"AAAAADkl7zE=")</f>
        <v>#VALUE!</v>
      </c>
      <c r="AY59" t="e">
        <f>AND(Answers!AT189,"AAAAADkl7zI=")</f>
        <v>#VALUE!</v>
      </c>
      <c r="AZ59" t="e">
        <f>AND(Answers!AU189,"AAAAADkl7zM=")</f>
        <v>#VALUE!</v>
      </c>
      <c r="BA59" t="e">
        <f>AND(Answers!AW189,"AAAAADkl7zQ=")</f>
        <v>#VALUE!</v>
      </c>
      <c r="BB59" t="e">
        <f>AND(Answers!AX189,"AAAAADkl7zU=")</f>
        <v>#VALUE!</v>
      </c>
      <c r="BC59" t="e">
        <f>AND(Answers!AY189,"AAAAADkl7zY=")</f>
        <v>#VALUE!</v>
      </c>
      <c r="BD59" t="e">
        <f>AND(Answers!AZ189,"AAAAADkl7zc=")</f>
        <v>#VALUE!</v>
      </c>
      <c r="BE59" t="e">
        <f>AND(Answers!BA189,"AAAAADkl7zg=")</f>
        <v>#VALUE!</v>
      </c>
      <c r="BF59" t="e">
        <f>AND(Answers!BB189,"AAAAADkl7zk=")</f>
        <v>#VALUE!</v>
      </c>
      <c r="BG59" t="e">
        <f>AND(Answers!BC189,"AAAAADkl7zo=")</f>
        <v>#VALUE!</v>
      </c>
      <c r="BH59" t="e">
        <f>AND(Answers!BD189,"AAAAADkl7zs=")</f>
        <v>#VALUE!</v>
      </c>
      <c r="BI59" t="e">
        <f>AND(Answers!BE189,"AAAAADkl7zw=")</f>
        <v>#VALUE!</v>
      </c>
      <c r="BJ59" t="e">
        <f>AND(Answers!BF189,"AAAAADkl7z0=")</f>
        <v>#VALUE!</v>
      </c>
      <c r="BK59" t="e">
        <f>AND(Answers!BG189,"AAAAADkl7z4=")</f>
        <v>#VALUE!</v>
      </c>
      <c r="BL59" t="e">
        <f>AND(Answers!BH189,"AAAAADkl7z8=")</f>
        <v>#VALUE!</v>
      </c>
      <c r="BM59" t="e">
        <f>AND(Answers!BI189,"AAAAADkl70A=")</f>
        <v>#VALUE!</v>
      </c>
      <c r="BN59" t="e">
        <f>AND(Answers!BK189,"AAAAADkl70E=")</f>
        <v>#VALUE!</v>
      </c>
      <c r="BO59" t="e">
        <f>AND(Answers!BL189,"AAAAADkl70I=")</f>
        <v>#VALUE!</v>
      </c>
      <c r="BP59" t="e">
        <f>AND(Answers!BM189,"AAAAADkl70M=")</f>
        <v>#VALUE!</v>
      </c>
      <c r="BQ59" t="e">
        <f>AND(Answers!BN189,"AAAAADkl70Q=")</f>
        <v>#VALUE!</v>
      </c>
      <c r="BR59" t="e">
        <f>AND(Answers!BO189,"AAAAADkl70U=")</f>
        <v>#VALUE!</v>
      </c>
      <c r="BS59" t="e">
        <f>AND(Answers!BP189,"AAAAADkl70Y=")</f>
        <v>#VALUE!</v>
      </c>
      <c r="BT59" t="e">
        <f>AND(Answers!BQ189,"AAAAADkl70c=")</f>
        <v>#VALUE!</v>
      </c>
      <c r="BU59" t="e">
        <f>AND(Answers!BR189,"AAAAADkl70g=")</f>
        <v>#VALUE!</v>
      </c>
      <c r="BV59" t="e">
        <f>AND(Answers!BS189,"AAAAADkl70k=")</f>
        <v>#VALUE!</v>
      </c>
      <c r="BW59" t="e">
        <f>AND(Answers!BU189,"AAAAADkl70o=")</f>
        <v>#VALUE!</v>
      </c>
      <c r="BX59" t="e">
        <f>AND(Answers!BV189,"AAAAADkl70s=")</f>
        <v>#VALUE!</v>
      </c>
      <c r="BY59" t="e">
        <f>AND(Answers!#REF!,"AAAAADkl70w=")</f>
        <v>#REF!</v>
      </c>
      <c r="BZ59" t="e">
        <f>AND(Answers!BW189,"AAAAADkl700=")</f>
        <v>#VALUE!</v>
      </c>
      <c r="CA59" t="e">
        <f>AND(Answers!BX189,"AAAAADkl704=")</f>
        <v>#VALUE!</v>
      </c>
      <c r="CB59" t="e">
        <f>AND(Answers!BY189,"AAAAADkl708=")</f>
        <v>#VALUE!</v>
      </c>
      <c r="CC59" t="e">
        <f>AND(Answers!BZ189,"AAAAADkl71A=")</f>
        <v>#VALUE!</v>
      </c>
      <c r="CD59">
        <f>IF(Answers!190:190,"AAAAADkl71E=",0)</f>
        <v>0</v>
      </c>
      <c r="CE59" t="e">
        <f>AND(Answers!A190,"AAAAADkl71I=")</f>
        <v>#VALUE!</v>
      </c>
      <c r="CF59" t="e">
        <f>AND(Answers!B190,"AAAAADkl71M=")</f>
        <v>#VALUE!</v>
      </c>
      <c r="CG59" t="e">
        <f>AND(Answers!C190,"AAAAADkl71Q=")</f>
        <v>#VALUE!</v>
      </c>
      <c r="CH59" t="e">
        <f>AND(Answers!D190,"AAAAADkl71U=")</f>
        <v>#VALUE!</v>
      </c>
      <c r="CI59" t="e">
        <f>AND(Answers!E190,"AAAAADkl71Y=")</f>
        <v>#VALUE!</v>
      </c>
      <c r="CJ59" t="e">
        <f>AND(Answers!F190,"AAAAADkl71c=")</f>
        <v>#VALUE!</v>
      </c>
      <c r="CK59" t="e">
        <f>AND(Answers!G190,"AAAAADkl71g=")</f>
        <v>#VALUE!</v>
      </c>
      <c r="CL59" t="e">
        <f>AND(Answers!H190,"AAAAADkl71k=")</f>
        <v>#VALUE!</v>
      </c>
      <c r="CM59" t="e">
        <f>AND(Answers!J190,"AAAAADkl71o=")</f>
        <v>#VALUE!</v>
      </c>
      <c r="CN59" t="e">
        <f>AND(Answers!K190,"AAAAADkl71s=")</f>
        <v>#VALUE!</v>
      </c>
      <c r="CO59" t="e">
        <f>AND(Answers!L190,"AAAAADkl71w=")</f>
        <v>#VALUE!</v>
      </c>
      <c r="CP59" t="e">
        <f>AND(Answers!M190,"AAAAADkl710=")</f>
        <v>#VALUE!</v>
      </c>
      <c r="CQ59" t="e">
        <f>AND(Answers!N190,"AAAAADkl714=")</f>
        <v>#VALUE!</v>
      </c>
      <c r="CR59" t="e">
        <f>AND(Answers!O190,"AAAAADkl718=")</f>
        <v>#VALUE!</v>
      </c>
      <c r="CS59" t="e">
        <f>AND(Answers!P190,"AAAAADkl72A=")</f>
        <v>#VALUE!</v>
      </c>
      <c r="CT59" t="e">
        <f>AND(Answers!Q190,"AAAAADkl72E=")</f>
        <v>#VALUE!</v>
      </c>
      <c r="CU59" t="e">
        <f>AND(Answers!R190,"AAAAADkl72I=")</f>
        <v>#VALUE!</v>
      </c>
      <c r="CV59" t="e">
        <f>AND(Answers!S190,"AAAAADkl72M=")</f>
        <v>#VALUE!</v>
      </c>
      <c r="CW59" t="e">
        <f>AND(Answers!T190,"AAAAADkl72Q=")</f>
        <v>#VALUE!</v>
      </c>
      <c r="CX59" t="e">
        <f>AND(Answers!U190,"AAAAADkl72U=")</f>
        <v>#VALUE!</v>
      </c>
      <c r="CY59" t="e">
        <f>AND(Answers!V190,"AAAAADkl72Y=")</f>
        <v>#VALUE!</v>
      </c>
      <c r="CZ59" t="e">
        <f>AND(Answers!X190,"AAAAADkl72c=")</f>
        <v>#VALUE!</v>
      </c>
      <c r="DA59" t="e">
        <f>AND(Answers!Y190,"AAAAADkl72g=")</f>
        <v>#VALUE!</v>
      </c>
      <c r="DB59" t="e">
        <f>AND(Answers!Z190,"AAAAADkl72k=")</f>
        <v>#VALUE!</v>
      </c>
      <c r="DC59" t="e">
        <f>AND(Answers!AA190,"AAAAADkl72o=")</f>
        <v>#VALUE!</v>
      </c>
      <c r="DD59" t="e">
        <f>AND(Answers!AB190,"AAAAADkl72s=")</f>
        <v>#VALUE!</v>
      </c>
      <c r="DE59" t="e">
        <f>AND(Answers!AC190,"AAAAADkl72w=")</f>
        <v>#VALUE!</v>
      </c>
      <c r="DF59" t="e">
        <f>AND(Answers!AD190,"AAAAADkl720=")</f>
        <v>#VALUE!</v>
      </c>
      <c r="DG59" t="e">
        <f>AND(Answers!AE190,"AAAAADkl724=")</f>
        <v>#VALUE!</v>
      </c>
      <c r="DH59" t="e">
        <f>AND(Answers!AF190,"AAAAADkl728=")</f>
        <v>#VALUE!</v>
      </c>
      <c r="DI59" t="e">
        <f>AND(Answers!AH190,"AAAAADkl73A=")</f>
        <v>#VALUE!</v>
      </c>
      <c r="DJ59" t="e">
        <f>AND(Answers!AI190,"AAAAADkl73E=")</f>
        <v>#VALUE!</v>
      </c>
      <c r="DK59" t="e">
        <f>AND(Answers!AK190,"AAAAADkl73I=")</f>
        <v>#VALUE!</v>
      </c>
      <c r="DL59" t="e">
        <f>AND(Answers!#REF!,"AAAAADkl73M=")</f>
        <v>#REF!</v>
      </c>
      <c r="DM59" t="e">
        <f>AND(Answers!AR190,"AAAAADkl73Q=")</f>
        <v>#VALUE!</v>
      </c>
      <c r="DN59" t="e">
        <f>AND(Answers!AS190,"AAAAADkl73U=")</f>
        <v>#VALUE!</v>
      </c>
      <c r="DO59" t="e">
        <f>AND(Answers!AT190,"AAAAADkl73Y=")</f>
        <v>#VALUE!</v>
      </c>
      <c r="DP59" t="e">
        <f>AND(Answers!AU190,"AAAAADkl73c=")</f>
        <v>#VALUE!</v>
      </c>
      <c r="DQ59" t="e">
        <f>AND(Answers!AW190,"AAAAADkl73g=")</f>
        <v>#VALUE!</v>
      </c>
      <c r="DR59" t="e">
        <f>AND(Answers!AX190,"AAAAADkl73k=")</f>
        <v>#VALUE!</v>
      </c>
      <c r="DS59" t="e">
        <f>AND(Answers!AY190,"AAAAADkl73o=")</f>
        <v>#VALUE!</v>
      </c>
      <c r="DT59" t="e">
        <f>AND(Answers!AZ190,"AAAAADkl73s=")</f>
        <v>#VALUE!</v>
      </c>
      <c r="DU59" t="e">
        <f>AND(Answers!BA190,"AAAAADkl73w=")</f>
        <v>#VALUE!</v>
      </c>
      <c r="DV59" t="e">
        <f>AND(Answers!BB190,"AAAAADkl730=")</f>
        <v>#VALUE!</v>
      </c>
      <c r="DW59" t="e">
        <f>AND(Answers!BC190,"AAAAADkl734=")</f>
        <v>#VALUE!</v>
      </c>
      <c r="DX59" t="e">
        <f>AND(Answers!BD190,"AAAAADkl738=")</f>
        <v>#VALUE!</v>
      </c>
      <c r="DY59" t="e">
        <f>AND(Answers!BE190,"AAAAADkl74A=")</f>
        <v>#VALUE!</v>
      </c>
      <c r="DZ59" t="e">
        <f>AND(Answers!BF190,"AAAAADkl74E=")</f>
        <v>#VALUE!</v>
      </c>
      <c r="EA59" t="e">
        <f>AND(Answers!BG190,"AAAAADkl74I=")</f>
        <v>#VALUE!</v>
      </c>
      <c r="EB59" t="e">
        <f>AND(Answers!BH190,"AAAAADkl74M=")</f>
        <v>#VALUE!</v>
      </c>
      <c r="EC59" t="e">
        <f>AND(Answers!BI190,"AAAAADkl74Q=")</f>
        <v>#VALUE!</v>
      </c>
      <c r="ED59" t="e">
        <f>AND(Answers!BK190,"AAAAADkl74U=")</f>
        <v>#VALUE!</v>
      </c>
      <c r="EE59" t="e">
        <f>AND(Answers!BL190,"AAAAADkl74Y=")</f>
        <v>#VALUE!</v>
      </c>
      <c r="EF59" t="e">
        <f>AND(Answers!BM190,"AAAAADkl74c=")</f>
        <v>#VALUE!</v>
      </c>
      <c r="EG59" t="e">
        <f>AND(Answers!BN190,"AAAAADkl74g=")</f>
        <v>#VALUE!</v>
      </c>
      <c r="EH59" t="e">
        <f>AND(Answers!BO190,"AAAAADkl74k=")</f>
        <v>#VALUE!</v>
      </c>
      <c r="EI59" t="e">
        <f>AND(Answers!BP190,"AAAAADkl74o=")</f>
        <v>#VALUE!</v>
      </c>
      <c r="EJ59" t="e">
        <f>AND(Answers!BQ190,"AAAAADkl74s=")</f>
        <v>#VALUE!</v>
      </c>
      <c r="EK59" t="e">
        <f>AND(Answers!BR190,"AAAAADkl74w=")</f>
        <v>#VALUE!</v>
      </c>
      <c r="EL59" t="e">
        <f>AND(Answers!BS190,"AAAAADkl740=")</f>
        <v>#VALUE!</v>
      </c>
      <c r="EM59" t="e">
        <f>AND(Answers!BU190,"AAAAADkl744=")</f>
        <v>#VALUE!</v>
      </c>
      <c r="EN59" t="e">
        <f>AND(Answers!BV190,"AAAAADkl748=")</f>
        <v>#VALUE!</v>
      </c>
      <c r="EO59" t="e">
        <f>AND(Answers!#REF!,"AAAAADkl75A=")</f>
        <v>#REF!</v>
      </c>
      <c r="EP59" t="e">
        <f>AND(Answers!BW190,"AAAAADkl75E=")</f>
        <v>#VALUE!</v>
      </c>
      <c r="EQ59" t="e">
        <f>AND(Answers!BX190,"AAAAADkl75I=")</f>
        <v>#VALUE!</v>
      </c>
      <c r="ER59" t="e">
        <f>AND(Answers!BY190,"AAAAADkl75M=")</f>
        <v>#VALUE!</v>
      </c>
      <c r="ES59" t="e">
        <f>AND(Answers!BZ190,"AAAAADkl75Q=")</f>
        <v>#VALUE!</v>
      </c>
      <c r="ET59">
        <f>IF(Answers!191:191,"AAAAADkl75U=",0)</f>
        <v>0</v>
      </c>
      <c r="EU59" t="e">
        <f>AND(Answers!A191,"AAAAADkl75Y=")</f>
        <v>#VALUE!</v>
      </c>
      <c r="EV59" t="e">
        <f>AND(Answers!B191,"AAAAADkl75c=")</f>
        <v>#VALUE!</v>
      </c>
      <c r="EW59" t="e">
        <f>AND(Answers!C191,"AAAAADkl75g=")</f>
        <v>#VALUE!</v>
      </c>
      <c r="EX59" t="e">
        <f>AND(Answers!D191,"AAAAADkl75k=")</f>
        <v>#VALUE!</v>
      </c>
      <c r="EY59" t="e">
        <f>AND(Answers!E191,"AAAAADkl75o=")</f>
        <v>#VALUE!</v>
      </c>
      <c r="EZ59" t="e">
        <f>AND(Answers!F191,"AAAAADkl75s=")</f>
        <v>#VALUE!</v>
      </c>
      <c r="FA59" t="e">
        <f>AND(Answers!G191,"AAAAADkl75w=")</f>
        <v>#VALUE!</v>
      </c>
      <c r="FB59" t="e">
        <f>AND(Answers!H191,"AAAAADkl750=")</f>
        <v>#VALUE!</v>
      </c>
      <c r="FC59" t="e">
        <f>AND(Answers!J191,"AAAAADkl754=")</f>
        <v>#VALUE!</v>
      </c>
      <c r="FD59" t="e">
        <f>AND(Answers!K191,"AAAAADkl758=")</f>
        <v>#VALUE!</v>
      </c>
      <c r="FE59" t="e">
        <f>AND(Answers!L191,"AAAAADkl76A=")</f>
        <v>#VALUE!</v>
      </c>
      <c r="FF59" t="e">
        <f>AND(Answers!M191,"AAAAADkl76E=")</f>
        <v>#VALUE!</v>
      </c>
      <c r="FG59" t="e">
        <f>AND(Answers!N191,"AAAAADkl76I=")</f>
        <v>#VALUE!</v>
      </c>
      <c r="FH59" t="e">
        <f>AND(Answers!O191,"AAAAADkl76M=")</f>
        <v>#VALUE!</v>
      </c>
      <c r="FI59" t="e">
        <f>AND(Answers!P191,"AAAAADkl76Q=")</f>
        <v>#VALUE!</v>
      </c>
      <c r="FJ59" t="e">
        <f>AND(Answers!Q191,"AAAAADkl76U=")</f>
        <v>#VALUE!</v>
      </c>
      <c r="FK59" t="e">
        <f>AND(Answers!R191,"AAAAADkl76Y=")</f>
        <v>#VALUE!</v>
      </c>
      <c r="FL59" t="e">
        <f>AND(Answers!S191,"AAAAADkl76c=")</f>
        <v>#VALUE!</v>
      </c>
      <c r="FM59" t="e">
        <f>AND(Answers!T191,"AAAAADkl76g=")</f>
        <v>#VALUE!</v>
      </c>
      <c r="FN59" t="e">
        <f>AND(Answers!U191,"AAAAADkl76k=")</f>
        <v>#VALUE!</v>
      </c>
      <c r="FO59" t="e">
        <f>AND(Answers!V191,"AAAAADkl76o=")</f>
        <v>#VALUE!</v>
      </c>
      <c r="FP59" t="e">
        <f>AND(Answers!X191,"AAAAADkl76s=")</f>
        <v>#VALUE!</v>
      </c>
      <c r="FQ59" t="e">
        <f>AND(Answers!Y191,"AAAAADkl76w=")</f>
        <v>#VALUE!</v>
      </c>
      <c r="FR59" t="e">
        <f>AND(Answers!Z191,"AAAAADkl760=")</f>
        <v>#VALUE!</v>
      </c>
      <c r="FS59" t="e">
        <f>AND(Answers!AA191,"AAAAADkl764=")</f>
        <v>#VALUE!</v>
      </c>
      <c r="FT59" t="e">
        <f>AND(Answers!AB191,"AAAAADkl768=")</f>
        <v>#VALUE!</v>
      </c>
      <c r="FU59" t="e">
        <f>AND(Answers!AC191,"AAAAADkl77A=")</f>
        <v>#VALUE!</v>
      </c>
      <c r="FV59" t="e">
        <f>AND(Answers!AD191,"AAAAADkl77E=")</f>
        <v>#VALUE!</v>
      </c>
      <c r="FW59" t="e">
        <f>AND(Answers!AE191,"AAAAADkl77I=")</f>
        <v>#VALUE!</v>
      </c>
      <c r="FX59" t="e">
        <f>AND(Answers!AF191,"AAAAADkl77M=")</f>
        <v>#VALUE!</v>
      </c>
      <c r="FY59" t="e">
        <f>AND(Answers!AH191,"AAAAADkl77Q=")</f>
        <v>#VALUE!</v>
      </c>
      <c r="FZ59" t="e">
        <f>AND(Answers!AI191,"AAAAADkl77U=")</f>
        <v>#VALUE!</v>
      </c>
      <c r="GA59" t="e">
        <f>AND(Answers!AK191,"AAAAADkl77Y=")</f>
        <v>#VALUE!</v>
      </c>
      <c r="GB59" t="e">
        <f>AND(Answers!#REF!,"AAAAADkl77c=")</f>
        <v>#REF!</v>
      </c>
      <c r="GC59" t="e">
        <f>AND(Answers!AR191,"AAAAADkl77g=")</f>
        <v>#VALUE!</v>
      </c>
      <c r="GD59" t="e">
        <f>AND(Answers!AS191,"AAAAADkl77k=")</f>
        <v>#VALUE!</v>
      </c>
      <c r="GE59" t="e">
        <f>AND(Answers!AT191,"AAAAADkl77o=")</f>
        <v>#VALUE!</v>
      </c>
      <c r="GF59" t="e">
        <f>AND(Answers!AU191,"AAAAADkl77s=")</f>
        <v>#VALUE!</v>
      </c>
      <c r="GG59" t="e">
        <f>AND(Answers!AW191,"AAAAADkl77w=")</f>
        <v>#VALUE!</v>
      </c>
      <c r="GH59" t="e">
        <f>AND(Answers!AX191,"AAAAADkl770=")</f>
        <v>#VALUE!</v>
      </c>
      <c r="GI59" t="e">
        <f>AND(Answers!AY191,"AAAAADkl774=")</f>
        <v>#VALUE!</v>
      </c>
      <c r="GJ59" t="e">
        <f>AND(Answers!AZ191,"AAAAADkl778=")</f>
        <v>#VALUE!</v>
      </c>
      <c r="GK59" t="e">
        <f>AND(Answers!BA191,"AAAAADkl78A=")</f>
        <v>#VALUE!</v>
      </c>
      <c r="GL59" t="e">
        <f>AND(Answers!BB191,"AAAAADkl78E=")</f>
        <v>#VALUE!</v>
      </c>
      <c r="GM59" t="e">
        <f>AND(Answers!BC191,"AAAAADkl78I=")</f>
        <v>#VALUE!</v>
      </c>
      <c r="GN59" t="e">
        <f>AND(Answers!BD191,"AAAAADkl78M=")</f>
        <v>#VALUE!</v>
      </c>
      <c r="GO59" t="e">
        <f>AND(Answers!BE191,"AAAAADkl78Q=")</f>
        <v>#VALUE!</v>
      </c>
      <c r="GP59" t="e">
        <f>AND(Answers!BF191,"AAAAADkl78U=")</f>
        <v>#VALUE!</v>
      </c>
      <c r="GQ59" t="e">
        <f>AND(Answers!BG191,"AAAAADkl78Y=")</f>
        <v>#VALUE!</v>
      </c>
      <c r="GR59" t="e">
        <f>AND(Answers!BH191,"AAAAADkl78c=")</f>
        <v>#VALUE!</v>
      </c>
      <c r="GS59" t="e">
        <f>AND(Answers!BI191,"AAAAADkl78g=")</f>
        <v>#VALUE!</v>
      </c>
      <c r="GT59" t="e">
        <f>AND(Answers!BK191,"AAAAADkl78k=")</f>
        <v>#VALUE!</v>
      </c>
      <c r="GU59" t="e">
        <f>AND(Answers!BL191,"AAAAADkl78o=")</f>
        <v>#VALUE!</v>
      </c>
      <c r="GV59" t="e">
        <f>AND(Answers!BM191,"AAAAADkl78s=")</f>
        <v>#VALUE!</v>
      </c>
      <c r="GW59" t="e">
        <f>AND(Answers!BN191,"AAAAADkl78w=")</f>
        <v>#VALUE!</v>
      </c>
      <c r="GX59" t="e">
        <f>AND(Answers!BO191,"AAAAADkl780=")</f>
        <v>#VALUE!</v>
      </c>
      <c r="GY59" t="e">
        <f>AND(Answers!BP191,"AAAAADkl784=")</f>
        <v>#VALUE!</v>
      </c>
      <c r="GZ59" t="e">
        <f>AND(Answers!BQ191,"AAAAADkl788=")</f>
        <v>#VALUE!</v>
      </c>
      <c r="HA59" t="e">
        <f>AND(Answers!BR191,"AAAAADkl79A=")</f>
        <v>#VALUE!</v>
      </c>
      <c r="HB59" t="e">
        <f>AND(Answers!BS191,"AAAAADkl79E=")</f>
        <v>#VALUE!</v>
      </c>
      <c r="HC59" t="e">
        <f>AND(Answers!BU191,"AAAAADkl79I=")</f>
        <v>#VALUE!</v>
      </c>
      <c r="HD59" t="e">
        <f>AND(Answers!BV191,"AAAAADkl79M=")</f>
        <v>#VALUE!</v>
      </c>
      <c r="HE59" t="e">
        <f>AND(Answers!#REF!,"AAAAADkl79Q=")</f>
        <v>#REF!</v>
      </c>
      <c r="HF59" t="e">
        <f>AND(Answers!BW191,"AAAAADkl79U=")</f>
        <v>#VALUE!</v>
      </c>
      <c r="HG59" t="e">
        <f>AND(Answers!BX191,"AAAAADkl79Y=")</f>
        <v>#VALUE!</v>
      </c>
      <c r="HH59" t="e">
        <f>AND(Answers!BY191,"AAAAADkl79c=")</f>
        <v>#VALUE!</v>
      </c>
      <c r="HI59" t="e">
        <f>AND(Answers!BZ191,"AAAAADkl79g=")</f>
        <v>#VALUE!</v>
      </c>
      <c r="HJ59">
        <f>IF(Answers!192:192,"AAAAADkl79k=",0)</f>
        <v>0</v>
      </c>
      <c r="HK59" t="e">
        <f>AND(Answers!A192,"AAAAADkl79o=")</f>
        <v>#VALUE!</v>
      </c>
      <c r="HL59" t="e">
        <f>AND(Answers!B192,"AAAAADkl79s=")</f>
        <v>#VALUE!</v>
      </c>
      <c r="HM59" t="e">
        <f>AND(Answers!C192,"AAAAADkl79w=")</f>
        <v>#VALUE!</v>
      </c>
      <c r="HN59" t="e">
        <f>AND(Answers!D192,"AAAAADkl790=")</f>
        <v>#VALUE!</v>
      </c>
      <c r="HO59" t="e">
        <f>AND(Answers!E192,"AAAAADkl794=")</f>
        <v>#VALUE!</v>
      </c>
      <c r="HP59" t="e">
        <f>AND(Answers!F192,"AAAAADkl798=")</f>
        <v>#VALUE!</v>
      </c>
      <c r="HQ59" t="e">
        <f>AND(Answers!G192,"AAAAADkl7+A=")</f>
        <v>#VALUE!</v>
      </c>
      <c r="HR59" t="e">
        <f>AND(Answers!H192,"AAAAADkl7+E=")</f>
        <v>#VALUE!</v>
      </c>
      <c r="HS59" t="e">
        <f>AND(Answers!J192,"AAAAADkl7+I=")</f>
        <v>#VALUE!</v>
      </c>
      <c r="HT59" t="e">
        <f>AND(Answers!K192,"AAAAADkl7+M=")</f>
        <v>#VALUE!</v>
      </c>
      <c r="HU59" t="e">
        <f>AND(Answers!L192,"AAAAADkl7+Q=")</f>
        <v>#VALUE!</v>
      </c>
      <c r="HV59" t="e">
        <f>AND(Answers!M192,"AAAAADkl7+U=")</f>
        <v>#VALUE!</v>
      </c>
      <c r="HW59" t="e">
        <f>AND(Answers!N192,"AAAAADkl7+Y=")</f>
        <v>#VALUE!</v>
      </c>
      <c r="HX59" t="e">
        <f>AND(Answers!O192,"AAAAADkl7+c=")</f>
        <v>#VALUE!</v>
      </c>
      <c r="HY59" t="e">
        <f>AND(Answers!P192,"AAAAADkl7+g=")</f>
        <v>#VALUE!</v>
      </c>
      <c r="HZ59" t="e">
        <f>AND(Answers!Q192,"AAAAADkl7+k=")</f>
        <v>#VALUE!</v>
      </c>
      <c r="IA59" t="e">
        <f>AND(Answers!R192,"AAAAADkl7+o=")</f>
        <v>#VALUE!</v>
      </c>
      <c r="IB59" t="e">
        <f>AND(Answers!S192,"AAAAADkl7+s=")</f>
        <v>#VALUE!</v>
      </c>
      <c r="IC59" t="e">
        <f>AND(Answers!T192,"AAAAADkl7+w=")</f>
        <v>#VALUE!</v>
      </c>
      <c r="ID59" t="e">
        <f>AND(Answers!U192,"AAAAADkl7+0=")</f>
        <v>#VALUE!</v>
      </c>
      <c r="IE59" t="e">
        <f>AND(Answers!V192,"AAAAADkl7+4=")</f>
        <v>#VALUE!</v>
      </c>
      <c r="IF59" t="e">
        <f>AND(Answers!X192,"AAAAADkl7+8=")</f>
        <v>#VALUE!</v>
      </c>
      <c r="IG59" t="e">
        <f>AND(Answers!Y192,"AAAAADkl7/A=")</f>
        <v>#VALUE!</v>
      </c>
      <c r="IH59" t="e">
        <f>AND(Answers!Z192,"AAAAADkl7/E=")</f>
        <v>#VALUE!</v>
      </c>
      <c r="II59" t="e">
        <f>AND(Answers!AA192,"AAAAADkl7/I=")</f>
        <v>#VALUE!</v>
      </c>
      <c r="IJ59" t="e">
        <f>AND(Answers!AB192,"AAAAADkl7/M=")</f>
        <v>#VALUE!</v>
      </c>
      <c r="IK59" t="e">
        <f>AND(Answers!AC192,"AAAAADkl7/Q=")</f>
        <v>#VALUE!</v>
      </c>
      <c r="IL59" t="e">
        <f>AND(Answers!AD192,"AAAAADkl7/U=")</f>
        <v>#VALUE!</v>
      </c>
      <c r="IM59" t="e">
        <f>AND(Answers!AE192,"AAAAADkl7/Y=")</f>
        <v>#VALUE!</v>
      </c>
      <c r="IN59" t="e">
        <f>AND(Answers!AF192,"AAAAADkl7/c=")</f>
        <v>#VALUE!</v>
      </c>
      <c r="IO59" t="e">
        <f>AND(Answers!AH192,"AAAAADkl7/g=")</f>
        <v>#VALUE!</v>
      </c>
      <c r="IP59" t="e">
        <f>AND(Answers!AI192,"AAAAADkl7/k=")</f>
        <v>#VALUE!</v>
      </c>
      <c r="IQ59" t="e">
        <f>AND(Answers!AK192,"AAAAADkl7/o=")</f>
        <v>#VALUE!</v>
      </c>
      <c r="IR59" t="e">
        <f>AND(Answers!#REF!,"AAAAADkl7/s=")</f>
        <v>#REF!</v>
      </c>
      <c r="IS59" t="e">
        <f>AND(Answers!AR192,"AAAAADkl7/w=")</f>
        <v>#VALUE!</v>
      </c>
      <c r="IT59" t="e">
        <f>AND(Answers!AS192,"AAAAADkl7/0=")</f>
        <v>#VALUE!</v>
      </c>
      <c r="IU59" t="e">
        <f>AND(Answers!AT192,"AAAAADkl7/4=")</f>
        <v>#VALUE!</v>
      </c>
      <c r="IV59" t="e">
        <f>AND(Answers!AU192,"AAAAADkl7/8=")</f>
        <v>#VALUE!</v>
      </c>
    </row>
    <row r="60" spans="1:256" x14ac:dyDescent="0.15">
      <c r="A60" t="e">
        <f>AND(Answers!AW192,"AAAAAH+/PAA=")</f>
        <v>#VALUE!</v>
      </c>
      <c r="B60" t="e">
        <f>AND(Answers!AX192,"AAAAAH+/PAE=")</f>
        <v>#VALUE!</v>
      </c>
      <c r="C60" t="e">
        <f>AND(Answers!AY192,"AAAAAH+/PAI=")</f>
        <v>#VALUE!</v>
      </c>
      <c r="D60" t="e">
        <f>AND(Answers!AZ192,"AAAAAH+/PAM=")</f>
        <v>#VALUE!</v>
      </c>
      <c r="E60" t="e">
        <f>AND(Answers!BA192,"AAAAAH+/PAQ=")</f>
        <v>#VALUE!</v>
      </c>
      <c r="F60" t="e">
        <f>AND(Answers!BB192,"AAAAAH+/PAU=")</f>
        <v>#VALUE!</v>
      </c>
      <c r="G60" t="e">
        <f>AND(Answers!BC192,"AAAAAH+/PAY=")</f>
        <v>#VALUE!</v>
      </c>
      <c r="H60" t="e">
        <f>AND(Answers!BD192,"AAAAAH+/PAc=")</f>
        <v>#VALUE!</v>
      </c>
      <c r="I60" t="e">
        <f>AND(Answers!BE192,"AAAAAH+/PAg=")</f>
        <v>#VALUE!</v>
      </c>
      <c r="J60" t="e">
        <f>AND(Answers!BF192,"AAAAAH+/PAk=")</f>
        <v>#VALUE!</v>
      </c>
      <c r="K60" t="e">
        <f>AND(Answers!BG192,"AAAAAH+/PAo=")</f>
        <v>#VALUE!</v>
      </c>
      <c r="L60" t="e">
        <f>AND(Answers!BH192,"AAAAAH+/PAs=")</f>
        <v>#VALUE!</v>
      </c>
      <c r="M60" t="e">
        <f>AND(Answers!BI192,"AAAAAH+/PAw=")</f>
        <v>#VALUE!</v>
      </c>
      <c r="N60" t="e">
        <f>AND(Answers!BK192,"AAAAAH+/PA0=")</f>
        <v>#VALUE!</v>
      </c>
      <c r="O60" t="e">
        <f>AND(Answers!BL192,"AAAAAH+/PA4=")</f>
        <v>#VALUE!</v>
      </c>
      <c r="P60" t="e">
        <f>AND(Answers!BM192,"AAAAAH+/PA8=")</f>
        <v>#VALUE!</v>
      </c>
      <c r="Q60" t="e">
        <f>AND(Answers!BN192,"AAAAAH+/PBA=")</f>
        <v>#VALUE!</v>
      </c>
      <c r="R60" t="e">
        <f>AND(Answers!BO192,"AAAAAH+/PBE=")</f>
        <v>#VALUE!</v>
      </c>
      <c r="S60" t="e">
        <f>AND(Answers!BP192,"AAAAAH+/PBI=")</f>
        <v>#VALUE!</v>
      </c>
      <c r="T60" t="e">
        <f>AND(Answers!BQ192,"AAAAAH+/PBM=")</f>
        <v>#VALUE!</v>
      </c>
      <c r="U60" t="e">
        <f>AND(Answers!BR192,"AAAAAH+/PBQ=")</f>
        <v>#VALUE!</v>
      </c>
      <c r="V60" t="e">
        <f>AND(Answers!BS192,"AAAAAH+/PBU=")</f>
        <v>#VALUE!</v>
      </c>
      <c r="W60" t="e">
        <f>AND(Answers!BU192,"AAAAAH+/PBY=")</f>
        <v>#VALUE!</v>
      </c>
      <c r="X60" t="e">
        <f>AND(Answers!BV192,"AAAAAH+/PBc=")</f>
        <v>#VALUE!</v>
      </c>
      <c r="Y60" t="e">
        <f>AND(Answers!#REF!,"AAAAAH+/PBg=")</f>
        <v>#REF!</v>
      </c>
      <c r="Z60" t="e">
        <f>AND(Answers!BW192,"AAAAAH+/PBk=")</f>
        <v>#VALUE!</v>
      </c>
      <c r="AA60" t="e">
        <f>AND(Answers!BX192,"AAAAAH+/PBo=")</f>
        <v>#VALUE!</v>
      </c>
      <c r="AB60" t="e">
        <f>AND(Answers!BY192,"AAAAAH+/PBs=")</f>
        <v>#VALUE!</v>
      </c>
      <c r="AC60" t="e">
        <f>AND(Answers!BZ192,"AAAAAH+/PBw=")</f>
        <v>#VALUE!</v>
      </c>
      <c r="AD60">
        <f>IF(Answers!193:193,"AAAAAH+/PB0=",0)</f>
        <v>0</v>
      </c>
      <c r="AE60" t="e">
        <f>AND(Answers!A193,"AAAAAH+/PB4=")</f>
        <v>#VALUE!</v>
      </c>
      <c r="AF60" t="e">
        <f>AND(Answers!B193,"AAAAAH+/PB8=")</f>
        <v>#VALUE!</v>
      </c>
      <c r="AG60" t="e">
        <f>AND(Answers!C193,"AAAAAH+/PCA=")</f>
        <v>#VALUE!</v>
      </c>
      <c r="AH60" t="e">
        <f>AND(Answers!D193,"AAAAAH+/PCE=")</f>
        <v>#VALUE!</v>
      </c>
      <c r="AI60" t="e">
        <f>AND(Answers!E193,"AAAAAH+/PCI=")</f>
        <v>#VALUE!</v>
      </c>
      <c r="AJ60" t="e">
        <f>AND(Answers!F193,"AAAAAH+/PCM=")</f>
        <v>#VALUE!</v>
      </c>
      <c r="AK60" t="e">
        <f>AND(Answers!G193,"AAAAAH+/PCQ=")</f>
        <v>#VALUE!</v>
      </c>
      <c r="AL60" t="e">
        <f>AND(Answers!H193,"AAAAAH+/PCU=")</f>
        <v>#VALUE!</v>
      </c>
      <c r="AM60" t="e">
        <f>AND(Answers!J193,"AAAAAH+/PCY=")</f>
        <v>#VALUE!</v>
      </c>
      <c r="AN60" t="e">
        <f>AND(Answers!K193,"AAAAAH+/PCc=")</f>
        <v>#VALUE!</v>
      </c>
      <c r="AO60" t="e">
        <f>AND(Answers!L193,"AAAAAH+/PCg=")</f>
        <v>#VALUE!</v>
      </c>
      <c r="AP60" t="e">
        <f>AND(Answers!M193,"AAAAAH+/PCk=")</f>
        <v>#VALUE!</v>
      </c>
      <c r="AQ60" t="e">
        <f>AND(Answers!N193,"AAAAAH+/PCo=")</f>
        <v>#VALUE!</v>
      </c>
      <c r="AR60" t="e">
        <f>AND(Answers!O193,"AAAAAH+/PCs=")</f>
        <v>#VALUE!</v>
      </c>
      <c r="AS60" t="e">
        <f>AND(Answers!P193,"AAAAAH+/PCw=")</f>
        <v>#VALUE!</v>
      </c>
      <c r="AT60" t="e">
        <f>AND(Answers!Q193,"AAAAAH+/PC0=")</f>
        <v>#VALUE!</v>
      </c>
      <c r="AU60" t="e">
        <f>AND(Answers!R193,"AAAAAH+/PC4=")</f>
        <v>#VALUE!</v>
      </c>
      <c r="AV60" t="e">
        <f>AND(Answers!S193,"AAAAAH+/PC8=")</f>
        <v>#VALUE!</v>
      </c>
      <c r="AW60" t="e">
        <f>AND(Answers!T193,"AAAAAH+/PDA=")</f>
        <v>#VALUE!</v>
      </c>
      <c r="AX60" t="e">
        <f>AND(Answers!U193,"AAAAAH+/PDE=")</f>
        <v>#VALUE!</v>
      </c>
      <c r="AY60" t="e">
        <f>AND(Answers!V193,"AAAAAH+/PDI=")</f>
        <v>#VALUE!</v>
      </c>
      <c r="AZ60" t="e">
        <f>AND(Answers!X193,"AAAAAH+/PDM=")</f>
        <v>#VALUE!</v>
      </c>
      <c r="BA60" t="e">
        <f>AND(Answers!Y193,"AAAAAH+/PDQ=")</f>
        <v>#VALUE!</v>
      </c>
      <c r="BB60" t="e">
        <f>AND(Answers!Z193,"AAAAAH+/PDU=")</f>
        <v>#VALUE!</v>
      </c>
      <c r="BC60" t="e">
        <f>AND(Answers!AA193,"AAAAAH+/PDY=")</f>
        <v>#VALUE!</v>
      </c>
      <c r="BD60" t="e">
        <f>AND(Answers!AB193,"AAAAAH+/PDc=")</f>
        <v>#VALUE!</v>
      </c>
      <c r="BE60" t="e">
        <f>AND(Answers!AC193,"AAAAAH+/PDg=")</f>
        <v>#VALUE!</v>
      </c>
      <c r="BF60" t="e">
        <f>AND(Answers!AD193,"AAAAAH+/PDk=")</f>
        <v>#VALUE!</v>
      </c>
      <c r="BG60" t="e">
        <f>AND(Answers!AE193,"AAAAAH+/PDo=")</f>
        <v>#VALUE!</v>
      </c>
      <c r="BH60" t="e">
        <f>AND(Answers!AF193,"AAAAAH+/PDs=")</f>
        <v>#VALUE!</v>
      </c>
      <c r="BI60" t="e">
        <f>AND(Answers!AH193,"AAAAAH+/PDw=")</f>
        <v>#VALUE!</v>
      </c>
      <c r="BJ60" t="e">
        <f>AND(Answers!AI193,"AAAAAH+/PD0=")</f>
        <v>#VALUE!</v>
      </c>
      <c r="BK60" t="e">
        <f>AND(Answers!AK193,"AAAAAH+/PD4=")</f>
        <v>#VALUE!</v>
      </c>
      <c r="BL60" t="e">
        <f>AND(Answers!#REF!,"AAAAAH+/PD8=")</f>
        <v>#REF!</v>
      </c>
      <c r="BM60" t="e">
        <f>AND(Answers!AR193,"AAAAAH+/PEA=")</f>
        <v>#VALUE!</v>
      </c>
      <c r="BN60" t="e">
        <f>AND(Answers!AS193,"AAAAAH+/PEE=")</f>
        <v>#VALUE!</v>
      </c>
      <c r="BO60" t="e">
        <f>AND(Answers!AT193,"AAAAAH+/PEI=")</f>
        <v>#VALUE!</v>
      </c>
      <c r="BP60" t="e">
        <f>AND(Answers!AU193,"AAAAAH+/PEM=")</f>
        <v>#VALUE!</v>
      </c>
      <c r="BQ60" t="e">
        <f>AND(Answers!AW193,"AAAAAH+/PEQ=")</f>
        <v>#VALUE!</v>
      </c>
      <c r="BR60" t="e">
        <f>AND(Answers!AX193,"AAAAAH+/PEU=")</f>
        <v>#VALUE!</v>
      </c>
      <c r="BS60" t="e">
        <f>AND(Answers!AY193,"AAAAAH+/PEY=")</f>
        <v>#VALUE!</v>
      </c>
      <c r="BT60" t="e">
        <f>AND(Answers!AZ193,"AAAAAH+/PEc=")</f>
        <v>#VALUE!</v>
      </c>
      <c r="BU60" t="e">
        <f>AND(Answers!BA193,"AAAAAH+/PEg=")</f>
        <v>#VALUE!</v>
      </c>
      <c r="BV60" t="e">
        <f>AND(Answers!BB193,"AAAAAH+/PEk=")</f>
        <v>#VALUE!</v>
      </c>
      <c r="BW60" t="e">
        <f>AND(Answers!BC193,"AAAAAH+/PEo=")</f>
        <v>#VALUE!</v>
      </c>
      <c r="BX60" t="e">
        <f>AND(Answers!BD193,"AAAAAH+/PEs=")</f>
        <v>#VALUE!</v>
      </c>
      <c r="BY60" t="e">
        <f>AND(Answers!BE193,"AAAAAH+/PEw=")</f>
        <v>#VALUE!</v>
      </c>
      <c r="BZ60" t="e">
        <f>AND(Answers!BF193,"AAAAAH+/PE0=")</f>
        <v>#VALUE!</v>
      </c>
      <c r="CA60" t="e">
        <f>AND(Answers!BG193,"AAAAAH+/PE4=")</f>
        <v>#VALUE!</v>
      </c>
      <c r="CB60" t="e">
        <f>AND(Answers!BH193,"AAAAAH+/PE8=")</f>
        <v>#VALUE!</v>
      </c>
      <c r="CC60" t="e">
        <f>AND(Answers!BI193,"AAAAAH+/PFA=")</f>
        <v>#VALUE!</v>
      </c>
      <c r="CD60" t="e">
        <f>AND(Answers!BK193,"AAAAAH+/PFE=")</f>
        <v>#VALUE!</v>
      </c>
      <c r="CE60" t="e">
        <f>AND(Answers!BL193,"AAAAAH+/PFI=")</f>
        <v>#VALUE!</v>
      </c>
      <c r="CF60" t="e">
        <f>AND(Answers!BM193,"AAAAAH+/PFM=")</f>
        <v>#VALUE!</v>
      </c>
      <c r="CG60" t="e">
        <f>AND(Answers!BN193,"AAAAAH+/PFQ=")</f>
        <v>#VALUE!</v>
      </c>
      <c r="CH60" t="e">
        <f>AND(Answers!BO193,"AAAAAH+/PFU=")</f>
        <v>#VALUE!</v>
      </c>
      <c r="CI60" t="e">
        <f>AND(Answers!BP193,"AAAAAH+/PFY=")</f>
        <v>#VALUE!</v>
      </c>
      <c r="CJ60" t="e">
        <f>AND(Answers!BQ193,"AAAAAH+/PFc=")</f>
        <v>#VALUE!</v>
      </c>
      <c r="CK60" t="e">
        <f>AND(Answers!BR193,"AAAAAH+/PFg=")</f>
        <v>#VALUE!</v>
      </c>
      <c r="CL60" t="e">
        <f>AND(Answers!BS193,"AAAAAH+/PFk=")</f>
        <v>#VALUE!</v>
      </c>
      <c r="CM60" t="e">
        <f>AND(Answers!BU193,"AAAAAH+/PFo=")</f>
        <v>#VALUE!</v>
      </c>
      <c r="CN60" t="e">
        <f>AND(Answers!BV193,"AAAAAH+/PFs=")</f>
        <v>#VALUE!</v>
      </c>
      <c r="CO60" t="e">
        <f>AND(Answers!#REF!,"AAAAAH+/PFw=")</f>
        <v>#REF!</v>
      </c>
      <c r="CP60" t="e">
        <f>AND(Answers!BW193,"AAAAAH+/PF0=")</f>
        <v>#VALUE!</v>
      </c>
      <c r="CQ60" t="e">
        <f>AND(Answers!BX193,"AAAAAH+/PF4=")</f>
        <v>#VALUE!</v>
      </c>
      <c r="CR60" t="e">
        <f>AND(Answers!BY193,"AAAAAH+/PF8=")</f>
        <v>#VALUE!</v>
      </c>
      <c r="CS60" t="e">
        <f>AND(Answers!BZ193,"AAAAAH+/PGA=")</f>
        <v>#VALUE!</v>
      </c>
      <c r="CT60">
        <f>IF(Answers!194:194,"AAAAAH+/PGE=",0)</f>
        <v>0</v>
      </c>
      <c r="CU60" t="e">
        <f>AND(Answers!A194,"AAAAAH+/PGI=")</f>
        <v>#VALUE!</v>
      </c>
      <c r="CV60" t="e">
        <f>AND(Answers!B194,"AAAAAH+/PGM=")</f>
        <v>#VALUE!</v>
      </c>
      <c r="CW60" t="e">
        <f>AND(Answers!C194,"AAAAAH+/PGQ=")</f>
        <v>#VALUE!</v>
      </c>
      <c r="CX60" t="e">
        <f>AND(Answers!D194,"AAAAAH+/PGU=")</f>
        <v>#VALUE!</v>
      </c>
      <c r="CY60" t="e">
        <f>AND(Answers!E194,"AAAAAH+/PGY=")</f>
        <v>#VALUE!</v>
      </c>
      <c r="CZ60" t="e">
        <f>AND(Answers!F194,"AAAAAH+/PGc=")</f>
        <v>#VALUE!</v>
      </c>
      <c r="DA60" t="e">
        <f>AND(Answers!G194,"AAAAAH+/PGg=")</f>
        <v>#VALUE!</v>
      </c>
      <c r="DB60" t="e">
        <f>AND(Answers!H194,"AAAAAH+/PGk=")</f>
        <v>#VALUE!</v>
      </c>
      <c r="DC60" t="e">
        <f>AND(Answers!J194,"AAAAAH+/PGo=")</f>
        <v>#VALUE!</v>
      </c>
      <c r="DD60" t="e">
        <f>AND(Answers!K194,"AAAAAH+/PGs=")</f>
        <v>#VALUE!</v>
      </c>
      <c r="DE60" t="e">
        <f>AND(Answers!L194,"AAAAAH+/PGw=")</f>
        <v>#VALUE!</v>
      </c>
      <c r="DF60" t="e">
        <f>AND(Answers!M194,"AAAAAH+/PG0=")</f>
        <v>#VALUE!</v>
      </c>
      <c r="DG60" t="e">
        <f>AND(Answers!N194,"AAAAAH+/PG4=")</f>
        <v>#VALUE!</v>
      </c>
      <c r="DH60" t="e">
        <f>AND(Answers!O194,"AAAAAH+/PG8=")</f>
        <v>#VALUE!</v>
      </c>
      <c r="DI60" t="e">
        <f>AND(Answers!P194,"AAAAAH+/PHA=")</f>
        <v>#VALUE!</v>
      </c>
      <c r="DJ60" t="e">
        <f>AND(Answers!Q194,"AAAAAH+/PHE=")</f>
        <v>#VALUE!</v>
      </c>
      <c r="DK60" t="e">
        <f>AND(Answers!R194,"AAAAAH+/PHI=")</f>
        <v>#VALUE!</v>
      </c>
      <c r="DL60" t="e">
        <f>AND(Answers!S194,"AAAAAH+/PHM=")</f>
        <v>#VALUE!</v>
      </c>
      <c r="DM60" t="e">
        <f>AND(Answers!T194,"AAAAAH+/PHQ=")</f>
        <v>#VALUE!</v>
      </c>
      <c r="DN60" t="e">
        <f>AND(Answers!U194,"AAAAAH+/PHU=")</f>
        <v>#VALUE!</v>
      </c>
      <c r="DO60" t="e">
        <f>AND(Answers!V194,"AAAAAH+/PHY=")</f>
        <v>#VALUE!</v>
      </c>
      <c r="DP60" t="e">
        <f>AND(Answers!X194,"AAAAAH+/PHc=")</f>
        <v>#VALUE!</v>
      </c>
      <c r="DQ60" t="e">
        <f>AND(Answers!Y194,"AAAAAH+/PHg=")</f>
        <v>#VALUE!</v>
      </c>
      <c r="DR60" t="e">
        <f>AND(Answers!Z194,"AAAAAH+/PHk=")</f>
        <v>#VALUE!</v>
      </c>
      <c r="DS60" t="e">
        <f>AND(Answers!AA194,"AAAAAH+/PHo=")</f>
        <v>#VALUE!</v>
      </c>
      <c r="DT60" t="e">
        <f>AND(Answers!AB194,"AAAAAH+/PHs=")</f>
        <v>#VALUE!</v>
      </c>
      <c r="DU60" t="e">
        <f>AND(Answers!AC194,"AAAAAH+/PHw=")</f>
        <v>#VALUE!</v>
      </c>
      <c r="DV60" t="e">
        <f>AND(Answers!AD194,"AAAAAH+/PH0=")</f>
        <v>#VALUE!</v>
      </c>
      <c r="DW60" t="e">
        <f>AND(Answers!AE194,"AAAAAH+/PH4=")</f>
        <v>#VALUE!</v>
      </c>
      <c r="DX60" t="e">
        <f>AND(Answers!AF194,"AAAAAH+/PH8=")</f>
        <v>#VALUE!</v>
      </c>
      <c r="DY60" t="e">
        <f>AND(Answers!AH194,"AAAAAH+/PIA=")</f>
        <v>#VALUE!</v>
      </c>
      <c r="DZ60" t="e">
        <f>AND(Answers!AI194,"AAAAAH+/PIE=")</f>
        <v>#VALUE!</v>
      </c>
      <c r="EA60" t="e">
        <f>AND(Answers!AK194,"AAAAAH+/PII=")</f>
        <v>#VALUE!</v>
      </c>
      <c r="EB60" t="e">
        <f>AND(Answers!#REF!,"AAAAAH+/PIM=")</f>
        <v>#REF!</v>
      </c>
      <c r="EC60" t="e">
        <f>AND(Answers!AR194,"AAAAAH+/PIQ=")</f>
        <v>#VALUE!</v>
      </c>
      <c r="ED60" t="e">
        <f>AND(Answers!AS194,"AAAAAH+/PIU=")</f>
        <v>#VALUE!</v>
      </c>
      <c r="EE60" t="e">
        <f>AND(Answers!AT194,"AAAAAH+/PIY=")</f>
        <v>#VALUE!</v>
      </c>
      <c r="EF60" t="e">
        <f>AND(Answers!AU194,"AAAAAH+/PIc=")</f>
        <v>#VALUE!</v>
      </c>
      <c r="EG60" t="e">
        <f>AND(Answers!AW194,"AAAAAH+/PIg=")</f>
        <v>#VALUE!</v>
      </c>
      <c r="EH60" t="e">
        <f>AND(Answers!AX194,"AAAAAH+/PIk=")</f>
        <v>#VALUE!</v>
      </c>
      <c r="EI60" t="e">
        <f>AND(Answers!AY194,"AAAAAH+/PIo=")</f>
        <v>#VALUE!</v>
      </c>
      <c r="EJ60" t="e">
        <f>AND(Answers!AZ194,"AAAAAH+/PIs=")</f>
        <v>#VALUE!</v>
      </c>
      <c r="EK60" t="e">
        <f>AND(Answers!BA194,"AAAAAH+/PIw=")</f>
        <v>#VALUE!</v>
      </c>
      <c r="EL60" t="e">
        <f>AND(Answers!BB194,"AAAAAH+/PI0=")</f>
        <v>#VALUE!</v>
      </c>
      <c r="EM60" t="e">
        <f>AND(Answers!BC194,"AAAAAH+/PI4=")</f>
        <v>#VALUE!</v>
      </c>
      <c r="EN60" t="e">
        <f>AND(Answers!BD194,"AAAAAH+/PI8=")</f>
        <v>#VALUE!</v>
      </c>
      <c r="EO60" t="e">
        <f>AND(Answers!BE194,"AAAAAH+/PJA=")</f>
        <v>#VALUE!</v>
      </c>
      <c r="EP60" t="e">
        <f>AND(Answers!BF194,"AAAAAH+/PJE=")</f>
        <v>#VALUE!</v>
      </c>
      <c r="EQ60" t="e">
        <f>AND(Answers!BG194,"AAAAAH+/PJI=")</f>
        <v>#VALUE!</v>
      </c>
      <c r="ER60" t="e">
        <f>AND(Answers!BH194,"AAAAAH+/PJM=")</f>
        <v>#VALUE!</v>
      </c>
      <c r="ES60" t="e">
        <f>AND(Answers!BI194,"AAAAAH+/PJQ=")</f>
        <v>#VALUE!</v>
      </c>
      <c r="ET60" t="e">
        <f>AND(Answers!BK194,"AAAAAH+/PJU=")</f>
        <v>#VALUE!</v>
      </c>
      <c r="EU60" t="e">
        <f>AND(Answers!BL194,"AAAAAH+/PJY=")</f>
        <v>#VALUE!</v>
      </c>
      <c r="EV60" t="e">
        <f>AND(Answers!BM194,"AAAAAH+/PJc=")</f>
        <v>#VALUE!</v>
      </c>
      <c r="EW60" t="e">
        <f>AND(Answers!BN194,"AAAAAH+/PJg=")</f>
        <v>#VALUE!</v>
      </c>
      <c r="EX60" t="e">
        <f>AND(Answers!BO194,"AAAAAH+/PJk=")</f>
        <v>#VALUE!</v>
      </c>
      <c r="EY60" t="e">
        <f>AND(Answers!BP194,"AAAAAH+/PJo=")</f>
        <v>#VALUE!</v>
      </c>
      <c r="EZ60" t="e">
        <f>AND(Answers!BQ194,"AAAAAH+/PJs=")</f>
        <v>#VALUE!</v>
      </c>
      <c r="FA60" t="e">
        <f>AND(Answers!BR194,"AAAAAH+/PJw=")</f>
        <v>#VALUE!</v>
      </c>
      <c r="FB60" t="e">
        <f>AND(Answers!BS194,"AAAAAH+/PJ0=")</f>
        <v>#VALUE!</v>
      </c>
      <c r="FC60" t="e">
        <f>AND(Answers!BU194,"AAAAAH+/PJ4=")</f>
        <v>#VALUE!</v>
      </c>
      <c r="FD60" t="e">
        <f>AND(Answers!BV194,"AAAAAH+/PJ8=")</f>
        <v>#VALUE!</v>
      </c>
      <c r="FE60" t="e">
        <f>AND(Answers!#REF!,"AAAAAH+/PKA=")</f>
        <v>#REF!</v>
      </c>
      <c r="FF60" t="e">
        <f>AND(Answers!BW194,"AAAAAH+/PKE=")</f>
        <v>#VALUE!</v>
      </c>
      <c r="FG60" t="e">
        <f>AND(Answers!BX194,"AAAAAH+/PKI=")</f>
        <v>#VALUE!</v>
      </c>
      <c r="FH60" t="e">
        <f>AND(Answers!BY194,"AAAAAH+/PKM=")</f>
        <v>#VALUE!</v>
      </c>
      <c r="FI60" t="e">
        <f>AND(Answers!BZ194,"AAAAAH+/PKQ=")</f>
        <v>#VALUE!</v>
      </c>
      <c r="FJ60">
        <f>IF(Answers!195:195,"AAAAAH+/PKU=",0)</f>
        <v>0</v>
      </c>
      <c r="FK60" t="e">
        <f>AND(Answers!A195,"AAAAAH+/PKY=")</f>
        <v>#VALUE!</v>
      </c>
      <c r="FL60" t="e">
        <f>AND(Answers!B195,"AAAAAH+/PKc=")</f>
        <v>#VALUE!</v>
      </c>
      <c r="FM60" t="e">
        <f>AND(Answers!C195,"AAAAAH+/PKg=")</f>
        <v>#VALUE!</v>
      </c>
      <c r="FN60" t="e">
        <f>AND(Answers!D195,"AAAAAH+/PKk=")</f>
        <v>#VALUE!</v>
      </c>
      <c r="FO60" t="e">
        <f>AND(Answers!E195,"AAAAAH+/PKo=")</f>
        <v>#VALUE!</v>
      </c>
      <c r="FP60" t="e">
        <f>AND(Answers!F195,"AAAAAH+/PKs=")</f>
        <v>#VALUE!</v>
      </c>
      <c r="FQ60" t="e">
        <f>AND(Answers!G195,"AAAAAH+/PKw=")</f>
        <v>#VALUE!</v>
      </c>
      <c r="FR60" t="e">
        <f>AND(Answers!H195,"AAAAAH+/PK0=")</f>
        <v>#VALUE!</v>
      </c>
      <c r="FS60" t="e">
        <f>AND(Answers!J195,"AAAAAH+/PK4=")</f>
        <v>#VALUE!</v>
      </c>
      <c r="FT60" t="e">
        <f>AND(Answers!K195,"AAAAAH+/PK8=")</f>
        <v>#VALUE!</v>
      </c>
      <c r="FU60" t="e">
        <f>AND(Answers!L195,"AAAAAH+/PLA=")</f>
        <v>#VALUE!</v>
      </c>
      <c r="FV60" t="e">
        <f>AND(Answers!M195,"AAAAAH+/PLE=")</f>
        <v>#VALUE!</v>
      </c>
      <c r="FW60" t="e">
        <f>AND(Answers!N195,"AAAAAH+/PLI=")</f>
        <v>#VALUE!</v>
      </c>
      <c r="FX60" t="e">
        <f>AND(Answers!O195,"AAAAAH+/PLM=")</f>
        <v>#VALUE!</v>
      </c>
      <c r="FY60" t="e">
        <f>AND(Answers!P195,"AAAAAH+/PLQ=")</f>
        <v>#VALUE!</v>
      </c>
      <c r="FZ60" t="e">
        <f>AND(Answers!Q195,"AAAAAH+/PLU=")</f>
        <v>#VALUE!</v>
      </c>
      <c r="GA60" t="e">
        <f>AND(Answers!R195,"AAAAAH+/PLY=")</f>
        <v>#VALUE!</v>
      </c>
      <c r="GB60" t="e">
        <f>AND(Answers!S195,"AAAAAH+/PLc=")</f>
        <v>#VALUE!</v>
      </c>
      <c r="GC60" t="e">
        <f>AND(Answers!T195,"AAAAAH+/PLg=")</f>
        <v>#VALUE!</v>
      </c>
      <c r="GD60" t="e">
        <f>AND(Answers!U195,"AAAAAH+/PLk=")</f>
        <v>#VALUE!</v>
      </c>
      <c r="GE60" t="e">
        <f>AND(Answers!V195,"AAAAAH+/PLo=")</f>
        <v>#VALUE!</v>
      </c>
      <c r="GF60" t="e">
        <f>AND(Answers!X195,"AAAAAH+/PLs=")</f>
        <v>#VALUE!</v>
      </c>
      <c r="GG60" t="e">
        <f>AND(Answers!Y195,"AAAAAH+/PLw=")</f>
        <v>#VALUE!</v>
      </c>
      <c r="GH60" t="e">
        <f>AND(Answers!Z195,"AAAAAH+/PL0=")</f>
        <v>#VALUE!</v>
      </c>
      <c r="GI60" t="e">
        <f>AND(Answers!AA195,"AAAAAH+/PL4=")</f>
        <v>#VALUE!</v>
      </c>
      <c r="GJ60" t="e">
        <f>AND(Answers!AB195,"AAAAAH+/PL8=")</f>
        <v>#VALUE!</v>
      </c>
      <c r="GK60" t="e">
        <f>AND(Answers!AC195,"AAAAAH+/PMA=")</f>
        <v>#VALUE!</v>
      </c>
      <c r="GL60" t="e">
        <f>AND(Answers!AD195,"AAAAAH+/PME=")</f>
        <v>#VALUE!</v>
      </c>
      <c r="GM60" t="e">
        <f>AND(Answers!AE195,"AAAAAH+/PMI=")</f>
        <v>#VALUE!</v>
      </c>
      <c r="GN60" t="e">
        <f>AND(Answers!AF195,"AAAAAH+/PMM=")</f>
        <v>#VALUE!</v>
      </c>
      <c r="GO60" t="e">
        <f>AND(Answers!AH195,"AAAAAH+/PMQ=")</f>
        <v>#VALUE!</v>
      </c>
      <c r="GP60" t="e">
        <f>AND(Answers!AI195,"AAAAAH+/PMU=")</f>
        <v>#VALUE!</v>
      </c>
      <c r="GQ60" t="e">
        <f>AND(Answers!AK195,"AAAAAH+/PMY=")</f>
        <v>#VALUE!</v>
      </c>
      <c r="GR60" t="e">
        <f>AND(Answers!#REF!,"AAAAAH+/PMc=")</f>
        <v>#REF!</v>
      </c>
      <c r="GS60" t="e">
        <f>AND(Answers!AR195,"AAAAAH+/PMg=")</f>
        <v>#VALUE!</v>
      </c>
      <c r="GT60" t="e">
        <f>AND(Answers!AS195,"AAAAAH+/PMk=")</f>
        <v>#VALUE!</v>
      </c>
      <c r="GU60" t="e">
        <f>AND(Answers!AT195,"AAAAAH+/PMo=")</f>
        <v>#VALUE!</v>
      </c>
      <c r="GV60" t="e">
        <f>AND(Answers!AU195,"AAAAAH+/PMs=")</f>
        <v>#VALUE!</v>
      </c>
      <c r="GW60" t="e">
        <f>AND(Answers!AW195,"AAAAAH+/PMw=")</f>
        <v>#VALUE!</v>
      </c>
      <c r="GX60" t="e">
        <f>AND(Answers!AX195,"AAAAAH+/PM0=")</f>
        <v>#VALUE!</v>
      </c>
      <c r="GY60" t="e">
        <f>AND(Answers!AY195,"AAAAAH+/PM4=")</f>
        <v>#VALUE!</v>
      </c>
      <c r="GZ60" t="e">
        <f>AND(Answers!AZ195,"AAAAAH+/PM8=")</f>
        <v>#VALUE!</v>
      </c>
      <c r="HA60" t="e">
        <f>AND(Answers!BA195,"AAAAAH+/PNA=")</f>
        <v>#VALUE!</v>
      </c>
      <c r="HB60" t="e">
        <f>AND(Answers!BB195,"AAAAAH+/PNE=")</f>
        <v>#VALUE!</v>
      </c>
      <c r="HC60" t="e">
        <f>AND(Answers!BC195,"AAAAAH+/PNI=")</f>
        <v>#VALUE!</v>
      </c>
      <c r="HD60" t="e">
        <f>AND(Answers!BD195,"AAAAAH+/PNM=")</f>
        <v>#VALUE!</v>
      </c>
      <c r="HE60" t="e">
        <f>AND(Answers!BE195,"AAAAAH+/PNQ=")</f>
        <v>#VALUE!</v>
      </c>
      <c r="HF60" t="e">
        <f>AND(Answers!BF195,"AAAAAH+/PNU=")</f>
        <v>#VALUE!</v>
      </c>
      <c r="HG60" t="e">
        <f>AND(Answers!BG195,"AAAAAH+/PNY=")</f>
        <v>#VALUE!</v>
      </c>
      <c r="HH60" t="e">
        <f>AND(Answers!BH195,"AAAAAH+/PNc=")</f>
        <v>#VALUE!</v>
      </c>
      <c r="HI60" t="e">
        <f>AND(Answers!BI195,"AAAAAH+/PNg=")</f>
        <v>#VALUE!</v>
      </c>
      <c r="HJ60" t="e">
        <f>AND(Answers!BK195,"AAAAAH+/PNk=")</f>
        <v>#VALUE!</v>
      </c>
      <c r="HK60" t="e">
        <f>AND(Answers!BL195,"AAAAAH+/PNo=")</f>
        <v>#VALUE!</v>
      </c>
      <c r="HL60" t="e">
        <f>AND(Answers!BM195,"AAAAAH+/PNs=")</f>
        <v>#VALUE!</v>
      </c>
      <c r="HM60" t="e">
        <f>AND(Answers!BN195,"AAAAAH+/PNw=")</f>
        <v>#VALUE!</v>
      </c>
      <c r="HN60" t="e">
        <f>AND(Answers!BO195,"AAAAAH+/PN0=")</f>
        <v>#VALUE!</v>
      </c>
      <c r="HO60" t="e">
        <f>AND(Answers!BP195,"AAAAAH+/PN4=")</f>
        <v>#VALUE!</v>
      </c>
      <c r="HP60" t="e">
        <f>AND(Answers!BQ195,"AAAAAH+/PN8=")</f>
        <v>#VALUE!</v>
      </c>
      <c r="HQ60" t="e">
        <f>AND(Answers!BR195,"AAAAAH+/POA=")</f>
        <v>#VALUE!</v>
      </c>
      <c r="HR60" t="e">
        <f>AND(Answers!BS195,"AAAAAH+/POE=")</f>
        <v>#VALUE!</v>
      </c>
      <c r="HS60" t="e">
        <f>AND(Answers!BU195,"AAAAAH+/POI=")</f>
        <v>#VALUE!</v>
      </c>
      <c r="HT60" t="e">
        <f>AND(Answers!BV195,"AAAAAH+/POM=")</f>
        <v>#VALUE!</v>
      </c>
      <c r="HU60" t="e">
        <f>AND(Answers!#REF!,"AAAAAH+/POQ=")</f>
        <v>#REF!</v>
      </c>
      <c r="HV60" t="e">
        <f>AND(Answers!BW195,"AAAAAH+/POU=")</f>
        <v>#VALUE!</v>
      </c>
      <c r="HW60" t="e">
        <f>AND(Answers!BX195,"AAAAAH+/POY=")</f>
        <v>#VALUE!</v>
      </c>
      <c r="HX60" t="e">
        <f>AND(Answers!BY195,"AAAAAH+/POc=")</f>
        <v>#VALUE!</v>
      </c>
      <c r="HY60" t="e">
        <f>AND(Answers!BZ195,"AAAAAH+/POg=")</f>
        <v>#VALUE!</v>
      </c>
      <c r="HZ60">
        <f>IF(Answers!196:196,"AAAAAH+/POk=",0)</f>
        <v>0</v>
      </c>
      <c r="IA60" t="e">
        <f>AND(Answers!A196,"AAAAAH+/POo=")</f>
        <v>#VALUE!</v>
      </c>
      <c r="IB60" t="e">
        <f>AND(Answers!B196,"AAAAAH+/POs=")</f>
        <v>#VALUE!</v>
      </c>
      <c r="IC60" t="e">
        <f>AND(Answers!C196,"AAAAAH+/POw=")</f>
        <v>#VALUE!</v>
      </c>
      <c r="ID60" t="e">
        <f>AND(Answers!D196,"AAAAAH+/PO0=")</f>
        <v>#VALUE!</v>
      </c>
      <c r="IE60" t="e">
        <f>AND(Answers!E196,"AAAAAH+/PO4=")</f>
        <v>#VALUE!</v>
      </c>
      <c r="IF60" t="e">
        <f>AND(Answers!F196,"AAAAAH+/PO8=")</f>
        <v>#VALUE!</v>
      </c>
      <c r="IG60" t="e">
        <f>AND(Answers!G196,"AAAAAH+/PPA=")</f>
        <v>#VALUE!</v>
      </c>
      <c r="IH60" t="e">
        <f>AND(Answers!H196,"AAAAAH+/PPE=")</f>
        <v>#VALUE!</v>
      </c>
      <c r="II60" t="e">
        <f>AND(Answers!J196,"AAAAAH+/PPI=")</f>
        <v>#VALUE!</v>
      </c>
      <c r="IJ60" t="e">
        <f>AND(Answers!K196,"AAAAAH+/PPM=")</f>
        <v>#VALUE!</v>
      </c>
      <c r="IK60" t="e">
        <f>AND(Answers!L196,"AAAAAH+/PPQ=")</f>
        <v>#VALUE!</v>
      </c>
      <c r="IL60" t="e">
        <f>AND(Answers!M196,"AAAAAH+/PPU=")</f>
        <v>#VALUE!</v>
      </c>
      <c r="IM60" t="e">
        <f>AND(Answers!N196,"AAAAAH+/PPY=")</f>
        <v>#VALUE!</v>
      </c>
      <c r="IN60" t="e">
        <f>AND(Answers!O196,"AAAAAH+/PPc=")</f>
        <v>#VALUE!</v>
      </c>
      <c r="IO60" t="e">
        <f>AND(Answers!P196,"AAAAAH+/PPg=")</f>
        <v>#VALUE!</v>
      </c>
      <c r="IP60" t="e">
        <f>AND(Answers!Q196,"AAAAAH+/PPk=")</f>
        <v>#VALUE!</v>
      </c>
      <c r="IQ60" t="e">
        <f>AND(Answers!R196,"AAAAAH+/PPo=")</f>
        <v>#VALUE!</v>
      </c>
      <c r="IR60" t="e">
        <f>AND(Answers!S196,"AAAAAH+/PPs=")</f>
        <v>#VALUE!</v>
      </c>
      <c r="IS60" t="e">
        <f>AND(Answers!T196,"AAAAAH+/PPw=")</f>
        <v>#VALUE!</v>
      </c>
      <c r="IT60" t="e">
        <f>AND(Answers!U196,"AAAAAH+/PP0=")</f>
        <v>#VALUE!</v>
      </c>
      <c r="IU60" t="e">
        <f>AND(Answers!V196,"AAAAAH+/PP4=")</f>
        <v>#VALUE!</v>
      </c>
      <c r="IV60" t="e">
        <f>AND(Answers!X196,"AAAAAH+/PP8=")</f>
        <v>#VALUE!</v>
      </c>
    </row>
    <row r="61" spans="1:256" x14ac:dyDescent="0.15">
      <c r="A61" t="e">
        <f>AND(Answers!Y196,"AAAAADW/fwA=")</f>
        <v>#VALUE!</v>
      </c>
      <c r="B61" t="e">
        <f>AND(Answers!Z196,"AAAAADW/fwE=")</f>
        <v>#VALUE!</v>
      </c>
      <c r="C61" t="e">
        <f>AND(Answers!AA196,"AAAAADW/fwI=")</f>
        <v>#VALUE!</v>
      </c>
      <c r="D61" t="e">
        <f>AND(Answers!AB196,"AAAAADW/fwM=")</f>
        <v>#VALUE!</v>
      </c>
      <c r="E61" t="e">
        <f>AND(Answers!AC196,"AAAAADW/fwQ=")</f>
        <v>#VALUE!</v>
      </c>
      <c r="F61" t="e">
        <f>AND(Answers!AD196,"AAAAADW/fwU=")</f>
        <v>#VALUE!</v>
      </c>
      <c r="G61" t="e">
        <f>AND(Answers!AE196,"AAAAADW/fwY=")</f>
        <v>#VALUE!</v>
      </c>
      <c r="H61" t="e">
        <f>AND(Answers!AF196,"AAAAADW/fwc=")</f>
        <v>#VALUE!</v>
      </c>
      <c r="I61" t="e">
        <f>AND(Answers!AH196,"AAAAADW/fwg=")</f>
        <v>#VALUE!</v>
      </c>
      <c r="J61" t="e">
        <f>AND(Answers!AI196,"AAAAADW/fwk=")</f>
        <v>#VALUE!</v>
      </c>
      <c r="K61" t="e">
        <f>AND(Answers!AK196,"AAAAADW/fwo=")</f>
        <v>#VALUE!</v>
      </c>
      <c r="L61" t="e">
        <f>AND(Answers!#REF!,"AAAAADW/fws=")</f>
        <v>#REF!</v>
      </c>
      <c r="M61" t="e">
        <f>AND(Answers!AR196,"AAAAADW/fww=")</f>
        <v>#VALUE!</v>
      </c>
      <c r="N61" t="e">
        <f>AND(Answers!AS196,"AAAAADW/fw0=")</f>
        <v>#VALUE!</v>
      </c>
      <c r="O61" t="e">
        <f>AND(Answers!AT196,"AAAAADW/fw4=")</f>
        <v>#VALUE!</v>
      </c>
      <c r="P61" t="e">
        <f>AND(Answers!AU196,"AAAAADW/fw8=")</f>
        <v>#VALUE!</v>
      </c>
      <c r="Q61" t="e">
        <f>AND(Answers!AW196,"AAAAADW/fxA=")</f>
        <v>#VALUE!</v>
      </c>
      <c r="R61" t="e">
        <f>AND(Answers!AX196,"AAAAADW/fxE=")</f>
        <v>#VALUE!</v>
      </c>
      <c r="S61" t="e">
        <f>AND(Answers!AY196,"AAAAADW/fxI=")</f>
        <v>#VALUE!</v>
      </c>
      <c r="T61" t="e">
        <f>AND(Answers!AZ196,"AAAAADW/fxM=")</f>
        <v>#VALUE!</v>
      </c>
      <c r="U61" t="e">
        <f>AND(Answers!BA196,"AAAAADW/fxQ=")</f>
        <v>#VALUE!</v>
      </c>
      <c r="V61" t="e">
        <f>AND(Answers!BB196,"AAAAADW/fxU=")</f>
        <v>#VALUE!</v>
      </c>
      <c r="W61" t="e">
        <f>AND(Answers!BC196,"AAAAADW/fxY=")</f>
        <v>#VALUE!</v>
      </c>
      <c r="X61" t="e">
        <f>AND(Answers!BD196,"AAAAADW/fxc=")</f>
        <v>#VALUE!</v>
      </c>
      <c r="Y61" t="e">
        <f>AND(Answers!BE196,"AAAAADW/fxg=")</f>
        <v>#VALUE!</v>
      </c>
      <c r="Z61" t="e">
        <f>AND(Answers!BF196,"AAAAADW/fxk=")</f>
        <v>#VALUE!</v>
      </c>
      <c r="AA61" t="e">
        <f>AND(Answers!BG196,"AAAAADW/fxo=")</f>
        <v>#VALUE!</v>
      </c>
      <c r="AB61" t="e">
        <f>AND(Answers!BH196,"AAAAADW/fxs=")</f>
        <v>#VALUE!</v>
      </c>
      <c r="AC61" t="e">
        <f>AND(Answers!BI196,"AAAAADW/fxw=")</f>
        <v>#VALUE!</v>
      </c>
      <c r="AD61" t="e">
        <f>AND(Answers!BK196,"AAAAADW/fx0=")</f>
        <v>#VALUE!</v>
      </c>
      <c r="AE61" t="e">
        <f>AND(Answers!BL196,"AAAAADW/fx4=")</f>
        <v>#VALUE!</v>
      </c>
      <c r="AF61" t="e">
        <f>AND(Answers!BM196,"AAAAADW/fx8=")</f>
        <v>#VALUE!</v>
      </c>
      <c r="AG61" t="e">
        <f>AND(Answers!BN196,"AAAAADW/fyA=")</f>
        <v>#VALUE!</v>
      </c>
      <c r="AH61" t="e">
        <f>AND(Answers!BO196,"AAAAADW/fyE=")</f>
        <v>#VALUE!</v>
      </c>
      <c r="AI61" t="e">
        <f>AND(Answers!BP196,"AAAAADW/fyI=")</f>
        <v>#VALUE!</v>
      </c>
      <c r="AJ61" t="e">
        <f>AND(Answers!BQ196,"AAAAADW/fyM=")</f>
        <v>#VALUE!</v>
      </c>
      <c r="AK61" t="e">
        <f>AND(Answers!BR196,"AAAAADW/fyQ=")</f>
        <v>#VALUE!</v>
      </c>
      <c r="AL61" t="e">
        <f>AND(Answers!BS196,"AAAAADW/fyU=")</f>
        <v>#VALUE!</v>
      </c>
      <c r="AM61" t="e">
        <f>AND(Answers!BU196,"AAAAADW/fyY=")</f>
        <v>#VALUE!</v>
      </c>
      <c r="AN61" t="e">
        <f>AND(Answers!BV196,"AAAAADW/fyc=")</f>
        <v>#VALUE!</v>
      </c>
      <c r="AO61" t="e">
        <f>AND(Answers!#REF!,"AAAAADW/fyg=")</f>
        <v>#REF!</v>
      </c>
      <c r="AP61" t="e">
        <f>AND(Answers!BW196,"AAAAADW/fyk=")</f>
        <v>#VALUE!</v>
      </c>
      <c r="AQ61" t="e">
        <f>AND(Answers!BX196,"AAAAADW/fyo=")</f>
        <v>#VALUE!</v>
      </c>
      <c r="AR61" t="e">
        <f>AND(Answers!BY196,"AAAAADW/fys=")</f>
        <v>#VALUE!</v>
      </c>
      <c r="AS61" t="e">
        <f>AND(Answers!BZ196,"AAAAADW/fyw=")</f>
        <v>#VALUE!</v>
      </c>
      <c r="AT61">
        <f>IF(Answers!197:197,"AAAAADW/fy0=",0)</f>
        <v>0</v>
      </c>
      <c r="AU61" t="e">
        <f>AND(Answers!A197,"AAAAADW/fy4=")</f>
        <v>#VALUE!</v>
      </c>
      <c r="AV61" t="e">
        <f>AND(Answers!B197,"AAAAADW/fy8=")</f>
        <v>#VALUE!</v>
      </c>
      <c r="AW61" t="e">
        <f>AND(Answers!C197,"AAAAADW/fzA=")</f>
        <v>#VALUE!</v>
      </c>
      <c r="AX61" t="e">
        <f>AND(Answers!D197,"AAAAADW/fzE=")</f>
        <v>#VALUE!</v>
      </c>
      <c r="AY61" t="e">
        <f>AND(Answers!E197,"AAAAADW/fzI=")</f>
        <v>#VALUE!</v>
      </c>
      <c r="AZ61" t="e">
        <f>AND(Answers!F197,"AAAAADW/fzM=")</f>
        <v>#VALUE!</v>
      </c>
      <c r="BA61" t="e">
        <f>AND(Answers!G197,"AAAAADW/fzQ=")</f>
        <v>#VALUE!</v>
      </c>
      <c r="BB61" t="e">
        <f>AND(Answers!H197,"AAAAADW/fzU=")</f>
        <v>#VALUE!</v>
      </c>
      <c r="BC61" t="e">
        <f>AND(Answers!J197,"AAAAADW/fzY=")</f>
        <v>#VALUE!</v>
      </c>
      <c r="BD61" t="e">
        <f>AND(Answers!K197,"AAAAADW/fzc=")</f>
        <v>#VALUE!</v>
      </c>
      <c r="BE61" t="e">
        <f>AND(Answers!L197,"AAAAADW/fzg=")</f>
        <v>#VALUE!</v>
      </c>
      <c r="BF61" t="e">
        <f>AND(Answers!M197,"AAAAADW/fzk=")</f>
        <v>#VALUE!</v>
      </c>
      <c r="BG61" t="e">
        <f>AND(Answers!N197,"AAAAADW/fzo=")</f>
        <v>#VALUE!</v>
      </c>
      <c r="BH61" t="e">
        <f>AND(Answers!O197,"AAAAADW/fzs=")</f>
        <v>#VALUE!</v>
      </c>
      <c r="BI61" t="e">
        <f>AND(Answers!P197,"AAAAADW/fzw=")</f>
        <v>#VALUE!</v>
      </c>
      <c r="BJ61" t="e">
        <f>AND(Answers!Q197,"AAAAADW/fz0=")</f>
        <v>#VALUE!</v>
      </c>
      <c r="BK61" t="e">
        <f>AND(Answers!R197,"AAAAADW/fz4=")</f>
        <v>#VALUE!</v>
      </c>
      <c r="BL61" t="e">
        <f>AND(Answers!S197,"AAAAADW/fz8=")</f>
        <v>#VALUE!</v>
      </c>
      <c r="BM61" t="e">
        <f>AND(Answers!T197,"AAAAADW/f0A=")</f>
        <v>#VALUE!</v>
      </c>
      <c r="BN61" t="e">
        <f>AND(Answers!U197,"AAAAADW/f0E=")</f>
        <v>#VALUE!</v>
      </c>
      <c r="BO61" t="e">
        <f>AND(Answers!V197,"AAAAADW/f0I=")</f>
        <v>#VALUE!</v>
      </c>
      <c r="BP61" t="e">
        <f>AND(Answers!X197,"AAAAADW/f0M=")</f>
        <v>#VALUE!</v>
      </c>
      <c r="BQ61" t="e">
        <f>AND(Answers!Y197,"AAAAADW/f0Q=")</f>
        <v>#VALUE!</v>
      </c>
      <c r="BR61" t="e">
        <f>AND(Answers!Z197,"AAAAADW/f0U=")</f>
        <v>#VALUE!</v>
      </c>
      <c r="BS61" t="e">
        <f>AND(Answers!AA197,"AAAAADW/f0Y=")</f>
        <v>#VALUE!</v>
      </c>
      <c r="BT61" t="e">
        <f>AND(Answers!AB197,"AAAAADW/f0c=")</f>
        <v>#VALUE!</v>
      </c>
      <c r="BU61" t="e">
        <f>AND(Answers!AC197,"AAAAADW/f0g=")</f>
        <v>#VALUE!</v>
      </c>
      <c r="BV61" t="e">
        <f>AND(Answers!AD197,"AAAAADW/f0k=")</f>
        <v>#VALUE!</v>
      </c>
      <c r="BW61" t="e">
        <f>AND(Answers!AE197,"AAAAADW/f0o=")</f>
        <v>#VALUE!</v>
      </c>
      <c r="BX61" t="e">
        <f>AND(Answers!AF197,"AAAAADW/f0s=")</f>
        <v>#VALUE!</v>
      </c>
      <c r="BY61" t="e">
        <f>AND(Answers!AH197,"AAAAADW/f0w=")</f>
        <v>#VALUE!</v>
      </c>
      <c r="BZ61" t="e">
        <f>AND(Answers!AI197,"AAAAADW/f00=")</f>
        <v>#VALUE!</v>
      </c>
      <c r="CA61" t="e">
        <f>AND(Answers!AK197,"AAAAADW/f04=")</f>
        <v>#VALUE!</v>
      </c>
      <c r="CB61" t="e">
        <f>AND(Answers!#REF!,"AAAAADW/f08=")</f>
        <v>#REF!</v>
      </c>
      <c r="CC61" t="e">
        <f>AND(Answers!AR197,"AAAAADW/f1A=")</f>
        <v>#VALUE!</v>
      </c>
      <c r="CD61" t="e">
        <f>AND(Answers!AS197,"AAAAADW/f1E=")</f>
        <v>#VALUE!</v>
      </c>
      <c r="CE61" t="e">
        <f>AND(Answers!AT197,"AAAAADW/f1I=")</f>
        <v>#VALUE!</v>
      </c>
      <c r="CF61" t="e">
        <f>AND(Answers!AU197,"AAAAADW/f1M=")</f>
        <v>#VALUE!</v>
      </c>
      <c r="CG61" t="e">
        <f>AND(Answers!AW197,"AAAAADW/f1Q=")</f>
        <v>#VALUE!</v>
      </c>
      <c r="CH61" t="e">
        <f>AND(Answers!AX197,"AAAAADW/f1U=")</f>
        <v>#VALUE!</v>
      </c>
      <c r="CI61" t="e">
        <f>AND(Answers!AY197,"AAAAADW/f1Y=")</f>
        <v>#VALUE!</v>
      </c>
      <c r="CJ61" t="e">
        <f>AND(Answers!AZ197,"AAAAADW/f1c=")</f>
        <v>#VALUE!</v>
      </c>
      <c r="CK61" t="e">
        <f>AND(Answers!BA197,"AAAAADW/f1g=")</f>
        <v>#VALUE!</v>
      </c>
      <c r="CL61" t="e">
        <f>AND(Answers!BB197,"AAAAADW/f1k=")</f>
        <v>#VALUE!</v>
      </c>
      <c r="CM61" t="e">
        <f>AND(Answers!BC197,"AAAAADW/f1o=")</f>
        <v>#VALUE!</v>
      </c>
      <c r="CN61" t="e">
        <f>AND(Answers!BD197,"AAAAADW/f1s=")</f>
        <v>#VALUE!</v>
      </c>
      <c r="CO61" t="e">
        <f>AND(Answers!BE197,"AAAAADW/f1w=")</f>
        <v>#VALUE!</v>
      </c>
      <c r="CP61" t="e">
        <f>AND(Answers!BF197,"AAAAADW/f10=")</f>
        <v>#VALUE!</v>
      </c>
      <c r="CQ61" t="e">
        <f>AND(Answers!BG197,"AAAAADW/f14=")</f>
        <v>#VALUE!</v>
      </c>
      <c r="CR61" t="e">
        <f>AND(Answers!BH197,"AAAAADW/f18=")</f>
        <v>#VALUE!</v>
      </c>
      <c r="CS61" t="e">
        <f>AND(Answers!BI197,"AAAAADW/f2A=")</f>
        <v>#VALUE!</v>
      </c>
      <c r="CT61" t="e">
        <f>AND(Answers!BK197,"AAAAADW/f2E=")</f>
        <v>#VALUE!</v>
      </c>
      <c r="CU61" t="e">
        <f>AND(Answers!BL197,"AAAAADW/f2I=")</f>
        <v>#VALUE!</v>
      </c>
      <c r="CV61" t="e">
        <f>AND(Answers!BM197,"AAAAADW/f2M=")</f>
        <v>#VALUE!</v>
      </c>
      <c r="CW61" t="e">
        <f>AND(Answers!BN197,"AAAAADW/f2Q=")</f>
        <v>#VALUE!</v>
      </c>
      <c r="CX61" t="e">
        <f>AND(Answers!BO197,"AAAAADW/f2U=")</f>
        <v>#VALUE!</v>
      </c>
      <c r="CY61" t="e">
        <f>AND(Answers!BP197,"AAAAADW/f2Y=")</f>
        <v>#VALUE!</v>
      </c>
      <c r="CZ61" t="e">
        <f>AND(Answers!BQ197,"AAAAADW/f2c=")</f>
        <v>#VALUE!</v>
      </c>
      <c r="DA61" t="e">
        <f>AND(Answers!BR197,"AAAAADW/f2g=")</f>
        <v>#VALUE!</v>
      </c>
      <c r="DB61" t="e">
        <f>AND(Answers!BS197,"AAAAADW/f2k=")</f>
        <v>#VALUE!</v>
      </c>
      <c r="DC61" t="e">
        <f>AND(Answers!BU197,"AAAAADW/f2o=")</f>
        <v>#VALUE!</v>
      </c>
      <c r="DD61" t="e">
        <f>AND(Answers!BV197,"AAAAADW/f2s=")</f>
        <v>#VALUE!</v>
      </c>
      <c r="DE61" t="e">
        <f>AND(Answers!#REF!,"AAAAADW/f2w=")</f>
        <v>#REF!</v>
      </c>
      <c r="DF61" t="e">
        <f>AND(Answers!BW197,"AAAAADW/f20=")</f>
        <v>#VALUE!</v>
      </c>
      <c r="DG61" t="e">
        <f>AND(Answers!BX197,"AAAAADW/f24=")</f>
        <v>#VALUE!</v>
      </c>
      <c r="DH61" t="e">
        <f>AND(Answers!BY197,"AAAAADW/f28=")</f>
        <v>#VALUE!</v>
      </c>
      <c r="DI61" t="e">
        <f>AND(Answers!BZ197,"AAAAADW/f3A=")</f>
        <v>#VALUE!</v>
      </c>
      <c r="DJ61">
        <f>IF(Answers!198:198,"AAAAADW/f3E=",0)</f>
        <v>0</v>
      </c>
      <c r="DK61" t="e">
        <f>AND(Answers!A198,"AAAAADW/f3I=")</f>
        <v>#VALUE!</v>
      </c>
      <c r="DL61" t="e">
        <f>AND(Answers!B198,"AAAAADW/f3M=")</f>
        <v>#VALUE!</v>
      </c>
      <c r="DM61" t="e">
        <f>AND(Answers!C198,"AAAAADW/f3Q=")</f>
        <v>#VALUE!</v>
      </c>
      <c r="DN61" t="e">
        <f>AND(Answers!D198,"AAAAADW/f3U=")</f>
        <v>#VALUE!</v>
      </c>
      <c r="DO61" t="e">
        <f>AND(Answers!E198,"AAAAADW/f3Y=")</f>
        <v>#VALUE!</v>
      </c>
      <c r="DP61" t="e">
        <f>AND(Answers!F198,"AAAAADW/f3c=")</f>
        <v>#VALUE!</v>
      </c>
      <c r="DQ61" t="e">
        <f>AND(Answers!G198,"AAAAADW/f3g=")</f>
        <v>#VALUE!</v>
      </c>
      <c r="DR61" t="e">
        <f>AND(Answers!H198,"AAAAADW/f3k=")</f>
        <v>#VALUE!</v>
      </c>
      <c r="DS61" t="e">
        <f>AND(Answers!J198,"AAAAADW/f3o=")</f>
        <v>#VALUE!</v>
      </c>
      <c r="DT61" t="e">
        <f>AND(Answers!K198,"AAAAADW/f3s=")</f>
        <v>#VALUE!</v>
      </c>
      <c r="DU61" t="e">
        <f>AND(Answers!L198,"AAAAADW/f3w=")</f>
        <v>#VALUE!</v>
      </c>
      <c r="DV61" t="e">
        <f>AND(Answers!M198,"AAAAADW/f30=")</f>
        <v>#VALUE!</v>
      </c>
      <c r="DW61" t="e">
        <f>AND(Answers!N198,"AAAAADW/f34=")</f>
        <v>#VALUE!</v>
      </c>
      <c r="DX61" t="e">
        <f>AND(Answers!O198,"AAAAADW/f38=")</f>
        <v>#VALUE!</v>
      </c>
      <c r="DY61" t="e">
        <f>AND(Answers!P198,"AAAAADW/f4A=")</f>
        <v>#VALUE!</v>
      </c>
      <c r="DZ61" t="e">
        <f>AND(Answers!Q198,"AAAAADW/f4E=")</f>
        <v>#VALUE!</v>
      </c>
      <c r="EA61" t="e">
        <f>AND(Answers!R198,"AAAAADW/f4I=")</f>
        <v>#VALUE!</v>
      </c>
      <c r="EB61" t="e">
        <f>AND(Answers!S198,"AAAAADW/f4M=")</f>
        <v>#VALUE!</v>
      </c>
      <c r="EC61" t="e">
        <f>AND(Answers!T198,"AAAAADW/f4Q=")</f>
        <v>#VALUE!</v>
      </c>
      <c r="ED61" t="e">
        <f>AND(Answers!U198,"AAAAADW/f4U=")</f>
        <v>#VALUE!</v>
      </c>
      <c r="EE61" t="e">
        <f>AND(Answers!V198,"AAAAADW/f4Y=")</f>
        <v>#VALUE!</v>
      </c>
      <c r="EF61" t="e">
        <f>AND(Answers!X198,"AAAAADW/f4c=")</f>
        <v>#VALUE!</v>
      </c>
      <c r="EG61" t="e">
        <f>AND(Answers!Y198,"AAAAADW/f4g=")</f>
        <v>#VALUE!</v>
      </c>
      <c r="EH61" t="e">
        <f>AND(Answers!Z198,"AAAAADW/f4k=")</f>
        <v>#VALUE!</v>
      </c>
      <c r="EI61" t="e">
        <f>AND(Answers!AA198,"AAAAADW/f4o=")</f>
        <v>#VALUE!</v>
      </c>
      <c r="EJ61" t="e">
        <f>AND(Answers!AB198,"AAAAADW/f4s=")</f>
        <v>#VALUE!</v>
      </c>
      <c r="EK61" t="e">
        <f>AND(Answers!AC198,"AAAAADW/f4w=")</f>
        <v>#VALUE!</v>
      </c>
      <c r="EL61" t="e">
        <f>AND(Answers!AD198,"AAAAADW/f40=")</f>
        <v>#VALUE!</v>
      </c>
      <c r="EM61" t="e">
        <f>AND(Answers!AE198,"AAAAADW/f44=")</f>
        <v>#VALUE!</v>
      </c>
      <c r="EN61" t="e">
        <f>AND(Answers!AF198,"AAAAADW/f48=")</f>
        <v>#VALUE!</v>
      </c>
      <c r="EO61" t="e">
        <f>AND(Answers!AH198,"AAAAADW/f5A=")</f>
        <v>#VALUE!</v>
      </c>
      <c r="EP61" t="e">
        <f>AND(Answers!AI198,"AAAAADW/f5E=")</f>
        <v>#VALUE!</v>
      </c>
      <c r="EQ61" t="e">
        <f>AND(Answers!AK198,"AAAAADW/f5I=")</f>
        <v>#VALUE!</v>
      </c>
      <c r="ER61" t="e">
        <f>AND(Answers!#REF!,"AAAAADW/f5M=")</f>
        <v>#REF!</v>
      </c>
      <c r="ES61" t="e">
        <f>AND(Answers!AR198,"AAAAADW/f5Q=")</f>
        <v>#VALUE!</v>
      </c>
      <c r="ET61" t="e">
        <f>AND(Answers!AS198,"AAAAADW/f5U=")</f>
        <v>#VALUE!</v>
      </c>
      <c r="EU61" t="e">
        <f>AND(Answers!AT198,"AAAAADW/f5Y=")</f>
        <v>#VALUE!</v>
      </c>
      <c r="EV61" t="e">
        <f>AND(Answers!AU198,"AAAAADW/f5c=")</f>
        <v>#VALUE!</v>
      </c>
      <c r="EW61" t="e">
        <f>AND(Answers!AW198,"AAAAADW/f5g=")</f>
        <v>#VALUE!</v>
      </c>
      <c r="EX61" t="e">
        <f>AND(Answers!AX198,"AAAAADW/f5k=")</f>
        <v>#VALUE!</v>
      </c>
      <c r="EY61" t="e">
        <f>AND(Answers!AY198,"AAAAADW/f5o=")</f>
        <v>#VALUE!</v>
      </c>
      <c r="EZ61" t="e">
        <f>AND(Answers!AZ198,"AAAAADW/f5s=")</f>
        <v>#VALUE!</v>
      </c>
      <c r="FA61" t="e">
        <f>AND(Answers!BA198,"AAAAADW/f5w=")</f>
        <v>#VALUE!</v>
      </c>
      <c r="FB61" t="e">
        <f>AND(Answers!BB198,"AAAAADW/f50=")</f>
        <v>#VALUE!</v>
      </c>
      <c r="FC61" t="e">
        <f>AND(Answers!BC198,"AAAAADW/f54=")</f>
        <v>#VALUE!</v>
      </c>
      <c r="FD61" t="e">
        <f>AND(Answers!BD198,"AAAAADW/f58=")</f>
        <v>#VALUE!</v>
      </c>
      <c r="FE61" t="e">
        <f>AND(Answers!BE198,"AAAAADW/f6A=")</f>
        <v>#VALUE!</v>
      </c>
      <c r="FF61" t="e">
        <f>AND(Answers!BF198,"AAAAADW/f6E=")</f>
        <v>#VALUE!</v>
      </c>
      <c r="FG61" t="e">
        <f>AND(Answers!BG198,"AAAAADW/f6I=")</f>
        <v>#VALUE!</v>
      </c>
      <c r="FH61" t="e">
        <f>AND(Answers!BH198,"AAAAADW/f6M=")</f>
        <v>#VALUE!</v>
      </c>
      <c r="FI61" t="e">
        <f>AND(Answers!BI198,"AAAAADW/f6Q=")</f>
        <v>#VALUE!</v>
      </c>
      <c r="FJ61" t="e">
        <f>AND(Answers!BK198,"AAAAADW/f6U=")</f>
        <v>#VALUE!</v>
      </c>
      <c r="FK61" t="e">
        <f>AND(Answers!BL198,"AAAAADW/f6Y=")</f>
        <v>#VALUE!</v>
      </c>
      <c r="FL61" t="e">
        <f>AND(Answers!BM198,"AAAAADW/f6c=")</f>
        <v>#VALUE!</v>
      </c>
      <c r="FM61" t="e">
        <f>AND(Answers!BN198,"AAAAADW/f6g=")</f>
        <v>#VALUE!</v>
      </c>
      <c r="FN61" t="e">
        <f>AND(Answers!BO198,"AAAAADW/f6k=")</f>
        <v>#VALUE!</v>
      </c>
      <c r="FO61" t="e">
        <f>AND(Answers!BP198,"AAAAADW/f6o=")</f>
        <v>#VALUE!</v>
      </c>
      <c r="FP61" t="e">
        <f>AND(Answers!BQ198,"AAAAADW/f6s=")</f>
        <v>#VALUE!</v>
      </c>
      <c r="FQ61" t="e">
        <f>AND(Answers!BR198,"AAAAADW/f6w=")</f>
        <v>#VALUE!</v>
      </c>
      <c r="FR61" t="e">
        <f>AND(Answers!BS198,"AAAAADW/f60=")</f>
        <v>#VALUE!</v>
      </c>
      <c r="FS61" t="e">
        <f>AND(Answers!BU198,"AAAAADW/f64=")</f>
        <v>#VALUE!</v>
      </c>
      <c r="FT61" t="e">
        <f>AND(Answers!BV198,"AAAAADW/f68=")</f>
        <v>#VALUE!</v>
      </c>
      <c r="FU61" t="e">
        <f>AND(Answers!#REF!,"AAAAADW/f7A=")</f>
        <v>#REF!</v>
      </c>
      <c r="FV61" t="e">
        <f>AND(Answers!BW198,"AAAAADW/f7E=")</f>
        <v>#VALUE!</v>
      </c>
      <c r="FW61" t="e">
        <f>AND(Answers!BX198,"AAAAADW/f7I=")</f>
        <v>#VALUE!</v>
      </c>
      <c r="FX61" t="e">
        <f>AND(Answers!BY198,"AAAAADW/f7M=")</f>
        <v>#VALUE!</v>
      </c>
      <c r="FY61" t="e">
        <f>AND(Answers!BZ198,"AAAAADW/f7Q=")</f>
        <v>#VALUE!</v>
      </c>
      <c r="FZ61">
        <f>IF(Answers!199:199,"AAAAADW/f7U=",0)</f>
        <v>0</v>
      </c>
      <c r="GA61" t="e">
        <f>AND(Answers!A199,"AAAAADW/f7Y=")</f>
        <v>#VALUE!</v>
      </c>
      <c r="GB61" t="e">
        <f>AND(Answers!B199,"AAAAADW/f7c=")</f>
        <v>#VALUE!</v>
      </c>
      <c r="GC61" t="e">
        <f>AND(Answers!C199,"AAAAADW/f7g=")</f>
        <v>#VALUE!</v>
      </c>
      <c r="GD61" t="e">
        <f>AND(Answers!D199,"AAAAADW/f7k=")</f>
        <v>#VALUE!</v>
      </c>
      <c r="GE61" t="e">
        <f>AND(Answers!E199,"AAAAADW/f7o=")</f>
        <v>#VALUE!</v>
      </c>
      <c r="GF61" t="e">
        <f>AND(Answers!F199,"AAAAADW/f7s=")</f>
        <v>#VALUE!</v>
      </c>
      <c r="GG61" t="e">
        <f>AND(Answers!G199,"AAAAADW/f7w=")</f>
        <v>#VALUE!</v>
      </c>
      <c r="GH61" t="e">
        <f>AND(Answers!H199,"AAAAADW/f70=")</f>
        <v>#VALUE!</v>
      </c>
      <c r="GI61" t="e">
        <f>AND(Answers!J199,"AAAAADW/f74=")</f>
        <v>#VALUE!</v>
      </c>
      <c r="GJ61" t="e">
        <f>AND(Answers!K199,"AAAAADW/f78=")</f>
        <v>#VALUE!</v>
      </c>
      <c r="GK61" t="e">
        <f>AND(Answers!L199,"AAAAADW/f8A=")</f>
        <v>#VALUE!</v>
      </c>
      <c r="GL61" t="e">
        <f>AND(Answers!M199,"AAAAADW/f8E=")</f>
        <v>#VALUE!</v>
      </c>
      <c r="GM61" t="e">
        <f>AND(Answers!N199,"AAAAADW/f8I=")</f>
        <v>#VALUE!</v>
      </c>
      <c r="GN61" t="e">
        <f>AND(Answers!O199,"AAAAADW/f8M=")</f>
        <v>#VALUE!</v>
      </c>
      <c r="GO61" t="e">
        <f>AND(Answers!P199,"AAAAADW/f8Q=")</f>
        <v>#VALUE!</v>
      </c>
      <c r="GP61" t="e">
        <f>AND(Answers!Q199,"AAAAADW/f8U=")</f>
        <v>#VALUE!</v>
      </c>
      <c r="GQ61" t="e">
        <f>AND(Answers!R199,"AAAAADW/f8Y=")</f>
        <v>#VALUE!</v>
      </c>
      <c r="GR61" t="e">
        <f>AND(Answers!S199,"AAAAADW/f8c=")</f>
        <v>#VALUE!</v>
      </c>
      <c r="GS61" t="e">
        <f>AND(Answers!T199,"AAAAADW/f8g=")</f>
        <v>#VALUE!</v>
      </c>
      <c r="GT61" t="e">
        <f>AND(Answers!U199,"AAAAADW/f8k=")</f>
        <v>#VALUE!</v>
      </c>
      <c r="GU61" t="e">
        <f>AND(Answers!V199,"AAAAADW/f8o=")</f>
        <v>#VALUE!</v>
      </c>
      <c r="GV61" t="e">
        <f>AND(Answers!X199,"AAAAADW/f8s=")</f>
        <v>#VALUE!</v>
      </c>
      <c r="GW61" t="e">
        <f>AND(Answers!Y199,"AAAAADW/f8w=")</f>
        <v>#VALUE!</v>
      </c>
      <c r="GX61" t="e">
        <f>AND(Answers!Z199,"AAAAADW/f80=")</f>
        <v>#VALUE!</v>
      </c>
      <c r="GY61" t="e">
        <f>AND(Answers!AA199,"AAAAADW/f84=")</f>
        <v>#VALUE!</v>
      </c>
      <c r="GZ61" t="e">
        <f>AND(Answers!AB199,"AAAAADW/f88=")</f>
        <v>#VALUE!</v>
      </c>
      <c r="HA61" t="e">
        <f>AND(Answers!AC199,"AAAAADW/f9A=")</f>
        <v>#VALUE!</v>
      </c>
      <c r="HB61" t="e">
        <f>AND(Answers!AD199,"AAAAADW/f9E=")</f>
        <v>#VALUE!</v>
      </c>
      <c r="HC61" t="e">
        <f>AND(Answers!AE199,"AAAAADW/f9I=")</f>
        <v>#VALUE!</v>
      </c>
      <c r="HD61" t="e">
        <f>AND(Answers!AF199,"AAAAADW/f9M=")</f>
        <v>#VALUE!</v>
      </c>
      <c r="HE61" t="e">
        <f>AND(Answers!AH199,"AAAAADW/f9Q=")</f>
        <v>#VALUE!</v>
      </c>
      <c r="HF61" t="e">
        <f>AND(Answers!AI199,"AAAAADW/f9U=")</f>
        <v>#VALUE!</v>
      </c>
      <c r="HG61" t="e">
        <f>AND(Answers!AK199,"AAAAADW/f9Y=")</f>
        <v>#VALUE!</v>
      </c>
      <c r="HH61" t="e">
        <f>AND(Answers!#REF!,"AAAAADW/f9c=")</f>
        <v>#REF!</v>
      </c>
      <c r="HI61" t="e">
        <f>AND(Answers!AR199,"AAAAADW/f9g=")</f>
        <v>#VALUE!</v>
      </c>
      <c r="HJ61" t="e">
        <f>AND(Answers!AS199,"AAAAADW/f9k=")</f>
        <v>#VALUE!</v>
      </c>
      <c r="HK61" t="e">
        <f>AND(Answers!AT199,"AAAAADW/f9o=")</f>
        <v>#VALUE!</v>
      </c>
      <c r="HL61" t="e">
        <f>AND(Answers!AU199,"AAAAADW/f9s=")</f>
        <v>#VALUE!</v>
      </c>
      <c r="HM61" t="e">
        <f>AND(Answers!AW199,"AAAAADW/f9w=")</f>
        <v>#VALUE!</v>
      </c>
      <c r="HN61" t="e">
        <f>AND(Answers!AX199,"AAAAADW/f90=")</f>
        <v>#VALUE!</v>
      </c>
      <c r="HO61" t="e">
        <f>AND(Answers!AY199,"AAAAADW/f94=")</f>
        <v>#VALUE!</v>
      </c>
      <c r="HP61" t="e">
        <f>AND(Answers!AZ199,"AAAAADW/f98=")</f>
        <v>#VALUE!</v>
      </c>
      <c r="HQ61" t="e">
        <f>AND(Answers!BA199,"AAAAADW/f+A=")</f>
        <v>#VALUE!</v>
      </c>
      <c r="HR61" t="e">
        <f>AND(Answers!BB199,"AAAAADW/f+E=")</f>
        <v>#VALUE!</v>
      </c>
      <c r="HS61" t="e">
        <f>AND(Answers!BC199,"AAAAADW/f+I=")</f>
        <v>#VALUE!</v>
      </c>
      <c r="HT61" t="e">
        <f>AND(Answers!BD199,"AAAAADW/f+M=")</f>
        <v>#VALUE!</v>
      </c>
      <c r="HU61" t="e">
        <f>AND(Answers!BE199,"AAAAADW/f+Q=")</f>
        <v>#VALUE!</v>
      </c>
      <c r="HV61" t="e">
        <f>AND(Answers!BF199,"AAAAADW/f+U=")</f>
        <v>#VALUE!</v>
      </c>
      <c r="HW61" t="e">
        <f>AND(Answers!BG199,"AAAAADW/f+Y=")</f>
        <v>#VALUE!</v>
      </c>
      <c r="HX61" t="e">
        <f>AND(Answers!BH199,"AAAAADW/f+c=")</f>
        <v>#VALUE!</v>
      </c>
      <c r="HY61" t="e">
        <f>AND(Answers!BI199,"AAAAADW/f+g=")</f>
        <v>#VALUE!</v>
      </c>
      <c r="HZ61" t="e">
        <f>AND(Answers!BK199,"AAAAADW/f+k=")</f>
        <v>#VALUE!</v>
      </c>
      <c r="IA61" t="e">
        <f>AND(Answers!BL199,"AAAAADW/f+o=")</f>
        <v>#VALUE!</v>
      </c>
      <c r="IB61" t="e">
        <f>AND(Answers!BM199,"AAAAADW/f+s=")</f>
        <v>#VALUE!</v>
      </c>
      <c r="IC61" t="e">
        <f>AND(Answers!BN199,"AAAAADW/f+w=")</f>
        <v>#VALUE!</v>
      </c>
      <c r="ID61" t="e">
        <f>AND(Answers!BO199,"AAAAADW/f+0=")</f>
        <v>#VALUE!</v>
      </c>
      <c r="IE61" t="e">
        <f>AND(Answers!BP199,"AAAAADW/f+4=")</f>
        <v>#VALUE!</v>
      </c>
      <c r="IF61" t="e">
        <f>AND(Answers!BQ199,"AAAAADW/f+8=")</f>
        <v>#VALUE!</v>
      </c>
      <c r="IG61" t="e">
        <f>AND(Answers!BR199,"AAAAADW/f/A=")</f>
        <v>#VALUE!</v>
      </c>
      <c r="IH61" t="e">
        <f>AND(Answers!BS199,"AAAAADW/f/E=")</f>
        <v>#VALUE!</v>
      </c>
      <c r="II61" t="e">
        <f>AND(Answers!BU199,"AAAAADW/f/I=")</f>
        <v>#VALUE!</v>
      </c>
      <c r="IJ61" t="e">
        <f>AND(Answers!BV199,"AAAAADW/f/M=")</f>
        <v>#VALUE!</v>
      </c>
      <c r="IK61" t="e">
        <f>AND(Answers!#REF!,"AAAAADW/f/Q=")</f>
        <v>#REF!</v>
      </c>
      <c r="IL61" t="e">
        <f>AND(Answers!BW199,"AAAAADW/f/U=")</f>
        <v>#VALUE!</v>
      </c>
      <c r="IM61" t="e">
        <f>AND(Answers!BX199,"AAAAADW/f/Y=")</f>
        <v>#VALUE!</v>
      </c>
      <c r="IN61" t="e">
        <f>AND(Answers!BY199,"AAAAADW/f/c=")</f>
        <v>#VALUE!</v>
      </c>
      <c r="IO61" t="e">
        <f>AND(Answers!BZ199,"AAAAADW/f/g=")</f>
        <v>#VALUE!</v>
      </c>
      <c r="IP61">
        <f>IF(Answers!200:200,"AAAAADW/f/k=",0)</f>
        <v>0</v>
      </c>
      <c r="IQ61" t="e">
        <f>AND(Answers!A200,"AAAAADW/f/o=")</f>
        <v>#VALUE!</v>
      </c>
      <c r="IR61" t="e">
        <f>AND(Answers!B200,"AAAAADW/f/s=")</f>
        <v>#VALUE!</v>
      </c>
      <c r="IS61" t="e">
        <f>AND(Answers!C200,"AAAAADW/f/w=")</f>
        <v>#VALUE!</v>
      </c>
      <c r="IT61" t="e">
        <f>AND(Answers!D200,"AAAAADW/f/0=")</f>
        <v>#VALUE!</v>
      </c>
      <c r="IU61" t="e">
        <f>AND(Answers!E200,"AAAAADW/f/4=")</f>
        <v>#VALUE!</v>
      </c>
      <c r="IV61" t="e">
        <f>AND(Answers!F200,"AAAAADW/f/8=")</f>
        <v>#VALUE!</v>
      </c>
    </row>
    <row r="62" spans="1:256" x14ac:dyDescent="0.15">
      <c r="A62" t="e">
        <f>AND(Answers!G200,"AAAAAH9P/wA=")</f>
        <v>#VALUE!</v>
      </c>
      <c r="B62" t="e">
        <f>AND(Answers!H200,"AAAAAH9P/wE=")</f>
        <v>#VALUE!</v>
      </c>
      <c r="C62" t="e">
        <f>AND(Answers!J200,"AAAAAH9P/wI=")</f>
        <v>#VALUE!</v>
      </c>
      <c r="D62" t="e">
        <f>AND(Answers!K200,"AAAAAH9P/wM=")</f>
        <v>#VALUE!</v>
      </c>
      <c r="E62" t="e">
        <f>AND(Answers!L200,"AAAAAH9P/wQ=")</f>
        <v>#VALUE!</v>
      </c>
      <c r="F62" t="e">
        <f>AND(Answers!M200,"AAAAAH9P/wU=")</f>
        <v>#VALUE!</v>
      </c>
      <c r="G62" t="e">
        <f>AND(Answers!N200,"AAAAAH9P/wY=")</f>
        <v>#VALUE!</v>
      </c>
      <c r="H62" t="e">
        <f>AND(Answers!O200,"AAAAAH9P/wc=")</f>
        <v>#VALUE!</v>
      </c>
      <c r="I62" t="e">
        <f>AND(Answers!P200,"AAAAAH9P/wg=")</f>
        <v>#VALUE!</v>
      </c>
      <c r="J62" t="e">
        <f>AND(Answers!Q200,"AAAAAH9P/wk=")</f>
        <v>#VALUE!</v>
      </c>
      <c r="K62" t="e">
        <f>AND(Answers!R200,"AAAAAH9P/wo=")</f>
        <v>#VALUE!</v>
      </c>
      <c r="L62" t="e">
        <f>AND(Answers!S200,"AAAAAH9P/ws=")</f>
        <v>#VALUE!</v>
      </c>
      <c r="M62" t="e">
        <f>AND(Answers!T200,"AAAAAH9P/ww=")</f>
        <v>#VALUE!</v>
      </c>
      <c r="N62" t="e">
        <f>AND(Answers!U200,"AAAAAH9P/w0=")</f>
        <v>#VALUE!</v>
      </c>
      <c r="O62" t="e">
        <f>AND(Answers!V200,"AAAAAH9P/w4=")</f>
        <v>#VALUE!</v>
      </c>
      <c r="P62" t="e">
        <f>AND(Answers!X200,"AAAAAH9P/w8=")</f>
        <v>#VALUE!</v>
      </c>
      <c r="Q62" t="e">
        <f>AND(Answers!Y200,"AAAAAH9P/xA=")</f>
        <v>#VALUE!</v>
      </c>
      <c r="R62" t="e">
        <f>AND(Answers!Z200,"AAAAAH9P/xE=")</f>
        <v>#VALUE!</v>
      </c>
      <c r="S62" t="e">
        <f>AND(Answers!AA200,"AAAAAH9P/xI=")</f>
        <v>#VALUE!</v>
      </c>
      <c r="T62" t="e">
        <f>AND(Answers!AB200,"AAAAAH9P/xM=")</f>
        <v>#VALUE!</v>
      </c>
      <c r="U62" t="e">
        <f>AND(Answers!AC200,"AAAAAH9P/xQ=")</f>
        <v>#VALUE!</v>
      </c>
      <c r="V62" t="e">
        <f>AND(Answers!AD200,"AAAAAH9P/xU=")</f>
        <v>#VALUE!</v>
      </c>
      <c r="W62" t="e">
        <f>AND(Answers!AE200,"AAAAAH9P/xY=")</f>
        <v>#VALUE!</v>
      </c>
      <c r="X62" t="e">
        <f>AND(Answers!AF200,"AAAAAH9P/xc=")</f>
        <v>#VALUE!</v>
      </c>
      <c r="Y62" t="e">
        <f>AND(Answers!AH200,"AAAAAH9P/xg=")</f>
        <v>#VALUE!</v>
      </c>
      <c r="Z62" t="e">
        <f>AND(Answers!AI200,"AAAAAH9P/xk=")</f>
        <v>#VALUE!</v>
      </c>
      <c r="AA62" t="e">
        <f>AND(Answers!AK200,"AAAAAH9P/xo=")</f>
        <v>#VALUE!</v>
      </c>
      <c r="AB62" t="e">
        <f>AND(Answers!#REF!,"AAAAAH9P/xs=")</f>
        <v>#REF!</v>
      </c>
      <c r="AC62" t="e">
        <f>AND(Answers!AR200,"AAAAAH9P/xw=")</f>
        <v>#VALUE!</v>
      </c>
      <c r="AD62" t="e">
        <f>AND(Answers!AS200,"AAAAAH9P/x0=")</f>
        <v>#VALUE!</v>
      </c>
      <c r="AE62" t="e">
        <f>AND(Answers!AT200,"AAAAAH9P/x4=")</f>
        <v>#VALUE!</v>
      </c>
      <c r="AF62" t="e">
        <f>AND(Answers!AU200,"AAAAAH9P/x8=")</f>
        <v>#VALUE!</v>
      </c>
      <c r="AG62" t="e">
        <f>AND(Answers!AW200,"AAAAAH9P/yA=")</f>
        <v>#VALUE!</v>
      </c>
      <c r="AH62" t="e">
        <f>AND(Answers!AX200,"AAAAAH9P/yE=")</f>
        <v>#VALUE!</v>
      </c>
      <c r="AI62" t="e">
        <f>AND(Answers!AY200,"AAAAAH9P/yI=")</f>
        <v>#VALUE!</v>
      </c>
      <c r="AJ62" t="e">
        <f>AND(Answers!AZ200,"AAAAAH9P/yM=")</f>
        <v>#VALUE!</v>
      </c>
      <c r="AK62" t="e">
        <f>AND(Answers!BA200,"AAAAAH9P/yQ=")</f>
        <v>#VALUE!</v>
      </c>
      <c r="AL62" t="e">
        <f>AND(Answers!BB200,"AAAAAH9P/yU=")</f>
        <v>#VALUE!</v>
      </c>
      <c r="AM62" t="e">
        <f>AND(Answers!BC200,"AAAAAH9P/yY=")</f>
        <v>#VALUE!</v>
      </c>
      <c r="AN62" t="e">
        <f>AND(Answers!BD200,"AAAAAH9P/yc=")</f>
        <v>#VALUE!</v>
      </c>
      <c r="AO62" t="e">
        <f>AND(Answers!BE200,"AAAAAH9P/yg=")</f>
        <v>#VALUE!</v>
      </c>
      <c r="AP62" t="e">
        <f>AND(Answers!BF200,"AAAAAH9P/yk=")</f>
        <v>#VALUE!</v>
      </c>
      <c r="AQ62" t="e">
        <f>AND(Answers!BG200,"AAAAAH9P/yo=")</f>
        <v>#VALUE!</v>
      </c>
      <c r="AR62" t="e">
        <f>AND(Answers!BH200,"AAAAAH9P/ys=")</f>
        <v>#VALUE!</v>
      </c>
      <c r="AS62" t="e">
        <f>AND(Answers!BI200,"AAAAAH9P/yw=")</f>
        <v>#VALUE!</v>
      </c>
      <c r="AT62" t="e">
        <f>AND(Answers!BK200,"AAAAAH9P/y0=")</f>
        <v>#VALUE!</v>
      </c>
      <c r="AU62" t="e">
        <f>AND(Answers!BL200,"AAAAAH9P/y4=")</f>
        <v>#VALUE!</v>
      </c>
      <c r="AV62" t="e">
        <f>AND(Answers!BM200,"AAAAAH9P/y8=")</f>
        <v>#VALUE!</v>
      </c>
      <c r="AW62" t="e">
        <f>AND(Answers!BN200,"AAAAAH9P/zA=")</f>
        <v>#VALUE!</v>
      </c>
      <c r="AX62" t="e">
        <f>AND(Answers!BO200,"AAAAAH9P/zE=")</f>
        <v>#VALUE!</v>
      </c>
      <c r="AY62" t="e">
        <f>AND(Answers!BP200,"AAAAAH9P/zI=")</f>
        <v>#VALUE!</v>
      </c>
      <c r="AZ62" t="e">
        <f>AND(Answers!BQ200,"AAAAAH9P/zM=")</f>
        <v>#VALUE!</v>
      </c>
      <c r="BA62" t="e">
        <f>AND(Answers!BR200,"AAAAAH9P/zQ=")</f>
        <v>#VALUE!</v>
      </c>
      <c r="BB62" t="e">
        <f>AND(Answers!BS200,"AAAAAH9P/zU=")</f>
        <v>#VALUE!</v>
      </c>
      <c r="BC62" t="e">
        <f>AND(Answers!BU200,"AAAAAH9P/zY=")</f>
        <v>#VALUE!</v>
      </c>
      <c r="BD62" t="e">
        <f>AND(Answers!BV200,"AAAAAH9P/zc=")</f>
        <v>#VALUE!</v>
      </c>
      <c r="BE62" t="e">
        <f>AND(Answers!#REF!,"AAAAAH9P/zg=")</f>
        <v>#REF!</v>
      </c>
      <c r="BF62" t="e">
        <f>AND(Answers!BW200,"AAAAAH9P/zk=")</f>
        <v>#VALUE!</v>
      </c>
      <c r="BG62" t="e">
        <f>AND(Answers!BX200,"AAAAAH9P/zo=")</f>
        <v>#VALUE!</v>
      </c>
      <c r="BH62" t="e">
        <f>AND(Answers!BY200,"AAAAAH9P/zs=")</f>
        <v>#VALUE!</v>
      </c>
      <c r="BI62" t="e">
        <f>AND(Answers!BZ200,"AAAAAH9P/zw=")</f>
        <v>#VALUE!</v>
      </c>
      <c r="BJ62">
        <f>IF(Answers!201:201,"AAAAAH9P/z0=",0)</f>
        <v>0</v>
      </c>
      <c r="BK62" t="e">
        <f>AND(Answers!A201,"AAAAAH9P/z4=")</f>
        <v>#VALUE!</v>
      </c>
      <c r="BL62" t="e">
        <f>AND(Answers!B201,"AAAAAH9P/z8=")</f>
        <v>#VALUE!</v>
      </c>
      <c r="BM62" t="e">
        <f>AND(Answers!C201,"AAAAAH9P/0A=")</f>
        <v>#VALUE!</v>
      </c>
      <c r="BN62" t="e">
        <f>AND(Answers!D201,"AAAAAH9P/0E=")</f>
        <v>#VALUE!</v>
      </c>
      <c r="BO62" t="e">
        <f>AND(Answers!E201,"AAAAAH9P/0I=")</f>
        <v>#VALUE!</v>
      </c>
      <c r="BP62" t="e">
        <f>AND(Answers!F201,"AAAAAH9P/0M=")</f>
        <v>#VALUE!</v>
      </c>
      <c r="BQ62" t="e">
        <f>AND(Answers!G201,"AAAAAH9P/0Q=")</f>
        <v>#VALUE!</v>
      </c>
      <c r="BR62" t="e">
        <f>AND(Answers!H201,"AAAAAH9P/0U=")</f>
        <v>#VALUE!</v>
      </c>
      <c r="BS62" t="e">
        <f>AND(Answers!J201,"AAAAAH9P/0Y=")</f>
        <v>#VALUE!</v>
      </c>
      <c r="BT62" t="e">
        <f>AND(Answers!K201,"AAAAAH9P/0c=")</f>
        <v>#VALUE!</v>
      </c>
      <c r="BU62" t="e">
        <f>AND(Answers!L201,"AAAAAH9P/0g=")</f>
        <v>#VALUE!</v>
      </c>
      <c r="BV62" t="e">
        <f>AND(Answers!M201,"AAAAAH9P/0k=")</f>
        <v>#VALUE!</v>
      </c>
      <c r="BW62" t="e">
        <f>AND(Answers!N201,"AAAAAH9P/0o=")</f>
        <v>#VALUE!</v>
      </c>
      <c r="BX62" t="e">
        <f>AND(Answers!O201,"AAAAAH9P/0s=")</f>
        <v>#VALUE!</v>
      </c>
      <c r="BY62" t="e">
        <f>AND(Answers!P201,"AAAAAH9P/0w=")</f>
        <v>#VALUE!</v>
      </c>
      <c r="BZ62" t="e">
        <f>AND(Answers!Q201,"AAAAAH9P/00=")</f>
        <v>#VALUE!</v>
      </c>
      <c r="CA62" t="e">
        <f>AND(Answers!R201,"AAAAAH9P/04=")</f>
        <v>#VALUE!</v>
      </c>
      <c r="CB62" t="e">
        <f>AND(Answers!S201,"AAAAAH9P/08=")</f>
        <v>#VALUE!</v>
      </c>
      <c r="CC62" t="e">
        <f>AND(Answers!T201,"AAAAAH9P/1A=")</f>
        <v>#VALUE!</v>
      </c>
      <c r="CD62" t="e">
        <f>AND(Answers!U201,"AAAAAH9P/1E=")</f>
        <v>#VALUE!</v>
      </c>
      <c r="CE62" t="e">
        <f>AND(Answers!V201,"AAAAAH9P/1I=")</f>
        <v>#VALUE!</v>
      </c>
      <c r="CF62" t="e">
        <f>AND(Answers!X201,"AAAAAH9P/1M=")</f>
        <v>#VALUE!</v>
      </c>
      <c r="CG62" t="e">
        <f>AND(Answers!Y201,"AAAAAH9P/1Q=")</f>
        <v>#VALUE!</v>
      </c>
      <c r="CH62" t="e">
        <f>AND(Answers!Z201,"AAAAAH9P/1U=")</f>
        <v>#VALUE!</v>
      </c>
      <c r="CI62" t="e">
        <f>AND(Answers!AA201,"AAAAAH9P/1Y=")</f>
        <v>#VALUE!</v>
      </c>
      <c r="CJ62" t="e">
        <f>AND(Answers!AB201,"AAAAAH9P/1c=")</f>
        <v>#VALUE!</v>
      </c>
      <c r="CK62" t="e">
        <f>AND(Answers!AC201,"AAAAAH9P/1g=")</f>
        <v>#VALUE!</v>
      </c>
      <c r="CL62" t="e">
        <f>AND(Answers!AD201,"AAAAAH9P/1k=")</f>
        <v>#VALUE!</v>
      </c>
      <c r="CM62" t="e">
        <f>AND(Answers!AE201,"AAAAAH9P/1o=")</f>
        <v>#VALUE!</v>
      </c>
      <c r="CN62" t="e">
        <f>AND(Answers!AF201,"AAAAAH9P/1s=")</f>
        <v>#VALUE!</v>
      </c>
      <c r="CO62" t="e">
        <f>AND(Answers!AH201,"AAAAAH9P/1w=")</f>
        <v>#VALUE!</v>
      </c>
      <c r="CP62" t="e">
        <f>AND(Answers!AI201,"AAAAAH9P/10=")</f>
        <v>#VALUE!</v>
      </c>
      <c r="CQ62" t="e">
        <f>AND(Answers!AK201,"AAAAAH9P/14=")</f>
        <v>#VALUE!</v>
      </c>
      <c r="CR62" t="e">
        <f>AND(Answers!#REF!,"AAAAAH9P/18=")</f>
        <v>#REF!</v>
      </c>
      <c r="CS62" t="e">
        <f>AND(Answers!AR201,"AAAAAH9P/2A=")</f>
        <v>#VALUE!</v>
      </c>
      <c r="CT62" t="e">
        <f>AND(Answers!AS201,"AAAAAH9P/2E=")</f>
        <v>#VALUE!</v>
      </c>
      <c r="CU62" t="e">
        <f>AND(Answers!AT201,"AAAAAH9P/2I=")</f>
        <v>#VALUE!</v>
      </c>
      <c r="CV62" t="e">
        <f>AND(Answers!AU201,"AAAAAH9P/2M=")</f>
        <v>#VALUE!</v>
      </c>
      <c r="CW62" t="e">
        <f>AND(Answers!AW201,"AAAAAH9P/2Q=")</f>
        <v>#VALUE!</v>
      </c>
      <c r="CX62" t="e">
        <f>AND(Answers!AX201,"AAAAAH9P/2U=")</f>
        <v>#VALUE!</v>
      </c>
      <c r="CY62" t="e">
        <f>AND(Answers!AY201,"AAAAAH9P/2Y=")</f>
        <v>#VALUE!</v>
      </c>
      <c r="CZ62" t="e">
        <f>AND(Answers!AZ201,"AAAAAH9P/2c=")</f>
        <v>#VALUE!</v>
      </c>
      <c r="DA62" t="e">
        <f>AND(Answers!BA201,"AAAAAH9P/2g=")</f>
        <v>#VALUE!</v>
      </c>
      <c r="DB62" t="e">
        <f>AND(Answers!BB201,"AAAAAH9P/2k=")</f>
        <v>#VALUE!</v>
      </c>
      <c r="DC62" t="e">
        <f>AND(Answers!BC201,"AAAAAH9P/2o=")</f>
        <v>#VALUE!</v>
      </c>
      <c r="DD62" t="e">
        <f>AND(Answers!BD201,"AAAAAH9P/2s=")</f>
        <v>#VALUE!</v>
      </c>
      <c r="DE62" t="e">
        <f>AND(Answers!BE201,"AAAAAH9P/2w=")</f>
        <v>#VALUE!</v>
      </c>
      <c r="DF62" t="e">
        <f>AND(Answers!BF201,"AAAAAH9P/20=")</f>
        <v>#VALUE!</v>
      </c>
      <c r="DG62" t="e">
        <f>AND(Answers!BG201,"AAAAAH9P/24=")</f>
        <v>#VALUE!</v>
      </c>
      <c r="DH62" t="e">
        <f>AND(Answers!BH201,"AAAAAH9P/28=")</f>
        <v>#VALUE!</v>
      </c>
      <c r="DI62" t="e">
        <f>AND(Answers!BI201,"AAAAAH9P/3A=")</f>
        <v>#VALUE!</v>
      </c>
      <c r="DJ62" t="e">
        <f>AND(Answers!BK201,"AAAAAH9P/3E=")</f>
        <v>#VALUE!</v>
      </c>
      <c r="DK62" t="e">
        <f>AND(Answers!BL201,"AAAAAH9P/3I=")</f>
        <v>#VALUE!</v>
      </c>
      <c r="DL62" t="e">
        <f>AND(Answers!BM201,"AAAAAH9P/3M=")</f>
        <v>#VALUE!</v>
      </c>
      <c r="DM62" t="e">
        <f>AND(Answers!BN201,"AAAAAH9P/3Q=")</f>
        <v>#VALUE!</v>
      </c>
      <c r="DN62" t="e">
        <f>AND(Answers!BO201,"AAAAAH9P/3U=")</f>
        <v>#VALUE!</v>
      </c>
      <c r="DO62" t="e">
        <f>AND(Answers!BP201,"AAAAAH9P/3Y=")</f>
        <v>#VALUE!</v>
      </c>
      <c r="DP62" t="e">
        <f>AND(Answers!BQ201,"AAAAAH9P/3c=")</f>
        <v>#VALUE!</v>
      </c>
      <c r="DQ62" t="e">
        <f>AND(Answers!BR201,"AAAAAH9P/3g=")</f>
        <v>#VALUE!</v>
      </c>
      <c r="DR62" t="e">
        <f>AND(Answers!BS201,"AAAAAH9P/3k=")</f>
        <v>#VALUE!</v>
      </c>
      <c r="DS62" t="e">
        <f>AND(Answers!BU201,"AAAAAH9P/3o=")</f>
        <v>#VALUE!</v>
      </c>
      <c r="DT62" t="e">
        <f>AND(Answers!BV201,"AAAAAH9P/3s=")</f>
        <v>#VALUE!</v>
      </c>
      <c r="DU62" t="e">
        <f>AND(Answers!#REF!,"AAAAAH9P/3w=")</f>
        <v>#REF!</v>
      </c>
      <c r="DV62" t="e">
        <f>AND(Answers!BW201,"AAAAAH9P/30=")</f>
        <v>#VALUE!</v>
      </c>
      <c r="DW62" t="e">
        <f>AND(Answers!BX201,"AAAAAH9P/34=")</f>
        <v>#VALUE!</v>
      </c>
      <c r="DX62" t="e">
        <f>AND(Answers!BY201,"AAAAAH9P/38=")</f>
        <v>#VALUE!</v>
      </c>
      <c r="DY62" t="e">
        <f>AND(Answers!BZ201,"AAAAAH9P/4A=")</f>
        <v>#VALUE!</v>
      </c>
      <c r="DZ62">
        <f>IF(Answers!202:202,"AAAAAH9P/4E=",0)</f>
        <v>0</v>
      </c>
      <c r="EA62" t="e">
        <f>AND(Answers!A202,"AAAAAH9P/4I=")</f>
        <v>#VALUE!</v>
      </c>
      <c r="EB62" t="e">
        <f>AND(Answers!B202,"AAAAAH9P/4M=")</f>
        <v>#VALUE!</v>
      </c>
      <c r="EC62" t="e">
        <f>AND(Answers!C202,"AAAAAH9P/4Q=")</f>
        <v>#VALUE!</v>
      </c>
      <c r="ED62" t="e">
        <f>AND(Answers!D202,"AAAAAH9P/4U=")</f>
        <v>#VALUE!</v>
      </c>
      <c r="EE62" t="e">
        <f>AND(Answers!E202,"AAAAAH9P/4Y=")</f>
        <v>#VALUE!</v>
      </c>
      <c r="EF62" t="e">
        <f>AND(Answers!F202,"AAAAAH9P/4c=")</f>
        <v>#VALUE!</v>
      </c>
      <c r="EG62" t="e">
        <f>AND(Answers!G202,"AAAAAH9P/4g=")</f>
        <v>#VALUE!</v>
      </c>
      <c r="EH62" t="e">
        <f>AND(Answers!H202,"AAAAAH9P/4k=")</f>
        <v>#VALUE!</v>
      </c>
      <c r="EI62" t="e">
        <f>AND(Answers!J202,"AAAAAH9P/4o=")</f>
        <v>#VALUE!</v>
      </c>
      <c r="EJ62" t="e">
        <f>AND(Answers!K202,"AAAAAH9P/4s=")</f>
        <v>#VALUE!</v>
      </c>
      <c r="EK62" t="e">
        <f>AND(Answers!L202,"AAAAAH9P/4w=")</f>
        <v>#VALUE!</v>
      </c>
      <c r="EL62" t="e">
        <f>AND(Answers!M202,"AAAAAH9P/40=")</f>
        <v>#VALUE!</v>
      </c>
      <c r="EM62" t="e">
        <f>AND(Answers!N202,"AAAAAH9P/44=")</f>
        <v>#VALUE!</v>
      </c>
      <c r="EN62" t="e">
        <f>AND(Answers!O202,"AAAAAH9P/48=")</f>
        <v>#VALUE!</v>
      </c>
      <c r="EO62" t="e">
        <f>AND(Answers!P202,"AAAAAH9P/5A=")</f>
        <v>#VALUE!</v>
      </c>
      <c r="EP62" t="e">
        <f>AND(Answers!Q202,"AAAAAH9P/5E=")</f>
        <v>#VALUE!</v>
      </c>
      <c r="EQ62" t="e">
        <f>AND(Answers!R202,"AAAAAH9P/5I=")</f>
        <v>#VALUE!</v>
      </c>
      <c r="ER62" t="e">
        <f>AND(Answers!S202,"AAAAAH9P/5M=")</f>
        <v>#VALUE!</v>
      </c>
      <c r="ES62" t="e">
        <f>AND(Answers!T202,"AAAAAH9P/5Q=")</f>
        <v>#VALUE!</v>
      </c>
      <c r="ET62" t="e">
        <f>AND(Answers!U202,"AAAAAH9P/5U=")</f>
        <v>#VALUE!</v>
      </c>
      <c r="EU62" t="e">
        <f>AND(Answers!V202,"AAAAAH9P/5Y=")</f>
        <v>#VALUE!</v>
      </c>
      <c r="EV62" t="e">
        <f>AND(Answers!X202,"AAAAAH9P/5c=")</f>
        <v>#VALUE!</v>
      </c>
      <c r="EW62" t="e">
        <f>AND(Answers!Y202,"AAAAAH9P/5g=")</f>
        <v>#VALUE!</v>
      </c>
      <c r="EX62" t="e">
        <f>AND(Answers!Z202,"AAAAAH9P/5k=")</f>
        <v>#VALUE!</v>
      </c>
      <c r="EY62" t="e">
        <f>AND(Answers!AA202,"AAAAAH9P/5o=")</f>
        <v>#VALUE!</v>
      </c>
      <c r="EZ62" t="e">
        <f>AND(Answers!AB202,"AAAAAH9P/5s=")</f>
        <v>#VALUE!</v>
      </c>
      <c r="FA62" t="e">
        <f>AND(Answers!AC202,"AAAAAH9P/5w=")</f>
        <v>#VALUE!</v>
      </c>
      <c r="FB62" t="e">
        <f>AND(Answers!AD202,"AAAAAH9P/50=")</f>
        <v>#VALUE!</v>
      </c>
      <c r="FC62" t="e">
        <f>AND(Answers!AE202,"AAAAAH9P/54=")</f>
        <v>#VALUE!</v>
      </c>
      <c r="FD62" t="e">
        <f>AND(Answers!AF202,"AAAAAH9P/58=")</f>
        <v>#VALUE!</v>
      </c>
      <c r="FE62" t="e">
        <f>AND(Answers!AH202,"AAAAAH9P/6A=")</f>
        <v>#VALUE!</v>
      </c>
      <c r="FF62" t="e">
        <f>AND(Answers!AI202,"AAAAAH9P/6E=")</f>
        <v>#VALUE!</v>
      </c>
      <c r="FG62" t="e">
        <f>AND(Answers!AK202,"AAAAAH9P/6I=")</f>
        <v>#VALUE!</v>
      </c>
      <c r="FH62" t="e">
        <f>AND(Answers!#REF!,"AAAAAH9P/6M=")</f>
        <v>#REF!</v>
      </c>
      <c r="FI62" t="e">
        <f>AND(Answers!AR202,"AAAAAH9P/6Q=")</f>
        <v>#VALUE!</v>
      </c>
      <c r="FJ62" t="e">
        <f>AND(Answers!AS202,"AAAAAH9P/6U=")</f>
        <v>#VALUE!</v>
      </c>
      <c r="FK62" t="e">
        <f>AND(Answers!AT202,"AAAAAH9P/6Y=")</f>
        <v>#VALUE!</v>
      </c>
      <c r="FL62" t="e">
        <f>AND(Answers!AU202,"AAAAAH9P/6c=")</f>
        <v>#VALUE!</v>
      </c>
      <c r="FM62" t="e">
        <f>AND(Answers!AW202,"AAAAAH9P/6g=")</f>
        <v>#VALUE!</v>
      </c>
      <c r="FN62" t="e">
        <f>AND(Answers!AX202,"AAAAAH9P/6k=")</f>
        <v>#VALUE!</v>
      </c>
      <c r="FO62" t="e">
        <f>AND(Answers!AY202,"AAAAAH9P/6o=")</f>
        <v>#VALUE!</v>
      </c>
      <c r="FP62" t="e">
        <f>AND(Answers!AZ202,"AAAAAH9P/6s=")</f>
        <v>#VALUE!</v>
      </c>
      <c r="FQ62" t="e">
        <f>AND(Answers!BA202,"AAAAAH9P/6w=")</f>
        <v>#VALUE!</v>
      </c>
      <c r="FR62" t="e">
        <f>AND(Answers!BB202,"AAAAAH9P/60=")</f>
        <v>#VALUE!</v>
      </c>
      <c r="FS62" t="e">
        <f>AND(Answers!BC202,"AAAAAH9P/64=")</f>
        <v>#VALUE!</v>
      </c>
      <c r="FT62" t="e">
        <f>AND(Answers!BD202,"AAAAAH9P/68=")</f>
        <v>#VALUE!</v>
      </c>
      <c r="FU62" t="e">
        <f>AND(Answers!BE202,"AAAAAH9P/7A=")</f>
        <v>#VALUE!</v>
      </c>
      <c r="FV62" t="e">
        <f>AND(Answers!BF202,"AAAAAH9P/7E=")</f>
        <v>#VALUE!</v>
      </c>
      <c r="FW62" t="e">
        <f>AND(Answers!BG202,"AAAAAH9P/7I=")</f>
        <v>#VALUE!</v>
      </c>
      <c r="FX62" t="e">
        <f>AND(Answers!BH202,"AAAAAH9P/7M=")</f>
        <v>#VALUE!</v>
      </c>
      <c r="FY62" t="e">
        <f>AND(Answers!BI202,"AAAAAH9P/7Q=")</f>
        <v>#VALUE!</v>
      </c>
      <c r="FZ62" t="e">
        <f>AND(Answers!BK202,"AAAAAH9P/7U=")</f>
        <v>#VALUE!</v>
      </c>
      <c r="GA62" t="e">
        <f>AND(Answers!BL202,"AAAAAH9P/7Y=")</f>
        <v>#VALUE!</v>
      </c>
      <c r="GB62" t="e">
        <f>AND(Answers!BM202,"AAAAAH9P/7c=")</f>
        <v>#VALUE!</v>
      </c>
      <c r="GC62" t="e">
        <f>AND(Answers!BN202,"AAAAAH9P/7g=")</f>
        <v>#VALUE!</v>
      </c>
      <c r="GD62" t="e">
        <f>AND(Answers!BO202,"AAAAAH9P/7k=")</f>
        <v>#VALUE!</v>
      </c>
      <c r="GE62" t="e">
        <f>AND(Answers!BP202,"AAAAAH9P/7o=")</f>
        <v>#VALUE!</v>
      </c>
      <c r="GF62" t="e">
        <f>AND(Answers!BQ202,"AAAAAH9P/7s=")</f>
        <v>#VALUE!</v>
      </c>
      <c r="GG62" t="e">
        <f>AND(Answers!BR202,"AAAAAH9P/7w=")</f>
        <v>#VALUE!</v>
      </c>
      <c r="GH62" t="e">
        <f>AND(Answers!BS202,"AAAAAH9P/70=")</f>
        <v>#VALUE!</v>
      </c>
      <c r="GI62" t="e">
        <f>AND(Answers!BU202,"AAAAAH9P/74=")</f>
        <v>#VALUE!</v>
      </c>
      <c r="GJ62" t="e">
        <f>AND(Answers!BV202,"AAAAAH9P/78=")</f>
        <v>#VALUE!</v>
      </c>
      <c r="GK62" t="e">
        <f>AND(Answers!#REF!,"AAAAAH9P/8A=")</f>
        <v>#REF!</v>
      </c>
      <c r="GL62" t="e">
        <f>AND(Answers!BW202,"AAAAAH9P/8E=")</f>
        <v>#VALUE!</v>
      </c>
      <c r="GM62" t="e">
        <f>AND(Answers!BX202,"AAAAAH9P/8I=")</f>
        <v>#VALUE!</v>
      </c>
      <c r="GN62" t="e">
        <f>AND(Answers!BY202,"AAAAAH9P/8M=")</f>
        <v>#VALUE!</v>
      </c>
      <c r="GO62" t="e">
        <f>AND(Answers!BZ202,"AAAAAH9P/8Q=")</f>
        <v>#VALUE!</v>
      </c>
      <c r="GP62">
        <f>IF(Answers!203:203,"AAAAAH9P/8U=",0)</f>
        <v>0</v>
      </c>
      <c r="GQ62" t="e">
        <f>AND(Answers!A203,"AAAAAH9P/8Y=")</f>
        <v>#VALUE!</v>
      </c>
      <c r="GR62" t="e">
        <f>AND(Answers!B203,"AAAAAH9P/8c=")</f>
        <v>#VALUE!</v>
      </c>
      <c r="GS62" t="e">
        <f>AND(Answers!C203,"AAAAAH9P/8g=")</f>
        <v>#VALUE!</v>
      </c>
      <c r="GT62" t="e">
        <f>AND(Answers!D203,"AAAAAH9P/8k=")</f>
        <v>#VALUE!</v>
      </c>
      <c r="GU62" t="e">
        <f>AND(Answers!E203,"AAAAAH9P/8o=")</f>
        <v>#VALUE!</v>
      </c>
      <c r="GV62" t="e">
        <f>AND(Answers!F203,"AAAAAH9P/8s=")</f>
        <v>#VALUE!</v>
      </c>
      <c r="GW62" t="e">
        <f>AND(Answers!G203,"AAAAAH9P/8w=")</f>
        <v>#VALUE!</v>
      </c>
      <c r="GX62" t="e">
        <f>AND(Answers!H203,"AAAAAH9P/80=")</f>
        <v>#VALUE!</v>
      </c>
      <c r="GY62" t="e">
        <f>AND(Answers!J203,"AAAAAH9P/84=")</f>
        <v>#VALUE!</v>
      </c>
      <c r="GZ62" t="e">
        <f>AND(Answers!K203,"AAAAAH9P/88=")</f>
        <v>#VALUE!</v>
      </c>
      <c r="HA62" t="e">
        <f>AND(Answers!L203,"AAAAAH9P/9A=")</f>
        <v>#VALUE!</v>
      </c>
      <c r="HB62" t="e">
        <f>AND(Answers!M203,"AAAAAH9P/9E=")</f>
        <v>#VALUE!</v>
      </c>
      <c r="HC62" t="e">
        <f>AND(Answers!N203,"AAAAAH9P/9I=")</f>
        <v>#VALUE!</v>
      </c>
      <c r="HD62" t="e">
        <f>AND(Answers!O203,"AAAAAH9P/9M=")</f>
        <v>#VALUE!</v>
      </c>
      <c r="HE62" t="e">
        <f>AND(Answers!P203,"AAAAAH9P/9Q=")</f>
        <v>#VALUE!</v>
      </c>
      <c r="HF62" t="e">
        <f>AND(Answers!Q203,"AAAAAH9P/9U=")</f>
        <v>#VALUE!</v>
      </c>
      <c r="HG62" t="e">
        <f>AND(Answers!R203,"AAAAAH9P/9Y=")</f>
        <v>#VALUE!</v>
      </c>
      <c r="HH62" t="e">
        <f>AND(Answers!S203,"AAAAAH9P/9c=")</f>
        <v>#VALUE!</v>
      </c>
      <c r="HI62" t="e">
        <f>AND(Answers!T203,"AAAAAH9P/9g=")</f>
        <v>#VALUE!</v>
      </c>
      <c r="HJ62" t="e">
        <f>AND(Answers!U203,"AAAAAH9P/9k=")</f>
        <v>#VALUE!</v>
      </c>
      <c r="HK62" t="e">
        <f>AND(Answers!V203,"AAAAAH9P/9o=")</f>
        <v>#VALUE!</v>
      </c>
      <c r="HL62" t="e">
        <f>AND(Answers!X203,"AAAAAH9P/9s=")</f>
        <v>#VALUE!</v>
      </c>
      <c r="HM62" t="e">
        <f>AND(Answers!Y203,"AAAAAH9P/9w=")</f>
        <v>#VALUE!</v>
      </c>
      <c r="HN62" t="e">
        <f>AND(Answers!Z203,"AAAAAH9P/90=")</f>
        <v>#VALUE!</v>
      </c>
      <c r="HO62" t="e">
        <f>AND(Answers!AA203,"AAAAAH9P/94=")</f>
        <v>#VALUE!</v>
      </c>
      <c r="HP62" t="e">
        <f>AND(Answers!AB203,"AAAAAH9P/98=")</f>
        <v>#VALUE!</v>
      </c>
      <c r="HQ62" t="e">
        <f>AND(Answers!AC203,"AAAAAH9P/+A=")</f>
        <v>#VALUE!</v>
      </c>
      <c r="HR62" t="e">
        <f>AND(Answers!AD203,"AAAAAH9P/+E=")</f>
        <v>#VALUE!</v>
      </c>
      <c r="HS62" t="e">
        <f>AND(Answers!AE203,"AAAAAH9P/+I=")</f>
        <v>#VALUE!</v>
      </c>
      <c r="HT62" t="e">
        <f>AND(Answers!AF203,"AAAAAH9P/+M=")</f>
        <v>#VALUE!</v>
      </c>
      <c r="HU62" t="e">
        <f>AND(Answers!AH203,"AAAAAH9P/+Q=")</f>
        <v>#VALUE!</v>
      </c>
      <c r="HV62" t="e">
        <f>AND(Answers!AI203,"AAAAAH9P/+U=")</f>
        <v>#VALUE!</v>
      </c>
      <c r="HW62" t="e">
        <f>AND(Answers!AK203,"AAAAAH9P/+Y=")</f>
        <v>#VALUE!</v>
      </c>
      <c r="HX62" t="e">
        <f>AND(Answers!#REF!,"AAAAAH9P/+c=")</f>
        <v>#REF!</v>
      </c>
      <c r="HY62" t="e">
        <f>AND(Answers!AR203,"AAAAAH9P/+g=")</f>
        <v>#VALUE!</v>
      </c>
      <c r="HZ62" t="e">
        <f>AND(Answers!AS203,"AAAAAH9P/+k=")</f>
        <v>#VALUE!</v>
      </c>
      <c r="IA62" t="e">
        <f>AND(Answers!AT203,"AAAAAH9P/+o=")</f>
        <v>#VALUE!</v>
      </c>
      <c r="IB62" t="e">
        <f>AND(Answers!AU203,"AAAAAH9P/+s=")</f>
        <v>#VALUE!</v>
      </c>
      <c r="IC62" t="e">
        <f>AND(Answers!AW203,"AAAAAH9P/+w=")</f>
        <v>#VALUE!</v>
      </c>
      <c r="ID62" t="e">
        <f>AND(Answers!AX203,"AAAAAH9P/+0=")</f>
        <v>#VALUE!</v>
      </c>
      <c r="IE62" t="e">
        <f>AND(Answers!AY203,"AAAAAH9P/+4=")</f>
        <v>#VALUE!</v>
      </c>
      <c r="IF62" t="e">
        <f>AND(Answers!AZ203,"AAAAAH9P/+8=")</f>
        <v>#VALUE!</v>
      </c>
      <c r="IG62" t="e">
        <f>AND(Answers!BA203,"AAAAAH9P//A=")</f>
        <v>#VALUE!</v>
      </c>
      <c r="IH62" t="e">
        <f>AND(Answers!BB203,"AAAAAH9P//E=")</f>
        <v>#VALUE!</v>
      </c>
      <c r="II62" t="e">
        <f>AND(Answers!BC203,"AAAAAH9P//I=")</f>
        <v>#VALUE!</v>
      </c>
      <c r="IJ62" t="e">
        <f>AND(Answers!BD203,"AAAAAH9P//M=")</f>
        <v>#VALUE!</v>
      </c>
      <c r="IK62" t="e">
        <f>AND(Answers!BE203,"AAAAAH9P//Q=")</f>
        <v>#VALUE!</v>
      </c>
      <c r="IL62" t="e">
        <f>AND(Answers!BF203,"AAAAAH9P//U=")</f>
        <v>#VALUE!</v>
      </c>
      <c r="IM62" t="e">
        <f>AND(Answers!BG203,"AAAAAH9P//Y=")</f>
        <v>#VALUE!</v>
      </c>
      <c r="IN62" t="e">
        <f>AND(Answers!BH203,"AAAAAH9P//c=")</f>
        <v>#VALUE!</v>
      </c>
      <c r="IO62" t="e">
        <f>AND(Answers!BI203,"AAAAAH9P//g=")</f>
        <v>#VALUE!</v>
      </c>
      <c r="IP62" t="e">
        <f>AND(Answers!BK203,"AAAAAH9P//k=")</f>
        <v>#VALUE!</v>
      </c>
      <c r="IQ62" t="e">
        <f>AND(Answers!BL203,"AAAAAH9P//o=")</f>
        <v>#VALUE!</v>
      </c>
      <c r="IR62" t="e">
        <f>AND(Answers!BM203,"AAAAAH9P//s=")</f>
        <v>#VALUE!</v>
      </c>
      <c r="IS62" t="e">
        <f>AND(Answers!BN203,"AAAAAH9P//w=")</f>
        <v>#VALUE!</v>
      </c>
      <c r="IT62" t="e">
        <f>AND(Answers!BO203,"AAAAAH9P//0=")</f>
        <v>#VALUE!</v>
      </c>
      <c r="IU62" t="e">
        <f>AND(Answers!BP203,"AAAAAH9P//4=")</f>
        <v>#VALUE!</v>
      </c>
      <c r="IV62" t="e">
        <f>AND(Answers!BQ203,"AAAAAH9P//8=")</f>
        <v>#VALUE!</v>
      </c>
    </row>
    <row r="63" spans="1:256" x14ac:dyDescent="0.15">
      <c r="A63" t="e">
        <f>AND(Answers!BR203,"AAAAAHv83wA=")</f>
        <v>#VALUE!</v>
      </c>
      <c r="B63" t="e">
        <f>AND(Answers!BS203,"AAAAAHv83wE=")</f>
        <v>#VALUE!</v>
      </c>
      <c r="C63" t="e">
        <f>AND(Answers!BU203,"AAAAAHv83wI=")</f>
        <v>#VALUE!</v>
      </c>
      <c r="D63" t="e">
        <f>AND(Answers!BV203,"AAAAAHv83wM=")</f>
        <v>#VALUE!</v>
      </c>
      <c r="E63" t="e">
        <f>AND(Answers!#REF!,"AAAAAHv83wQ=")</f>
        <v>#REF!</v>
      </c>
      <c r="F63" t="e">
        <f>AND(Answers!BW203,"AAAAAHv83wU=")</f>
        <v>#VALUE!</v>
      </c>
      <c r="G63" t="e">
        <f>AND(Answers!BX203,"AAAAAHv83wY=")</f>
        <v>#VALUE!</v>
      </c>
      <c r="H63" t="e">
        <f>AND(Answers!BY203,"AAAAAHv83wc=")</f>
        <v>#VALUE!</v>
      </c>
      <c r="I63" t="e">
        <f>AND(Answers!BZ203,"AAAAAHv83wg=")</f>
        <v>#VALUE!</v>
      </c>
      <c r="J63">
        <f>IF(Answers!204:204,"AAAAAHv83wk=",0)</f>
        <v>0</v>
      </c>
      <c r="K63" t="e">
        <f>AND(Answers!A204,"AAAAAHv83wo=")</f>
        <v>#VALUE!</v>
      </c>
      <c r="L63" t="e">
        <f>AND(Answers!B204,"AAAAAHv83ws=")</f>
        <v>#VALUE!</v>
      </c>
      <c r="M63" t="e">
        <f>AND(Answers!C204,"AAAAAHv83ww=")</f>
        <v>#VALUE!</v>
      </c>
      <c r="N63" t="e">
        <f>AND(Answers!D204,"AAAAAHv83w0=")</f>
        <v>#VALUE!</v>
      </c>
      <c r="O63" t="e">
        <f>AND(Answers!E204,"AAAAAHv83w4=")</f>
        <v>#VALUE!</v>
      </c>
      <c r="P63" t="e">
        <f>AND(Answers!F204,"AAAAAHv83w8=")</f>
        <v>#VALUE!</v>
      </c>
      <c r="Q63" t="e">
        <f>AND(Answers!G204,"AAAAAHv83xA=")</f>
        <v>#VALUE!</v>
      </c>
      <c r="R63" t="e">
        <f>AND(Answers!H204,"AAAAAHv83xE=")</f>
        <v>#VALUE!</v>
      </c>
      <c r="S63" t="e">
        <f>AND(Answers!J204,"AAAAAHv83xI=")</f>
        <v>#VALUE!</v>
      </c>
      <c r="T63" t="e">
        <f>AND(Answers!K204,"AAAAAHv83xM=")</f>
        <v>#VALUE!</v>
      </c>
      <c r="U63" t="e">
        <f>AND(Answers!L204,"AAAAAHv83xQ=")</f>
        <v>#VALUE!</v>
      </c>
      <c r="V63" t="e">
        <f>AND(Answers!M204,"AAAAAHv83xU=")</f>
        <v>#VALUE!</v>
      </c>
      <c r="W63" t="e">
        <f>AND(Answers!N204,"AAAAAHv83xY=")</f>
        <v>#VALUE!</v>
      </c>
      <c r="X63" t="e">
        <f>AND(Answers!O204,"AAAAAHv83xc=")</f>
        <v>#VALUE!</v>
      </c>
      <c r="Y63" t="e">
        <f>AND(Answers!P204,"AAAAAHv83xg=")</f>
        <v>#VALUE!</v>
      </c>
      <c r="Z63" t="e">
        <f>AND(Answers!Q204,"AAAAAHv83xk=")</f>
        <v>#VALUE!</v>
      </c>
      <c r="AA63" t="e">
        <f>AND(Answers!R204,"AAAAAHv83xo=")</f>
        <v>#VALUE!</v>
      </c>
      <c r="AB63" t="e">
        <f>AND(Answers!S204,"AAAAAHv83xs=")</f>
        <v>#VALUE!</v>
      </c>
      <c r="AC63" t="e">
        <f>AND(Answers!T204,"AAAAAHv83xw=")</f>
        <v>#VALUE!</v>
      </c>
      <c r="AD63" t="e">
        <f>AND(Answers!U204,"AAAAAHv83x0=")</f>
        <v>#VALUE!</v>
      </c>
      <c r="AE63" t="e">
        <f>AND(Answers!V204,"AAAAAHv83x4=")</f>
        <v>#VALUE!</v>
      </c>
      <c r="AF63" t="e">
        <f>AND(Answers!X204,"AAAAAHv83x8=")</f>
        <v>#VALUE!</v>
      </c>
      <c r="AG63" t="e">
        <f>AND(Answers!Y204,"AAAAAHv83yA=")</f>
        <v>#VALUE!</v>
      </c>
      <c r="AH63" t="e">
        <f>AND(Answers!Z204,"AAAAAHv83yE=")</f>
        <v>#VALUE!</v>
      </c>
      <c r="AI63" t="e">
        <f>AND(Answers!AA204,"AAAAAHv83yI=")</f>
        <v>#VALUE!</v>
      </c>
      <c r="AJ63" t="e">
        <f>AND(Answers!AB204,"AAAAAHv83yM=")</f>
        <v>#VALUE!</v>
      </c>
      <c r="AK63" t="e">
        <f>AND(Answers!AC204,"AAAAAHv83yQ=")</f>
        <v>#VALUE!</v>
      </c>
      <c r="AL63" t="e">
        <f>AND(Answers!AD204,"AAAAAHv83yU=")</f>
        <v>#VALUE!</v>
      </c>
      <c r="AM63" t="e">
        <f>AND(Answers!AE204,"AAAAAHv83yY=")</f>
        <v>#VALUE!</v>
      </c>
      <c r="AN63" t="e">
        <f>AND(Answers!AF204,"AAAAAHv83yc=")</f>
        <v>#VALUE!</v>
      </c>
      <c r="AO63" t="e">
        <f>AND(Answers!AH204,"AAAAAHv83yg=")</f>
        <v>#VALUE!</v>
      </c>
      <c r="AP63" t="e">
        <f>AND(Answers!AI204,"AAAAAHv83yk=")</f>
        <v>#VALUE!</v>
      </c>
      <c r="AQ63" t="e">
        <f>AND(Answers!AK204,"AAAAAHv83yo=")</f>
        <v>#VALUE!</v>
      </c>
      <c r="AR63" t="e">
        <f>AND(Answers!#REF!,"AAAAAHv83ys=")</f>
        <v>#REF!</v>
      </c>
      <c r="AS63" t="e">
        <f>AND(Answers!AR204,"AAAAAHv83yw=")</f>
        <v>#VALUE!</v>
      </c>
      <c r="AT63" t="e">
        <f>AND(Answers!AS204,"AAAAAHv83y0=")</f>
        <v>#VALUE!</v>
      </c>
      <c r="AU63" t="e">
        <f>AND(Answers!AT204,"AAAAAHv83y4=")</f>
        <v>#VALUE!</v>
      </c>
      <c r="AV63" t="e">
        <f>AND(Answers!AU204,"AAAAAHv83y8=")</f>
        <v>#VALUE!</v>
      </c>
      <c r="AW63" t="e">
        <f>AND(Answers!AW204,"AAAAAHv83zA=")</f>
        <v>#VALUE!</v>
      </c>
      <c r="AX63" t="e">
        <f>AND(Answers!AX204,"AAAAAHv83zE=")</f>
        <v>#VALUE!</v>
      </c>
      <c r="AY63" t="e">
        <f>AND(Answers!AY204,"AAAAAHv83zI=")</f>
        <v>#VALUE!</v>
      </c>
      <c r="AZ63" t="e">
        <f>AND(Answers!AZ204,"AAAAAHv83zM=")</f>
        <v>#VALUE!</v>
      </c>
      <c r="BA63" t="e">
        <f>AND(Answers!BA204,"AAAAAHv83zQ=")</f>
        <v>#VALUE!</v>
      </c>
      <c r="BB63" t="e">
        <f>AND(Answers!BB204,"AAAAAHv83zU=")</f>
        <v>#VALUE!</v>
      </c>
      <c r="BC63" t="e">
        <f>AND(Answers!BC204,"AAAAAHv83zY=")</f>
        <v>#VALUE!</v>
      </c>
      <c r="BD63" t="e">
        <f>AND(Answers!BD204,"AAAAAHv83zc=")</f>
        <v>#VALUE!</v>
      </c>
      <c r="BE63" t="e">
        <f>AND(Answers!BE204,"AAAAAHv83zg=")</f>
        <v>#VALUE!</v>
      </c>
      <c r="BF63" t="e">
        <f>AND(Answers!BF204,"AAAAAHv83zk=")</f>
        <v>#VALUE!</v>
      </c>
      <c r="BG63" t="e">
        <f>AND(Answers!BG204,"AAAAAHv83zo=")</f>
        <v>#VALUE!</v>
      </c>
      <c r="BH63" t="e">
        <f>AND(Answers!BH204,"AAAAAHv83zs=")</f>
        <v>#VALUE!</v>
      </c>
      <c r="BI63" t="e">
        <f>AND(Answers!BI204,"AAAAAHv83zw=")</f>
        <v>#VALUE!</v>
      </c>
      <c r="BJ63" t="e">
        <f>AND(Answers!BK204,"AAAAAHv83z0=")</f>
        <v>#VALUE!</v>
      </c>
      <c r="BK63" t="e">
        <f>AND(Answers!BL204,"AAAAAHv83z4=")</f>
        <v>#VALUE!</v>
      </c>
      <c r="BL63" t="e">
        <f>AND(Answers!BM204,"AAAAAHv83z8=")</f>
        <v>#VALUE!</v>
      </c>
      <c r="BM63" t="e">
        <f>AND(Answers!BN204,"AAAAAHv830A=")</f>
        <v>#VALUE!</v>
      </c>
      <c r="BN63" t="e">
        <f>AND(Answers!BO204,"AAAAAHv830E=")</f>
        <v>#VALUE!</v>
      </c>
      <c r="BO63" t="e">
        <f>AND(Answers!BP204,"AAAAAHv830I=")</f>
        <v>#VALUE!</v>
      </c>
      <c r="BP63" t="e">
        <f>AND(Answers!BQ204,"AAAAAHv830M=")</f>
        <v>#VALUE!</v>
      </c>
      <c r="BQ63" t="e">
        <f>AND(Answers!BR204,"AAAAAHv830Q=")</f>
        <v>#VALUE!</v>
      </c>
      <c r="BR63" t="e">
        <f>AND(Answers!BS204,"AAAAAHv830U=")</f>
        <v>#VALUE!</v>
      </c>
      <c r="BS63" t="e">
        <f>AND(Answers!BU204,"AAAAAHv830Y=")</f>
        <v>#VALUE!</v>
      </c>
      <c r="BT63" t="e">
        <f>AND(Answers!BV204,"AAAAAHv830c=")</f>
        <v>#VALUE!</v>
      </c>
      <c r="BU63" t="e">
        <f>AND(Answers!#REF!,"AAAAAHv830g=")</f>
        <v>#REF!</v>
      </c>
      <c r="BV63" t="e">
        <f>AND(Answers!BW204,"AAAAAHv830k=")</f>
        <v>#VALUE!</v>
      </c>
      <c r="BW63" t="e">
        <f>AND(Answers!BX204,"AAAAAHv830o=")</f>
        <v>#VALUE!</v>
      </c>
      <c r="BX63" t="e">
        <f>AND(Answers!BY204,"AAAAAHv830s=")</f>
        <v>#VALUE!</v>
      </c>
      <c r="BY63" t="e">
        <f>AND(Answers!BZ204,"AAAAAHv830w=")</f>
        <v>#VALUE!</v>
      </c>
      <c r="BZ63">
        <f>IF(Answers!205:205,"AAAAAHv8300=",0)</f>
        <v>0</v>
      </c>
      <c r="CA63" t="e">
        <f>AND(Answers!A205,"AAAAAHv8304=")</f>
        <v>#VALUE!</v>
      </c>
      <c r="CB63" t="e">
        <f>AND(Answers!B205,"AAAAAHv8308=")</f>
        <v>#VALUE!</v>
      </c>
      <c r="CC63" t="e">
        <f>AND(Answers!C205,"AAAAAHv831A=")</f>
        <v>#VALUE!</v>
      </c>
      <c r="CD63" t="e">
        <f>AND(Answers!D205,"AAAAAHv831E=")</f>
        <v>#VALUE!</v>
      </c>
      <c r="CE63" t="e">
        <f>AND(Answers!E205,"AAAAAHv831I=")</f>
        <v>#VALUE!</v>
      </c>
      <c r="CF63" t="e">
        <f>AND(Answers!F205,"AAAAAHv831M=")</f>
        <v>#VALUE!</v>
      </c>
      <c r="CG63" t="e">
        <f>AND(Answers!G205,"AAAAAHv831Q=")</f>
        <v>#VALUE!</v>
      </c>
      <c r="CH63" t="e">
        <f>AND(Answers!H205,"AAAAAHv831U=")</f>
        <v>#VALUE!</v>
      </c>
      <c r="CI63" t="e">
        <f>AND(Answers!J205,"AAAAAHv831Y=")</f>
        <v>#VALUE!</v>
      </c>
      <c r="CJ63" t="e">
        <f>AND(Answers!K205,"AAAAAHv831c=")</f>
        <v>#VALUE!</v>
      </c>
      <c r="CK63" t="e">
        <f>AND(Answers!L205,"AAAAAHv831g=")</f>
        <v>#VALUE!</v>
      </c>
      <c r="CL63" t="e">
        <f>AND(Answers!M205,"AAAAAHv831k=")</f>
        <v>#VALUE!</v>
      </c>
      <c r="CM63" t="e">
        <f>AND(Answers!N205,"AAAAAHv831o=")</f>
        <v>#VALUE!</v>
      </c>
      <c r="CN63" t="e">
        <f>AND(Answers!O205,"AAAAAHv831s=")</f>
        <v>#VALUE!</v>
      </c>
      <c r="CO63" t="e">
        <f>AND(Answers!P205,"AAAAAHv831w=")</f>
        <v>#VALUE!</v>
      </c>
      <c r="CP63" t="e">
        <f>AND(Answers!Q205,"AAAAAHv8310=")</f>
        <v>#VALUE!</v>
      </c>
      <c r="CQ63" t="e">
        <f>AND(Answers!R205,"AAAAAHv8314=")</f>
        <v>#VALUE!</v>
      </c>
      <c r="CR63" t="e">
        <f>AND(Answers!S205,"AAAAAHv8318=")</f>
        <v>#VALUE!</v>
      </c>
      <c r="CS63" t="e">
        <f>AND(Answers!T205,"AAAAAHv832A=")</f>
        <v>#VALUE!</v>
      </c>
      <c r="CT63" t="e">
        <f>AND(Answers!U205,"AAAAAHv832E=")</f>
        <v>#VALUE!</v>
      </c>
      <c r="CU63" t="e">
        <f>AND(Answers!V205,"AAAAAHv832I=")</f>
        <v>#VALUE!</v>
      </c>
      <c r="CV63" t="e">
        <f>AND(Answers!X205,"AAAAAHv832M=")</f>
        <v>#VALUE!</v>
      </c>
      <c r="CW63" t="e">
        <f>AND(Answers!Y205,"AAAAAHv832Q=")</f>
        <v>#VALUE!</v>
      </c>
      <c r="CX63" t="e">
        <f>AND(Answers!Z205,"AAAAAHv832U=")</f>
        <v>#VALUE!</v>
      </c>
      <c r="CY63" t="e">
        <f>AND(Answers!AA205,"AAAAAHv832Y=")</f>
        <v>#VALUE!</v>
      </c>
      <c r="CZ63" t="e">
        <f>AND(Answers!AB205,"AAAAAHv832c=")</f>
        <v>#VALUE!</v>
      </c>
      <c r="DA63" t="e">
        <f>AND(Answers!AC205,"AAAAAHv832g=")</f>
        <v>#VALUE!</v>
      </c>
      <c r="DB63" t="e">
        <f>AND(Answers!AD205,"AAAAAHv832k=")</f>
        <v>#VALUE!</v>
      </c>
      <c r="DC63" t="e">
        <f>AND(Answers!AE205,"AAAAAHv832o=")</f>
        <v>#VALUE!</v>
      </c>
      <c r="DD63" t="e">
        <f>AND(Answers!AF205,"AAAAAHv832s=")</f>
        <v>#VALUE!</v>
      </c>
      <c r="DE63" t="e">
        <f>AND(Answers!AH205,"AAAAAHv832w=")</f>
        <v>#VALUE!</v>
      </c>
      <c r="DF63" t="e">
        <f>AND(Answers!AI205,"AAAAAHv8320=")</f>
        <v>#VALUE!</v>
      </c>
      <c r="DG63" t="e">
        <f>AND(Answers!AK205,"AAAAAHv8324=")</f>
        <v>#VALUE!</v>
      </c>
      <c r="DH63" t="e">
        <f>AND(Answers!#REF!,"AAAAAHv8328=")</f>
        <v>#REF!</v>
      </c>
      <c r="DI63" t="e">
        <f>AND(Answers!AR205,"AAAAAHv833A=")</f>
        <v>#VALUE!</v>
      </c>
      <c r="DJ63" t="e">
        <f>AND(Answers!AS205,"AAAAAHv833E=")</f>
        <v>#VALUE!</v>
      </c>
      <c r="DK63" t="e">
        <f>AND(Answers!AT205,"AAAAAHv833I=")</f>
        <v>#VALUE!</v>
      </c>
      <c r="DL63" t="e">
        <f>AND(Answers!AU205,"AAAAAHv833M=")</f>
        <v>#VALUE!</v>
      </c>
      <c r="DM63" t="e">
        <f>AND(Answers!AW205,"AAAAAHv833Q=")</f>
        <v>#VALUE!</v>
      </c>
      <c r="DN63" t="e">
        <f>AND(Answers!AX205,"AAAAAHv833U=")</f>
        <v>#VALUE!</v>
      </c>
      <c r="DO63" t="e">
        <f>AND(Answers!AY205,"AAAAAHv833Y=")</f>
        <v>#VALUE!</v>
      </c>
      <c r="DP63" t="e">
        <f>AND(Answers!AZ205,"AAAAAHv833c=")</f>
        <v>#VALUE!</v>
      </c>
      <c r="DQ63" t="e">
        <f>AND(Answers!BA205,"AAAAAHv833g=")</f>
        <v>#VALUE!</v>
      </c>
      <c r="DR63" t="e">
        <f>AND(Answers!BB205,"AAAAAHv833k=")</f>
        <v>#VALUE!</v>
      </c>
      <c r="DS63" t="e">
        <f>AND(Answers!BC205,"AAAAAHv833o=")</f>
        <v>#VALUE!</v>
      </c>
      <c r="DT63" t="e">
        <f>AND(Answers!BD205,"AAAAAHv833s=")</f>
        <v>#VALUE!</v>
      </c>
      <c r="DU63" t="e">
        <f>AND(Answers!BE205,"AAAAAHv833w=")</f>
        <v>#VALUE!</v>
      </c>
      <c r="DV63" t="e">
        <f>AND(Answers!BF205,"AAAAAHv8330=")</f>
        <v>#VALUE!</v>
      </c>
      <c r="DW63" t="e">
        <f>AND(Answers!BG205,"AAAAAHv8334=")</f>
        <v>#VALUE!</v>
      </c>
      <c r="DX63" t="e">
        <f>AND(Answers!BH205,"AAAAAHv8338=")</f>
        <v>#VALUE!</v>
      </c>
      <c r="DY63" t="e">
        <f>AND(Answers!BI205,"AAAAAHv834A=")</f>
        <v>#VALUE!</v>
      </c>
      <c r="DZ63" t="e">
        <f>AND(Answers!BK205,"AAAAAHv834E=")</f>
        <v>#VALUE!</v>
      </c>
      <c r="EA63" t="e">
        <f>AND(Answers!BL205,"AAAAAHv834I=")</f>
        <v>#VALUE!</v>
      </c>
      <c r="EB63" t="e">
        <f>AND(Answers!BM205,"AAAAAHv834M=")</f>
        <v>#VALUE!</v>
      </c>
      <c r="EC63" t="e">
        <f>AND(Answers!BN205,"AAAAAHv834Q=")</f>
        <v>#VALUE!</v>
      </c>
      <c r="ED63" t="e">
        <f>AND(Answers!BO205,"AAAAAHv834U=")</f>
        <v>#VALUE!</v>
      </c>
      <c r="EE63" t="e">
        <f>AND(Answers!BP205,"AAAAAHv834Y=")</f>
        <v>#VALUE!</v>
      </c>
      <c r="EF63" t="e">
        <f>AND(Answers!BQ205,"AAAAAHv834c=")</f>
        <v>#VALUE!</v>
      </c>
      <c r="EG63" t="e">
        <f>AND(Answers!BR205,"AAAAAHv834g=")</f>
        <v>#VALUE!</v>
      </c>
      <c r="EH63" t="e">
        <f>AND(Answers!BS205,"AAAAAHv834k=")</f>
        <v>#VALUE!</v>
      </c>
      <c r="EI63" t="e">
        <f>AND(Answers!BU205,"AAAAAHv834o=")</f>
        <v>#VALUE!</v>
      </c>
      <c r="EJ63" t="e">
        <f>AND(Answers!BV205,"AAAAAHv834s=")</f>
        <v>#VALUE!</v>
      </c>
      <c r="EK63" t="e">
        <f>AND(Answers!#REF!,"AAAAAHv834w=")</f>
        <v>#REF!</v>
      </c>
      <c r="EL63" t="e">
        <f>AND(Answers!BW205,"AAAAAHv8340=")</f>
        <v>#VALUE!</v>
      </c>
      <c r="EM63" t="e">
        <f>AND(Answers!BX205,"AAAAAHv8344=")</f>
        <v>#VALUE!</v>
      </c>
      <c r="EN63" t="e">
        <f>AND(Answers!BY205,"AAAAAHv8348=")</f>
        <v>#VALUE!</v>
      </c>
      <c r="EO63" t="e">
        <f>AND(Answers!BZ205,"AAAAAHv835A=")</f>
        <v>#VALUE!</v>
      </c>
      <c r="EP63">
        <f>IF(Answers!206:206,"AAAAAHv835E=",0)</f>
        <v>0</v>
      </c>
      <c r="EQ63" t="e">
        <f>AND(Answers!A206,"AAAAAHv835I=")</f>
        <v>#VALUE!</v>
      </c>
      <c r="ER63" t="e">
        <f>AND(Answers!B206,"AAAAAHv835M=")</f>
        <v>#VALUE!</v>
      </c>
      <c r="ES63" t="e">
        <f>AND(Answers!C206,"AAAAAHv835Q=")</f>
        <v>#VALUE!</v>
      </c>
      <c r="ET63" t="e">
        <f>AND(Answers!D206,"AAAAAHv835U=")</f>
        <v>#VALUE!</v>
      </c>
      <c r="EU63" t="e">
        <f>AND(Answers!E206,"AAAAAHv835Y=")</f>
        <v>#VALUE!</v>
      </c>
      <c r="EV63" t="e">
        <f>AND(Answers!F206,"AAAAAHv835c=")</f>
        <v>#VALUE!</v>
      </c>
      <c r="EW63" t="e">
        <f>AND(Answers!G206,"AAAAAHv835g=")</f>
        <v>#VALUE!</v>
      </c>
      <c r="EX63" t="e">
        <f>AND(Answers!H206,"AAAAAHv835k=")</f>
        <v>#VALUE!</v>
      </c>
      <c r="EY63" t="e">
        <f>AND(Answers!J206,"AAAAAHv835o=")</f>
        <v>#VALUE!</v>
      </c>
      <c r="EZ63" t="e">
        <f>AND(Answers!K206,"AAAAAHv835s=")</f>
        <v>#VALUE!</v>
      </c>
      <c r="FA63" t="e">
        <f>AND(Answers!L206,"AAAAAHv835w=")</f>
        <v>#VALUE!</v>
      </c>
      <c r="FB63" t="e">
        <f>AND(Answers!M206,"AAAAAHv8350=")</f>
        <v>#VALUE!</v>
      </c>
      <c r="FC63" t="e">
        <f>AND(Answers!N206,"AAAAAHv8354=")</f>
        <v>#VALUE!</v>
      </c>
      <c r="FD63" t="e">
        <f>AND(Answers!O206,"AAAAAHv8358=")</f>
        <v>#VALUE!</v>
      </c>
      <c r="FE63" t="e">
        <f>AND(Answers!P206,"AAAAAHv836A=")</f>
        <v>#VALUE!</v>
      </c>
      <c r="FF63" t="e">
        <f>AND(Answers!Q206,"AAAAAHv836E=")</f>
        <v>#VALUE!</v>
      </c>
      <c r="FG63" t="e">
        <f>AND(Answers!R206,"AAAAAHv836I=")</f>
        <v>#VALUE!</v>
      </c>
      <c r="FH63" t="e">
        <f>AND(Answers!S206,"AAAAAHv836M=")</f>
        <v>#VALUE!</v>
      </c>
      <c r="FI63" t="e">
        <f>AND(Answers!T206,"AAAAAHv836Q=")</f>
        <v>#VALUE!</v>
      </c>
      <c r="FJ63" t="e">
        <f>AND(Answers!U206,"AAAAAHv836U=")</f>
        <v>#VALUE!</v>
      </c>
      <c r="FK63" t="e">
        <f>AND(Answers!V206,"AAAAAHv836Y=")</f>
        <v>#VALUE!</v>
      </c>
      <c r="FL63" t="e">
        <f>AND(Answers!X206,"AAAAAHv836c=")</f>
        <v>#VALUE!</v>
      </c>
      <c r="FM63" t="e">
        <f>AND(Answers!Y206,"AAAAAHv836g=")</f>
        <v>#VALUE!</v>
      </c>
      <c r="FN63" t="e">
        <f>AND(Answers!Z206,"AAAAAHv836k=")</f>
        <v>#VALUE!</v>
      </c>
      <c r="FO63" t="e">
        <f>AND(Answers!AA206,"AAAAAHv836o=")</f>
        <v>#VALUE!</v>
      </c>
      <c r="FP63" t="e">
        <f>AND(Answers!AB206,"AAAAAHv836s=")</f>
        <v>#VALUE!</v>
      </c>
      <c r="FQ63" t="e">
        <f>AND(Answers!AC206,"AAAAAHv836w=")</f>
        <v>#VALUE!</v>
      </c>
      <c r="FR63" t="e">
        <f>AND(Answers!AD206,"AAAAAHv8360=")</f>
        <v>#VALUE!</v>
      </c>
      <c r="FS63" t="e">
        <f>AND(Answers!AE206,"AAAAAHv8364=")</f>
        <v>#VALUE!</v>
      </c>
      <c r="FT63" t="e">
        <f>AND(Answers!AF206,"AAAAAHv8368=")</f>
        <v>#VALUE!</v>
      </c>
      <c r="FU63" t="e">
        <f>AND(Answers!AH206,"AAAAAHv837A=")</f>
        <v>#VALUE!</v>
      </c>
      <c r="FV63" t="e">
        <f>AND(Answers!AI206,"AAAAAHv837E=")</f>
        <v>#VALUE!</v>
      </c>
      <c r="FW63" t="e">
        <f>AND(Answers!AK206,"AAAAAHv837I=")</f>
        <v>#VALUE!</v>
      </c>
      <c r="FX63" t="e">
        <f>AND(Answers!#REF!,"AAAAAHv837M=")</f>
        <v>#REF!</v>
      </c>
      <c r="FY63" t="e">
        <f>AND(Answers!AR206,"AAAAAHv837Q=")</f>
        <v>#VALUE!</v>
      </c>
      <c r="FZ63" t="e">
        <f>AND(Answers!AS206,"AAAAAHv837U=")</f>
        <v>#VALUE!</v>
      </c>
      <c r="GA63" t="e">
        <f>AND(Answers!AT206,"AAAAAHv837Y=")</f>
        <v>#VALUE!</v>
      </c>
      <c r="GB63" t="e">
        <f>AND(Answers!AU206,"AAAAAHv837c=")</f>
        <v>#VALUE!</v>
      </c>
      <c r="GC63" t="e">
        <f>AND(Answers!AW206,"AAAAAHv837g=")</f>
        <v>#VALUE!</v>
      </c>
      <c r="GD63" t="e">
        <f>AND(Answers!AX206,"AAAAAHv837k=")</f>
        <v>#VALUE!</v>
      </c>
      <c r="GE63" t="e">
        <f>AND(Answers!AY206,"AAAAAHv837o=")</f>
        <v>#VALUE!</v>
      </c>
      <c r="GF63" t="e">
        <f>AND(Answers!AZ206,"AAAAAHv837s=")</f>
        <v>#VALUE!</v>
      </c>
      <c r="GG63" t="e">
        <f>AND(Answers!BA206,"AAAAAHv837w=")</f>
        <v>#VALUE!</v>
      </c>
      <c r="GH63" t="e">
        <f>AND(Answers!BB206,"AAAAAHv8370=")</f>
        <v>#VALUE!</v>
      </c>
      <c r="GI63" t="e">
        <f>AND(Answers!BC206,"AAAAAHv8374=")</f>
        <v>#VALUE!</v>
      </c>
      <c r="GJ63" t="e">
        <f>AND(Answers!BD206,"AAAAAHv8378=")</f>
        <v>#VALUE!</v>
      </c>
      <c r="GK63" t="e">
        <f>AND(Answers!BE206,"AAAAAHv838A=")</f>
        <v>#VALUE!</v>
      </c>
      <c r="GL63" t="e">
        <f>AND(Answers!BF206,"AAAAAHv838E=")</f>
        <v>#VALUE!</v>
      </c>
      <c r="GM63" t="e">
        <f>AND(Answers!BG206,"AAAAAHv838I=")</f>
        <v>#VALUE!</v>
      </c>
      <c r="GN63" t="e">
        <f>AND(Answers!BH206,"AAAAAHv838M=")</f>
        <v>#VALUE!</v>
      </c>
      <c r="GO63" t="e">
        <f>AND(Answers!BI206,"AAAAAHv838Q=")</f>
        <v>#VALUE!</v>
      </c>
      <c r="GP63" t="e">
        <f>AND(Answers!BK206,"AAAAAHv838U=")</f>
        <v>#VALUE!</v>
      </c>
      <c r="GQ63" t="e">
        <f>AND(Answers!BL206,"AAAAAHv838Y=")</f>
        <v>#VALUE!</v>
      </c>
      <c r="GR63" t="e">
        <f>AND(Answers!BM206,"AAAAAHv838c=")</f>
        <v>#VALUE!</v>
      </c>
      <c r="GS63" t="e">
        <f>AND(Answers!BN206,"AAAAAHv838g=")</f>
        <v>#VALUE!</v>
      </c>
      <c r="GT63" t="e">
        <f>AND(Answers!BO206,"AAAAAHv838k=")</f>
        <v>#VALUE!</v>
      </c>
      <c r="GU63" t="e">
        <f>AND(Answers!BP206,"AAAAAHv838o=")</f>
        <v>#VALUE!</v>
      </c>
      <c r="GV63" t="e">
        <f>AND(Answers!BQ206,"AAAAAHv838s=")</f>
        <v>#VALUE!</v>
      </c>
      <c r="GW63" t="e">
        <f>AND(Answers!BR206,"AAAAAHv838w=")</f>
        <v>#VALUE!</v>
      </c>
      <c r="GX63" t="e">
        <f>AND(Answers!BS206,"AAAAAHv8380=")</f>
        <v>#VALUE!</v>
      </c>
      <c r="GY63" t="e">
        <f>AND(Answers!BU206,"AAAAAHv8384=")</f>
        <v>#VALUE!</v>
      </c>
      <c r="GZ63" t="e">
        <f>AND(Answers!BV206,"AAAAAHv8388=")</f>
        <v>#VALUE!</v>
      </c>
      <c r="HA63" t="e">
        <f>AND(Answers!#REF!,"AAAAAHv839A=")</f>
        <v>#REF!</v>
      </c>
      <c r="HB63" t="e">
        <f>AND(Answers!BW206,"AAAAAHv839E=")</f>
        <v>#VALUE!</v>
      </c>
      <c r="HC63" t="e">
        <f>AND(Answers!BX206,"AAAAAHv839I=")</f>
        <v>#VALUE!</v>
      </c>
      <c r="HD63" t="e">
        <f>AND(Answers!BY206,"AAAAAHv839M=")</f>
        <v>#VALUE!</v>
      </c>
      <c r="HE63" t="e">
        <f>AND(Answers!BZ206,"AAAAAHv839Q=")</f>
        <v>#VALUE!</v>
      </c>
      <c r="HF63">
        <f>IF(Answers!207:207,"AAAAAHv839U=",0)</f>
        <v>0</v>
      </c>
      <c r="HG63" t="e">
        <f>AND(Answers!A207,"AAAAAHv839Y=")</f>
        <v>#VALUE!</v>
      </c>
      <c r="HH63" t="e">
        <f>AND(Answers!B207,"AAAAAHv839c=")</f>
        <v>#VALUE!</v>
      </c>
      <c r="HI63" t="e">
        <f>AND(Answers!C207,"AAAAAHv839g=")</f>
        <v>#VALUE!</v>
      </c>
      <c r="HJ63" t="e">
        <f>AND(Answers!D207,"AAAAAHv839k=")</f>
        <v>#VALUE!</v>
      </c>
      <c r="HK63" t="e">
        <f>AND(Answers!E207,"AAAAAHv839o=")</f>
        <v>#VALUE!</v>
      </c>
      <c r="HL63" t="e">
        <f>AND(Answers!F207,"AAAAAHv839s=")</f>
        <v>#VALUE!</v>
      </c>
      <c r="HM63" t="e">
        <f>AND(Answers!G207,"AAAAAHv839w=")</f>
        <v>#VALUE!</v>
      </c>
      <c r="HN63" t="e">
        <f>AND(Answers!H207,"AAAAAHv8390=")</f>
        <v>#VALUE!</v>
      </c>
      <c r="HO63" t="e">
        <f>AND(Answers!J207,"AAAAAHv8394=")</f>
        <v>#VALUE!</v>
      </c>
      <c r="HP63" t="e">
        <f>AND(Answers!K207,"AAAAAHv8398=")</f>
        <v>#VALUE!</v>
      </c>
      <c r="HQ63" t="e">
        <f>AND(Answers!L207,"AAAAAHv83+A=")</f>
        <v>#VALUE!</v>
      </c>
      <c r="HR63" t="e">
        <f>AND(Answers!M207,"AAAAAHv83+E=")</f>
        <v>#VALUE!</v>
      </c>
      <c r="HS63" t="e">
        <f>AND(Answers!N207,"AAAAAHv83+I=")</f>
        <v>#VALUE!</v>
      </c>
      <c r="HT63" t="e">
        <f>AND(Answers!O207,"AAAAAHv83+M=")</f>
        <v>#VALUE!</v>
      </c>
      <c r="HU63" t="e">
        <f>AND(Answers!P207,"AAAAAHv83+Q=")</f>
        <v>#VALUE!</v>
      </c>
      <c r="HV63" t="e">
        <f>AND(Answers!Q207,"AAAAAHv83+U=")</f>
        <v>#VALUE!</v>
      </c>
      <c r="HW63" t="e">
        <f>AND(Answers!R207,"AAAAAHv83+Y=")</f>
        <v>#VALUE!</v>
      </c>
      <c r="HX63" t="e">
        <f>AND(Answers!S207,"AAAAAHv83+c=")</f>
        <v>#VALUE!</v>
      </c>
      <c r="HY63" t="e">
        <f>AND(Answers!T207,"AAAAAHv83+g=")</f>
        <v>#VALUE!</v>
      </c>
      <c r="HZ63" t="e">
        <f>AND(Answers!U207,"AAAAAHv83+k=")</f>
        <v>#VALUE!</v>
      </c>
      <c r="IA63" t="e">
        <f>AND(Answers!V207,"AAAAAHv83+o=")</f>
        <v>#VALUE!</v>
      </c>
      <c r="IB63" t="e">
        <f>AND(Answers!X207,"AAAAAHv83+s=")</f>
        <v>#VALUE!</v>
      </c>
      <c r="IC63" t="e">
        <f>AND(Answers!Y207,"AAAAAHv83+w=")</f>
        <v>#VALUE!</v>
      </c>
      <c r="ID63" t="e">
        <f>AND(Answers!Z207,"AAAAAHv83+0=")</f>
        <v>#VALUE!</v>
      </c>
      <c r="IE63" t="e">
        <f>AND(Answers!AA207,"AAAAAHv83+4=")</f>
        <v>#VALUE!</v>
      </c>
      <c r="IF63" t="e">
        <f>AND(Answers!AB207,"AAAAAHv83+8=")</f>
        <v>#VALUE!</v>
      </c>
      <c r="IG63" t="e">
        <f>AND(Answers!AC207,"AAAAAHv83/A=")</f>
        <v>#VALUE!</v>
      </c>
      <c r="IH63" t="e">
        <f>AND(Answers!AD207,"AAAAAHv83/E=")</f>
        <v>#VALUE!</v>
      </c>
      <c r="II63" t="e">
        <f>AND(Answers!AE207,"AAAAAHv83/I=")</f>
        <v>#VALUE!</v>
      </c>
      <c r="IJ63" t="e">
        <f>AND(Answers!AF207,"AAAAAHv83/M=")</f>
        <v>#VALUE!</v>
      </c>
      <c r="IK63" t="e">
        <f>AND(Answers!AH207,"AAAAAHv83/Q=")</f>
        <v>#VALUE!</v>
      </c>
      <c r="IL63" t="e">
        <f>AND(Answers!AI207,"AAAAAHv83/U=")</f>
        <v>#VALUE!</v>
      </c>
      <c r="IM63" t="e">
        <f>AND(Answers!AK207,"AAAAAHv83/Y=")</f>
        <v>#VALUE!</v>
      </c>
      <c r="IN63" t="e">
        <f>AND(Answers!#REF!,"AAAAAHv83/c=")</f>
        <v>#REF!</v>
      </c>
      <c r="IO63" t="e">
        <f>AND(Answers!AR207,"AAAAAHv83/g=")</f>
        <v>#VALUE!</v>
      </c>
      <c r="IP63" t="e">
        <f>AND(Answers!AS207,"AAAAAHv83/k=")</f>
        <v>#VALUE!</v>
      </c>
      <c r="IQ63" t="e">
        <f>AND(Answers!AT207,"AAAAAHv83/o=")</f>
        <v>#VALUE!</v>
      </c>
      <c r="IR63" t="e">
        <f>AND(Answers!AU207,"AAAAAHv83/s=")</f>
        <v>#VALUE!</v>
      </c>
      <c r="IS63" t="e">
        <f>AND(Answers!AW207,"AAAAAHv83/w=")</f>
        <v>#VALUE!</v>
      </c>
      <c r="IT63" t="e">
        <f>AND(Answers!AX207,"AAAAAHv83/0=")</f>
        <v>#VALUE!</v>
      </c>
      <c r="IU63" t="e">
        <f>AND(Answers!AY207,"AAAAAHv83/4=")</f>
        <v>#VALUE!</v>
      </c>
      <c r="IV63" t="e">
        <f>AND(Answers!AZ207,"AAAAAHv83/8=")</f>
        <v>#VALUE!</v>
      </c>
    </row>
    <row r="64" spans="1:256" x14ac:dyDescent="0.15">
      <c r="A64" t="e">
        <f>AND(Answers!BA207,"AAAAAH9Z7wA=")</f>
        <v>#VALUE!</v>
      </c>
      <c r="B64" t="e">
        <f>AND(Answers!BB207,"AAAAAH9Z7wE=")</f>
        <v>#VALUE!</v>
      </c>
      <c r="C64" t="e">
        <f>AND(Answers!BC207,"AAAAAH9Z7wI=")</f>
        <v>#VALUE!</v>
      </c>
      <c r="D64" t="e">
        <f>AND(Answers!BD207,"AAAAAH9Z7wM=")</f>
        <v>#VALUE!</v>
      </c>
      <c r="E64" t="e">
        <f>AND(Answers!BE207,"AAAAAH9Z7wQ=")</f>
        <v>#VALUE!</v>
      </c>
      <c r="F64" t="e">
        <f>AND(Answers!BF207,"AAAAAH9Z7wU=")</f>
        <v>#VALUE!</v>
      </c>
      <c r="G64" t="e">
        <f>AND(Answers!BG207,"AAAAAH9Z7wY=")</f>
        <v>#VALUE!</v>
      </c>
      <c r="H64" t="e">
        <f>AND(Answers!BH207,"AAAAAH9Z7wc=")</f>
        <v>#VALUE!</v>
      </c>
      <c r="I64" t="e">
        <f>AND(Answers!BI207,"AAAAAH9Z7wg=")</f>
        <v>#VALUE!</v>
      </c>
      <c r="J64" t="e">
        <f>AND(Answers!BK207,"AAAAAH9Z7wk=")</f>
        <v>#VALUE!</v>
      </c>
      <c r="K64" t="e">
        <f>AND(Answers!BL207,"AAAAAH9Z7wo=")</f>
        <v>#VALUE!</v>
      </c>
      <c r="L64" t="e">
        <f>AND(Answers!BM207,"AAAAAH9Z7ws=")</f>
        <v>#VALUE!</v>
      </c>
      <c r="M64" t="e">
        <f>AND(Answers!BN207,"AAAAAH9Z7ww=")</f>
        <v>#VALUE!</v>
      </c>
      <c r="N64" t="e">
        <f>AND(Answers!BO207,"AAAAAH9Z7w0=")</f>
        <v>#VALUE!</v>
      </c>
      <c r="O64" t="e">
        <f>AND(Answers!BP207,"AAAAAH9Z7w4=")</f>
        <v>#VALUE!</v>
      </c>
      <c r="P64" t="e">
        <f>AND(Answers!BQ207,"AAAAAH9Z7w8=")</f>
        <v>#VALUE!</v>
      </c>
      <c r="Q64" t="e">
        <f>AND(Answers!BR207,"AAAAAH9Z7xA=")</f>
        <v>#VALUE!</v>
      </c>
      <c r="R64" t="e">
        <f>AND(Answers!BS207,"AAAAAH9Z7xE=")</f>
        <v>#VALUE!</v>
      </c>
      <c r="S64" t="e">
        <f>AND(Answers!BU207,"AAAAAH9Z7xI=")</f>
        <v>#VALUE!</v>
      </c>
      <c r="T64" t="e">
        <f>AND(Answers!BV207,"AAAAAH9Z7xM=")</f>
        <v>#VALUE!</v>
      </c>
      <c r="U64" t="e">
        <f>AND(Answers!#REF!,"AAAAAH9Z7xQ=")</f>
        <v>#REF!</v>
      </c>
      <c r="V64" t="e">
        <f>AND(Answers!BW207,"AAAAAH9Z7xU=")</f>
        <v>#VALUE!</v>
      </c>
      <c r="W64" t="e">
        <f>AND(Answers!BX207,"AAAAAH9Z7xY=")</f>
        <v>#VALUE!</v>
      </c>
      <c r="X64" t="e">
        <f>AND(Answers!BY207,"AAAAAH9Z7xc=")</f>
        <v>#VALUE!</v>
      </c>
      <c r="Y64" t="e">
        <f>AND(Answers!BZ207,"AAAAAH9Z7xg=")</f>
        <v>#VALUE!</v>
      </c>
      <c r="Z64">
        <f>IF(Answers!208:208,"AAAAAH9Z7xk=",0)</f>
        <v>0</v>
      </c>
      <c r="AA64" t="e">
        <f>AND(Answers!A208,"AAAAAH9Z7xo=")</f>
        <v>#VALUE!</v>
      </c>
      <c r="AB64" t="e">
        <f>AND(Answers!B208,"AAAAAH9Z7xs=")</f>
        <v>#VALUE!</v>
      </c>
      <c r="AC64" t="e">
        <f>AND(Answers!C208,"AAAAAH9Z7xw=")</f>
        <v>#VALUE!</v>
      </c>
      <c r="AD64" t="e">
        <f>AND(Answers!D208,"AAAAAH9Z7x0=")</f>
        <v>#VALUE!</v>
      </c>
      <c r="AE64" t="e">
        <f>AND(Answers!E208,"AAAAAH9Z7x4=")</f>
        <v>#VALUE!</v>
      </c>
      <c r="AF64" t="e">
        <f>AND(Answers!F208,"AAAAAH9Z7x8=")</f>
        <v>#VALUE!</v>
      </c>
      <c r="AG64" t="e">
        <f>AND(Answers!G208,"AAAAAH9Z7yA=")</f>
        <v>#VALUE!</v>
      </c>
      <c r="AH64" t="e">
        <f>AND(Answers!H208,"AAAAAH9Z7yE=")</f>
        <v>#VALUE!</v>
      </c>
      <c r="AI64" t="e">
        <f>AND(Answers!J208,"AAAAAH9Z7yI=")</f>
        <v>#VALUE!</v>
      </c>
      <c r="AJ64" t="e">
        <f>AND(Answers!K208,"AAAAAH9Z7yM=")</f>
        <v>#VALUE!</v>
      </c>
      <c r="AK64" t="e">
        <f>AND(Answers!L208,"AAAAAH9Z7yQ=")</f>
        <v>#VALUE!</v>
      </c>
      <c r="AL64" t="e">
        <f>AND(Answers!M208,"AAAAAH9Z7yU=")</f>
        <v>#VALUE!</v>
      </c>
      <c r="AM64" t="e">
        <f>AND(Answers!N208,"AAAAAH9Z7yY=")</f>
        <v>#VALUE!</v>
      </c>
      <c r="AN64" t="e">
        <f>AND(Answers!O208,"AAAAAH9Z7yc=")</f>
        <v>#VALUE!</v>
      </c>
      <c r="AO64" t="e">
        <f>AND(Answers!P208,"AAAAAH9Z7yg=")</f>
        <v>#VALUE!</v>
      </c>
      <c r="AP64" t="e">
        <f>AND(Answers!Q208,"AAAAAH9Z7yk=")</f>
        <v>#VALUE!</v>
      </c>
      <c r="AQ64" t="e">
        <f>AND(Answers!R208,"AAAAAH9Z7yo=")</f>
        <v>#VALUE!</v>
      </c>
      <c r="AR64" t="e">
        <f>AND(Answers!S208,"AAAAAH9Z7ys=")</f>
        <v>#VALUE!</v>
      </c>
      <c r="AS64" t="e">
        <f>AND(Answers!T208,"AAAAAH9Z7yw=")</f>
        <v>#VALUE!</v>
      </c>
      <c r="AT64" t="e">
        <f>AND(Answers!U208,"AAAAAH9Z7y0=")</f>
        <v>#VALUE!</v>
      </c>
      <c r="AU64" t="e">
        <f>AND(Answers!V208,"AAAAAH9Z7y4=")</f>
        <v>#VALUE!</v>
      </c>
      <c r="AV64" t="e">
        <f>AND(Answers!X208,"AAAAAH9Z7y8=")</f>
        <v>#VALUE!</v>
      </c>
      <c r="AW64" t="e">
        <f>AND(Answers!Y208,"AAAAAH9Z7zA=")</f>
        <v>#VALUE!</v>
      </c>
      <c r="AX64" t="e">
        <f>AND(Answers!Z208,"AAAAAH9Z7zE=")</f>
        <v>#VALUE!</v>
      </c>
      <c r="AY64" t="e">
        <f>AND(Answers!AA208,"AAAAAH9Z7zI=")</f>
        <v>#VALUE!</v>
      </c>
      <c r="AZ64" t="e">
        <f>AND(Answers!AB208,"AAAAAH9Z7zM=")</f>
        <v>#VALUE!</v>
      </c>
      <c r="BA64" t="e">
        <f>AND(Answers!AC208,"AAAAAH9Z7zQ=")</f>
        <v>#VALUE!</v>
      </c>
      <c r="BB64" t="e">
        <f>AND(Answers!AD208,"AAAAAH9Z7zU=")</f>
        <v>#VALUE!</v>
      </c>
      <c r="BC64" t="e">
        <f>AND(Answers!AE208,"AAAAAH9Z7zY=")</f>
        <v>#VALUE!</v>
      </c>
      <c r="BD64" t="e">
        <f>AND(Answers!AF208,"AAAAAH9Z7zc=")</f>
        <v>#VALUE!</v>
      </c>
      <c r="BE64" t="e">
        <f>AND(Answers!AH208,"AAAAAH9Z7zg=")</f>
        <v>#VALUE!</v>
      </c>
      <c r="BF64" t="e">
        <f>AND(Answers!AI208,"AAAAAH9Z7zk=")</f>
        <v>#VALUE!</v>
      </c>
      <c r="BG64" t="e">
        <f>AND(Answers!AK208,"AAAAAH9Z7zo=")</f>
        <v>#VALUE!</v>
      </c>
      <c r="BH64" t="e">
        <f>AND(Answers!#REF!,"AAAAAH9Z7zs=")</f>
        <v>#REF!</v>
      </c>
      <c r="BI64" t="e">
        <f>AND(Answers!AR208,"AAAAAH9Z7zw=")</f>
        <v>#VALUE!</v>
      </c>
      <c r="BJ64" t="e">
        <f>AND(Answers!AS208,"AAAAAH9Z7z0=")</f>
        <v>#VALUE!</v>
      </c>
      <c r="BK64" t="e">
        <f>AND(Answers!AT208,"AAAAAH9Z7z4=")</f>
        <v>#VALUE!</v>
      </c>
      <c r="BL64" t="e">
        <f>AND(Answers!AU208,"AAAAAH9Z7z8=")</f>
        <v>#VALUE!</v>
      </c>
      <c r="BM64" t="e">
        <f>AND(Answers!AW208,"AAAAAH9Z70A=")</f>
        <v>#VALUE!</v>
      </c>
      <c r="BN64" t="e">
        <f>AND(Answers!AX208,"AAAAAH9Z70E=")</f>
        <v>#VALUE!</v>
      </c>
      <c r="BO64" t="e">
        <f>AND(Answers!AY208,"AAAAAH9Z70I=")</f>
        <v>#VALUE!</v>
      </c>
      <c r="BP64" t="e">
        <f>AND(Answers!AZ208,"AAAAAH9Z70M=")</f>
        <v>#VALUE!</v>
      </c>
      <c r="BQ64" t="e">
        <f>AND(Answers!BA208,"AAAAAH9Z70Q=")</f>
        <v>#VALUE!</v>
      </c>
      <c r="BR64" t="e">
        <f>AND(Answers!BB208,"AAAAAH9Z70U=")</f>
        <v>#VALUE!</v>
      </c>
      <c r="BS64" t="e">
        <f>AND(Answers!BC208,"AAAAAH9Z70Y=")</f>
        <v>#VALUE!</v>
      </c>
      <c r="BT64" t="e">
        <f>AND(Answers!BD208,"AAAAAH9Z70c=")</f>
        <v>#VALUE!</v>
      </c>
      <c r="BU64" t="e">
        <f>AND(Answers!BE208,"AAAAAH9Z70g=")</f>
        <v>#VALUE!</v>
      </c>
      <c r="BV64" t="e">
        <f>AND(Answers!BF208,"AAAAAH9Z70k=")</f>
        <v>#VALUE!</v>
      </c>
      <c r="BW64" t="e">
        <f>AND(Answers!BG208,"AAAAAH9Z70o=")</f>
        <v>#VALUE!</v>
      </c>
      <c r="BX64" t="e">
        <f>AND(Answers!BH208,"AAAAAH9Z70s=")</f>
        <v>#VALUE!</v>
      </c>
      <c r="BY64" t="e">
        <f>AND(Answers!BI208,"AAAAAH9Z70w=")</f>
        <v>#VALUE!</v>
      </c>
      <c r="BZ64" t="e">
        <f>AND(Answers!BK208,"AAAAAH9Z700=")</f>
        <v>#VALUE!</v>
      </c>
      <c r="CA64" t="e">
        <f>AND(Answers!BL208,"AAAAAH9Z704=")</f>
        <v>#VALUE!</v>
      </c>
      <c r="CB64" t="e">
        <f>AND(Answers!BM208,"AAAAAH9Z708=")</f>
        <v>#VALUE!</v>
      </c>
      <c r="CC64" t="e">
        <f>AND(Answers!BN208,"AAAAAH9Z71A=")</f>
        <v>#VALUE!</v>
      </c>
      <c r="CD64" t="e">
        <f>AND(Answers!BO208,"AAAAAH9Z71E=")</f>
        <v>#VALUE!</v>
      </c>
      <c r="CE64" t="e">
        <f>AND(Answers!BP208,"AAAAAH9Z71I=")</f>
        <v>#VALUE!</v>
      </c>
      <c r="CF64" t="e">
        <f>AND(Answers!BQ208,"AAAAAH9Z71M=")</f>
        <v>#VALUE!</v>
      </c>
      <c r="CG64" t="e">
        <f>AND(Answers!BR208,"AAAAAH9Z71Q=")</f>
        <v>#VALUE!</v>
      </c>
      <c r="CH64" t="e">
        <f>AND(Answers!BS208,"AAAAAH9Z71U=")</f>
        <v>#VALUE!</v>
      </c>
      <c r="CI64" t="e">
        <f>AND(Answers!BU208,"AAAAAH9Z71Y=")</f>
        <v>#VALUE!</v>
      </c>
      <c r="CJ64" t="e">
        <f>AND(Answers!BV208,"AAAAAH9Z71c=")</f>
        <v>#VALUE!</v>
      </c>
      <c r="CK64" t="e">
        <f>AND(Answers!#REF!,"AAAAAH9Z71g=")</f>
        <v>#REF!</v>
      </c>
      <c r="CL64" t="e">
        <f>AND(Answers!BW208,"AAAAAH9Z71k=")</f>
        <v>#VALUE!</v>
      </c>
      <c r="CM64" t="e">
        <f>AND(Answers!BX208,"AAAAAH9Z71o=")</f>
        <v>#VALUE!</v>
      </c>
      <c r="CN64" t="e">
        <f>AND(Answers!BY208,"AAAAAH9Z71s=")</f>
        <v>#VALUE!</v>
      </c>
      <c r="CO64" t="e">
        <f>AND(Answers!BZ208,"AAAAAH9Z71w=")</f>
        <v>#VALUE!</v>
      </c>
      <c r="CP64">
        <f>IF(Answers!209:209,"AAAAAH9Z710=",0)</f>
        <v>0</v>
      </c>
      <c r="CQ64" t="e">
        <f>AND(Answers!A209,"AAAAAH9Z714=")</f>
        <v>#VALUE!</v>
      </c>
      <c r="CR64" t="e">
        <f>AND(Answers!B209,"AAAAAH9Z718=")</f>
        <v>#VALUE!</v>
      </c>
      <c r="CS64" t="e">
        <f>AND(Answers!C209,"AAAAAH9Z72A=")</f>
        <v>#VALUE!</v>
      </c>
      <c r="CT64" t="e">
        <f>AND(Answers!D209,"AAAAAH9Z72E=")</f>
        <v>#VALUE!</v>
      </c>
      <c r="CU64" t="e">
        <f>AND(Answers!E209,"AAAAAH9Z72I=")</f>
        <v>#VALUE!</v>
      </c>
      <c r="CV64" t="e">
        <f>AND(Answers!F209,"AAAAAH9Z72M=")</f>
        <v>#VALUE!</v>
      </c>
      <c r="CW64" t="e">
        <f>AND(Answers!G209,"AAAAAH9Z72Q=")</f>
        <v>#VALUE!</v>
      </c>
      <c r="CX64" t="e">
        <f>AND(Answers!H209,"AAAAAH9Z72U=")</f>
        <v>#VALUE!</v>
      </c>
      <c r="CY64" t="e">
        <f>AND(Answers!J209,"AAAAAH9Z72Y=")</f>
        <v>#VALUE!</v>
      </c>
      <c r="CZ64" t="e">
        <f>AND(Answers!K209,"AAAAAH9Z72c=")</f>
        <v>#VALUE!</v>
      </c>
      <c r="DA64" t="e">
        <f>AND(Answers!L209,"AAAAAH9Z72g=")</f>
        <v>#VALUE!</v>
      </c>
      <c r="DB64" t="e">
        <f>AND(Answers!M209,"AAAAAH9Z72k=")</f>
        <v>#VALUE!</v>
      </c>
      <c r="DC64" t="e">
        <f>AND(Answers!N209,"AAAAAH9Z72o=")</f>
        <v>#VALUE!</v>
      </c>
      <c r="DD64" t="e">
        <f>AND(Answers!O209,"AAAAAH9Z72s=")</f>
        <v>#VALUE!</v>
      </c>
      <c r="DE64" t="e">
        <f>AND(Answers!P209,"AAAAAH9Z72w=")</f>
        <v>#VALUE!</v>
      </c>
      <c r="DF64" t="e">
        <f>AND(Answers!Q209,"AAAAAH9Z720=")</f>
        <v>#VALUE!</v>
      </c>
      <c r="DG64" t="e">
        <f>AND(Answers!R209,"AAAAAH9Z724=")</f>
        <v>#VALUE!</v>
      </c>
      <c r="DH64" t="e">
        <f>AND(Answers!S209,"AAAAAH9Z728=")</f>
        <v>#VALUE!</v>
      </c>
      <c r="DI64" t="e">
        <f>AND(Answers!T209,"AAAAAH9Z73A=")</f>
        <v>#VALUE!</v>
      </c>
      <c r="DJ64" t="e">
        <f>AND(Answers!U209,"AAAAAH9Z73E=")</f>
        <v>#VALUE!</v>
      </c>
      <c r="DK64" t="e">
        <f>AND(Answers!V209,"AAAAAH9Z73I=")</f>
        <v>#VALUE!</v>
      </c>
      <c r="DL64" t="e">
        <f>AND(Answers!X209,"AAAAAH9Z73M=")</f>
        <v>#VALUE!</v>
      </c>
      <c r="DM64" t="e">
        <f>AND(Answers!Y209,"AAAAAH9Z73Q=")</f>
        <v>#VALUE!</v>
      </c>
      <c r="DN64" t="e">
        <f>AND(Answers!Z209,"AAAAAH9Z73U=")</f>
        <v>#VALUE!</v>
      </c>
      <c r="DO64" t="e">
        <f>AND(Answers!AA209,"AAAAAH9Z73Y=")</f>
        <v>#VALUE!</v>
      </c>
      <c r="DP64" t="e">
        <f>AND(Answers!AB209,"AAAAAH9Z73c=")</f>
        <v>#VALUE!</v>
      </c>
      <c r="DQ64" t="e">
        <f>AND(Answers!AC209,"AAAAAH9Z73g=")</f>
        <v>#VALUE!</v>
      </c>
      <c r="DR64" t="e">
        <f>AND(Answers!AD209,"AAAAAH9Z73k=")</f>
        <v>#VALUE!</v>
      </c>
      <c r="DS64" t="e">
        <f>AND(Answers!AE209,"AAAAAH9Z73o=")</f>
        <v>#VALUE!</v>
      </c>
      <c r="DT64" t="e">
        <f>AND(Answers!AF209,"AAAAAH9Z73s=")</f>
        <v>#VALUE!</v>
      </c>
      <c r="DU64" t="e">
        <f>AND(Answers!AH209,"AAAAAH9Z73w=")</f>
        <v>#VALUE!</v>
      </c>
      <c r="DV64" t="e">
        <f>AND(Answers!AI209,"AAAAAH9Z730=")</f>
        <v>#VALUE!</v>
      </c>
      <c r="DW64" t="e">
        <f>AND(Answers!AK209,"AAAAAH9Z734=")</f>
        <v>#VALUE!</v>
      </c>
      <c r="DX64" t="e">
        <f>AND(Answers!#REF!,"AAAAAH9Z738=")</f>
        <v>#REF!</v>
      </c>
      <c r="DY64" t="e">
        <f>AND(Answers!AR209,"AAAAAH9Z74A=")</f>
        <v>#VALUE!</v>
      </c>
      <c r="DZ64" t="e">
        <f>AND(Answers!AS209,"AAAAAH9Z74E=")</f>
        <v>#VALUE!</v>
      </c>
      <c r="EA64" t="e">
        <f>AND(Answers!AT209,"AAAAAH9Z74I=")</f>
        <v>#VALUE!</v>
      </c>
      <c r="EB64" t="e">
        <f>AND(Answers!AU209,"AAAAAH9Z74M=")</f>
        <v>#VALUE!</v>
      </c>
      <c r="EC64" t="e">
        <f>AND(Answers!AW209,"AAAAAH9Z74Q=")</f>
        <v>#VALUE!</v>
      </c>
      <c r="ED64" t="e">
        <f>AND(Answers!AX209,"AAAAAH9Z74U=")</f>
        <v>#VALUE!</v>
      </c>
      <c r="EE64" t="e">
        <f>AND(Answers!AY209,"AAAAAH9Z74Y=")</f>
        <v>#VALUE!</v>
      </c>
      <c r="EF64" t="e">
        <f>AND(Answers!AZ209,"AAAAAH9Z74c=")</f>
        <v>#VALUE!</v>
      </c>
      <c r="EG64" t="e">
        <f>AND(Answers!BA209,"AAAAAH9Z74g=")</f>
        <v>#VALUE!</v>
      </c>
      <c r="EH64" t="e">
        <f>AND(Answers!BB209,"AAAAAH9Z74k=")</f>
        <v>#VALUE!</v>
      </c>
      <c r="EI64" t="e">
        <f>AND(Answers!BC209,"AAAAAH9Z74o=")</f>
        <v>#VALUE!</v>
      </c>
      <c r="EJ64" t="e">
        <f>AND(Answers!BD209,"AAAAAH9Z74s=")</f>
        <v>#VALUE!</v>
      </c>
      <c r="EK64" t="e">
        <f>AND(Answers!BE209,"AAAAAH9Z74w=")</f>
        <v>#VALUE!</v>
      </c>
      <c r="EL64" t="e">
        <f>AND(Answers!BF209,"AAAAAH9Z740=")</f>
        <v>#VALUE!</v>
      </c>
      <c r="EM64" t="e">
        <f>AND(Answers!BG209,"AAAAAH9Z744=")</f>
        <v>#VALUE!</v>
      </c>
      <c r="EN64" t="e">
        <f>AND(Answers!BH209,"AAAAAH9Z748=")</f>
        <v>#VALUE!</v>
      </c>
      <c r="EO64" t="e">
        <f>AND(Answers!BI209,"AAAAAH9Z75A=")</f>
        <v>#VALUE!</v>
      </c>
      <c r="EP64" t="e">
        <f>AND(Answers!BK209,"AAAAAH9Z75E=")</f>
        <v>#VALUE!</v>
      </c>
      <c r="EQ64" t="e">
        <f>AND(Answers!BL209,"AAAAAH9Z75I=")</f>
        <v>#VALUE!</v>
      </c>
      <c r="ER64" t="e">
        <f>AND(Answers!BM209,"AAAAAH9Z75M=")</f>
        <v>#VALUE!</v>
      </c>
      <c r="ES64" t="e">
        <f>AND(Answers!BN209,"AAAAAH9Z75Q=")</f>
        <v>#VALUE!</v>
      </c>
      <c r="ET64" t="e">
        <f>AND(Answers!BO209,"AAAAAH9Z75U=")</f>
        <v>#VALUE!</v>
      </c>
      <c r="EU64" t="e">
        <f>AND(Answers!BP209,"AAAAAH9Z75Y=")</f>
        <v>#VALUE!</v>
      </c>
      <c r="EV64" t="e">
        <f>AND(Answers!BQ209,"AAAAAH9Z75c=")</f>
        <v>#VALUE!</v>
      </c>
      <c r="EW64" t="e">
        <f>AND(Answers!BR209,"AAAAAH9Z75g=")</f>
        <v>#VALUE!</v>
      </c>
      <c r="EX64" t="e">
        <f>AND(Answers!BS209,"AAAAAH9Z75k=")</f>
        <v>#VALUE!</v>
      </c>
      <c r="EY64" t="e">
        <f>AND(Answers!BU209,"AAAAAH9Z75o=")</f>
        <v>#VALUE!</v>
      </c>
      <c r="EZ64" t="e">
        <f>AND(Answers!BV209,"AAAAAH9Z75s=")</f>
        <v>#VALUE!</v>
      </c>
      <c r="FA64" t="e">
        <f>AND(Answers!#REF!,"AAAAAH9Z75w=")</f>
        <v>#REF!</v>
      </c>
      <c r="FB64" t="e">
        <f>AND(Answers!BW209,"AAAAAH9Z750=")</f>
        <v>#VALUE!</v>
      </c>
      <c r="FC64" t="e">
        <f>AND(Answers!BX209,"AAAAAH9Z754=")</f>
        <v>#VALUE!</v>
      </c>
      <c r="FD64" t="e">
        <f>AND(Answers!BY209,"AAAAAH9Z758=")</f>
        <v>#VALUE!</v>
      </c>
      <c r="FE64" t="e">
        <f>AND(Answers!BZ209,"AAAAAH9Z76A=")</f>
        <v>#VALUE!</v>
      </c>
      <c r="FF64">
        <f>IF(Answers!210:210,"AAAAAH9Z76E=",0)</f>
        <v>0</v>
      </c>
      <c r="FG64" t="e">
        <f>AND(Answers!A210,"AAAAAH9Z76I=")</f>
        <v>#VALUE!</v>
      </c>
      <c r="FH64" t="e">
        <f>AND(Answers!B210,"AAAAAH9Z76M=")</f>
        <v>#VALUE!</v>
      </c>
      <c r="FI64" t="e">
        <f>AND(Answers!C210,"AAAAAH9Z76Q=")</f>
        <v>#VALUE!</v>
      </c>
      <c r="FJ64" t="e">
        <f>AND(Answers!D210,"AAAAAH9Z76U=")</f>
        <v>#VALUE!</v>
      </c>
      <c r="FK64" t="e">
        <f>AND(Answers!E210,"AAAAAH9Z76Y=")</f>
        <v>#VALUE!</v>
      </c>
      <c r="FL64" t="e">
        <f>AND(Answers!F210,"AAAAAH9Z76c=")</f>
        <v>#VALUE!</v>
      </c>
      <c r="FM64" t="e">
        <f>AND(Answers!G210,"AAAAAH9Z76g=")</f>
        <v>#VALUE!</v>
      </c>
      <c r="FN64" t="e">
        <f>AND(Answers!H210,"AAAAAH9Z76k=")</f>
        <v>#VALUE!</v>
      </c>
      <c r="FO64" t="e">
        <f>AND(Answers!J210,"AAAAAH9Z76o=")</f>
        <v>#VALUE!</v>
      </c>
      <c r="FP64" t="e">
        <f>AND(Answers!K210,"AAAAAH9Z76s=")</f>
        <v>#VALUE!</v>
      </c>
      <c r="FQ64" t="e">
        <f>AND(Answers!L210,"AAAAAH9Z76w=")</f>
        <v>#VALUE!</v>
      </c>
      <c r="FR64" t="e">
        <f>AND(Answers!M210,"AAAAAH9Z760=")</f>
        <v>#VALUE!</v>
      </c>
      <c r="FS64" t="e">
        <f>AND(Answers!N210,"AAAAAH9Z764=")</f>
        <v>#VALUE!</v>
      </c>
      <c r="FT64" t="e">
        <f>AND(Answers!O210,"AAAAAH9Z768=")</f>
        <v>#VALUE!</v>
      </c>
      <c r="FU64" t="e">
        <f>AND(Answers!P210,"AAAAAH9Z77A=")</f>
        <v>#VALUE!</v>
      </c>
      <c r="FV64" t="e">
        <f>AND(Answers!Q210,"AAAAAH9Z77E=")</f>
        <v>#VALUE!</v>
      </c>
      <c r="FW64" t="e">
        <f>AND(Answers!R210,"AAAAAH9Z77I=")</f>
        <v>#VALUE!</v>
      </c>
      <c r="FX64" t="e">
        <f>AND(Answers!S210,"AAAAAH9Z77M=")</f>
        <v>#VALUE!</v>
      </c>
      <c r="FY64" t="e">
        <f>AND(Answers!T210,"AAAAAH9Z77Q=")</f>
        <v>#VALUE!</v>
      </c>
      <c r="FZ64" t="e">
        <f>AND(Answers!U210,"AAAAAH9Z77U=")</f>
        <v>#VALUE!</v>
      </c>
      <c r="GA64" t="e">
        <f>AND(Answers!V210,"AAAAAH9Z77Y=")</f>
        <v>#VALUE!</v>
      </c>
      <c r="GB64" t="e">
        <f>AND(Answers!X210,"AAAAAH9Z77c=")</f>
        <v>#VALUE!</v>
      </c>
      <c r="GC64" t="e">
        <f>AND(Answers!Y210,"AAAAAH9Z77g=")</f>
        <v>#VALUE!</v>
      </c>
      <c r="GD64" t="e">
        <f>AND(Answers!Z210,"AAAAAH9Z77k=")</f>
        <v>#VALUE!</v>
      </c>
      <c r="GE64" t="e">
        <f>AND(Answers!AA210,"AAAAAH9Z77o=")</f>
        <v>#VALUE!</v>
      </c>
      <c r="GF64" t="e">
        <f>AND(Answers!AB210,"AAAAAH9Z77s=")</f>
        <v>#VALUE!</v>
      </c>
      <c r="GG64" t="e">
        <f>AND(Answers!AC210,"AAAAAH9Z77w=")</f>
        <v>#VALUE!</v>
      </c>
      <c r="GH64" t="e">
        <f>AND(Answers!AD210,"AAAAAH9Z770=")</f>
        <v>#VALUE!</v>
      </c>
      <c r="GI64" t="e">
        <f>AND(Answers!AE210,"AAAAAH9Z774=")</f>
        <v>#VALUE!</v>
      </c>
      <c r="GJ64" t="e">
        <f>AND(Answers!AF210,"AAAAAH9Z778=")</f>
        <v>#VALUE!</v>
      </c>
      <c r="GK64" t="e">
        <f>AND(Answers!AH210,"AAAAAH9Z78A=")</f>
        <v>#VALUE!</v>
      </c>
      <c r="GL64" t="e">
        <f>AND(Answers!AI210,"AAAAAH9Z78E=")</f>
        <v>#VALUE!</v>
      </c>
      <c r="GM64" t="e">
        <f>AND(Answers!AK210,"AAAAAH9Z78I=")</f>
        <v>#VALUE!</v>
      </c>
      <c r="GN64" t="e">
        <f>AND(Answers!#REF!,"AAAAAH9Z78M=")</f>
        <v>#REF!</v>
      </c>
      <c r="GO64" t="e">
        <f>AND(Answers!AR210,"AAAAAH9Z78Q=")</f>
        <v>#VALUE!</v>
      </c>
      <c r="GP64" t="e">
        <f>AND(Answers!AS210,"AAAAAH9Z78U=")</f>
        <v>#VALUE!</v>
      </c>
      <c r="GQ64" t="e">
        <f>AND(Answers!AT210,"AAAAAH9Z78Y=")</f>
        <v>#VALUE!</v>
      </c>
      <c r="GR64" t="e">
        <f>AND(Answers!AU210,"AAAAAH9Z78c=")</f>
        <v>#VALUE!</v>
      </c>
      <c r="GS64" t="e">
        <f>AND(Answers!AW210,"AAAAAH9Z78g=")</f>
        <v>#VALUE!</v>
      </c>
      <c r="GT64" t="e">
        <f>AND(Answers!AX210,"AAAAAH9Z78k=")</f>
        <v>#VALUE!</v>
      </c>
      <c r="GU64" t="e">
        <f>AND(Answers!AY210,"AAAAAH9Z78o=")</f>
        <v>#VALUE!</v>
      </c>
      <c r="GV64" t="e">
        <f>AND(Answers!AZ210,"AAAAAH9Z78s=")</f>
        <v>#VALUE!</v>
      </c>
      <c r="GW64" t="e">
        <f>AND(Answers!BA210,"AAAAAH9Z78w=")</f>
        <v>#VALUE!</v>
      </c>
      <c r="GX64" t="e">
        <f>AND(Answers!BB210,"AAAAAH9Z780=")</f>
        <v>#VALUE!</v>
      </c>
      <c r="GY64" t="e">
        <f>AND(Answers!BC210,"AAAAAH9Z784=")</f>
        <v>#VALUE!</v>
      </c>
      <c r="GZ64" t="e">
        <f>AND(Answers!BD210,"AAAAAH9Z788=")</f>
        <v>#VALUE!</v>
      </c>
      <c r="HA64" t="e">
        <f>AND(Answers!BE210,"AAAAAH9Z79A=")</f>
        <v>#VALUE!</v>
      </c>
      <c r="HB64" t="e">
        <f>AND(Answers!BF210,"AAAAAH9Z79E=")</f>
        <v>#VALUE!</v>
      </c>
      <c r="HC64" t="e">
        <f>AND(Answers!BG210,"AAAAAH9Z79I=")</f>
        <v>#VALUE!</v>
      </c>
      <c r="HD64" t="e">
        <f>AND(Answers!BH210,"AAAAAH9Z79M=")</f>
        <v>#VALUE!</v>
      </c>
      <c r="HE64" t="e">
        <f>AND(Answers!BI210,"AAAAAH9Z79Q=")</f>
        <v>#VALUE!</v>
      </c>
      <c r="HF64" t="e">
        <f>AND(Answers!BK210,"AAAAAH9Z79U=")</f>
        <v>#VALUE!</v>
      </c>
      <c r="HG64" t="e">
        <f>AND(Answers!BL210,"AAAAAH9Z79Y=")</f>
        <v>#VALUE!</v>
      </c>
      <c r="HH64" t="e">
        <f>AND(Answers!BM210,"AAAAAH9Z79c=")</f>
        <v>#VALUE!</v>
      </c>
      <c r="HI64" t="e">
        <f>AND(Answers!BN210,"AAAAAH9Z79g=")</f>
        <v>#VALUE!</v>
      </c>
      <c r="HJ64" t="e">
        <f>AND(Answers!BO210,"AAAAAH9Z79k=")</f>
        <v>#VALUE!</v>
      </c>
      <c r="HK64" t="e">
        <f>AND(Answers!BP210,"AAAAAH9Z79o=")</f>
        <v>#VALUE!</v>
      </c>
      <c r="HL64" t="e">
        <f>AND(Answers!BQ210,"AAAAAH9Z79s=")</f>
        <v>#VALUE!</v>
      </c>
      <c r="HM64" t="e">
        <f>AND(Answers!BR210,"AAAAAH9Z79w=")</f>
        <v>#VALUE!</v>
      </c>
      <c r="HN64" t="e">
        <f>AND(Answers!BS210,"AAAAAH9Z790=")</f>
        <v>#VALUE!</v>
      </c>
      <c r="HO64" t="e">
        <f>AND(Answers!BU210,"AAAAAH9Z794=")</f>
        <v>#VALUE!</v>
      </c>
      <c r="HP64" t="e">
        <f>AND(Answers!BV210,"AAAAAH9Z798=")</f>
        <v>#VALUE!</v>
      </c>
      <c r="HQ64" t="e">
        <f>AND(Answers!#REF!,"AAAAAH9Z7+A=")</f>
        <v>#REF!</v>
      </c>
      <c r="HR64" t="e">
        <f>AND(Answers!BW210,"AAAAAH9Z7+E=")</f>
        <v>#VALUE!</v>
      </c>
      <c r="HS64" t="e">
        <f>AND(Answers!BX210,"AAAAAH9Z7+I=")</f>
        <v>#VALUE!</v>
      </c>
      <c r="HT64" t="e">
        <f>AND(Answers!BY210,"AAAAAH9Z7+M=")</f>
        <v>#VALUE!</v>
      </c>
      <c r="HU64" t="e">
        <f>AND(Answers!BZ210,"AAAAAH9Z7+Q=")</f>
        <v>#VALUE!</v>
      </c>
      <c r="HV64">
        <f>IF(Answers!211:211,"AAAAAH9Z7+U=",0)</f>
        <v>0</v>
      </c>
      <c r="HW64" t="e">
        <f>AND(Answers!A211,"AAAAAH9Z7+Y=")</f>
        <v>#VALUE!</v>
      </c>
      <c r="HX64" t="e">
        <f>AND(Answers!B211,"AAAAAH9Z7+c=")</f>
        <v>#VALUE!</v>
      </c>
      <c r="HY64" t="e">
        <f>AND(Answers!C211,"AAAAAH9Z7+g=")</f>
        <v>#VALUE!</v>
      </c>
      <c r="HZ64" t="e">
        <f>AND(Answers!D211,"AAAAAH9Z7+k=")</f>
        <v>#VALUE!</v>
      </c>
      <c r="IA64" t="e">
        <f>AND(Answers!E211,"AAAAAH9Z7+o=")</f>
        <v>#VALUE!</v>
      </c>
      <c r="IB64" t="e">
        <f>AND(Answers!F211,"AAAAAH9Z7+s=")</f>
        <v>#VALUE!</v>
      </c>
      <c r="IC64" t="e">
        <f>AND(Answers!G211,"AAAAAH9Z7+w=")</f>
        <v>#VALUE!</v>
      </c>
      <c r="ID64" t="e">
        <f>AND(Answers!H211,"AAAAAH9Z7+0=")</f>
        <v>#VALUE!</v>
      </c>
      <c r="IE64" t="e">
        <f>AND(Answers!J211,"AAAAAH9Z7+4=")</f>
        <v>#VALUE!</v>
      </c>
      <c r="IF64" t="e">
        <f>AND(Answers!K211,"AAAAAH9Z7+8=")</f>
        <v>#VALUE!</v>
      </c>
      <c r="IG64" t="e">
        <f>AND(Answers!L211,"AAAAAH9Z7/A=")</f>
        <v>#VALUE!</v>
      </c>
      <c r="IH64" t="e">
        <f>AND(Answers!M211,"AAAAAH9Z7/E=")</f>
        <v>#VALUE!</v>
      </c>
      <c r="II64" t="e">
        <f>AND(Answers!N211,"AAAAAH9Z7/I=")</f>
        <v>#VALUE!</v>
      </c>
      <c r="IJ64" t="e">
        <f>AND(Answers!O211,"AAAAAH9Z7/M=")</f>
        <v>#VALUE!</v>
      </c>
      <c r="IK64" t="e">
        <f>AND(Answers!P211,"AAAAAH9Z7/Q=")</f>
        <v>#VALUE!</v>
      </c>
      <c r="IL64" t="e">
        <f>AND(Answers!Q211,"AAAAAH9Z7/U=")</f>
        <v>#VALUE!</v>
      </c>
      <c r="IM64" t="e">
        <f>AND(Answers!R211,"AAAAAH9Z7/Y=")</f>
        <v>#VALUE!</v>
      </c>
      <c r="IN64" t="e">
        <f>AND(Answers!S211,"AAAAAH9Z7/c=")</f>
        <v>#VALUE!</v>
      </c>
      <c r="IO64" t="e">
        <f>AND(Answers!T211,"AAAAAH9Z7/g=")</f>
        <v>#VALUE!</v>
      </c>
      <c r="IP64" t="e">
        <f>AND(Answers!U211,"AAAAAH9Z7/k=")</f>
        <v>#VALUE!</v>
      </c>
      <c r="IQ64" t="e">
        <f>AND(Answers!V211,"AAAAAH9Z7/o=")</f>
        <v>#VALUE!</v>
      </c>
      <c r="IR64" t="e">
        <f>AND(Answers!X211,"AAAAAH9Z7/s=")</f>
        <v>#VALUE!</v>
      </c>
      <c r="IS64" t="e">
        <f>AND(Answers!Y211,"AAAAAH9Z7/w=")</f>
        <v>#VALUE!</v>
      </c>
      <c r="IT64" t="e">
        <f>AND(Answers!Z211,"AAAAAH9Z7/0=")</f>
        <v>#VALUE!</v>
      </c>
      <c r="IU64" t="e">
        <f>AND(Answers!AA211,"AAAAAH9Z7/4=")</f>
        <v>#VALUE!</v>
      </c>
      <c r="IV64" t="e">
        <f>AND(Answers!AB211,"AAAAAH9Z7/8=")</f>
        <v>#VALUE!</v>
      </c>
    </row>
    <row r="65" spans="1:256" x14ac:dyDescent="0.15">
      <c r="A65" t="e">
        <f>AND(Answers!AC211,"AAAAAH2+nwA=")</f>
        <v>#VALUE!</v>
      </c>
      <c r="B65" t="e">
        <f>AND(Answers!AD211,"AAAAAH2+nwE=")</f>
        <v>#VALUE!</v>
      </c>
      <c r="C65" t="e">
        <f>AND(Answers!AE211,"AAAAAH2+nwI=")</f>
        <v>#VALUE!</v>
      </c>
      <c r="D65" t="e">
        <f>AND(Answers!AF211,"AAAAAH2+nwM=")</f>
        <v>#VALUE!</v>
      </c>
      <c r="E65" t="e">
        <f>AND(Answers!AH211,"AAAAAH2+nwQ=")</f>
        <v>#VALUE!</v>
      </c>
      <c r="F65" t="e">
        <f>AND(Answers!AI211,"AAAAAH2+nwU=")</f>
        <v>#VALUE!</v>
      </c>
      <c r="G65" t="e">
        <f>AND(Answers!AK211,"AAAAAH2+nwY=")</f>
        <v>#VALUE!</v>
      </c>
      <c r="H65" t="e">
        <f>AND(Answers!#REF!,"AAAAAH2+nwc=")</f>
        <v>#REF!</v>
      </c>
      <c r="I65" t="e">
        <f>AND(Answers!AR211,"AAAAAH2+nwg=")</f>
        <v>#VALUE!</v>
      </c>
      <c r="J65" t="e">
        <f>AND(Answers!AS211,"AAAAAH2+nwk=")</f>
        <v>#VALUE!</v>
      </c>
      <c r="K65" t="e">
        <f>AND(Answers!AT211,"AAAAAH2+nwo=")</f>
        <v>#VALUE!</v>
      </c>
      <c r="L65" t="e">
        <f>AND(Answers!AU211,"AAAAAH2+nws=")</f>
        <v>#VALUE!</v>
      </c>
      <c r="M65" t="e">
        <f>AND(Answers!AW211,"AAAAAH2+nww=")</f>
        <v>#VALUE!</v>
      </c>
      <c r="N65" t="e">
        <f>AND(Answers!AX211,"AAAAAH2+nw0=")</f>
        <v>#VALUE!</v>
      </c>
      <c r="O65" t="e">
        <f>AND(Answers!AY211,"AAAAAH2+nw4=")</f>
        <v>#VALUE!</v>
      </c>
      <c r="P65" t="e">
        <f>AND(Answers!AZ211,"AAAAAH2+nw8=")</f>
        <v>#VALUE!</v>
      </c>
      <c r="Q65" t="e">
        <f>AND(Answers!BA211,"AAAAAH2+nxA=")</f>
        <v>#VALUE!</v>
      </c>
      <c r="R65" t="e">
        <f>AND(Answers!BB211,"AAAAAH2+nxE=")</f>
        <v>#VALUE!</v>
      </c>
      <c r="S65" t="e">
        <f>AND(Answers!BC211,"AAAAAH2+nxI=")</f>
        <v>#VALUE!</v>
      </c>
      <c r="T65" t="e">
        <f>AND(Answers!BD211,"AAAAAH2+nxM=")</f>
        <v>#VALUE!</v>
      </c>
      <c r="U65" t="e">
        <f>AND(Answers!BE211,"AAAAAH2+nxQ=")</f>
        <v>#VALUE!</v>
      </c>
      <c r="V65" t="e">
        <f>AND(Answers!BF211,"AAAAAH2+nxU=")</f>
        <v>#VALUE!</v>
      </c>
      <c r="W65" t="e">
        <f>AND(Answers!BG211,"AAAAAH2+nxY=")</f>
        <v>#VALUE!</v>
      </c>
      <c r="X65" t="e">
        <f>AND(Answers!BH211,"AAAAAH2+nxc=")</f>
        <v>#VALUE!</v>
      </c>
      <c r="Y65" t="e">
        <f>AND(Answers!BI211,"AAAAAH2+nxg=")</f>
        <v>#VALUE!</v>
      </c>
      <c r="Z65" t="e">
        <f>AND(Answers!BK211,"AAAAAH2+nxk=")</f>
        <v>#VALUE!</v>
      </c>
      <c r="AA65" t="e">
        <f>AND(Answers!BL211,"AAAAAH2+nxo=")</f>
        <v>#VALUE!</v>
      </c>
      <c r="AB65" t="e">
        <f>AND(Answers!BM211,"AAAAAH2+nxs=")</f>
        <v>#VALUE!</v>
      </c>
      <c r="AC65" t="e">
        <f>AND(Answers!BN211,"AAAAAH2+nxw=")</f>
        <v>#VALUE!</v>
      </c>
      <c r="AD65" t="e">
        <f>AND(Answers!BO211,"AAAAAH2+nx0=")</f>
        <v>#VALUE!</v>
      </c>
      <c r="AE65" t="e">
        <f>AND(Answers!BP211,"AAAAAH2+nx4=")</f>
        <v>#VALUE!</v>
      </c>
      <c r="AF65" t="e">
        <f>AND(Answers!BQ211,"AAAAAH2+nx8=")</f>
        <v>#VALUE!</v>
      </c>
      <c r="AG65" t="e">
        <f>AND(Answers!BR211,"AAAAAH2+nyA=")</f>
        <v>#VALUE!</v>
      </c>
      <c r="AH65" t="e">
        <f>AND(Answers!BS211,"AAAAAH2+nyE=")</f>
        <v>#VALUE!</v>
      </c>
      <c r="AI65" t="e">
        <f>AND(Answers!BU211,"AAAAAH2+nyI=")</f>
        <v>#VALUE!</v>
      </c>
      <c r="AJ65" t="e">
        <f>AND(Answers!BV211,"AAAAAH2+nyM=")</f>
        <v>#VALUE!</v>
      </c>
      <c r="AK65" t="e">
        <f>AND(Answers!#REF!,"AAAAAH2+nyQ=")</f>
        <v>#REF!</v>
      </c>
      <c r="AL65" t="e">
        <f>AND(Answers!BW211,"AAAAAH2+nyU=")</f>
        <v>#VALUE!</v>
      </c>
      <c r="AM65" t="e">
        <f>AND(Answers!BX211,"AAAAAH2+nyY=")</f>
        <v>#VALUE!</v>
      </c>
      <c r="AN65" t="e">
        <f>AND(Answers!BY211,"AAAAAH2+nyc=")</f>
        <v>#VALUE!</v>
      </c>
      <c r="AO65" t="e">
        <f>AND(Answers!BZ211,"AAAAAH2+nyg=")</f>
        <v>#VALUE!</v>
      </c>
      <c r="AP65">
        <f>IF(Answers!212:212,"AAAAAH2+nyk=",0)</f>
        <v>0</v>
      </c>
      <c r="AQ65" t="e">
        <f>AND(Answers!A212,"AAAAAH2+nyo=")</f>
        <v>#VALUE!</v>
      </c>
      <c r="AR65" t="e">
        <f>AND(Answers!B212,"AAAAAH2+nys=")</f>
        <v>#VALUE!</v>
      </c>
      <c r="AS65" t="e">
        <f>AND(Answers!C212,"AAAAAH2+nyw=")</f>
        <v>#VALUE!</v>
      </c>
      <c r="AT65" t="e">
        <f>AND(Answers!D212,"AAAAAH2+ny0=")</f>
        <v>#VALUE!</v>
      </c>
      <c r="AU65" t="e">
        <f>AND(Answers!E212,"AAAAAH2+ny4=")</f>
        <v>#VALUE!</v>
      </c>
      <c r="AV65" t="e">
        <f>AND(Answers!F212,"AAAAAH2+ny8=")</f>
        <v>#VALUE!</v>
      </c>
      <c r="AW65" t="e">
        <f>AND(Answers!G212,"AAAAAH2+nzA=")</f>
        <v>#VALUE!</v>
      </c>
      <c r="AX65" t="e">
        <f>AND(Answers!H212,"AAAAAH2+nzE=")</f>
        <v>#VALUE!</v>
      </c>
      <c r="AY65" t="e">
        <f>AND(Answers!J212,"AAAAAH2+nzI=")</f>
        <v>#VALUE!</v>
      </c>
      <c r="AZ65" t="e">
        <f>AND(Answers!K212,"AAAAAH2+nzM=")</f>
        <v>#VALUE!</v>
      </c>
      <c r="BA65" t="e">
        <f>AND(Answers!L212,"AAAAAH2+nzQ=")</f>
        <v>#VALUE!</v>
      </c>
      <c r="BB65" t="e">
        <f>AND(Answers!M212,"AAAAAH2+nzU=")</f>
        <v>#VALUE!</v>
      </c>
      <c r="BC65" t="e">
        <f>AND(Answers!N212,"AAAAAH2+nzY=")</f>
        <v>#VALUE!</v>
      </c>
      <c r="BD65" t="e">
        <f>AND(Answers!O212,"AAAAAH2+nzc=")</f>
        <v>#VALUE!</v>
      </c>
      <c r="BE65" t="e">
        <f>AND(Answers!P212,"AAAAAH2+nzg=")</f>
        <v>#VALUE!</v>
      </c>
      <c r="BF65" t="e">
        <f>AND(Answers!Q212,"AAAAAH2+nzk=")</f>
        <v>#VALUE!</v>
      </c>
      <c r="BG65" t="e">
        <f>AND(Answers!R212,"AAAAAH2+nzo=")</f>
        <v>#VALUE!</v>
      </c>
      <c r="BH65" t="e">
        <f>AND(Answers!S212,"AAAAAH2+nzs=")</f>
        <v>#VALUE!</v>
      </c>
      <c r="BI65" t="e">
        <f>AND(Answers!T212,"AAAAAH2+nzw=")</f>
        <v>#VALUE!</v>
      </c>
      <c r="BJ65" t="e">
        <f>AND(Answers!U212,"AAAAAH2+nz0=")</f>
        <v>#VALUE!</v>
      </c>
      <c r="BK65" t="e">
        <f>AND(Answers!V212,"AAAAAH2+nz4=")</f>
        <v>#VALUE!</v>
      </c>
      <c r="BL65" t="e">
        <f>AND(Answers!X212,"AAAAAH2+nz8=")</f>
        <v>#VALUE!</v>
      </c>
      <c r="BM65" t="e">
        <f>AND(Answers!Y212,"AAAAAH2+n0A=")</f>
        <v>#VALUE!</v>
      </c>
      <c r="BN65" t="e">
        <f>AND(Answers!Z212,"AAAAAH2+n0E=")</f>
        <v>#VALUE!</v>
      </c>
      <c r="BO65" t="e">
        <f>AND(Answers!AA212,"AAAAAH2+n0I=")</f>
        <v>#VALUE!</v>
      </c>
      <c r="BP65" t="e">
        <f>AND(Answers!AB212,"AAAAAH2+n0M=")</f>
        <v>#VALUE!</v>
      </c>
      <c r="BQ65" t="e">
        <f>AND(Answers!AC212,"AAAAAH2+n0Q=")</f>
        <v>#VALUE!</v>
      </c>
      <c r="BR65" t="e">
        <f>AND(Answers!AD212,"AAAAAH2+n0U=")</f>
        <v>#VALUE!</v>
      </c>
      <c r="BS65" t="e">
        <f>AND(Answers!AE212,"AAAAAH2+n0Y=")</f>
        <v>#VALUE!</v>
      </c>
      <c r="BT65" t="e">
        <f>AND(Answers!AF212,"AAAAAH2+n0c=")</f>
        <v>#VALUE!</v>
      </c>
      <c r="BU65" t="e">
        <f>AND(Answers!AH212,"AAAAAH2+n0g=")</f>
        <v>#VALUE!</v>
      </c>
      <c r="BV65" t="e">
        <f>AND(Answers!AI212,"AAAAAH2+n0k=")</f>
        <v>#VALUE!</v>
      </c>
      <c r="BW65" t="e">
        <f>AND(Answers!AK212,"AAAAAH2+n0o=")</f>
        <v>#VALUE!</v>
      </c>
      <c r="BX65" t="e">
        <f>AND(Answers!#REF!,"AAAAAH2+n0s=")</f>
        <v>#REF!</v>
      </c>
      <c r="BY65" t="e">
        <f>AND(Answers!AR212,"AAAAAH2+n0w=")</f>
        <v>#VALUE!</v>
      </c>
      <c r="BZ65" t="e">
        <f>AND(Answers!AS212,"AAAAAH2+n00=")</f>
        <v>#VALUE!</v>
      </c>
      <c r="CA65" t="e">
        <f>AND(Answers!AT212,"AAAAAH2+n04=")</f>
        <v>#VALUE!</v>
      </c>
      <c r="CB65" t="e">
        <f>AND(Answers!AU212,"AAAAAH2+n08=")</f>
        <v>#VALUE!</v>
      </c>
      <c r="CC65" t="e">
        <f>AND(Answers!AW212,"AAAAAH2+n1A=")</f>
        <v>#VALUE!</v>
      </c>
      <c r="CD65" t="e">
        <f>AND(Answers!AX212,"AAAAAH2+n1E=")</f>
        <v>#VALUE!</v>
      </c>
      <c r="CE65" t="e">
        <f>AND(Answers!AY212,"AAAAAH2+n1I=")</f>
        <v>#VALUE!</v>
      </c>
      <c r="CF65" t="e">
        <f>AND(Answers!AZ212,"AAAAAH2+n1M=")</f>
        <v>#VALUE!</v>
      </c>
      <c r="CG65" t="e">
        <f>AND(Answers!BA212,"AAAAAH2+n1Q=")</f>
        <v>#VALUE!</v>
      </c>
      <c r="CH65" t="e">
        <f>AND(Answers!BB212,"AAAAAH2+n1U=")</f>
        <v>#VALUE!</v>
      </c>
      <c r="CI65" t="e">
        <f>AND(Answers!BC212,"AAAAAH2+n1Y=")</f>
        <v>#VALUE!</v>
      </c>
      <c r="CJ65" t="e">
        <f>AND(Answers!BD212,"AAAAAH2+n1c=")</f>
        <v>#VALUE!</v>
      </c>
      <c r="CK65" t="e">
        <f>AND(Answers!BE212,"AAAAAH2+n1g=")</f>
        <v>#VALUE!</v>
      </c>
      <c r="CL65" t="e">
        <f>AND(Answers!BF212,"AAAAAH2+n1k=")</f>
        <v>#VALUE!</v>
      </c>
      <c r="CM65" t="e">
        <f>AND(Answers!BG212,"AAAAAH2+n1o=")</f>
        <v>#VALUE!</v>
      </c>
      <c r="CN65" t="e">
        <f>AND(Answers!BH212,"AAAAAH2+n1s=")</f>
        <v>#VALUE!</v>
      </c>
      <c r="CO65" t="e">
        <f>AND(Answers!BI212,"AAAAAH2+n1w=")</f>
        <v>#VALUE!</v>
      </c>
      <c r="CP65" t="e">
        <f>AND(Answers!BK212,"AAAAAH2+n10=")</f>
        <v>#VALUE!</v>
      </c>
      <c r="CQ65" t="e">
        <f>AND(Answers!BL212,"AAAAAH2+n14=")</f>
        <v>#VALUE!</v>
      </c>
      <c r="CR65" t="e">
        <f>AND(Answers!BM212,"AAAAAH2+n18=")</f>
        <v>#VALUE!</v>
      </c>
      <c r="CS65" t="e">
        <f>AND(Answers!BN212,"AAAAAH2+n2A=")</f>
        <v>#VALUE!</v>
      </c>
      <c r="CT65" t="e">
        <f>AND(Answers!BO212,"AAAAAH2+n2E=")</f>
        <v>#VALUE!</v>
      </c>
      <c r="CU65" t="e">
        <f>AND(Answers!BP212,"AAAAAH2+n2I=")</f>
        <v>#VALUE!</v>
      </c>
      <c r="CV65" t="e">
        <f>AND(Answers!BQ212,"AAAAAH2+n2M=")</f>
        <v>#VALUE!</v>
      </c>
      <c r="CW65" t="e">
        <f>AND(Answers!BR212,"AAAAAH2+n2Q=")</f>
        <v>#VALUE!</v>
      </c>
      <c r="CX65" t="e">
        <f>AND(Answers!BS212,"AAAAAH2+n2U=")</f>
        <v>#VALUE!</v>
      </c>
      <c r="CY65" t="e">
        <f>AND(Answers!BU212,"AAAAAH2+n2Y=")</f>
        <v>#VALUE!</v>
      </c>
      <c r="CZ65" t="e">
        <f>AND(Answers!BV212,"AAAAAH2+n2c=")</f>
        <v>#VALUE!</v>
      </c>
      <c r="DA65" t="e">
        <f>AND(Answers!#REF!,"AAAAAH2+n2g=")</f>
        <v>#REF!</v>
      </c>
      <c r="DB65" t="e">
        <f>AND(Answers!BW212,"AAAAAH2+n2k=")</f>
        <v>#VALUE!</v>
      </c>
      <c r="DC65" t="e">
        <f>AND(Answers!BX212,"AAAAAH2+n2o=")</f>
        <v>#VALUE!</v>
      </c>
      <c r="DD65" t="e">
        <f>AND(Answers!BY212,"AAAAAH2+n2s=")</f>
        <v>#VALUE!</v>
      </c>
      <c r="DE65" t="e">
        <f>AND(Answers!BZ212,"AAAAAH2+n2w=")</f>
        <v>#VALUE!</v>
      </c>
      <c r="DF65">
        <f>IF(Answers!213:213,"AAAAAH2+n20=",0)</f>
        <v>0</v>
      </c>
      <c r="DG65" t="e">
        <f>AND(Answers!A213,"AAAAAH2+n24=")</f>
        <v>#VALUE!</v>
      </c>
      <c r="DH65" t="e">
        <f>AND(Answers!B213,"AAAAAH2+n28=")</f>
        <v>#VALUE!</v>
      </c>
      <c r="DI65" t="e">
        <f>AND(Answers!C213,"AAAAAH2+n3A=")</f>
        <v>#VALUE!</v>
      </c>
      <c r="DJ65" t="e">
        <f>AND(Answers!D213,"AAAAAH2+n3E=")</f>
        <v>#VALUE!</v>
      </c>
      <c r="DK65" t="e">
        <f>AND(Answers!E213,"AAAAAH2+n3I=")</f>
        <v>#VALUE!</v>
      </c>
      <c r="DL65" t="e">
        <f>AND(Answers!F213,"AAAAAH2+n3M=")</f>
        <v>#VALUE!</v>
      </c>
      <c r="DM65" t="e">
        <f>AND(Answers!G213,"AAAAAH2+n3Q=")</f>
        <v>#VALUE!</v>
      </c>
      <c r="DN65" t="e">
        <f>AND(Answers!H213,"AAAAAH2+n3U=")</f>
        <v>#VALUE!</v>
      </c>
      <c r="DO65" t="e">
        <f>AND(Answers!J213,"AAAAAH2+n3Y=")</f>
        <v>#VALUE!</v>
      </c>
      <c r="DP65" t="e">
        <f>AND(Answers!K213,"AAAAAH2+n3c=")</f>
        <v>#VALUE!</v>
      </c>
      <c r="DQ65" t="e">
        <f>AND(Answers!L213,"AAAAAH2+n3g=")</f>
        <v>#VALUE!</v>
      </c>
      <c r="DR65" t="e">
        <f>AND(Answers!M213,"AAAAAH2+n3k=")</f>
        <v>#VALUE!</v>
      </c>
      <c r="DS65" t="e">
        <f>AND(Answers!N213,"AAAAAH2+n3o=")</f>
        <v>#VALUE!</v>
      </c>
      <c r="DT65" t="e">
        <f>AND(Answers!O213,"AAAAAH2+n3s=")</f>
        <v>#VALUE!</v>
      </c>
      <c r="DU65" t="e">
        <f>AND(Answers!P213,"AAAAAH2+n3w=")</f>
        <v>#VALUE!</v>
      </c>
      <c r="DV65" t="e">
        <f>AND(Answers!Q213,"AAAAAH2+n30=")</f>
        <v>#VALUE!</v>
      </c>
      <c r="DW65" t="e">
        <f>AND(Answers!R213,"AAAAAH2+n34=")</f>
        <v>#VALUE!</v>
      </c>
      <c r="DX65" t="e">
        <f>AND(Answers!S213,"AAAAAH2+n38=")</f>
        <v>#VALUE!</v>
      </c>
      <c r="DY65" t="e">
        <f>AND(Answers!T213,"AAAAAH2+n4A=")</f>
        <v>#VALUE!</v>
      </c>
      <c r="DZ65" t="e">
        <f>AND(Answers!U213,"AAAAAH2+n4E=")</f>
        <v>#VALUE!</v>
      </c>
      <c r="EA65" t="e">
        <f>AND(Answers!V213,"AAAAAH2+n4I=")</f>
        <v>#VALUE!</v>
      </c>
      <c r="EB65" t="e">
        <f>AND(Answers!X213,"AAAAAH2+n4M=")</f>
        <v>#VALUE!</v>
      </c>
      <c r="EC65" t="e">
        <f>AND(Answers!Y213,"AAAAAH2+n4Q=")</f>
        <v>#VALUE!</v>
      </c>
      <c r="ED65" t="e">
        <f>AND(Answers!Z213,"AAAAAH2+n4U=")</f>
        <v>#VALUE!</v>
      </c>
      <c r="EE65" t="e">
        <f>AND(Answers!AA213,"AAAAAH2+n4Y=")</f>
        <v>#VALUE!</v>
      </c>
      <c r="EF65" t="e">
        <f>AND(Answers!AB213,"AAAAAH2+n4c=")</f>
        <v>#VALUE!</v>
      </c>
      <c r="EG65" t="e">
        <f>AND(Answers!AC213,"AAAAAH2+n4g=")</f>
        <v>#VALUE!</v>
      </c>
      <c r="EH65" t="e">
        <f>AND(Answers!AD213,"AAAAAH2+n4k=")</f>
        <v>#VALUE!</v>
      </c>
      <c r="EI65" t="e">
        <f>AND(Answers!AE213,"AAAAAH2+n4o=")</f>
        <v>#VALUE!</v>
      </c>
      <c r="EJ65" t="e">
        <f>AND(Answers!AF213,"AAAAAH2+n4s=")</f>
        <v>#VALUE!</v>
      </c>
      <c r="EK65" t="e">
        <f>AND(Answers!AH213,"AAAAAH2+n4w=")</f>
        <v>#VALUE!</v>
      </c>
      <c r="EL65" t="e">
        <f>AND(Answers!AI213,"AAAAAH2+n40=")</f>
        <v>#VALUE!</v>
      </c>
      <c r="EM65" t="e">
        <f>AND(Answers!AK213,"AAAAAH2+n44=")</f>
        <v>#VALUE!</v>
      </c>
      <c r="EN65" t="e">
        <f>AND(Answers!#REF!,"AAAAAH2+n48=")</f>
        <v>#REF!</v>
      </c>
      <c r="EO65" t="e">
        <f>AND(Answers!AR213,"AAAAAH2+n5A=")</f>
        <v>#VALUE!</v>
      </c>
      <c r="EP65" t="e">
        <f>AND(Answers!AS213,"AAAAAH2+n5E=")</f>
        <v>#VALUE!</v>
      </c>
      <c r="EQ65" t="e">
        <f>AND(Answers!AT213,"AAAAAH2+n5I=")</f>
        <v>#VALUE!</v>
      </c>
      <c r="ER65" t="e">
        <f>AND(Answers!AU213,"AAAAAH2+n5M=")</f>
        <v>#VALUE!</v>
      </c>
      <c r="ES65" t="e">
        <f>AND(Answers!AW213,"AAAAAH2+n5Q=")</f>
        <v>#VALUE!</v>
      </c>
      <c r="ET65" t="e">
        <f>AND(Answers!AX213,"AAAAAH2+n5U=")</f>
        <v>#VALUE!</v>
      </c>
      <c r="EU65" t="e">
        <f>AND(Answers!AY213,"AAAAAH2+n5Y=")</f>
        <v>#VALUE!</v>
      </c>
      <c r="EV65" t="e">
        <f>AND(Answers!AZ213,"AAAAAH2+n5c=")</f>
        <v>#VALUE!</v>
      </c>
      <c r="EW65" t="e">
        <f>AND(Answers!BA213,"AAAAAH2+n5g=")</f>
        <v>#VALUE!</v>
      </c>
      <c r="EX65" t="e">
        <f>AND(Answers!BB213,"AAAAAH2+n5k=")</f>
        <v>#VALUE!</v>
      </c>
      <c r="EY65" t="e">
        <f>AND(Answers!BC213,"AAAAAH2+n5o=")</f>
        <v>#VALUE!</v>
      </c>
      <c r="EZ65" t="e">
        <f>AND(Answers!BD213,"AAAAAH2+n5s=")</f>
        <v>#VALUE!</v>
      </c>
      <c r="FA65" t="e">
        <f>AND(Answers!BE213,"AAAAAH2+n5w=")</f>
        <v>#VALUE!</v>
      </c>
      <c r="FB65" t="e">
        <f>AND(Answers!BF213,"AAAAAH2+n50=")</f>
        <v>#VALUE!</v>
      </c>
      <c r="FC65" t="e">
        <f>AND(Answers!BG213,"AAAAAH2+n54=")</f>
        <v>#VALUE!</v>
      </c>
      <c r="FD65" t="e">
        <f>AND(Answers!BH213,"AAAAAH2+n58=")</f>
        <v>#VALUE!</v>
      </c>
      <c r="FE65" t="e">
        <f>AND(Answers!BI213,"AAAAAH2+n6A=")</f>
        <v>#VALUE!</v>
      </c>
      <c r="FF65" t="e">
        <f>AND(Answers!BK213,"AAAAAH2+n6E=")</f>
        <v>#VALUE!</v>
      </c>
      <c r="FG65" t="e">
        <f>AND(Answers!BL213,"AAAAAH2+n6I=")</f>
        <v>#VALUE!</v>
      </c>
      <c r="FH65" t="e">
        <f>AND(Answers!BM213,"AAAAAH2+n6M=")</f>
        <v>#VALUE!</v>
      </c>
      <c r="FI65" t="e">
        <f>AND(Answers!BN213,"AAAAAH2+n6Q=")</f>
        <v>#VALUE!</v>
      </c>
      <c r="FJ65" t="e">
        <f>AND(Answers!BO213,"AAAAAH2+n6U=")</f>
        <v>#VALUE!</v>
      </c>
      <c r="FK65" t="e">
        <f>AND(Answers!BP213,"AAAAAH2+n6Y=")</f>
        <v>#VALUE!</v>
      </c>
      <c r="FL65" t="e">
        <f>AND(Answers!BQ213,"AAAAAH2+n6c=")</f>
        <v>#VALUE!</v>
      </c>
      <c r="FM65" t="e">
        <f>AND(Answers!BR213,"AAAAAH2+n6g=")</f>
        <v>#VALUE!</v>
      </c>
      <c r="FN65" t="e">
        <f>AND(Answers!BS213,"AAAAAH2+n6k=")</f>
        <v>#VALUE!</v>
      </c>
      <c r="FO65" t="e">
        <f>AND(Answers!BU213,"AAAAAH2+n6o=")</f>
        <v>#VALUE!</v>
      </c>
      <c r="FP65" t="e">
        <f>AND(Answers!BV213,"AAAAAH2+n6s=")</f>
        <v>#VALUE!</v>
      </c>
      <c r="FQ65" t="e">
        <f>AND(Answers!#REF!,"AAAAAH2+n6w=")</f>
        <v>#REF!</v>
      </c>
      <c r="FR65" t="e">
        <f>AND(Answers!BW213,"AAAAAH2+n60=")</f>
        <v>#VALUE!</v>
      </c>
      <c r="FS65" t="e">
        <f>AND(Answers!BX213,"AAAAAH2+n64=")</f>
        <v>#VALUE!</v>
      </c>
      <c r="FT65" t="e">
        <f>AND(Answers!BY213,"AAAAAH2+n68=")</f>
        <v>#VALUE!</v>
      </c>
      <c r="FU65" t="e">
        <f>AND(Answers!BZ213,"AAAAAH2+n7A=")</f>
        <v>#VALUE!</v>
      </c>
      <c r="FV65">
        <f>IF(Answers!214:214,"AAAAAH2+n7E=",0)</f>
        <v>0</v>
      </c>
      <c r="FW65" t="e">
        <f>AND(Answers!A214,"AAAAAH2+n7I=")</f>
        <v>#VALUE!</v>
      </c>
      <c r="FX65" t="e">
        <f>AND(Answers!B214,"AAAAAH2+n7M=")</f>
        <v>#VALUE!</v>
      </c>
      <c r="FY65" t="e">
        <f>AND(Answers!C214,"AAAAAH2+n7Q=")</f>
        <v>#VALUE!</v>
      </c>
      <c r="FZ65" t="e">
        <f>AND(Answers!D214,"AAAAAH2+n7U=")</f>
        <v>#VALUE!</v>
      </c>
      <c r="GA65" t="e">
        <f>AND(Answers!E214,"AAAAAH2+n7Y=")</f>
        <v>#VALUE!</v>
      </c>
      <c r="GB65" t="e">
        <f>AND(Answers!F214,"AAAAAH2+n7c=")</f>
        <v>#VALUE!</v>
      </c>
      <c r="GC65" t="e">
        <f>AND(Answers!G214,"AAAAAH2+n7g=")</f>
        <v>#VALUE!</v>
      </c>
      <c r="GD65" t="e">
        <f>AND(Answers!H214,"AAAAAH2+n7k=")</f>
        <v>#VALUE!</v>
      </c>
      <c r="GE65" t="e">
        <f>AND(Answers!J214,"AAAAAH2+n7o=")</f>
        <v>#VALUE!</v>
      </c>
      <c r="GF65" t="e">
        <f>AND(Answers!K214,"AAAAAH2+n7s=")</f>
        <v>#VALUE!</v>
      </c>
      <c r="GG65" t="e">
        <f>AND(Answers!L214,"AAAAAH2+n7w=")</f>
        <v>#VALUE!</v>
      </c>
      <c r="GH65" t="e">
        <f>AND(Answers!M214,"AAAAAH2+n70=")</f>
        <v>#VALUE!</v>
      </c>
      <c r="GI65" t="e">
        <f>AND(Answers!N214,"AAAAAH2+n74=")</f>
        <v>#VALUE!</v>
      </c>
      <c r="GJ65" t="e">
        <f>AND(Answers!O214,"AAAAAH2+n78=")</f>
        <v>#VALUE!</v>
      </c>
      <c r="GK65" t="e">
        <f>AND(Answers!P214,"AAAAAH2+n8A=")</f>
        <v>#VALUE!</v>
      </c>
      <c r="GL65" t="e">
        <f>AND(Answers!Q214,"AAAAAH2+n8E=")</f>
        <v>#VALUE!</v>
      </c>
      <c r="GM65" t="e">
        <f>AND(Answers!R214,"AAAAAH2+n8I=")</f>
        <v>#VALUE!</v>
      </c>
      <c r="GN65" t="e">
        <f>AND(Answers!S214,"AAAAAH2+n8M=")</f>
        <v>#VALUE!</v>
      </c>
      <c r="GO65" t="e">
        <f>AND(Answers!T214,"AAAAAH2+n8Q=")</f>
        <v>#VALUE!</v>
      </c>
      <c r="GP65" t="e">
        <f>AND(Answers!U214,"AAAAAH2+n8U=")</f>
        <v>#VALUE!</v>
      </c>
      <c r="GQ65" t="e">
        <f>AND(Answers!V214,"AAAAAH2+n8Y=")</f>
        <v>#VALUE!</v>
      </c>
      <c r="GR65" t="e">
        <f>AND(Answers!X214,"AAAAAH2+n8c=")</f>
        <v>#VALUE!</v>
      </c>
      <c r="GS65" t="e">
        <f>AND(Answers!Y214,"AAAAAH2+n8g=")</f>
        <v>#VALUE!</v>
      </c>
      <c r="GT65" t="e">
        <f>AND(Answers!Z214,"AAAAAH2+n8k=")</f>
        <v>#VALUE!</v>
      </c>
      <c r="GU65" t="e">
        <f>AND(Answers!AA214,"AAAAAH2+n8o=")</f>
        <v>#VALUE!</v>
      </c>
      <c r="GV65" t="e">
        <f>AND(Answers!AB214,"AAAAAH2+n8s=")</f>
        <v>#VALUE!</v>
      </c>
      <c r="GW65" t="e">
        <f>AND(Answers!AC214,"AAAAAH2+n8w=")</f>
        <v>#VALUE!</v>
      </c>
      <c r="GX65" t="e">
        <f>AND(Answers!AD214,"AAAAAH2+n80=")</f>
        <v>#VALUE!</v>
      </c>
      <c r="GY65" t="e">
        <f>AND(Answers!AE214,"AAAAAH2+n84=")</f>
        <v>#VALUE!</v>
      </c>
      <c r="GZ65" t="e">
        <f>AND(Answers!AF214,"AAAAAH2+n88=")</f>
        <v>#VALUE!</v>
      </c>
      <c r="HA65" t="e">
        <f>AND(Answers!AH214,"AAAAAH2+n9A=")</f>
        <v>#VALUE!</v>
      </c>
      <c r="HB65" t="e">
        <f>AND(Answers!AI214,"AAAAAH2+n9E=")</f>
        <v>#VALUE!</v>
      </c>
      <c r="HC65" t="e">
        <f>AND(Answers!AK214,"AAAAAH2+n9I=")</f>
        <v>#VALUE!</v>
      </c>
      <c r="HD65" t="e">
        <f>AND(Answers!#REF!,"AAAAAH2+n9M=")</f>
        <v>#REF!</v>
      </c>
      <c r="HE65" t="e">
        <f>AND(Answers!AR214,"AAAAAH2+n9Q=")</f>
        <v>#VALUE!</v>
      </c>
      <c r="HF65" t="e">
        <f>AND(Answers!AS214,"AAAAAH2+n9U=")</f>
        <v>#VALUE!</v>
      </c>
      <c r="HG65" t="e">
        <f>AND(Answers!AT214,"AAAAAH2+n9Y=")</f>
        <v>#VALUE!</v>
      </c>
      <c r="HH65" t="e">
        <f>AND(Answers!AU214,"AAAAAH2+n9c=")</f>
        <v>#VALUE!</v>
      </c>
      <c r="HI65" t="e">
        <f>AND(Answers!AW214,"AAAAAH2+n9g=")</f>
        <v>#VALUE!</v>
      </c>
      <c r="HJ65" t="e">
        <f>AND(Answers!AX214,"AAAAAH2+n9k=")</f>
        <v>#VALUE!</v>
      </c>
      <c r="HK65" t="e">
        <f>AND(Answers!AY214,"AAAAAH2+n9o=")</f>
        <v>#VALUE!</v>
      </c>
      <c r="HL65" t="e">
        <f>AND(Answers!AZ214,"AAAAAH2+n9s=")</f>
        <v>#VALUE!</v>
      </c>
      <c r="HM65" t="e">
        <f>AND(Answers!BA214,"AAAAAH2+n9w=")</f>
        <v>#VALUE!</v>
      </c>
      <c r="HN65" t="e">
        <f>AND(Answers!BB214,"AAAAAH2+n90=")</f>
        <v>#VALUE!</v>
      </c>
      <c r="HO65" t="e">
        <f>AND(Answers!BC214,"AAAAAH2+n94=")</f>
        <v>#VALUE!</v>
      </c>
      <c r="HP65" t="e">
        <f>AND(Answers!BD214,"AAAAAH2+n98=")</f>
        <v>#VALUE!</v>
      </c>
      <c r="HQ65" t="e">
        <f>AND(Answers!BE214,"AAAAAH2+n+A=")</f>
        <v>#VALUE!</v>
      </c>
      <c r="HR65" t="e">
        <f>AND(Answers!BF214,"AAAAAH2+n+E=")</f>
        <v>#VALUE!</v>
      </c>
      <c r="HS65" t="e">
        <f>AND(Answers!BG214,"AAAAAH2+n+I=")</f>
        <v>#VALUE!</v>
      </c>
      <c r="HT65" t="e">
        <f>AND(Answers!BH214,"AAAAAH2+n+M=")</f>
        <v>#VALUE!</v>
      </c>
      <c r="HU65" t="e">
        <f>AND(Answers!BI214,"AAAAAH2+n+Q=")</f>
        <v>#VALUE!</v>
      </c>
      <c r="HV65" t="e">
        <f>AND(Answers!BK214,"AAAAAH2+n+U=")</f>
        <v>#VALUE!</v>
      </c>
      <c r="HW65" t="e">
        <f>AND(Answers!BL214,"AAAAAH2+n+Y=")</f>
        <v>#VALUE!</v>
      </c>
      <c r="HX65" t="e">
        <f>AND(Answers!BM214,"AAAAAH2+n+c=")</f>
        <v>#VALUE!</v>
      </c>
      <c r="HY65" t="e">
        <f>AND(Answers!BN214,"AAAAAH2+n+g=")</f>
        <v>#VALUE!</v>
      </c>
      <c r="HZ65" t="e">
        <f>AND(Answers!BO214,"AAAAAH2+n+k=")</f>
        <v>#VALUE!</v>
      </c>
      <c r="IA65" t="e">
        <f>AND(Answers!BP214,"AAAAAH2+n+o=")</f>
        <v>#VALUE!</v>
      </c>
      <c r="IB65" t="e">
        <f>AND(Answers!BQ214,"AAAAAH2+n+s=")</f>
        <v>#VALUE!</v>
      </c>
      <c r="IC65" t="e">
        <f>AND(Answers!BR214,"AAAAAH2+n+w=")</f>
        <v>#VALUE!</v>
      </c>
      <c r="ID65" t="e">
        <f>AND(Answers!BS214,"AAAAAH2+n+0=")</f>
        <v>#VALUE!</v>
      </c>
      <c r="IE65" t="e">
        <f>AND(Answers!BU214,"AAAAAH2+n+4=")</f>
        <v>#VALUE!</v>
      </c>
      <c r="IF65" t="e">
        <f>AND(Answers!BV214,"AAAAAH2+n+8=")</f>
        <v>#VALUE!</v>
      </c>
      <c r="IG65" t="e">
        <f>AND(Answers!#REF!,"AAAAAH2+n/A=")</f>
        <v>#REF!</v>
      </c>
      <c r="IH65" t="e">
        <f>AND(Answers!BW214,"AAAAAH2+n/E=")</f>
        <v>#VALUE!</v>
      </c>
      <c r="II65" t="e">
        <f>AND(Answers!BX214,"AAAAAH2+n/I=")</f>
        <v>#VALUE!</v>
      </c>
      <c r="IJ65" t="e">
        <f>AND(Answers!BY214,"AAAAAH2+n/M=")</f>
        <v>#VALUE!</v>
      </c>
      <c r="IK65" t="e">
        <f>AND(Answers!BZ214,"AAAAAH2+n/Q=")</f>
        <v>#VALUE!</v>
      </c>
      <c r="IL65">
        <f>IF(Answers!215:215,"AAAAAH2+n/U=",0)</f>
        <v>0</v>
      </c>
      <c r="IM65" t="e">
        <f>AND(Answers!A215,"AAAAAH2+n/Y=")</f>
        <v>#VALUE!</v>
      </c>
      <c r="IN65" t="e">
        <f>AND(Answers!B215,"AAAAAH2+n/c=")</f>
        <v>#VALUE!</v>
      </c>
      <c r="IO65" t="e">
        <f>AND(Answers!C215,"AAAAAH2+n/g=")</f>
        <v>#VALUE!</v>
      </c>
      <c r="IP65" t="e">
        <f>AND(Answers!D215,"AAAAAH2+n/k=")</f>
        <v>#VALUE!</v>
      </c>
      <c r="IQ65" t="e">
        <f>AND(Answers!E215,"AAAAAH2+n/o=")</f>
        <v>#VALUE!</v>
      </c>
      <c r="IR65" t="e">
        <f>AND(Answers!F215,"AAAAAH2+n/s=")</f>
        <v>#VALUE!</v>
      </c>
      <c r="IS65" t="e">
        <f>AND(Answers!G215,"AAAAAH2+n/w=")</f>
        <v>#VALUE!</v>
      </c>
      <c r="IT65" t="e">
        <f>AND(Answers!H215,"AAAAAH2+n/0=")</f>
        <v>#VALUE!</v>
      </c>
      <c r="IU65" t="e">
        <f>AND(Answers!J215,"AAAAAH2+n/4=")</f>
        <v>#VALUE!</v>
      </c>
      <c r="IV65" t="e">
        <f>AND(Answers!K215,"AAAAAH2+n/8=")</f>
        <v>#VALUE!</v>
      </c>
    </row>
    <row r="66" spans="1:256" x14ac:dyDescent="0.15">
      <c r="A66" t="e">
        <f>AND(Answers!L215,"AAAAAH/9/QA=")</f>
        <v>#VALUE!</v>
      </c>
      <c r="B66" t="e">
        <f>AND(Answers!M215,"AAAAAH/9/QE=")</f>
        <v>#VALUE!</v>
      </c>
      <c r="C66" t="e">
        <f>AND(Answers!N215,"AAAAAH/9/QI=")</f>
        <v>#VALUE!</v>
      </c>
      <c r="D66" t="e">
        <f>AND(Answers!O215,"AAAAAH/9/QM=")</f>
        <v>#VALUE!</v>
      </c>
      <c r="E66" t="e">
        <f>AND(Answers!P215,"AAAAAH/9/QQ=")</f>
        <v>#VALUE!</v>
      </c>
      <c r="F66" t="e">
        <f>AND(Answers!Q215,"AAAAAH/9/QU=")</f>
        <v>#VALUE!</v>
      </c>
      <c r="G66" t="e">
        <f>AND(Answers!R215,"AAAAAH/9/QY=")</f>
        <v>#VALUE!</v>
      </c>
      <c r="H66" t="e">
        <f>AND(Answers!S215,"AAAAAH/9/Qc=")</f>
        <v>#VALUE!</v>
      </c>
      <c r="I66" t="e">
        <f>AND(Answers!T215,"AAAAAH/9/Qg=")</f>
        <v>#VALUE!</v>
      </c>
      <c r="J66" t="e">
        <f>AND(Answers!U215,"AAAAAH/9/Qk=")</f>
        <v>#VALUE!</v>
      </c>
      <c r="K66" t="e">
        <f>AND(Answers!V215,"AAAAAH/9/Qo=")</f>
        <v>#VALUE!</v>
      </c>
      <c r="L66" t="e">
        <f>AND(Answers!X215,"AAAAAH/9/Qs=")</f>
        <v>#VALUE!</v>
      </c>
      <c r="M66" t="e">
        <f>AND(Answers!Y215,"AAAAAH/9/Qw=")</f>
        <v>#VALUE!</v>
      </c>
      <c r="N66" t="e">
        <f>AND(Answers!Z215,"AAAAAH/9/Q0=")</f>
        <v>#VALUE!</v>
      </c>
      <c r="O66" t="e">
        <f>AND(Answers!AA215,"AAAAAH/9/Q4=")</f>
        <v>#VALUE!</v>
      </c>
      <c r="P66" t="e">
        <f>AND(Answers!AB215,"AAAAAH/9/Q8=")</f>
        <v>#VALUE!</v>
      </c>
      <c r="Q66" t="e">
        <f>AND(Answers!AC215,"AAAAAH/9/RA=")</f>
        <v>#VALUE!</v>
      </c>
      <c r="R66" t="e">
        <f>AND(Answers!AD215,"AAAAAH/9/RE=")</f>
        <v>#VALUE!</v>
      </c>
      <c r="S66" t="e">
        <f>AND(Answers!AE215,"AAAAAH/9/RI=")</f>
        <v>#VALUE!</v>
      </c>
      <c r="T66" t="e">
        <f>AND(Answers!AF215,"AAAAAH/9/RM=")</f>
        <v>#VALUE!</v>
      </c>
      <c r="U66" t="e">
        <f>AND(Answers!AH215,"AAAAAH/9/RQ=")</f>
        <v>#VALUE!</v>
      </c>
      <c r="V66" t="e">
        <f>AND(Answers!AI215,"AAAAAH/9/RU=")</f>
        <v>#VALUE!</v>
      </c>
      <c r="W66" t="e">
        <f>AND(Answers!AK215,"AAAAAH/9/RY=")</f>
        <v>#VALUE!</v>
      </c>
      <c r="X66" t="e">
        <f>AND(Answers!#REF!,"AAAAAH/9/Rc=")</f>
        <v>#REF!</v>
      </c>
      <c r="Y66" t="e">
        <f>AND(Answers!AR215,"AAAAAH/9/Rg=")</f>
        <v>#VALUE!</v>
      </c>
      <c r="Z66" t="e">
        <f>AND(Answers!AS215,"AAAAAH/9/Rk=")</f>
        <v>#VALUE!</v>
      </c>
      <c r="AA66" t="e">
        <f>AND(Answers!AT215,"AAAAAH/9/Ro=")</f>
        <v>#VALUE!</v>
      </c>
      <c r="AB66" t="e">
        <f>AND(Answers!AU215,"AAAAAH/9/Rs=")</f>
        <v>#VALUE!</v>
      </c>
      <c r="AC66" t="e">
        <f>AND(Answers!AW215,"AAAAAH/9/Rw=")</f>
        <v>#VALUE!</v>
      </c>
      <c r="AD66" t="e">
        <f>AND(Answers!AX215,"AAAAAH/9/R0=")</f>
        <v>#VALUE!</v>
      </c>
      <c r="AE66" t="e">
        <f>AND(Answers!AY215,"AAAAAH/9/R4=")</f>
        <v>#VALUE!</v>
      </c>
      <c r="AF66" t="e">
        <f>AND(Answers!AZ215,"AAAAAH/9/R8=")</f>
        <v>#VALUE!</v>
      </c>
      <c r="AG66" t="e">
        <f>AND(Answers!BA215,"AAAAAH/9/SA=")</f>
        <v>#VALUE!</v>
      </c>
      <c r="AH66" t="e">
        <f>AND(Answers!BB215,"AAAAAH/9/SE=")</f>
        <v>#VALUE!</v>
      </c>
      <c r="AI66" t="e">
        <f>AND(Answers!BC215,"AAAAAH/9/SI=")</f>
        <v>#VALUE!</v>
      </c>
      <c r="AJ66" t="e">
        <f>AND(Answers!BD215,"AAAAAH/9/SM=")</f>
        <v>#VALUE!</v>
      </c>
      <c r="AK66" t="e">
        <f>AND(Answers!BE215,"AAAAAH/9/SQ=")</f>
        <v>#VALUE!</v>
      </c>
      <c r="AL66" t="e">
        <f>AND(Answers!BF215,"AAAAAH/9/SU=")</f>
        <v>#VALUE!</v>
      </c>
      <c r="AM66" t="e">
        <f>AND(Answers!BG215,"AAAAAH/9/SY=")</f>
        <v>#VALUE!</v>
      </c>
      <c r="AN66" t="e">
        <f>AND(Answers!BH215,"AAAAAH/9/Sc=")</f>
        <v>#VALUE!</v>
      </c>
      <c r="AO66" t="e">
        <f>AND(Answers!BI215,"AAAAAH/9/Sg=")</f>
        <v>#VALUE!</v>
      </c>
      <c r="AP66" t="e">
        <f>AND(Answers!BK215,"AAAAAH/9/Sk=")</f>
        <v>#VALUE!</v>
      </c>
      <c r="AQ66" t="e">
        <f>AND(Answers!BL215,"AAAAAH/9/So=")</f>
        <v>#VALUE!</v>
      </c>
      <c r="AR66" t="e">
        <f>AND(Answers!BM215,"AAAAAH/9/Ss=")</f>
        <v>#VALUE!</v>
      </c>
      <c r="AS66" t="e">
        <f>AND(Answers!BN215,"AAAAAH/9/Sw=")</f>
        <v>#VALUE!</v>
      </c>
      <c r="AT66" t="e">
        <f>AND(Answers!BO215,"AAAAAH/9/S0=")</f>
        <v>#VALUE!</v>
      </c>
      <c r="AU66" t="e">
        <f>AND(Answers!BP215,"AAAAAH/9/S4=")</f>
        <v>#VALUE!</v>
      </c>
      <c r="AV66" t="e">
        <f>AND(Answers!BQ215,"AAAAAH/9/S8=")</f>
        <v>#VALUE!</v>
      </c>
      <c r="AW66" t="e">
        <f>AND(Answers!BR215,"AAAAAH/9/TA=")</f>
        <v>#VALUE!</v>
      </c>
      <c r="AX66" t="e">
        <f>AND(Answers!BS215,"AAAAAH/9/TE=")</f>
        <v>#VALUE!</v>
      </c>
      <c r="AY66" t="e">
        <f>AND(Answers!BU215,"AAAAAH/9/TI=")</f>
        <v>#VALUE!</v>
      </c>
      <c r="AZ66" t="e">
        <f>AND(Answers!BV215,"AAAAAH/9/TM=")</f>
        <v>#VALUE!</v>
      </c>
      <c r="BA66" t="e">
        <f>AND(Answers!#REF!,"AAAAAH/9/TQ=")</f>
        <v>#REF!</v>
      </c>
      <c r="BB66" t="e">
        <f>AND(Answers!BW215,"AAAAAH/9/TU=")</f>
        <v>#VALUE!</v>
      </c>
      <c r="BC66" t="e">
        <f>AND(Answers!BX215,"AAAAAH/9/TY=")</f>
        <v>#VALUE!</v>
      </c>
      <c r="BD66" t="e">
        <f>AND(Answers!BY215,"AAAAAH/9/Tc=")</f>
        <v>#VALUE!</v>
      </c>
      <c r="BE66" t="e">
        <f>AND(Answers!BZ215,"AAAAAH/9/Tg=")</f>
        <v>#VALUE!</v>
      </c>
      <c r="BF66">
        <f>IF(Answers!216:216,"AAAAAH/9/Tk=",0)</f>
        <v>0</v>
      </c>
      <c r="BG66" t="e">
        <f>AND(Answers!A216,"AAAAAH/9/To=")</f>
        <v>#VALUE!</v>
      </c>
      <c r="BH66" t="e">
        <f>AND(Answers!B216,"AAAAAH/9/Ts=")</f>
        <v>#VALUE!</v>
      </c>
      <c r="BI66" t="e">
        <f>AND(Answers!C216,"AAAAAH/9/Tw=")</f>
        <v>#VALUE!</v>
      </c>
      <c r="BJ66" t="e">
        <f>AND(Answers!D216,"AAAAAH/9/T0=")</f>
        <v>#VALUE!</v>
      </c>
      <c r="BK66" t="e">
        <f>AND(Answers!E216,"AAAAAH/9/T4=")</f>
        <v>#VALUE!</v>
      </c>
      <c r="BL66" t="e">
        <f>AND(Answers!F216,"AAAAAH/9/T8=")</f>
        <v>#VALUE!</v>
      </c>
      <c r="BM66" t="e">
        <f>AND(Answers!G216,"AAAAAH/9/UA=")</f>
        <v>#VALUE!</v>
      </c>
      <c r="BN66" t="e">
        <f>AND(Answers!H216,"AAAAAH/9/UE=")</f>
        <v>#VALUE!</v>
      </c>
      <c r="BO66" t="e">
        <f>AND(Answers!J216,"AAAAAH/9/UI=")</f>
        <v>#VALUE!</v>
      </c>
      <c r="BP66" t="e">
        <f>AND(Answers!K216,"AAAAAH/9/UM=")</f>
        <v>#VALUE!</v>
      </c>
      <c r="BQ66" t="e">
        <f>AND(Answers!L216,"AAAAAH/9/UQ=")</f>
        <v>#VALUE!</v>
      </c>
      <c r="BR66" t="e">
        <f>AND(Answers!M216,"AAAAAH/9/UU=")</f>
        <v>#VALUE!</v>
      </c>
      <c r="BS66" t="e">
        <f>AND(Answers!N216,"AAAAAH/9/UY=")</f>
        <v>#VALUE!</v>
      </c>
      <c r="BT66" t="e">
        <f>AND(Answers!O216,"AAAAAH/9/Uc=")</f>
        <v>#VALUE!</v>
      </c>
      <c r="BU66" t="e">
        <f>AND(Answers!P216,"AAAAAH/9/Ug=")</f>
        <v>#VALUE!</v>
      </c>
      <c r="BV66" t="e">
        <f>AND(Answers!Q216,"AAAAAH/9/Uk=")</f>
        <v>#VALUE!</v>
      </c>
      <c r="BW66" t="e">
        <f>AND(Answers!R216,"AAAAAH/9/Uo=")</f>
        <v>#VALUE!</v>
      </c>
      <c r="BX66" t="e">
        <f>AND(Answers!S216,"AAAAAH/9/Us=")</f>
        <v>#VALUE!</v>
      </c>
      <c r="BY66" t="e">
        <f>AND(Answers!T216,"AAAAAH/9/Uw=")</f>
        <v>#VALUE!</v>
      </c>
      <c r="BZ66" t="e">
        <f>AND(Answers!U216,"AAAAAH/9/U0=")</f>
        <v>#VALUE!</v>
      </c>
      <c r="CA66" t="e">
        <f>AND(Answers!V216,"AAAAAH/9/U4=")</f>
        <v>#VALUE!</v>
      </c>
      <c r="CB66" t="e">
        <f>AND(Answers!X216,"AAAAAH/9/U8=")</f>
        <v>#VALUE!</v>
      </c>
      <c r="CC66" t="e">
        <f>AND(Answers!Y216,"AAAAAH/9/VA=")</f>
        <v>#VALUE!</v>
      </c>
      <c r="CD66" t="e">
        <f>AND(Answers!Z216,"AAAAAH/9/VE=")</f>
        <v>#VALUE!</v>
      </c>
      <c r="CE66" t="e">
        <f>AND(Answers!AA216,"AAAAAH/9/VI=")</f>
        <v>#VALUE!</v>
      </c>
      <c r="CF66" t="e">
        <f>AND(Answers!AB216,"AAAAAH/9/VM=")</f>
        <v>#VALUE!</v>
      </c>
      <c r="CG66" t="e">
        <f>AND(Answers!AC216,"AAAAAH/9/VQ=")</f>
        <v>#VALUE!</v>
      </c>
      <c r="CH66" t="e">
        <f>AND(Answers!AD216,"AAAAAH/9/VU=")</f>
        <v>#VALUE!</v>
      </c>
      <c r="CI66" t="e">
        <f>AND(Answers!AE216,"AAAAAH/9/VY=")</f>
        <v>#VALUE!</v>
      </c>
      <c r="CJ66" t="e">
        <f>AND(Answers!AF216,"AAAAAH/9/Vc=")</f>
        <v>#VALUE!</v>
      </c>
      <c r="CK66" t="e">
        <f>AND(Answers!AH216,"AAAAAH/9/Vg=")</f>
        <v>#VALUE!</v>
      </c>
      <c r="CL66" t="e">
        <f>AND(Answers!AI216,"AAAAAH/9/Vk=")</f>
        <v>#VALUE!</v>
      </c>
      <c r="CM66" t="e">
        <f>AND(Answers!AK216,"AAAAAH/9/Vo=")</f>
        <v>#VALUE!</v>
      </c>
      <c r="CN66" t="e">
        <f>AND(Answers!#REF!,"AAAAAH/9/Vs=")</f>
        <v>#REF!</v>
      </c>
      <c r="CO66" t="e">
        <f>AND(Answers!AR216,"AAAAAH/9/Vw=")</f>
        <v>#VALUE!</v>
      </c>
      <c r="CP66" t="e">
        <f>AND(Answers!AS216,"AAAAAH/9/V0=")</f>
        <v>#VALUE!</v>
      </c>
      <c r="CQ66" t="e">
        <f>AND(Answers!AT216,"AAAAAH/9/V4=")</f>
        <v>#VALUE!</v>
      </c>
      <c r="CR66" t="e">
        <f>AND(Answers!AU216,"AAAAAH/9/V8=")</f>
        <v>#VALUE!</v>
      </c>
      <c r="CS66" t="e">
        <f>AND(Answers!AW216,"AAAAAH/9/WA=")</f>
        <v>#VALUE!</v>
      </c>
      <c r="CT66" t="e">
        <f>AND(Answers!AX216,"AAAAAH/9/WE=")</f>
        <v>#VALUE!</v>
      </c>
      <c r="CU66" t="e">
        <f>AND(Answers!AY216,"AAAAAH/9/WI=")</f>
        <v>#VALUE!</v>
      </c>
      <c r="CV66" t="e">
        <f>AND(Answers!AZ216,"AAAAAH/9/WM=")</f>
        <v>#VALUE!</v>
      </c>
      <c r="CW66" t="e">
        <f>AND(Answers!BA216,"AAAAAH/9/WQ=")</f>
        <v>#VALUE!</v>
      </c>
      <c r="CX66" t="e">
        <f>AND(Answers!BB216,"AAAAAH/9/WU=")</f>
        <v>#VALUE!</v>
      </c>
      <c r="CY66" t="e">
        <f>AND(Answers!BC216,"AAAAAH/9/WY=")</f>
        <v>#VALUE!</v>
      </c>
      <c r="CZ66" t="e">
        <f>AND(Answers!BD216,"AAAAAH/9/Wc=")</f>
        <v>#VALUE!</v>
      </c>
      <c r="DA66" t="e">
        <f>AND(Answers!BE216,"AAAAAH/9/Wg=")</f>
        <v>#VALUE!</v>
      </c>
      <c r="DB66" t="e">
        <f>AND(Answers!BF216,"AAAAAH/9/Wk=")</f>
        <v>#VALUE!</v>
      </c>
      <c r="DC66" t="e">
        <f>AND(Answers!BG216,"AAAAAH/9/Wo=")</f>
        <v>#VALUE!</v>
      </c>
      <c r="DD66" t="e">
        <f>AND(Answers!BH216,"AAAAAH/9/Ws=")</f>
        <v>#VALUE!</v>
      </c>
      <c r="DE66" t="e">
        <f>AND(Answers!BI216,"AAAAAH/9/Ww=")</f>
        <v>#VALUE!</v>
      </c>
      <c r="DF66" t="e">
        <f>AND(Answers!BK216,"AAAAAH/9/W0=")</f>
        <v>#VALUE!</v>
      </c>
      <c r="DG66" t="e">
        <f>AND(Answers!BL216,"AAAAAH/9/W4=")</f>
        <v>#VALUE!</v>
      </c>
      <c r="DH66" t="e">
        <f>AND(Answers!BM216,"AAAAAH/9/W8=")</f>
        <v>#VALUE!</v>
      </c>
      <c r="DI66" t="e">
        <f>AND(Answers!BN216,"AAAAAH/9/XA=")</f>
        <v>#VALUE!</v>
      </c>
      <c r="DJ66" t="e">
        <f>AND(Answers!BO216,"AAAAAH/9/XE=")</f>
        <v>#VALUE!</v>
      </c>
      <c r="DK66" t="e">
        <f>AND(Answers!BP216,"AAAAAH/9/XI=")</f>
        <v>#VALUE!</v>
      </c>
      <c r="DL66" t="e">
        <f>AND(Answers!BQ216,"AAAAAH/9/XM=")</f>
        <v>#VALUE!</v>
      </c>
      <c r="DM66" t="e">
        <f>AND(Answers!BR216,"AAAAAH/9/XQ=")</f>
        <v>#VALUE!</v>
      </c>
      <c r="DN66" t="e">
        <f>AND(Answers!BS216,"AAAAAH/9/XU=")</f>
        <v>#VALUE!</v>
      </c>
      <c r="DO66" t="e">
        <f>AND(Answers!BU216,"AAAAAH/9/XY=")</f>
        <v>#VALUE!</v>
      </c>
      <c r="DP66" t="e">
        <f>AND(Answers!BV216,"AAAAAH/9/Xc=")</f>
        <v>#VALUE!</v>
      </c>
      <c r="DQ66" t="e">
        <f>AND(Answers!#REF!,"AAAAAH/9/Xg=")</f>
        <v>#REF!</v>
      </c>
      <c r="DR66" t="e">
        <f>AND(Answers!BW216,"AAAAAH/9/Xk=")</f>
        <v>#VALUE!</v>
      </c>
      <c r="DS66">
        <f>IF(Answers!217:217,"AAAAAH/9/Xo=",0)</f>
        <v>0</v>
      </c>
      <c r="DT66" t="e">
        <f>AND(Answers!A217,"AAAAAH/9/Xs=")</f>
        <v>#VALUE!</v>
      </c>
      <c r="DU66" t="e">
        <f>AND(Answers!B217,"AAAAAH/9/Xw=")</f>
        <v>#VALUE!</v>
      </c>
      <c r="DV66" t="e">
        <f>AND(Answers!C217,"AAAAAH/9/X0=")</f>
        <v>#VALUE!</v>
      </c>
      <c r="DW66" t="e">
        <f>AND(Answers!D217,"AAAAAH/9/X4=")</f>
        <v>#VALUE!</v>
      </c>
      <c r="DX66" t="e">
        <f>AND(Answers!E217,"AAAAAH/9/X8=")</f>
        <v>#VALUE!</v>
      </c>
      <c r="DY66" t="e">
        <f>AND(Answers!F217,"AAAAAH/9/YA=")</f>
        <v>#VALUE!</v>
      </c>
      <c r="DZ66" t="e">
        <f>AND(Answers!G217,"AAAAAH/9/YE=")</f>
        <v>#VALUE!</v>
      </c>
      <c r="EA66" t="e">
        <f>AND(Answers!H217,"AAAAAH/9/YI=")</f>
        <v>#VALUE!</v>
      </c>
      <c r="EB66" t="e">
        <f>AND(Answers!J217,"AAAAAH/9/YM=")</f>
        <v>#VALUE!</v>
      </c>
      <c r="EC66" t="e">
        <f>AND(Answers!K217,"AAAAAH/9/YQ=")</f>
        <v>#VALUE!</v>
      </c>
      <c r="ED66" t="e">
        <f>AND(Answers!L217,"AAAAAH/9/YU=")</f>
        <v>#VALUE!</v>
      </c>
      <c r="EE66" t="e">
        <f>AND(Answers!M217,"AAAAAH/9/YY=")</f>
        <v>#VALUE!</v>
      </c>
      <c r="EF66" t="e">
        <f>AND(Answers!N217,"AAAAAH/9/Yc=")</f>
        <v>#VALUE!</v>
      </c>
      <c r="EG66" t="e">
        <f>AND(Answers!O217,"AAAAAH/9/Yg=")</f>
        <v>#VALUE!</v>
      </c>
      <c r="EH66" t="e">
        <f>AND(Answers!P217,"AAAAAH/9/Yk=")</f>
        <v>#VALUE!</v>
      </c>
      <c r="EI66" t="e">
        <f>AND(Answers!Q217,"AAAAAH/9/Yo=")</f>
        <v>#VALUE!</v>
      </c>
      <c r="EJ66" t="e">
        <f>AND(Answers!R217,"AAAAAH/9/Ys=")</f>
        <v>#VALUE!</v>
      </c>
      <c r="EK66" t="e">
        <f>AND(Answers!S217,"AAAAAH/9/Yw=")</f>
        <v>#VALUE!</v>
      </c>
      <c r="EL66" t="e">
        <f>AND(Answers!T217,"AAAAAH/9/Y0=")</f>
        <v>#VALUE!</v>
      </c>
      <c r="EM66" t="e">
        <f>AND(Answers!U217,"AAAAAH/9/Y4=")</f>
        <v>#VALUE!</v>
      </c>
      <c r="EN66" t="e">
        <f>AND(Answers!V217,"AAAAAH/9/Y8=")</f>
        <v>#VALUE!</v>
      </c>
      <c r="EO66" t="e">
        <f>AND(Answers!X217,"AAAAAH/9/ZA=")</f>
        <v>#VALUE!</v>
      </c>
      <c r="EP66" t="e">
        <f>AND(Answers!Y217,"AAAAAH/9/ZE=")</f>
        <v>#VALUE!</v>
      </c>
      <c r="EQ66" t="e">
        <f>AND(Answers!Z217,"AAAAAH/9/ZI=")</f>
        <v>#VALUE!</v>
      </c>
      <c r="ER66" t="e">
        <f>AND(Answers!AA217,"AAAAAH/9/ZM=")</f>
        <v>#VALUE!</v>
      </c>
      <c r="ES66" t="e">
        <f>AND(Answers!AB217,"AAAAAH/9/ZQ=")</f>
        <v>#VALUE!</v>
      </c>
      <c r="ET66" t="e">
        <f>AND(Answers!AC217,"AAAAAH/9/ZU=")</f>
        <v>#VALUE!</v>
      </c>
      <c r="EU66" t="e">
        <f>AND(Answers!AD217,"AAAAAH/9/ZY=")</f>
        <v>#VALUE!</v>
      </c>
      <c r="EV66" t="e">
        <f>AND(Answers!AE217,"AAAAAH/9/Zc=")</f>
        <v>#VALUE!</v>
      </c>
      <c r="EW66" t="e">
        <f>AND(Answers!AF217,"AAAAAH/9/Zg=")</f>
        <v>#VALUE!</v>
      </c>
      <c r="EX66" t="e">
        <f>AND(Answers!AH217,"AAAAAH/9/Zk=")</f>
        <v>#VALUE!</v>
      </c>
      <c r="EY66" t="e">
        <f>AND(Answers!AI217,"AAAAAH/9/Zo=")</f>
        <v>#VALUE!</v>
      </c>
      <c r="EZ66" t="e">
        <f>AND(Answers!AK217,"AAAAAH/9/Zs=")</f>
        <v>#VALUE!</v>
      </c>
      <c r="FA66" t="e">
        <f>AND(Answers!#REF!,"AAAAAH/9/Zw=")</f>
        <v>#REF!</v>
      </c>
      <c r="FB66" t="e">
        <f>AND(Answers!AR217,"AAAAAH/9/Z0=")</f>
        <v>#VALUE!</v>
      </c>
      <c r="FC66" t="e">
        <f>AND(Answers!AS217,"AAAAAH/9/Z4=")</f>
        <v>#VALUE!</v>
      </c>
      <c r="FD66" t="e">
        <f>AND(Answers!AT217,"AAAAAH/9/Z8=")</f>
        <v>#VALUE!</v>
      </c>
      <c r="FE66" t="e">
        <f>AND(Answers!AU217,"AAAAAH/9/aA=")</f>
        <v>#VALUE!</v>
      </c>
      <c r="FF66" t="e">
        <f>AND(Answers!AW217,"AAAAAH/9/aE=")</f>
        <v>#VALUE!</v>
      </c>
      <c r="FG66" t="e">
        <f>AND(Answers!AX217,"AAAAAH/9/aI=")</f>
        <v>#VALUE!</v>
      </c>
      <c r="FH66" t="e">
        <f>AND(Answers!AY217,"AAAAAH/9/aM=")</f>
        <v>#VALUE!</v>
      </c>
      <c r="FI66" t="e">
        <f>AND(Answers!AZ217,"AAAAAH/9/aQ=")</f>
        <v>#VALUE!</v>
      </c>
      <c r="FJ66" t="e">
        <f>AND(Answers!BA217,"AAAAAH/9/aU=")</f>
        <v>#VALUE!</v>
      </c>
      <c r="FK66" t="e">
        <f>AND(Answers!BB217,"AAAAAH/9/aY=")</f>
        <v>#VALUE!</v>
      </c>
      <c r="FL66" t="e">
        <f>AND(Answers!BC217,"AAAAAH/9/ac=")</f>
        <v>#VALUE!</v>
      </c>
      <c r="FM66" t="e">
        <f>AND(Answers!BD217,"AAAAAH/9/ag=")</f>
        <v>#VALUE!</v>
      </c>
      <c r="FN66" t="e">
        <f>AND(Answers!BE217,"AAAAAH/9/ak=")</f>
        <v>#VALUE!</v>
      </c>
      <c r="FO66" t="e">
        <f>AND(Answers!BF217,"AAAAAH/9/ao=")</f>
        <v>#VALUE!</v>
      </c>
      <c r="FP66" t="e">
        <f>AND(Answers!BG217,"AAAAAH/9/as=")</f>
        <v>#VALUE!</v>
      </c>
      <c r="FQ66" t="e">
        <f>AND(Answers!BH217,"AAAAAH/9/aw=")</f>
        <v>#VALUE!</v>
      </c>
      <c r="FR66" t="e">
        <f>AND(Answers!BI217,"AAAAAH/9/a0=")</f>
        <v>#VALUE!</v>
      </c>
      <c r="FS66" t="e">
        <f>AND(Answers!BK217,"AAAAAH/9/a4=")</f>
        <v>#VALUE!</v>
      </c>
      <c r="FT66" t="e">
        <f>AND(Answers!BL217,"AAAAAH/9/a8=")</f>
        <v>#VALUE!</v>
      </c>
      <c r="FU66" t="e">
        <f>AND(Answers!BM217,"AAAAAH/9/bA=")</f>
        <v>#VALUE!</v>
      </c>
      <c r="FV66" t="e">
        <f>AND(Answers!BN217,"AAAAAH/9/bE=")</f>
        <v>#VALUE!</v>
      </c>
      <c r="FW66" t="e">
        <f>AND(Answers!BO217,"AAAAAH/9/bI=")</f>
        <v>#VALUE!</v>
      </c>
      <c r="FX66" t="e">
        <f>AND(Answers!BP217,"AAAAAH/9/bM=")</f>
        <v>#VALUE!</v>
      </c>
      <c r="FY66" t="e">
        <f>AND(Answers!BQ217,"AAAAAH/9/bQ=")</f>
        <v>#VALUE!</v>
      </c>
      <c r="FZ66" t="e">
        <f>AND(Answers!BR217,"AAAAAH/9/bU=")</f>
        <v>#VALUE!</v>
      </c>
      <c r="GA66" t="e">
        <f>AND(Answers!BS217,"AAAAAH/9/bY=")</f>
        <v>#VALUE!</v>
      </c>
      <c r="GB66" t="e">
        <f>AND(Answers!BU217,"AAAAAH/9/bc=")</f>
        <v>#VALUE!</v>
      </c>
      <c r="GC66" t="e">
        <f>AND(Answers!BV217,"AAAAAH/9/bg=")</f>
        <v>#VALUE!</v>
      </c>
      <c r="GD66" t="e">
        <f>AND(Answers!#REF!,"AAAAAH/9/bk=")</f>
        <v>#REF!</v>
      </c>
      <c r="GE66" t="e">
        <f>AND(Answers!BW217,"AAAAAH/9/bo=")</f>
        <v>#VALUE!</v>
      </c>
      <c r="GF66" t="e">
        <f>IF(Answers!A:A,"AAAAAH/9/bs=",0)</f>
        <v>#VALUE!</v>
      </c>
      <c r="GG66" t="str">
        <f>IF(Answers!B:B,"AAAAAH/9/bw=",0)</f>
        <v>AAAAAH/9/bw=</v>
      </c>
      <c r="GH66" t="e">
        <f>IF(Answers!C:C,"AAAAAH/9/b0=",0)</f>
        <v>#VALUE!</v>
      </c>
      <c r="GI66">
        <f>IF(Answers!D:D,"AAAAAH/9/b4=",0)</f>
        <v>0</v>
      </c>
      <c r="GJ66">
        <f>IF(Answers!E:E,"AAAAAH/9/b8=",0)</f>
        <v>0</v>
      </c>
      <c r="GK66" t="e">
        <f>IF(Answers!F:F,"AAAAAH/9/cA=",0)</f>
        <v>#VALUE!</v>
      </c>
      <c r="GL66" t="e">
        <f>IF(Answers!G:G,"AAAAAH/9/cE=",0)</f>
        <v>#VALUE!</v>
      </c>
      <c r="GM66" t="e">
        <f>IF(Answers!H:H,"AAAAAH/9/cI=",0)</f>
        <v>#VALUE!</v>
      </c>
      <c r="GN66" t="e">
        <f>IF(Answers!J:J,"AAAAAH/9/cM=",0)</f>
        <v>#VALUE!</v>
      </c>
      <c r="GO66" t="e">
        <f>IF(Answers!K:K,"AAAAAH/9/cQ=",0)</f>
        <v>#VALUE!</v>
      </c>
      <c r="GP66" t="str">
        <f>IF(Answers!L:L,"AAAAAH/9/cU=",0)</f>
        <v>AAAAAH/9/cU=</v>
      </c>
      <c r="GQ66" t="str">
        <f>IF(Answers!M:M,"AAAAAH/9/cY=",0)</f>
        <v>AAAAAH/9/cY=</v>
      </c>
      <c r="GR66" t="e">
        <f>IF(Answers!N:N,"AAAAAH/9/cc=",0)</f>
        <v>#VALUE!</v>
      </c>
      <c r="GS66" t="str">
        <f>IF(Answers!O:O,"AAAAAH/9/cg=",0)</f>
        <v>AAAAAH/9/cg=</v>
      </c>
      <c r="GT66" t="str">
        <f>IF(Answers!P:P,"AAAAAH/9/ck=",0)</f>
        <v>AAAAAH/9/ck=</v>
      </c>
      <c r="GU66" t="str">
        <f>IF(Answers!Q:Q,"AAAAAH/9/co=",0)</f>
        <v>AAAAAH/9/co=</v>
      </c>
      <c r="GV66" t="e">
        <f>IF(Answers!R:R,"AAAAAH/9/cs=",0)</f>
        <v>#VALUE!</v>
      </c>
      <c r="GW66" t="str">
        <f>IF(Answers!S:S,"AAAAAH/9/cw=",0)</f>
        <v>AAAAAH/9/cw=</v>
      </c>
      <c r="GX66" t="str">
        <f>IF(Answers!T:T,"AAAAAH/9/c0=",0)</f>
        <v>AAAAAH/9/c0=</v>
      </c>
      <c r="GY66" t="str">
        <f>IF(Answers!U:U,"AAAAAH/9/c4=",0)</f>
        <v>AAAAAH/9/c4=</v>
      </c>
      <c r="GZ66" t="str">
        <f>IF(Answers!V:V,"AAAAAH/9/c8=",0)</f>
        <v>AAAAAH/9/c8=</v>
      </c>
      <c r="HA66" t="str">
        <f>IF(Answers!X:X,"AAAAAH/9/dA=",0)</f>
        <v>AAAAAH/9/dA=</v>
      </c>
      <c r="HB66" t="e">
        <f>IF(Answers!Y:Y,"AAAAAH/9/dE=",0)</f>
        <v>#VALUE!</v>
      </c>
      <c r="HC66" t="str">
        <f>IF(Answers!Z:Z,"AAAAAH/9/dI=",0)</f>
        <v>AAAAAH/9/dI=</v>
      </c>
      <c r="HD66" t="str">
        <f>IF(Answers!AA:AA,"AAAAAH/9/dM=",0)</f>
        <v>AAAAAH/9/dM=</v>
      </c>
      <c r="HE66" t="str">
        <f>IF(Answers!AB:AB,"AAAAAH/9/dQ=",0)</f>
        <v>AAAAAH/9/dQ=</v>
      </c>
      <c r="HF66" t="str">
        <f>IF(Answers!AC:AC,"AAAAAH/9/dU=",0)</f>
        <v>AAAAAH/9/dU=</v>
      </c>
      <c r="HG66" t="str">
        <f>IF(Answers!AD:AD,"AAAAAH/9/dY=",0)</f>
        <v>AAAAAH/9/dY=</v>
      </c>
      <c r="HH66" t="str">
        <f>IF(Answers!AE:AE,"AAAAAH/9/dc=",0)</f>
        <v>AAAAAH/9/dc=</v>
      </c>
      <c r="HI66" t="str">
        <f>IF(Answers!AF:AF,"AAAAAH/9/dg=",0)</f>
        <v>AAAAAH/9/dg=</v>
      </c>
      <c r="HJ66" t="str">
        <f>IF(Answers!AH:AH,"AAAAAH/9/dk=",0)</f>
        <v>AAAAAH/9/dk=</v>
      </c>
      <c r="HK66" t="str">
        <f>IF(Answers!AI:AI,"AAAAAH/9/do=",0)</f>
        <v>AAAAAH/9/do=</v>
      </c>
      <c r="HL66" t="str">
        <f>IF(Answers!AK:AK,"AAAAAH/9/ds=",0)</f>
        <v>AAAAAH/9/ds=</v>
      </c>
      <c r="HM66" t="e">
        <f>IF(Answers!#REF!,"AAAAAH/9/dw=",0)</f>
        <v>#REF!</v>
      </c>
      <c r="HN66" t="e">
        <f>IF(Answers!AR:AR,"AAAAAH/9/d0=",0)</f>
        <v>#VALUE!</v>
      </c>
      <c r="HO66" t="str">
        <f>IF(Answers!AS:AS,"AAAAAH/9/d4=",0)</f>
        <v>AAAAAH/9/d4=</v>
      </c>
      <c r="HP66" t="str">
        <f>IF(Answers!AT:AT,"AAAAAH/9/d8=",0)</f>
        <v>AAAAAH/9/d8=</v>
      </c>
      <c r="HQ66" t="str">
        <f>IF(Answers!AU:AU,"AAAAAH/9/eA=",0)</f>
        <v>AAAAAH/9/eA=</v>
      </c>
      <c r="HR66" t="str">
        <f>IF(Answers!AW:AW,"AAAAAH/9/eE=",0)</f>
        <v>AAAAAH/9/eE=</v>
      </c>
      <c r="HS66" t="str">
        <f>IF(Answers!AX:AX,"AAAAAH/9/eI=",0)</f>
        <v>AAAAAH/9/eI=</v>
      </c>
      <c r="HT66" t="str">
        <f>IF(Answers!AY:AY,"AAAAAH/9/eM=",0)</f>
        <v>AAAAAH/9/eM=</v>
      </c>
      <c r="HU66" t="str">
        <f>IF(Answers!AZ:AZ,"AAAAAH/9/eQ=",0)</f>
        <v>AAAAAH/9/eQ=</v>
      </c>
      <c r="HV66" t="str">
        <f>IF(Answers!BA:BA,"AAAAAH/9/eU=",0)</f>
        <v>AAAAAH/9/eU=</v>
      </c>
      <c r="HW66" t="str">
        <f>IF(Answers!BB:BB,"AAAAAH/9/eY=",0)</f>
        <v>AAAAAH/9/eY=</v>
      </c>
      <c r="HX66" t="str">
        <f>IF(Answers!BC:BC,"AAAAAH/9/ec=",0)</f>
        <v>AAAAAH/9/ec=</v>
      </c>
      <c r="HY66" t="str">
        <f>IF(Answers!BD:BD,"AAAAAH/9/eg=",0)</f>
        <v>AAAAAH/9/eg=</v>
      </c>
      <c r="HZ66" t="str">
        <f>IF(Answers!BE:BE,"AAAAAH/9/ek=",0)</f>
        <v>AAAAAH/9/ek=</v>
      </c>
      <c r="IA66" t="str">
        <f>IF(Answers!BF:BF,"AAAAAH/9/eo=",0)</f>
        <v>AAAAAH/9/eo=</v>
      </c>
      <c r="IB66" t="str">
        <f>IF(Answers!BG:BG,"AAAAAH/9/es=",0)</f>
        <v>AAAAAH/9/es=</v>
      </c>
      <c r="IC66" t="str">
        <f>IF(Answers!BH:BH,"AAAAAH/9/ew=",0)</f>
        <v>AAAAAH/9/ew=</v>
      </c>
      <c r="ID66" t="str">
        <f>IF(Answers!BI:BI,"AAAAAH/9/e0=",0)</f>
        <v>AAAAAH/9/e0=</v>
      </c>
      <c r="IE66" t="str">
        <f>IF(Answers!BK:BK,"AAAAAH/9/e4=",0)</f>
        <v>AAAAAH/9/e4=</v>
      </c>
      <c r="IF66" t="str">
        <f>IF(Answers!BL:BL,"AAAAAH/9/e8=",0)</f>
        <v>AAAAAH/9/e8=</v>
      </c>
      <c r="IG66">
        <f>IF(Answers!BM:BM,"AAAAAH/9/fA=",0)</f>
        <v>0</v>
      </c>
      <c r="IH66" t="str">
        <f>IF(Answers!BN:BN,"AAAAAH/9/fE=",0)</f>
        <v>AAAAAH/9/fE=</v>
      </c>
      <c r="II66" t="str">
        <f>IF(Answers!BO:BO,"AAAAAH/9/fI=",0)</f>
        <v>AAAAAH/9/fI=</v>
      </c>
      <c r="IJ66" t="str">
        <f>IF(Answers!BP:BP,"AAAAAH/9/fM=",0)</f>
        <v>AAAAAH/9/fM=</v>
      </c>
      <c r="IK66" t="str">
        <f>IF(Answers!BQ:BQ,"AAAAAH/9/fQ=",0)</f>
        <v>AAAAAH/9/fQ=</v>
      </c>
      <c r="IL66" t="str">
        <f>IF(Answers!BR:BR,"AAAAAH/9/fU=",0)</f>
        <v>AAAAAH/9/fU=</v>
      </c>
      <c r="IM66" t="str">
        <f>IF(Answers!BS:BS,"AAAAAH/9/fY=",0)</f>
        <v>AAAAAH/9/fY=</v>
      </c>
      <c r="IN66" t="str">
        <f>IF(Answers!BU:BU,"AAAAAH/9/fc=",0)</f>
        <v>AAAAAH/9/fc=</v>
      </c>
      <c r="IO66" t="str">
        <f>IF(Answers!BV:BV,"AAAAAH/9/fg=",0)</f>
        <v>AAAAAH/9/fg=</v>
      </c>
      <c r="IP66" t="e">
        <f>IF(Answers!#REF!,"AAAAAH/9/fk=",0)</f>
        <v>#REF!</v>
      </c>
      <c r="IQ66" t="str">
        <f>IF(Answers!BW:BW,"AAAAAH/9/fo=",0)</f>
        <v>AAAAAH/9/fo=</v>
      </c>
      <c r="IR66" t="str">
        <f>IF(Answers!BX:BX,"AAAAAH/9/fs=",0)</f>
        <v>AAAAAH/9/fs=</v>
      </c>
      <c r="IS66" t="str">
        <f>IF(Answers!BY:BY,"AAAAAH/9/fw=",0)</f>
        <v>AAAAAH/9/fw=</v>
      </c>
      <c r="IT66">
        <f>IF(Answers!BZ:BZ,"AAAAAH/9/f0=",0)</f>
        <v>0</v>
      </c>
      <c r="IU66">
        <f>IF('Final Grade'!3:3,"AAAAAH/9/f4=",0)</f>
        <v>0</v>
      </c>
      <c r="IV66" t="e">
        <f>AND('Final Grade'!A13,"AAAAAH/9/f8=")</f>
        <v>#VALUE!</v>
      </c>
    </row>
    <row r="67" spans="1:256" x14ac:dyDescent="0.15">
      <c r="A67" t="e">
        <f>AND('Final Grade'!B13,"AAAAAC+eRgA=")</f>
        <v>#VALUE!</v>
      </c>
      <c r="B67" t="e">
        <f>AND('Final Grade'!C13,"AAAAAC+eRgE=")</f>
        <v>#VALUE!</v>
      </c>
      <c r="C67" t="e">
        <f>AND('Final Grade'!D13,"AAAAAC+eRgI=")</f>
        <v>#VALUE!</v>
      </c>
      <c r="D67" t="e">
        <f>AND('Final Grade'!E13,"AAAAAC+eRgM=")</f>
        <v>#VALUE!</v>
      </c>
      <c r="E67" t="e">
        <f>AND('Final Grade'!F3,"AAAAAC+eRgQ=")</f>
        <v>#VALUE!</v>
      </c>
      <c r="F67" t="e">
        <f>AND('Final Grade'!G3,"AAAAAC+eRgU=")</f>
        <v>#VALUE!</v>
      </c>
      <c r="G67" t="e">
        <f>AND('Final Grade'!H3,"AAAAAC+eRgY=")</f>
        <v>#VALUE!</v>
      </c>
      <c r="H67" t="e">
        <f>AND('Final Grade'!I3,"AAAAAC+eRgc=")</f>
        <v>#VALUE!</v>
      </c>
      <c r="I67" t="e">
        <f>AND('Final Grade'!J3,"AAAAAC+eRgg=")</f>
        <v>#VALUE!</v>
      </c>
      <c r="J67" t="e">
        <f>AND('Final Grade'!K3,"AAAAAC+eRgk=")</f>
        <v>#VALUE!</v>
      </c>
      <c r="K67" t="e">
        <f>AND('Final Grade'!L3,"AAAAAC+eRgo=")</f>
        <v>#VALUE!</v>
      </c>
      <c r="L67" t="e">
        <f>AND('Final Grade'!M3,"AAAAAC+eRgs=")</f>
        <v>#VALUE!</v>
      </c>
      <c r="M67" t="e">
        <f>AND('Final Grade'!N3,"AAAAAC+eRgw=")</f>
        <v>#VALUE!</v>
      </c>
      <c r="N67" t="e">
        <f>AND('Final Grade'!O3,"AAAAAC+eRg0=")</f>
        <v>#VALUE!</v>
      </c>
      <c r="O67" t="e">
        <f>AND('Final Grade'!P3,"AAAAAC+eRg4=")</f>
        <v>#VALUE!</v>
      </c>
      <c r="P67" t="e">
        <f>AND('Final Grade'!Q3,"AAAAAC+eRg8=")</f>
        <v>#VALUE!</v>
      </c>
      <c r="Q67" t="e">
        <f>AND('Final Grade'!R3,"AAAAAC+eRhA=")</f>
        <v>#VALUE!</v>
      </c>
      <c r="R67" t="e">
        <f>AND('Final Grade'!S3,"AAAAAC+eRhE=")</f>
        <v>#VALUE!</v>
      </c>
      <c r="S67" t="e">
        <f>AND('Final Grade'!T3,"AAAAAC+eRhI=")</f>
        <v>#VALUE!</v>
      </c>
      <c r="T67" t="e">
        <f>AND('Final Grade'!U3,"AAAAAC+eRhM=")</f>
        <v>#VALUE!</v>
      </c>
      <c r="U67" t="e">
        <f>AND('Final Grade'!V3,"AAAAAC+eRhQ=")</f>
        <v>#VALUE!</v>
      </c>
      <c r="V67" t="e">
        <f>AND('Final Grade'!W3,"AAAAAC+eRhU=")</f>
        <v>#VALUE!</v>
      </c>
      <c r="W67" t="e">
        <f>AND('Final Grade'!X3,"AAAAAC+eRhY=")</f>
        <v>#VALUE!</v>
      </c>
      <c r="X67" t="e">
        <f>AND('Final Grade'!Y3,"AAAAAC+eRhc=")</f>
        <v>#VALUE!</v>
      </c>
      <c r="Y67">
        <f>IF('Final Grade'!4:4,"AAAAAC+eRhg=",0)</f>
        <v>0</v>
      </c>
      <c r="Z67" t="e">
        <f>AND('Final Grade'!A14,"AAAAAC+eRhk=")</f>
        <v>#VALUE!</v>
      </c>
      <c r="AA67" t="e">
        <f>AND('Final Grade'!B14,"AAAAAC+eRho=")</f>
        <v>#VALUE!</v>
      </c>
      <c r="AB67" t="e">
        <f>AND('Final Grade'!C14,"AAAAAC+eRhs=")</f>
        <v>#VALUE!</v>
      </c>
      <c r="AC67" t="e">
        <f>AND('Final Grade'!D14,"AAAAAC+eRhw=")</f>
        <v>#VALUE!</v>
      </c>
      <c r="AD67" t="e">
        <f>AND('Final Grade'!E14,"AAAAAC+eRh0=")</f>
        <v>#VALUE!</v>
      </c>
      <c r="AE67" t="e">
        <f>AND('Final Grade'!F4,"AAAAAC+eRh4=")</f>
        <v>#VALUE!</v>
      </c>
      <c r="AF67" t="e">
        <f>AND('Final Grade'!G4,"AAAAAC+eRh8=")</f>
        <v>#VALUE!</v>
      </c>
      <c r="AG67" t="e">
        <f>AND('Final Grade'!H4,"AAAAAC+eRiA=")</f>
        <v>#VALUE!</v>
      </c>
      <c r="AH67" t="e">
        <f>AND('Final Grade'!I4,"AAAAAC+eRiE=")</f>
        <v>#VALUE!</v>
      </c>
      <c r="AI67" t="e">
        <f>AND('Final Grade'!J4,"AAAAAC+eRiI=")</f>
        <v>#VALUE!</v>
      </c>
      <c r="AJ67" t="e">
        <f>AND('Final Grade'!K4,"AAAAAC+eRiM=")</f>
        <v>#VALUE!</v>
      </c>
      <c r="AK67" t="e">
        <f>AND('Final Grade'!L4,"AAAAAC+eRiQ=")</f>
        <v>#VALUE!</v>
      </c>
      <c r="AL67" t="e">
        <f>AND('Final Grade'!M4,"AAAAAC+eRiU=")</f>
        <v>#VALUE!</v>
      </c>
      <c r="AM67" t="e">
        <f>AND('Final Grade'!N4,"AAAAAC+eRiY=")</f>
        <v>#VALUE!</v>
      </c>
      <c r="AN67" t="e">
        <f>AND('Final Grade'!O4,"AAAAAC+eRic=")</f>
        <v>#VALUE!</v>
      </c>
      <c r="AO67" t="e">
        <f>AND('Final Grade'!P4,"AAAAAC+eRig=")</f>
        <v>#VALUE!</v>
      </c>
      <c r="AP67" t="e">
        <f>AND('Final Grade'!Q4,"AAAAAC+eRik=")</f>
        <v>#VALUE!</v>
      </c>
      <c r="AQ67" t="e">
        <f>AND('Final Grade'!R4,"AAAAAC+eRio=")</f>
        <v>#VALUE!</v>
      </c>
      <c r="AR67" t="e">
        <f>AND('Final Grade'!S4,"AAAAAC+eRis=")</f>
        <v>#VALUE!</v>
      </c>
      <c r="AS67" t="e">
        <f>AND('Final Grade'!T4,"AAAAAC+eRiw=")</f>
        <v>#VALUE!</v>
      </c>
      <c r="AT67" t="e">
        <f>AND('Final Grade'!U4,"AAAAAC+eRi0=")</f>
        <v>#VALUE!</v>
      </c>
      <c r="AU67" t="e">
        <f>AND('Final Grade'!V4,"AAAAAC+eRi4=")</f>
        <v>#VALUE!</v>
      </c>
      <c r="AV67" t="e">
        <f>AND('Final Grade'!W4,"AAAAAC+eRi8=")</f>
        <v>#VALUE!</v>
      </c>
      <c r="AW67" t="e">
        <f>AND('Final Grade'!X4,"AAAAAC+eRjA=")</f>
        <v>#VALUE!</v>
      </c>
      <c r="AX67" t="e">
        <f>AND('Final Grade'!Y4,"AAAAAC+eRjE=")</f>
        <v>#VALUE!</v>
      </c>
      <c r="AY67">
        <f>IF('Final Grade'!5:5,"AAAAAC+eRjI=",0)</f>
        <v>0</v>
      </c>
      <c r="AZ67" t="e">
        <f>AND('Final Grade'!A15,"AAAAAC+eRjM=")</f>
        <v>#VALUE!</v>
      </c>
      <c r="BA67" t="e">
        <f>AND('Final Grade'!B15,"AAAAAC+eRjQ=")</f>
        <v>#VALUE!</v>
      </c>
      <c r="BB67" t="e">
        <f>AND('Final Grade'!C15,"AAAAAC+eRjU=")</f>
        <v>#VALUE!</v>
      </c>
      <c r="BC67" t="e">
        <f>AND('Final Grade'!D15,"AAAAAC+eRjY=")</f>
        <v>#VALUE!</v>
      </c>
      <c r="BD67" t="e">
        <f>AND('Final Grade'!E15,"AAAAAC+eRjc=")</f>
        <v>#VALUE!</v>
      </c>
      <c r="BE67" t="e">
        <f>AND('Final Grade'!F5,"AAAAAC+eRjg=")</f>
        <v>#VALUE!</v>
      </c>
      <c r="BF67" t="e">
        <f>AND('Final Grade'!G5,"AAAAAC+eRjk=")</f>
        <v>#VALUE!</v>
      </c>
      <c r="BG67" t="e">
        <f>AND('Final Grade'!H5,"AAAAAC+eRjo=")</f>
        <v>#VALUE!</v>
      </c>
      <c r="BH67" t="e">
        <f>AND('Final Grade'!I5,"AAAAAC+eRjs=")</f>
        <v>#VALUE!</v>
      </c>
      <c r="BI67" t="e">
        <f>AND('Final Grade'!J5,"AAAAAC+eRjw=")</f>
        <v>#VALUE!</v>
      </c>
      <c r="BJ67" t="e">
        <f>AND('Final Grade'!K5,"AAAAAC+eRj0=")</f>
        <v>#VALUE!</v>
      </c>
      <c r="BK67" t="e">
        <f>AND('Final Grade'!L5,"AAAAAC+eRj4=")</f>
        <v>#VALUE!</v>
      </c>
      <c r="BL67" t="e">
        <f>AND('Final Grade'!M5,"AAAAAC+eRj8=")</f>
        <v>#VALUE!</v>
      </c>
      <c r="BM67" t="e">
        <f>AND('Final Grade'!N5,"AAAAAC+eRkA=")</f>
        <v>#VALUE!</v>
      </c>
      <c r="BN67" t="e">
        <f>AND('Final Grade'!O5,"AAAAAC+eRkE=")</f>
        <v>#VALUE!</v>
      </c>
      <c r="BO67" t="e">
        <f>AND('Final Grade'!P5,"AAAAAC+eRkI=")</f>
        <v>#VALUE!</v>
      </c>
      <c r="BP67" t="e">
        <f>AND('Final Grade'!Q5,"AAAAAC+eRkM=")</f>
        <v>#VALUE!</v>
      </c>
      <c r="BQ67" t="e">
        <f>AND('Final Grade'!R5,"AAAAAC+eRkQ=")</f>
        <v>#VALUE!</v>
      </c>
      <c r="BR67" t="e">
        <f>AND('Final Grade'!S5,"AAAAAC+eRkU=")</f>
        <v>#VALUE!</v>
      </c>
      <c r="BS67" t="e">
        <f>AND('Final Grade'!T5,"AAAAAC+eRkY=")</f>
        <v>#VALUE!</v>
      </c>
      <c r="BT67" t="e">
        <f>AND('Final Grade'!U5,"AAAAAC+eRkc=")</f>
        <v>#VALUE!</v>
      </c>
      <c r="BU67" t="e">
        <f>AND('Final Grade'!V5,"AAAAAC+eRkg=")</f>
        <v>#VALUE!</v>
      </c>
      <c r="BV67" t="e">
        <f>AND('Final Grade'!W5,"AAAAAC+eRkk=")</f>
        <v>#VALUE!</v>
      </c>
      <c r="BW67" t="e">
        <f>AND('Final Grade'!X5,"AAAAAC+eRko=")</f>
        <v>#VALUE!</v>
      </c>
      <c r="BX67" t="e">
        <f>AND('Final Grade'!Y5,"AAAAAC+eRks=")</f>
        <v>#VALUE!</v>
      </c>
      <c r="BY67">
        <f>IF('Final Grade'!6:6,"AAAAAC+eRkw=",0)</f>
        <v>0</v>
      </c>
      <c r="BZ67" t="e">
        <f>AND('Final Grade'!A16,"AAAAAC+eRk0=")</f>
        <v>#VALUE!</v>
      </c>
      <c r="CA67" t="e">
        <f>AND('Final Grade'!B16,"AAAAAC+eRk4=")</f>
        <v>#VALUE!</v>
      </c>
      <c r="CB67" t="e">
        <f>AND('Final Grade'!C16,"AAAAAC+eRk8=")</f>
        <v>#VALUE!</v>
      </c>
      <c r="CC67" t="e">
        <f>AND('Final Grade'!D16,"AAAAAC+eRlA=")</f>
        <v>#VALUE!</v>
      </c>
      <c r="CD67" t="e">
        <f>AND('Final Grade'!E16,"AAAAAC+eRlE=")</f>
        <v>#VALUE!</v>
      </c>
      <c r="CE67" t="e">
        <f>AND('Final Grade'!F6,"AAAAAC+eRlI=")</f>
        <v>#VALUE!</v>
      </c>
      <c r="CF67" t="e">
        <f>AND('Final Grade'!G6,"AAAAAC+eRlM=")</f>
        <v>#VALUE!</v>
      </c>
      <c r="CG67" t="e">
        <f>AND('Final Grade'!H6,"AAAAAC+eRlQ=")</f>
        <v>#VALUE!</v>
      </c>
      <c r="CH67" t="e">
        <f>AND('Final Grade'!I6,"AAAAAC+eRlU=")</f>
        <v>#VALUE!</v>
      </c>
      <c r="CI67" t="e">
        <f>AND('Final Grade'!J6,"AAAAAC+eRlY=")</f>
        <v>#VALUE!</v>
      </c>
      <c r="CJ67" t="e">
        <f>AND('Final Grade'!K6,"AAAAAC+eRlc=")</f>
        <v>#VALUE!</v>
      </c>
      <c r="CK67" t="e">
        <f>AND('Final Grade'!L6,"AAAAAC+eRlg=")</f>
        <v>#VALUE!</v>
      </c>
      <c r="CL67" t="e">
        <f>AND('Final Grade'!M6,"AAAAAC+eRlk=")</f>
        <v>#VALUE!</v>
      </c>
      <c r="CM67" t="e">
        <f>AND('Final Grade'!N6,"AAAAAC+eRlo=")</f>
        <v>#VALUE!</v>
      </c>
      <c r="CN67" t="e">
        <f>AND('Final Grade'!O6,"AAAAAC+eRls=")</f>
        <v>#VALUE!</v>
      </c>
      <c r="CO67" t="e">
        <f>AND('Final Grade'!P6,"AAAAAC+eRlw=")</f>
        <v>#VALUE!</v>
      </c>
      <c r="CP67" t="e">
        <f>AND('Final Grade'!Q6,"AAAAAC+eRl0=")</f>
        <v>#VALUE!</v>
      </c>
      <c r="CQ67" t="e">
        <f>AND('Final Grade'!R6,"AAAAAC+eRl4=")</f>
        <v>#VALUE!</v>
      </c>
      <c r="CR67" t="e">
        <f>AND('Final Grade'!S6,"AAAAAC+eRl8=")</f>
        <v>#VALUE!</v>
      </c>
      <c r="CS67" t="e">
        <f>AND('Final Grade'!T6,"AAAAAC+eRmA=")</f>
        <v>#VALUE!</v>
      </c>
      <c r="CT67" t="e">
        <f>AND('Final Grade'!U6,"AAAAAC+eRmE=")</f>
        <v>#VALUE!</v>
      </c>
      <c r="CU67" t="e">
        <f>AND('Final Grade'!V6,"AAAAAC+eRmI=")</f>
        <v>#VALUE!</v>
      </c>
      <c r="CV67" t="e">
        <f>AND('Final Grade'!W6,"AAAAAC+eRmM=")</f>
        <v>#VALUE!</v>
      </c>
      <c r="CW67" t="e">
        <f>AND('Final Grade'!X6,"AAAAAC+eRmQ=")</f>
        <v>#VALUE!</v>
      </c>
      <c r="CX67" t="e">
        <f>AND('Final Grade'!Y6,"AAAAAC+eRmU=")</f>
        <v>#VALUE!</v>
      </c>
      <c r="CY67">
        <f>IF('Final Grade'!7:7,"AAAAAC+eRmY=",0)</f>
        <v>0</v>
      </c>
      <c r="CZ67" t="e">
        <f>AND('Final Grade'!A17,"AAAAAC+eRmc=")</f>
        <v>#VALUE!</v>
      </c>
      <c r="DA67" t="e">
        <f>AND('Final Grade'!B17,"AAAAAC+eRmg=")</f>
        <v>#VALUE!</v>
      </c>
      <c r="DB67" t="e">
        <f>AND('Final Grade'!C17,"AAAAAC+eRmk=")</f>
        <v>#VALUE!</v>
      </c>
      <c r="DC67" t="e">
        <f>AND('Final Grade'!D17,"AAAAAC+eRmo=")</f>
        <v>#VALUE!</v>
      </c>
      <c r="DD67" t="e">
        <f>AND('Final Grade'!E17,"AAAAAC+eRms=")</f>
        <v>#VALUE!</v>
      </c>
      <c r="DE67" t="e">
        <f>AND('Final Grade'!F7,"AAAAAC+eRmw=")</f>
        <v>#VALUE!</v>
      </c>
      <c r="DF67" t="e">
        <f>AND('Final Grade'!G7,"AAAAAC+eRm0=")</f>
        <v>#VALUE!</v>
      </c>
      <c r="DG67" t="e">
        <f>AND('Final Grade'!H7,"AAAAAC+eRm4=")</f>
        <v>#VALUE!</v>
      </c>
      <c r="DH67" t="e">
        <f>AND('Final Grade'!I7,"AAAAAC+eRm8=")</f>
        <v>#VALUE!</v>
      </c>
      <c r="DI67" t="e">
        <f>AND('Final Grade'!J7,"AAAAAC+eRnA=")</f>
        <v>#VALUE!</v>
      </c>
      <c r="DJ67" t="e">
        <f>AND('Final Grade'!K7,"AAAAAC+eRnE=")</f>
        <v>#VALUE!</v>
      </c>
      <c r="DK67" t="e">
        <f>AND('Final Grade'!L7,"AAAAAC+eRnI=")</f>
        <v>#VALUE!</v>
      </c>
      <c r="DL67" t="e">
        <f>AND('Final Grade'!M7,"AAAAAC+eRnM=")</f>
        <v>#VALUE!</v>
      </c>
      <c r="DM67" t="e">
        <f>AND('Final Grade'!N7,"AAAAAC+eRnQ=")</f>
        <v>#VALUE!</v>
      </c>
      <c r="DN67" t="e">
        <f>AND('Final Grade'!O7,"AAAAAC+eRnU=")</f>
        <v>#VALUE!</v>
      </c>
      <c r="DO67" t="e">
        <f>AND('Final Grade'!P7,"AAAAAC+eRnY=")</f>
        <v>#VALUE!</v>
      </c>
      <c r="DP67" t="e">
        <f>AND('Final Grade'!Q7,"AAAAAC+eRnc=")</f>
        <v>#VALUE!</v>
      </c>
      <c r="DQ67" t="e">
        <f>AND('Final Grade'!R7,"AAAAAC+eRng=")</f>
        <v>#VALUE!</v>
      </c>
      <c r="DR67" t="e">
        <f>AND('Final Grade'!S7,"AAAAAC+eRnk=")</f>
        <v>#VALUE!</v>
      </c>
      <c r="DS67" t="e">
        <f>AND('Final Grade'!T7,"AAAAAC+eRno=")</f>
        <v>#VALUE!</v>
      </c>
      <c r="DT67" t="e">
        <f>AND('Final Grade'!U7,"AAAAAC+eRns=")</f>
        <v>#VALUE!</v>
      </c>
      <c r="DU67" t="e">
        <f>AND('Final Grade'!V7,"AAAAAC+eRnw=")</f>
        <v>#VALUE!</v>
      </c>
      <c r="DV67" t="e">
        <f>AND('Final Grade'!W7,"AAAAAC+eRn0=")</f>
        <v>#VALUE!</v>
      </c>
      <c r="DW67" t="e">
        <f>AND('Final Grade'!X7,"AAAAAC+eRn4=")</f>
        <v>#VALUE!</v>
      </c>
      <c r="DX67" t="e">
        <f>AND('Final Grade'!Y7,"AAAAAC+eRn8=")</f>
        <v>#VALUE!</v>
      </c>
      <c r="DY67">
        <f>IF('Final Grade'!8:8,"AAAAAC+eRoA=",0)</f>
        <v>0</v>
      </c>
      <c r="DZ67" t="e">
        <f>AND('Final Grade'!A18,"AAAAAC+eRoE=")</f>
        <v>#VALUE!</v>
      </c>
      <c r="EA67" t="e">
        <f>AND('Final Grade'!B18,"AAAAAC+eRoI=")</f>
        <v>#VALUE!</v>
      </c>
      <c r="EB67" t="e">
        <f>AND('Final Grade'!C18,"AAAAAC+eRoM=")</f>
        <v>#VALUE!</v>
      </c>
      <c r="EC67" t="e">
        <f>AND('Final Grade'!D18,"AAAAAC+eRoQ=")</f>
        <v>#VALUE!</v>
      </c>
      <c r="ED67" t="e">
        <f>AND('Final Grade'!E18,"AAAAAC+eRoU=")</f>
        <v>#VALUE!</v>
      </c>
      <c r="EE67" t="e">
        <f>AND('Final Grade'!F8,"AAAAAC+eRoY=")</f>
        <v>#VALUE!</v>
      </c>
      <c r="EF67" t="e">
        <f>AND('Final Grade'!G8,"AAAAAC+eRoc=")</f>
        <v>#VALUE!</v>
      </c>
      <c r="EG67" t="e">
        <f>AND('Final Grade'!H8,"AAAAAC+eRog=")</f>
        <v>#VALUE!</v>
      </c>
      <c r="EH67" t="e">
        <f>AND('Final Grade'!I8,"AAAAAC+eRok=")</f>
        <v>#VALUE!</v>
      </c>
      <c r="EI67" t="e">
        <f>AND('Final Grade'!J8,"AAAAAC+eRoo=")</f>
        <v>#VALUE!</v>
      </c>
      <c r="EJ67" t="e">
        <f>AND('Final Grade'!K8,"AAAAAC+eRos=")</f>
        <v>#VALUE!</v>
      </c>
      <c r="EK67" t="e">
        <f>AND('Final Grade'!L8,"AAAAAC+eRow=")</f>
        <v>#VALUE!</v>
      </c>
      <c r="EL67" t="e">
        <f>AND('Final Grade'!M8,"AAAAAC+eRo0=")</f>
        <v>#VALUE!</v>
      </c>
      <c r="EM67" t="e">
        <f>AND('Final Grade'!N8,"AAAAAC+eRo4=")</f>
        <v>#VALUE!</v>
      </c>
      <c r="EN67" t="e">
        <f>AND('Final Grade'!O8,"AAAAAC+eRo8=")</f>
        <v>#VALUE!</v>
      </c>
      <c r="EO67" t="e">
        <f>AND('Final Grade'!P8,"AAAAAC+eRpA=")</f>
        <v>#VALUE!</v>
      </c>
      <c r="EP67" t="e">
        <f>AND('Final Grade'!Q8,"AAAAAC+eRpE=")</f>
        <v>#VALUE!</v>
      </c>
      <c r="EQ67" t="e">
        <f>AND('Final Grade'!R8,"AAAAAC+eRpI=")</f>
        <v>#VALUE!</v>
      </c>
      <c r="ER67" t="e">
        <f>AND('Final Grade'!S8,"AAAAAC+eRpM=")</f>
        <v>#VALUE!</v>
      </c>
      <c r="ES67" t="e">
        <f>AND('Final Grade'!T8,"AAAAAC+eRpQ=")</f>
        <v>#VALUE!</v>
      </c>
      <c r="ET67" t="e">
        <f>AND('Final Grade'!U8,"AAAAAC+eRpU=")</f>
        <v>#VALUE!</v>
      </c>
      <c r="EU67" t="e">
        <f>AND('Final Grade'!V8,"AAAAAC+eRpY=")</f>
        <v>#VALUE!</v>
      </c>
      <c r="EV67" t="e">
        <f>AND('Final Grade'!W8,"AAAAAC+eRpc=")</f>
        <v>#VALUE!</v>
      </c>
      <c r="EW67" t="e">
        <f>AND('Final Grade'!X8,"AAAAAC+eRpg=")</f>
        <v>#VALUE!</v>
      </c>
      <c r="EX67" t="e">
        <f>AND('Final Grade'!Y8,"AAAAAC+eRpk=")</f>
        <v>#VALUE!</v>
      </c>
      <c r="EY67">
        <f>IF('Final Grade'!9:9,"AAAAAC+eRpo=",0)</f>
        <v>0</v>
      </c>
      <c r="EZ67" t="e">
        <f>AND('Final Grade'!A19,"AAAAAC+eRps=")</f>
        <v>#VALUE!</v>
      </c>
      <c r="FA67" t="e">
        <f>AND('Final Grade'!B19,"AAAAAC+eRpw=")</f>
        <v>#VALUE!</v>
      </c>
      <c r="FB67" t="e">
        <f>AND('Final Grade'!C19,"AAAAAC+eRp0=")</f>
        <v>#VALUE!</v>
      </c>
      <c r="FC67" t="e">
        <f>AND('Final Grade'!D19,"AAAAAC+eRp4=")</f>
        <v>#VALUE!</v>
      </c>
      <c r="FD67" t="e">
        <f>AND('Final Grade'!E19,"AAAAAC+eRp8=")</f>
        <v>#VALUE!</v>
      </c>
      <c r="FE67" t="e">
        <f>AND('Final Grade'!F9,"AAAAAC+eRqA=")</f>
        <v>#VALUE!</v>
      </c>
      <c r="FF67" t="e">
        <f>AND('Final Grade'!G9,"AAAAAC+eRqE=")</f>
        <v>#VALUE!</v>
      </c>
      <c r="FG67" t="e">
        <f>AND('Final Grade'!H9,"AAAAAC+eRqI=")</f>
        <v>#VALUE!</v>
      </c>
      <c r="FH67" t="e">
        <f>AND('Final Grade'!I9,"AAAAAC+eRqM=")</f>
        <v>#VALUE!</v>
      </c>
      <c r="FI67" t="e">
        <f>AND('Final Grade'!J9,"AAAAAC+eRqQ=")</f>
        <v>#VALUE!</v>
      </c>
      <c r="FJ67" t="e">
        <f>AND('Final Grade'!K9,"AAAAAC+eRqU=")</f>
        <v>#VALUE!</v>
      </c>
      <c r="FK67" t="e">
        <f>AND('Final Grade'!L9,"AAAAAC+eRqY=")</f>
        <v>#VALUE!</v>
      </c>
      <c r="FL67" t="e">
        <f>AND('Final Grade'!M9,"AAAAAC+eRqc=")</f>
        <v>#VALUE!</v>
      </c>
      <c r="FM67" t="e">
        <f>AND('Final Grade'!N9,"AAAAAC+eRqg=")</f>
        <v>#VALUE!</v>
      </c>
      <c r="FN67" t="e">
        <f>AND('Final Grade'!O9,"AAAAAC+eRqk=")</f>
        <v>#VALUE!</v>
      </c>
      <c r="FO67" t="e">
        <f>AND('Final Grade'!P9,"AAAAAC+eRqo=")</f>
        <v>#VALUE!</v>
      </c>
      <c r="FP67" t="e">
        <f>AND('Final Grade'!Q9,"AAAAAC+eRqs=")</f>
        <v>#VALUE!</v>
      </c>
      <c r="FQ67" t="e">
        <f>AND('Final Grade'!R9,"AAAAAC+eRqw=")</f>
        <v>#VALUE!</v>
      </c>
      <c r="FR67" t="e">
        <f>AND('Final Grade'!S9,"AAAAAC+eRq0=")</f>
        <v>#VALUE!</v>
      </c>
      <c r="FS67" t="e">
        <f>AND('Final Grade'!T9,"AAAAAC+eRq4=")</f>
        <v>#VALUE!</v>
      </c>
      <c r="FT67" t="e">
        <f>AND('Final Grade'!U9,"AAAAAC+eRq8=")</f>
        <v>#VALUE!</v>
      </c>
      <c r="FU67" t="e">
        <f>AND('Final Grade'!V9,"AAAAAC+eRrA=")</f>
        <v>#VALUE!</v>
      </c>
      <c r="FV67" t="e">
        <f>AND('Final Grade'!W9,"AAAAAC+eRrE=")</f>
        <v>#VALUE!</v>
      </c>
      <c r="FW67" t="e">
        <f>AND('Final Grade'!X9,"AAAAAC+eRrI=")</f>
        <v>#VALUE!</v>
      </c>
      <c r="FX67" t="e">
        <f>AND('Final Grade'!Y9,"AAAAAC+eRrM=")</f>
        <v>#VALUE!</v>
      </c>
      <c r="FY67">
        <f>IF('Final Grade'!10:10,"AAAAAC+eRrQ=",0)</f>
        <v>0</v>
      </c>
      <c r="FZ67" t="e">
        <f>AND('Final Grade'!A20,"AAAAAC+eRrU=")</f>
        <v>#VALUE!</v>
      </c>
      <c r="GA67" t="e">
        <f>AND('Final Grade'!B20,"AAAAAC+eRrY=")</f>
        <v>#VALUE!</v>
      </c>
      <c r="GB67" t="e">
        <f>AND('Final Grade'!C20,"AAAAAC+eRrc=")</f>
        <v>#VALUE!</v>
      </c>
      <c r="GC67" t="e">
        <f>AND('Final Grade'!D20,"AAAAAC+eRrg=")</f>
        <v>#VALUE!</v>
      </c>
      <c r="GD67" t="e">
        <f>AND('Final Grade'!E20,"AAAAAC+eRrk=")</f>
        <v>#VALUE!</v>
      </c>
      <c r="GE67" t="e">
        <f>AND('Final Grade'!F10,"AAAAAC+eRro=")</f>
        <v>#VALUE!</v>
      </c>
      <c r="GF67" t="e">
        <f>AND('Final Grade'!G10,"AAAAAC+eRrs=")</f>
        <v>#VALUE!</v>
      </c>
      <c r="GG67" t="e">
        <f>AND('Final Grade'!H10,"AAAAAC+eRrw=")</f>
        <v>#VALUE!</v>
      </c>
      <c r="GH67" t="e">
        <f>AND('Final Grade'!I10,"AAAAAC+eRr0=")</f>
        <v>#VALUE!</v>
      </c>
      <c r="GI67" t="e">
        <f>AND('Final Grade'!J10,"AAAAAC+eRr4=")</f>
        <v>#VALUE!</v>
      </c>
      <c r="GJ67" t="e">
        <f>AND('Final Grade'!K10,"AAAAAC+eRr8=")</f>
        <v>#VALUE!</v>
      </c>
      <c r="GK67" t="e">
        <f>AND('Final Grade'!L10,"AAAAAC+eRsA=")</f>
        <v>#VALUE!</v>
      </c>
      <c r="GL67" t="e">
        <f>AND('Final Grade'!M10,"AAAAAC+eRsE=")</f>
        <v>#VALUE!</v>
      </c>
      <c r="GM67" t="e">
        <f>AND('Final Grade'!N10,"AAAAAC+eRsI=")</f>
        <v>#VALUE!</v>
      </c>
      <c r="GN67" t="e">
        <f>AND('Final Grade'!O10,"AAAAAC+eRsM=")</f>
        <v>#VALUE!</v>
      </c>
      <c r="GO67" t="e">
        <f>AND('Final Grade'!P10,"AAAAAC+eRsQ=")</f>
        <v>#VALUE!</v>
      </c>
      <c r="GP67" t="e">
        <f>AND('Final Grade'!Q10,"AAAAAC+eRsU=")</f>
        <v>#VALUE!</v>
      </c>
      <c r="GQ67" t="e">
        <f>AND('Final Grade'!R10,"AAAAAC+eRsY=")</f>
        <v>#VALUE!</v>
      </c>
      <c r="GR67" t="e">
        <f>AND('Final Grade'!S10,"AAAAAC+eRsc=")</f>
        <v>#VALUE!</v>
      </c>
      <c r="GS67" t="e">
        <f>AND('Final Grade'!T10,"AAAAAC+eRsg=")</f>
        <v>#VALUE!</v>
      </c>
      <c r="GT67" t="e">
        <f>AND('Final Grade'!U10,"AAAAAC+eRsk=")</f>
        <v>#VALUE!</v>
      </c>
      <c r="GU67" t="e">
        <f>AND('Final Grade'!V10,"AAAAAC+eRso=")</f>
        <v>#VALUE!</v>
      </c>
      <c r="GV67" t="e">
        <f>AND('Final Grade'!W10,"AAAAAC+eRss=")</f>
        <v>#VALUE!</v>
      </c>
      <c r="GW67" t="e">
        <f>AND('Final Grade'!X10,"AAAAAC+eRsw=")</f>
        <v>#VALUE!</v>
      </c>
      <c r="GX67" t="e">
        <f>AND('Final Grade'!Y10,"AAAAAC+eRs0=")</f>
        <v>#VALUE!</v>
      </c>
      <c r="GY67" t="e">
        <f>IF('Final Grade'!#REF!,"AAAAAC+eRs4=",0)</f>
        <v>#REF!</v>
      </c>
      <c r="GZ67" t="e">
        <f>AND('Final Grade'!A21,"AAAAAC+eRs8=")</f>
        <v>#VALUE!</v>
      </c>
      <c r="HA67" t="e">
        <f>AND('Final Grade'!B21,"AAAAAC+eRtA=")</f>
        <v>#VALUE!</v>
      </c>
      <c r="HB67" t="e">
        <f>AND('Final Grade'!C21,"AAAAAC+eRtE=")</f>
        <v>#VALUE!</v>
      </c>
      <c r="HC67" t="e">
        <f>AND('Final Grade'!D21,"AAAAAC+eRtI=")</f>
        <v>#VALUE!</v>
      </c>
      <c r="HD67" t="e">
        <f>AND('Final Grade'!E21,"AAAAAC+eRtM=")</f>
        <v>#VALUE!</v>
      </c>
      <c r="HE67" t="e">
        <f>AND('Final Grade'!#REF!,"AAAAAC+eRtQ=")</f>
        <v>#REF!</v>
      </c>
      <c r="HF67" t="e">
        <f>AND('Final Grade'!#REF!,"AAAAAC+eRtU=")</f>
        <v>#REF!</v>
      </c>
      <c r="HG67" t="e">
        <f>AND('Final Grade'!#REF!,"AAAAAC+eRtY=")</f>
        <v>#REF!</v>
      </c>
      <c r="HH67" t="e">
        <f>AND('Final Grade'!#REF!,"AAAAAC+eRtc=")</f>
        <v>#REF!</v>
      </c>
      <c r="HI67" t="e">
        <f>AND('Final Grade'!#REF!,"AAAAAC+eRtg=")</f>
        <v>#REF!</v>
      </c>
      <c r="HJ67" t="e">
        <f>AND('Final Grade'!#REF!,"AAAAAC+eRtk=")</f>
        <v>#REF!</v>
      </c>
      <c r="HK67" t="e">
        <f>AND('Final Grade'!#REF!,"AAAAAC+eRto=")</f>
        <v>#REF!</v>
      </c>
      <c r="HL67" t="e">
        <f>AND('Final Grade'!#REF!,"AAAAAC+eRts=")</f>
        <v>#REF!</v>
      </c>
      <c r="HM67" t="e">
        <f>AND('Final Grade'!#REF!,"AAAAAC+eRtw=")</f>
        <v>#REF!</v>
      </c>
      <c r="HN67" t="e">
        <f>AND('Final Grade'!#REF!,"AAAAAC+eRt0=")</f>
        <v>#REF!</v>
      </c>
      <c r="HO67" t="e">
        <f>AND('Final Grade'!#REF!,"AAAAAC+eRt4=")</f>
        <v>#REF!</v>
      </c>
      <c r="HP67" t="e">
        <f>AND('Final Grade'!#REF!,"AAAAAC+eRt8=")</f>
        <v>#REF!</v>
      </c>
      <c r="HQ67" t="e">
        <f>AND('Final Grade'!#REF!,"AAAAAC+eRuA=")</f>
        <v>#REF!</v>
      </c>
      <c r="HR67" t="e">
        <f>AND('Final Grade'!#REF!,"AAAAAC+eRuE=")</f>
        <v>#REF!</v>
      </c>
      <c r="HS67" t="e">
        <f>AND('Final Grade'!#REF!,"AAAAAC+eRuI=")</f>
        <v>#REF!</v>
      </c>
      <c r="HT67" t="e">
        <f>AND('Final Grade'!#REF!,"AAAAAC+eRuM=")</f>
        <v>#REF!</v>
      </c>
      <c r="HU67" t="e">
        <f>AND('Final Grade'!#REF!,"AAAAAC+eRuQ=")</f>
        <v>#REF!</v>
      </c>
      <c r="HV67" t="e">
        <f>AND('Final Grade'!#REF!,"AAAAAC+eRuU=")</f>
        <v>#REF!</v>
      </c>
      <c r="HW67" t="e">
        <f>AND('Final Grade'!#REF!,"AAAAAC+eRuY=")</f>
        <v>#REF!</v>
      </c>
      <c r="HX67" t="e">
        <f>AND('Final Grade'!#REF!,"AAAAAC+eRuc=")</f>
        <v>#REF!</v>
      </c>
      <c r="HY67">
        <f>IF('Final Grade'!11:11,"AAAAAC+eRug=",0)</f>
        <v>0</v>
      </c>
      <c r="HZ67" t="e">
        <f>AND('Final Grade'!A22,"AAAAAC+eRuk=")</f>
        <v>#VALUE!</v>
      </c>
      <c r="IA67" t="e">
        <f>AND('Final Grade'!B22,"AAAAAC+eRuo=")</f>
        <v>#VALUE!</v>
      </c>
      <c r="IB67" t="e">
        <f>AND('Final Grade'!C22,"AAAAAC+eRus=")</f>
        <v>#VALUE!</v>
      </c>
      <c r="IC67" t="e">
        <f>AND('Final Grade'!D22,"AAAAAC+eRuw=")</f>
        <v>#VALUE!</v>
      </c>
      <c r="ID67" t="e">
        <f>AND('Final Grade'!E22,"AAAAAC+eRu0=")</f>
        <v>#VALUE!</v>
      </c>
      <c r="IE67" t="e">
        <f>AND('Final Grade'!F11,"AAAAAC+eRu4=")</f>
        <v>#VALUE!</v>
      </c>
      <c r="IF67" t="e">
        <f>AND('Final Grade'!G11,"AAAAAC+eRu8=")</f>
        <v>#VALUE!</v>
      </c>
      <c r="IG67" t="e">
        <f>AND('Final Grade'!H11,"AAAAAC+eRvA=")</f>
        <v>#VALUE!</v>
      </c>
      <c r="IH67" t="e">
        <f>AND('Final Grade'!I11,"AAAAAC+eRvE=")</f>
        <v>#VALUE!</v>
      </c>
      <c r="II67" t="e">
        <f>AND('Final Grade'!J11,"AAAAAC+eRvI=")</f>
        <v>#VALUE!</v>
      </c>
      <c r="IJ67" t="e">
        <f>AND('Final Grade'!K11,"AAAAAC+eRvM=")</f>
        <v>#VALUE!</v>
      </c>
      <c r="IK67" t="e">
        <f>AND('Final Grade'!L11,"AAAAAC+eRvQ=")</f>
        <v>#VALUE!</v>
      </c>
      <c r="IL67" t="e">
        <f>AND('Final Grade'!M11,"AAAAAC+eRvU=")</f>
        <v>#VALUE!</v>
      </c>
      <c r="IM67" t="e">
        <f>AND('Final Grade'!N11,"AAAAAC+eRvY=")</f>
        <v>#VALUE!</v>
      </c>
      <c r="IN67" t="e">
        <f>AND('Final Grade'!O11,"AAAAAC+eRvc=")</f>
        <v>#VALUE!</v>
      </c>
      <c r="IO67" t="e">
        <f>AND('Final Grade'!P11,"AAAAAC+eRvg=")</f>
        <v>#VALUE!</v>
      </c>
      <c r="IP67" t="e">
        <f>AND('Final Grade'!Q11,"AAAAAC+eRvk=")</f>
        <v>#VALUE!</v>
      </c>
      <c r="IQ67" t="e">
        <f>AND('Final Grade'!R11,"AAAAAC+eRvo=")</f>
        <v>#VALUE!</v>
      </c>
      <c r="IR67" t="e">
        <f>AND('Final Grade'!S11,"AAAAAC+eRvs=")</f>
        <v>#VALUE!</v>
      </c>
      <c r="IS67" t="e">
        <f>AND('Final Grade'!T11,"AAAAAC+eRvw=")</f>
        <v>#VALUE!</v>
      </c>
      <c r="IT67" t="e">
        <f>AND('Final Grade'!U11,"AAAAAC+eRv0=")</f>
        <v>#VALUE!</v>
      </c>
      <c r="IU67" t="e">
        <f>AND('Final Grade'!V11,"AAAAAC+eRv4=")</f>
        <v>#VALUE!</v>
      </c>
      <c r="IV67" t="e">
        <f>AND('Final Grade'!W11,"AAAAAC+eRv8=")</f>
        <v>#VALUE!</v>
      </c>
    </row>
    <row r="68" spans="1:256" x14ac:dyDescent="0.15">
      <c r="A68" t="e">
        <f>AND('Final Grade'!X11,"AAAAAD9b3gA=")</f>
        <v>#VALUE!</v>
      </c>
      <c r="B68" t="e">
        <f>AND('Final Grade'!Y11,"AAAAAD9b3gE=")</f>
        <v>#VALUE!</v>
      </c>
      <c r="C68">
        <f>IF('Final Grade'!12:12,"AAAAAD9b3gI=",0)</f>
        <v>0</v>
      </c>
      <c r="D68" t="e">
        <f>AND('Final Grade'!A23,"AAAAAD9b3gM=")</f>
        <v>#VALUE!</v>
      </c>
      <c r="E68" t="e">
        <f>AND('Final Grade'!B23,"AAAAAD9b3gQ=")</f>
        <v>#VALUE!</v>
      </c>
      <c r="F68" t="e">
        <f>AND('Final Grade'!C23,"AAAAAD9b3gU=")</f>
        <v>#VALUE!</v>
      </c>
      <c r="G68" t="e">
        <f>AND('Final Grade'!D23,"AAAAAD9b3gY=")</f>
        <v>#VALUE!</v>
      </c>
      <c r="H68" t="e">
        <f>AND('Final Grade'!E23,"AAAAAD9b3gc=")</f>
        <v>#VALUE!</v>
      </c>
      <c r="I68" t="e">
        <f>AND('Final Grade'!F12,"AAAAAD9b3gg=")</f>
        <v>#VALUE!</v>
      </c>
      <c r="J68" t="e">
        <f>AND('Final Grade'!G12,"AAAAAD9b3gk=")</f>
        <v>#VALUE!</v>
      </c>
      <c r="K68" t="e">
        <f>AND('Final Grade'!H12,"AAAAAD9b3go=")</f>
        <v>#VALUE!</v>
      </c>
      <c r="L68" t="e">
        <f>AND('Final Grade'!I12,"AAAAAD9b3gs=")</f>
        <v>#VALUE!</v>
      </c>
      <c r="M68" t="e">
        <f>AND('Final Grade'!J12,"AAAAAD9b3gw=")</f>
        <v>#VALUE!</v>
      </c>
      <c r="N68" t="e">
        <f>AND('Final Grade'!K12,"AAAAAD9b3g0=")</f>
        <v>#VALUE!</v>
      </c>
      <c r="O68" t="e">
        <f>AND('Final Grade'!L12,"AAAAAD9b3g4=")</f>
        <v>#VALUE!</v>
      </c>
      <c r="P68" t="e">
        <f>AND('Final Grade'!M12,"AAAAAD9b3g8=")</f>
        <v>#VALUE!</v>
      </c>
      <c r="Q68" t="e">
        <f>AND('Final Grade'!N12,"AAAAAD9b3hA=")</f>
        <v>#VALUE!</v>
      </c>
      <c r="R68" t="e">
        <f>AND('Final Grade'!O12,"AAAAAD9b3hE=")</f>
        <v>#VALUE!</v>
      </c>
      <c r="S68" t="e">
        <f>AND('Final Grade'!P12,"AAAAAD9b3hI=")</f>
        <v>#VALUE!</v>
      </c>
      <c r="T68" t="e">
        <f>AND('Final Grade'!Q12,"AAAAAD9b3hM=")</f>
        <v>#VALUE!</v>
      </c>
      <c r="U68" t="e">
        <f>AND('Final Grade'!R12,"AAAAAD9b3hQ=")</f>
        <v>#VALUE!</v>
      </c>
      <c r="V68" t="e">
        <f>AND('Final Grade'!S12,"AAAAAD9b3hU=")</f>
        <v>#VALUE!</v>
      </c>
      <c r="W68" t="e">
        <f>AND('Final Grade'!T12,"AAAAAD9b3hY=")</f>
        <v>#VALUE!</v>
      </c>
      <c r="X68" t="e">
        <f>AND('Final Grade'!U12,"AAAAAD9b3hc=")</f>
        <v>#VALUE!</v>
      </c>
      <c r="Y68" t="e">
        <f>AND('Final Grade'!V12,"AAAAAD9b3hg=")</f>
        <v>#VALUE!</v>
      </c>
      <c r="Z68" t="e">
        <f>AND('Final Grade'!W12,"AAAAAD9b3hk=")</f>
        <v>#VALUE!</v>
      </c>
      <c r="AA68" t="e">
        <f>AND('Final Grade'!X12,"AAAAAD9b3ho=")</f>
        <v>#VALUE!</v>
      </c>
      <c r="AB68" t="e">
        <f>AND('Final Grade'!Y12,"AAAAAD9b3hs=")</f>
        <v>#VALUE!</v>
      </c>
      <c r="AC68">
        <f>IF('Final Grade'!13:13,"AAAAAD9b3hw=",0)</f>
        <v>0</v>
      </c>
      <c r="AD68" t="e">
        <f>AND('Final Grade'!A24,"AAAAAD9b3h0=")</f>
        <v>#VALUE!</v>
      </c>
      <c r="AE68" t="e">
        <f>AND('Final Grade'!B24,"AAAAAD9b3h4=")</f>
        <v>#VALUE!</v>
      </c>
      <c r="AF68" t="e">
        <f>AND('Final Grade'!C24,"AAAAAD9b3h8=")</f>
        <v>#VALUE!</v>
      </c>
      <c r="AG68" t="e">
        <f>AND('Final Grade'!D24,"AAAAAD9b3iA=")</f>
        <v>#VALUE!</v>
      </c>
      <c r="AH68" t="e">
        <f>AND('Final Grade'!E24,"AAAAAD9b3iE=")</f>
        <v>#VALUE!</v>
      </c>
      <c r="AI68" t="e">
        <f>AND('Final Grade'!F13,"AAAAAD9b3iI=")</f>
        <v>#VALUE!</v>
      </c>
      <c r="AJ68" t="e">
        <f>AND('Final Grade'!G13,"AAAAAD9b3iM=")</f>
        <v>#VALUE!</v>
      </c>
      <c r="AK68" t="e">
        <f>AND('Final Grade'!H13,"AAAAAD9b3iQ=")</f>
        <v>#VALUE!</v>
      </c>
      <c r="AL68" t="e">
        <f>AND('Final Grade'!I13,"AAAAAD9b3iU=")</f>
        <v>#VALUE!</v>
      </c>
      <c r="AM68" t="e">
        <f>AND('Final Grade'!J13,"AAAAAD9b3iY=")</f>
        <v>#VALUE!</v>
      </c>
      <c r="AN68" t="e">
        <f>AND('Final Grade'!K13,"AAAAAD9b3ic=")</f>
        <v>#VALUE!</v>
      </c>
      <c r="AO68" t="e">
        <f>AND('Final Grade'!L13,"AAAAAD9b3ig=")</f>
        <v>#VALUE!</v>
      </c>
      <c r="AP68" t="e">
        <f>AND('Final Grade'!M13,"AAAAAD9b3ik=")</f>
        <v>#VALUE!</v>
      </c>
      <c r="AQ68" t="e">
        <f>AND('Final Grade'!N13,"AAAAAD9b3io=")</f>
        <v>#VALUE!</v>
      </c>
      <c r="AR68" t="e">
        <f>AND('Final Grade'!O13,"AAAAAD9b3is=")</f>
        <v>#VALUE!</v>
      </c>
      <c r="AS68" t="e">
        <f>AND('Final Grade'!P13,"AAAAAD9b3iw=")</f>
        <v>#VALUE!</v>
      </c>
      <c r="AT68" t="e">
        <f>AND('Final Grade'!Q13,"AAAAAD9b3i0=")</f>
        <v>#VALUE!</v>
      </c>
      <c r="AU68" t="e">
        <f>AND('Final Grade'!R13,"AAAAAD9b3i4=")</f>
        <v>#VALUE!</v>
      </c>
      <c r="AV68" t="e">
        <f>AND('Final Grade'!S13,"AAAAAD9b3i8=")</f>
        <v>#VALUE!</v>
      </c>
      <c r="AW68" t="e">
        <f>AND('Final Grade'!T13,"AAAAAD9b3jA=")</f>
        <v>#VALUE!</v>
      </c>
      <c r="AX68" t="e">
        <f>AND('Final Grade'!U13,"AAAAAD9b3jE=")</f>
        <v>#VALUE!</v>
      </c>
      <c r="AY68" t="e">
        <f>AND('Final Grade'!V13,"AAAAAD9b3jI=")</f>
        <v>#VALUE!</v>
      </c>
      <c r="AZ68" t="e">
        <f>AND('Final Grade'!W13,"AAAAAD9b3jM=")</f>
        <v>#VALUE!</v>
      </c>
      <c r="BA68" t="e">
        <f>AND('Final Grade'!X13,"AAAAAD9b3jQ=")</f>
        <v>#VALUE!</v>
      </c>
      <c r="BB68" t="e">
        <f>AND('Final Grade'!Y13,"AAAAAD9b3jU=")</f>
        <v>#VALUE!</v>
      </c>
      <c r="BC68">
        <f>IF('Final Grade'!14:14,"AAAAAD9b3jY=",0)</f>
        <v>0</v>
      </c>
      <c r="BD68" t="e">
        <f>AND('Final Grade'!A25,"AAAAAD9b3jc=")</f>
        <v>#VALUE!</v>
      </c>
      <c r="BE68" t="e">
        <f>AND('Final Grade'!B25,"AAAAAD9b3jg=")</f>
        <v>#VALUE!</v>
      </c>
      <c r="BF68" t="e">
        <f>AND('Final Grade'!C25,"AAAAAD9b3jk=")</f>
        <v>#VALUE!</v>
      </c>
      <c r="BG68" t="e">
        <f>AND('Final Grade'!D25,"AAAAAD9b3jo=")</f>
        <v>#VALUE!</v>
      </c>
      <c r="BH68" t="e">
        <f>AND('Final Grade'!E25,"AAAAAD9b3js=")</f>
        <v>#VALUE!</v>
      </c>
      <c r="BI68" t="e">
        <f>AND('Final Grade'!F14,"AAAAAD9b3jw=")</f>
        <v>#VALUE!</v>
      </c>
      <c r="BJ68" t="e">
        <f>AND('Final Grade'!G14,"AAAAAD9b3j0=")</f>
        <v>#VALUE!</v>
      </c>
      <c r="BK68" t="e">
        <f>AND('Final Grade'!H14,"AAAAAD9b3j4=")</f>
        <v>#VALUE!</v>
      </c>
      <c r="BL68" t="e">
        <f>AND('Final Grade'!I14,"AAAAAD9b3j8=")</f>
        <v>#VALUE!</v>
      </c>
      <c r="BM68" t="e">
        <f>AND('Final Grade'!J14,"AAAAAD9b3kA=")</f>
        <v>#VALUE!</v>
      </c>
      <c r="BN68" t="e">
        <f>AND('Final Grade'!K14,"AAAAAD9b3kE=")</f>
        <v>#VALUE!</v>
      </c>
      <c r="BO68" t="e">
        <f>AND('Final Grade'!L14,"AAAAAD9b3kI=")</f>
        <v>#VALUE!</v>
      </c>
      <c r="BP68" t="e">
        <f>AND('Final Grade'!M14,"AAAAAD9b3kM=")</f>
        <v>#VALUE!</v>
      </c>
      <c r="BQ68" t="e">
        <f>AND('Final Grade'!N14,"AAAAAD9b3kQ=")</f>
        <v>#VALUE!</v>
      </c>
      <c r="BR68" t="e">
        <f>AND('Final Grade'!O14,"AAAAAD9b3kU=")</f>
        <v>#VALUE!</v>
      </c>
      <c r="BS68" t="e">
        <f>AND('Final Grade'!P14,"AAAAAD9b3kY=")</f>
        <v>#VALUE!</v>
      </c>
      <c r="BT68" t="e">
        <f>AND('Final Grade'!Q14,"AAAAAD9b3kc=")</f>
        <v>#VALUE!</v>
      </c>
      <c r="BU68" t="e">
        <f>AND('Final Grade'!R14,"AAAAAD9b3kg=")</f>
        <v>#VALUE!</v>
      </c>
      <c r="BV68" t="e">
        <f>AND('Final Grade'!S14,"AAAAAD9b3kk=")</f>
        <v>#VALUE!</v>
      </c>
      <c r="BW68" t="e">
        <f>AND('Final Grade'!T14,"AAAAAD9b3ko=")</f>
        <v>#VALUE!</v>
      </c>
      <c r="BX68" t="e">
        <f>AND('Final Grade'!U14,"AAAAAD9b3ks=")</f>
        <v>#VALUE!</v>
      </c>
      <c r="BY68" t="e">
        <f>AND('Final Grade'!V14,"AAAAAD9b3kw=")</f>
        <v>#VALUE!</v>
      </c>
      <c r="BZ68" t="e">
        <f>AND('Final Grade'!W14,"AAAAAD9b3k0=")</f>
        <v>#VALUE!</v>
      </c>
      <c r="CA68" t="e">
        <f>AND('Final Grade'!X14,"AAAAAD9b3k4=")</f>
        <v>#VALUE!</v>
      </c>
      <c r="CB68" t="e">
        <f>AND('Final Grade'!Y14,"AAAAAD9b3k8=")</f>
        <v>#VALUE!</v>
      </c>
      <c r="CC68">
        <f>IF('Final Grade'!15:15,"AAAAAD9b3lA=",0)</f>
        <v>0</v>
      </c>
      <c r="CD68" t="e">
        <f>AND('Final Grade'!#REF!,"AAAAAD9b3lE=")</f>
        <v>#REF!</v>
      </c>
      <c r="CE68" t="e">
        <f>AND('Final Grade'!#REF!,"AAAAAD9b3lI=")</f>
        <v>#REF!</v>
      </c>
      <c r="CF68" t="e">
        <f>AND('Final Grade'!#REF!,"AAAAAD9b3lM=")</f>
        <v>#REF!</v>
      </c>
      <c r="CG68" t="e">
        <f>AND('Final Grade'!#REF!,"AAAAAD9b3lQ=")</f>
        <v>#REF!</v>
      </c>
      <c r="CH68" t="e">
        <f>AND('Final Grade'!#REF!,"AAAAAD9b3lU=")</f>
        <v>#REF!</v>
      </c>
      <c r="CI68" t="e">
        <f>AND('Final Grade'!F15,"AAAAAD9b3lY=")</f>
        <v>#VALUE!</v>
      </c>
      <c r="CJ68" t="e">
        <f>AND('Final Grade'!G15,"AAAAAD9b3lc=")</f>
        <v>#VALUE!</v>
      </c>
      <c r="CK68" t="e">
        <f>AND('Final Grade'!H15,"AAAAAD9b3lg=")</f>
        <v>#VALUE!</v>
      </c>
      <c r="CL68" t="e">
        <f>AND('Final Grade'!I15,"AAAAAD9b3lk=")</f>
        <v>#VALUE!</v>
      </c>
      <c r="CM68" t="e">
        <f>AND('Final Grade'!J15,"AAAAAD9b3lo=")</f>
        <v>#VALUE!</v>
      </c>
      <c r="CN68" t="e">
        <f>AND('Final Grade'!K15,"AAAAAD9b3ls=")</f>
        <v>#VALUE!</v>
      </c>
      <c r="CO68" t="e">
        <f>AND('Final Grade'!L15,"AAAAAD9b3lw=")</f>
        <v>#VALUE!</v>
      </c>
      <c r="CP68" t="e">
        <f>AND('Final Grade'!M15,"AAAAAD9b3l0=")</f>
        <v>#VALUE!</v>
      </c>
      <c r="CQ68" t="e">
        <f>AND('Final Grade'!N15,"AAAAAD9b3l4=")</f>
        <v>#VALUE!</v>
      </c>
      <c r="CR68" t="e">
        <f>AND('Final Grade'!O15,"AAAAAD9b3l8=")</f>
        <v>#VALUE!</v>
      </c>
      <c r="CS68" t="e">
        <f>AND('Final Grade'!P15,"AAAAAD9b3mA=")</f>
        <v>#VALUE!</v>
      </c>
      <c r="CT68" t="e">
        <f>AND('Final Grade'!Q15,"AAAAAD9b3mE=")</f>
        <v>#VALUE!</v>
      </c>
      <c r="CU68" t="e">
        <f>AND('Final Grade'!R15,"AAAAAD9b3mI=")</f>
        <v>#VALUE!</v>
      </c>
      <c r="CV68" t="e">
        <f>AND('Final Grade'!S15,"AAAAAD9b3mM=")</f>
        <v>#VALUE!</v>
      </c>
      <c r="CW68" t="e">
        <f>AND('Final Grade'!T15,"AAAAAD9b3mQ=")</f>
        <v>#VALUE!</v>
      </c>
      <c r="CX68" t="e">
        <f>AND('Final Grade'!U15,"AAAAAD9b3mU=")</f>
        <v>#VALUE!</v>
      </c>
      <c r="CY68" t="e">
        <f>AND('Final Grade'!V15,"AAAAAD9b3mY=")</f>
        <v>#VALUE!</v>
      </c>
      <c r="CZ68" t="e">
        <f>AND('Final Grade'!W15,"AAAAAD9b3mc=")</f>
        <v>#VALUE!</v>
      </c>
      <c r="DA68" t="e">
        <f>AND('Final Grade'!X15,"AAAAAD9b3mg=")</f>
        <v>#VALUE!</v>
      </c>
      <c r="DB68" t="e">
        <f>AND('Final Grade'!Y15,"AAAAAD9b3mk=")</f>
        <v>#VALUE!</v>
      </c>
      <c r="DC68">
        <f>IF('Final Grade'!16:16,"AAAAAD9b3mo=",0)</f>
        <v>0</v>
      </c>
      <c r="DD68" t="e">
        <f>AND('Final Grade'!A26,"AAAAAD9b3ms=")</f>
        <v>#VALUE!</v>
      </c>
      <c r="DE68" t="e">
        <f>AND('Final Grade'!B26,"AAAAAD9b3mw=")</f>
        <v>#VALUE!</v>
      </c>
      <c r="DF68" t="e">
        <f>AND('Final Grade'!C26,"AAAAAD9b3m0=")</f>
        <v>#VALUE!</v>
      </c>
      <c r="DG68" t="e">
        <f>AND('Final Grade'!D26,"AAAAAD9b3m4=")</f>
        <v>#VALUE!</v>
      </c>
      <c r="DH68" t="e">
        <f>AND('Final Grade'!E26,"AAAAAD9b3m8=")</f>
        <v>#VALUE!</v>
      </c>
      <c r="DI68" t="e">
        <f>AND('Final Grade'!F16,"AAAAAD9b3nA=")</f>
        <v>#VALUE!</v>
      </c>
      <c r="DJ68" t="e">
        <f>AND('Final Grade'!G16,"AAAAAD9b3nE=")</f>
        <v>#VALUE!</v>
      </c>
      <c r="DK68" t="e">
        <f>AND('Final Grade'!H16,"AAAAAD9b3nI=")</f>
        <v>#VALUE!</v>
      </c>
      <c r="DL68" t="e">
        <f>AND('Final Grade'!I16,"AAAAAD9b3nM=")</f>
        <v>#VALUE!</v>
      </c>
      <c r="DM68" t="e">
        <f>AND('Final Grade'!J16,"AAAAAD9b3nQ=")</f>
        <v>#VALUE!</v>
      </c>
      <c r="DN68" t="e">
        <f>AND('Final Grade'!K16,"AAAAAD9b3nU=")</f>
        <v>#VALUE!</v>
      </c>
      <c r="DO68" t="e">
        <f>AND('Final Grade'!L16,"AAAAAD9b3nY=")</f>
        <v>#VALUE!</v>
      </c>
      <c r="DP68" t="e">
        <f>AND('Final Grade'!M16,"AAAAAD9b3nc=")</f>
        <v>#VALUE!</v>
      </c>
      <c r="DQ68" t="e">
        <f>AND('Final Grade'!N16,"AAAAAD9b3ng=")</f>
        <v>#VALUE!</v>
      </c>
      <c r="DR68" t="e">
        <f>AND('Final Grade'!O16,"AAAAAD9b3nk=")</f>
        <v>#VALUE!</v>
      </c>
      <c r="DS68" t="e">
        <f>AND('Final Grade'!P16,"AAAAAD9b3no=")</f>
        <v>#VALUE!</v>
      </c>
      <c r="DT68" t="e">
        <f>AND('Final Grade'!Q16,"AAAAAD9b3ns=")</f>
        <v>#VALUE!</v>
      </c>
      <c r="DU68" t="e">
        <f>AND('Final Grade'!R16,"AAAAAD9b3nw=")</f>
        <v>#VALUE!</v>
      </c>
      <c r="DV68" t="e">
        <f>AND('Final Grade'!S16,"AAAAAD9b3n0=")</f>
        <v>#VALUE!</v>
      </c>
      <c r="DW68" t="e">
        <f>AND('Final Grade'!T16,"AAAAAD9b3n4=")</f>
        <v>#VALUE!</v>
      </c>
      <c r="DX68" t="e">
        <f>AND('Final Grade'!U16,"AAAAAD9b3n8=")</f>
        <v>#VALUE!</v>
      </c>
      <c r="DY68" t="e">
        <f>AND('Final Grade'!V16,"AAAAAD9b3oA=")</f>
        <v>#VALUE!</v>
      </c>
      <c r="DZ68" t="e">
        <f>AND('Final Grade'!W16,"AAAAAD9b3oE=")</f>
        <v>#VALUE!</v>
      </c>
      <c r="EA68" t="e">
        <f>AND('Final Grade'!X16,"AAAAAD9b3oI=")</f>
        <v>#VALUE!</v>
      </c>
      <c r="EB68" t="e">
        <f>AND('Final Grade'!Y16,"AAAAAD9b3oM=")</f>
        <v>#VALUE!</v>
      </c>
      <c r="EC68">
        <f>IF('Final Grade'!17:17,"AAAAAD9b3oQ=",0)</f>
        <v>0</v>
      </c>
      <c r="ED68" t="e">
        <f>AND('Final Grade'!A27,"AAAAAD9b3oU=")</f>
        <v>#VALUE!</v>
      </c>
      <c r="EE68" t="e">
        <f>AND('Final Grade'!B27,"AAAAAD9b3oY=")</f>
        <v>#VALUE!</v>
      </c>
      <c r="EF68" t="e">
        <f>AND('Final Grade'!C27,"AAAAAD9b3oc=")</f>
        <v>#VALUE!</v>
      </c>
      <c r="EG68" t="e">
        <f>AND('Final Grade'!D27,"AAAAAD9b3og=")</f>
        <v>#VALUE!</v>
      </c>
      <c r="EH68" t="e">
        <f>AND('Final Grade'!E27,"AAAAAD9b3ok=")</f>
        <v>#VALUE!</v>
      </c>
      <c r="EI68" t="e">
        <f>AND('Final Grade'!F17,"AAAAAD9b3oo=")</f>
        <v>#VALUE!</v>
      </c>
      <c r="EJ68" t="e">
        <f>AND('Final Grade'!G17,"AAAAAD9b3os=")</f>
        <v>#VALUE!</v>
      </c>
      <c r="EK68" t="e">
        <f>AND('Final Grade'!H17,"AAAAAD9b3ow=")</f>
        <v>#VALUE!</v>
      </c>
      <c r="EL68" t="e">
        <f>AND('Final Grade'!I17,"AAAAAD9b3o0=")</f>
        <v>#VALUE!</v>
      </c>
      <c r="EM68" t="e">
        <f>AND('Final Grade'!J17,"AAAAAD9b3o4=")</f>
        <v>#VALUE!</v>
      </c>
      <c r="EN68" t="e">
        <f>AND('Final Grade'!K17,"AAAAAD9b3o8=")</f>
        <v>#VALUE!</v>
      </c>
      <c r="EO68" t="e">
        <f>AND('Final Grade'!L17,"AAAAAD9b3pA=")</f>
        <v>#VALUE!</v>
      </c>
      <c r="EP68" t="e">
        <f>AND('Final Grade'!M17,"AAAAAD9b3pE=")</f>
        <v>#VALUE!</v>
      </c>
      <c r="EQ68" t="e">
        <f>AND('Final Grade'!N17,"AAAAAD9b3pI=")</f>
        <v>#VALUE!</v>
      </c>
      <c r="ER68" t="e">
        <f>AND('Final Grade'!O17,"AAAAAD9b3pM=")</f>
        <v>#VALUE!</v>
      </c>
      <c r="ES68" t="e">
        <f>AND('Final Grade'!P17,"AAAAAD9b3pQ=")</f>
        <v>#VALUE!</v>
      </c>
      <c r="ET68" t="e">
        <f>AND('Final Grade'!Q17,"AAAAAD9b3pU=")</f>
        <v>#VALUE!</v>
      </c>
      <c r="EU68" t="e">
        <f>AND('Final Grade'!R17,"AAAAAD9b3pY=")</f>
        <v>#VALUE!</v>
      </c>
      <c r="EV68" t="e">
        <f>AND('Final Grade'!S17,"AAAAAD9b3pc=")</f>
        <v>#VALUE!</v>
      </c>
      <c r="EW68" t="e">
        <f>AND('Final Grade'!T17,"AAAAAD9b3pg=")</f>
        <v>#VALUE!</v>
      </c>
      <c r="EX68" t="e">
        <f>AND('Final Grade'!U17,"AAAAAD9b3pk=")</f>
        <v>#VALUE!</v>
      </c>
      <c r="EY68" t="e">
        <f>AND('Final Grade'!V17,"AAAAAD9b3po=")</f>
        <v>#VALUE!</v>
      </c>
      <c r="EZ68" t="e">
        <f>AND('Final Grade'!W17,"AAAAAD9b3ps=")</f>
        <v>#VALUE!</v>
      </c>
      <c r="FA68" t="e">
        <f>AND('Final Grade'!X17,"AAAAAD9b3pw=")</f>
        <v>#VALUE!</v>
      </c>
      <c r="FB68" t="e">
        <f>AND('Final Grade'!Y17,"AAAAAD9b3p0=")</f>
        <v>#VALUE!</v>
      </c>
      <c r="FC68">
        <f>IF('Final Grade'!19:19,"AAAAAD9b3p4=",0)</f>
        <v>0</v>
      </c>
      <c r="FD68" t="e">
        <f>AND('Final Grade'!A28,"AAAAAD9b3p8=")</f>
        <v>#VALUE!</v>
      </c>
      <c r="FE68" t="e">
        <f>AND('Final Grade'!B28,"AAAAAD9b3qA=")</f>
        <v>#VALUE!</v>
      </c>
      <c r="FF68" t="e">
        <f>AND('Final Grade'!C28,"AAAAAD9b3qE=")</f>
        <v>#VALUE!</v>
      </c>
      <c r="FG68" t="e">
        <f>AND('Final Grade'!D28,"AAAAAD9b3qI=")</f>
        <v>#VALUE!</v>
      </c>
      <c r="FH68" t="e">
        <f>AND('Final Grade'!E28,"AAAAAD9b3qM=")</f>
        <v>#VALUE!</v>
      </c>
      <c r="FI68" t="e">
        <f>AND('Final Grade'!F18,"AAAAAD9b3qQ=")</f>
        <v>#VALUE!</v>
      </c>
      <c r="FJ68" t="e">
        <f>AND('Final Grade'!G18,"AAAAAD9b3qU=")</f>
        <v>#VALUE!</v>
      </c>
      <c r="FK68" t="e">
        <f>AND('Final Grade'!H18,"AAAAAD9b3qY=")</f>
        <v>#VALUE!</v>
      </c>
      <c r="FL68" t="e">
        <f>AND('Final Grade'!I18,"AAAAAD9b3qc=")</f>
        <v>#VALUE!</v>
      </c>
      <c r="FM68" t="e">
        <f>AND('Final Grade'!J18,"AAAAAD9b3qg=")</f>
        <v>#VALUE!</v>
      </c>
      <c r="FN68" t="e">
        <f>AND('Final Grade'!K19,"AAAAAD9b3qk=")</f>
        <v>#VALUE!</v>
      </c>
      <c r="FO68" t="e">
        <f>AND('Final Grade'!L19,"AAAAAD9b3qo=")</f>
        <v>#VALUE!</v>
      </c>
      <c r="FP68" t="e">
        <f>AND('Final Grade'!M21,"AAAAAD9b3qs=")</f>
        <v>#VALUE!</v>
      </c>
      <c r="FQ68" t="e">
        <f>AND('Final Grade'!N18,"AAAAAD9b3qw=")</f>
        <v>#VALUE!</v>
      </c>
      <c r="FR68" t="e">
        <f>AND('Final Grade'!O18,"AAAAAD9b3q0=")</f>
        <v>#VALUE!</v>
      </c>
      <c r="FS68" t="e">
        <f>AND('Final Grade'!P18,"AAAAAD9b3q4=")</f>
        <v>#VALUE!</v>
      </c>
      <c r="FT68" t="e">
        <f>AND('Final Grade'!Q18,"AAAAAD9b3q8=")</f>
        <v>#VALUE!</v>
      </c>
      <c r="FU68" t="e">
        <f>AND('Final Grade'!R19,"AAAAAD9b3rA=")</f>
        <v>#VALUE!</v>
      </c>
      <c r="FV68" t="e">
        <f>AND('Final Grade'!S19,"AAAAAD9b3rE=")</f>
        <v>#VALUE!</v>
      </c>
      <c r="FW68" t="e">
        <f>AND('Final Grade'!T19,"AAAAAD9b3rI=")</f>
        <v>#VALUE!</v>
      </c>
      <c r="FX68" t="e">
        <f>AND('Final Grade'!U19,"AAAAAD9b3rM=")</f>
        <v>#VALUE!</v>
      </c>
      <c r="FY68" t="e">
        <f>AND('Final Grade'!V19,"AAAAAD9b3rQ=")</f>
        <v>#VALUE!</v>
      </c>
      <c r="FZ68" t="e">
        <f>AND('Final Grade'!W19,"AAAAAD9b3rU=")</f>
        <v>#VALUE!</v>
      </c>
      <c r="GA68" t="e">
        <f>AND('Final Grade'!X19,"AAAAAD9b3rY=")</f>
        <v>#VALUE!</v>
      </c>
      <c r="GB68" t="e">
        <f>AND('Final Grade'!Y19,"AAAAAD9b3rc=")</f>
        <v>#VALUE!</v>
      </c>
      <c r="GC68">
        <f>IF('Final Grade'!20:20,"AAAAAD9b3rg=",0)</f>
        <v>0</v>
      </c>
      <c r="GD68" t="e">
        <f>AND('Final Grade'!A29,"AAAAAD9b3rk=")</f>
        <v>#VALUE!</v>
      </c>
      <c r="GE68" t="e">
        <f>AND('Final Grade'!B29,"AAAAAD9b3ro=")</f>
        <v>#VALUE!</v>
      </c>
      <c r="GF68" t="e">
        <f>AND('Final Grade'!C29,"AAAAAD9b3rs=")</f>
        <v>#VALUE!</v>
      </c>
      <c r="GG68" t="e">
        <f>AND('Final Grade'!D29,"AAAAAD9b3rw=")</f>
        <v>#VALUE!</v>
      </c>
      <c r="GH68" t="e">
        <f>AND('Final Grade'!E29,"AAAAAD9b3r0=")</f>
        <v>#VALUE!</v>
      </c>
      <c r="GI68" t="e">
        <f>AND('Final Grade'!F19,"AAAAAD9b3r4=")</f>
        <v>#VALUE!</v>
      </c>
      <c r="GJ68" t="e">
        <f>AND('Final Grade'!G19,"AAAAAD9b3r8=")</f>
        <v>#VALUE!</v>
      </c>
      <c r="GK68" t="e">
        <f>AND('Final Grade'!H19,"AAAAAD9b3sA=")</f>
        <v>#VALUE!</v>
      </c>
      <c r="GL68" t="e">
        <f>AND('Final Grade'!I19,"AAAAAD9b3sE=")</f>
        <v>#VALUE!</v>
      </c>
      <c r="GM68" t="e">
        <f>AND('Final Grade'!J19,"AAAAAD9b3sI=")</f>
        <v>#VALUE!</v>
      </c>
      <c r="GN68" t="e">
        <f>AND('Final Grade'!K20,"AAAAAD9b3sM=")</f>
        <v>#VALUE!</v>
      </c>
      <c r="GO68" t="e">
        <f>AND('Final Grade'!L20,"AAAAAD9b3sQ=")</f>
        <v>#VALUE!</v>
      </c>
      <c r="GP68" t="e">
        <f>AND('Final Grade'!M22,"AAAAAD9b3sU=")</f>
        <v>#VALUE!</v>
      </c>
      <c r="GQ68" t="e">
        <f>AND('Final Grade'!N22,"AAAAAD9b3sY=")</f>
        <v>#VALUE!</v>
      </c>
      <c r="GR68" t="e">
        <f>AND('Final Grade'!O22,"AAAAAD9b3sc=")</f>
        <v>#VALUE!</v>
      </c>
      <c r="GS68" t="e">
        <f>AND('Final Grade'!P22,"AAAAAD9b3sg=")</f>
        <v>#VALUE!</v>
      </c>
      <c r="GT68" t="e">
        <f>AND('Final Grade'!Q22,"AAAAAD9b3sk=")</f>
        <v>#VALUE!</v>
      </c>
      <c r="GU68" t="e">
        <f>AND('Final Grade'!R20,"AAAAAD9b3so=")</f>
        <v>#VALUE!</v>
      </c>
      <c r="GV68" t="e">
        <f>AND('Final Grade'!S20,"AAAAAD9b3ss=")</f>
        <v>#VALUE!</v>
      </c>
      <c r="GW68" t="e">
        <f>AND('Final Grade'!T20,"AAAAAD9b3sw=")</f>
        <v>#VALUE!</v>
      </c>
      <c r="GX68" t="e">
        <f>AND('Final Grade'!U20,"AAAAAD9b3s0=")</f>
        <v>#VALUE!</v>
      </c>
      <c r="GY68" t="e">
        <f>AND('Final Grade'!V20,"AAAAAD9b3s4=")</f>
        <v>#VALUE!</v>
      </c>
      <c r="GZ68" t="e">
        <f>AND('Final Grade'!W20,"AAAAAD9b3s8=")</f>
        <v>#VALUE!</v>
      </c>
      <c r="HA68" t="e">
        <f>AND('Final Grade'!X20,"AAAAAD9b3tA=")</f>
        <v>#VALUE!</v>
      </c>
      <c r="HB68" t="e">
        <f>AND('Final Grade'!Y20,"AAAAAD9b3tE=")</f>
        <v>#VALUE!</v>
      </c>
      <c r="HC68">
        <f>IF('Final Grade'!21:21,"AAAAAD9b3tI=",0)</f>
        <v>0</v>
      </c>
      <c r="HD68" t="e">
        <f>AND('Final Grade'!A30,"AAAAAD9b3tM=")</f>
        <v>#VALUE!</v>
      </c>
      <c r="HE68" t="e">
        <f>AND('Final Grade'!B30,"AAAAAD9b3tQ=")</f>
        <v>#VALUE!</v>
      </c>
      <c r="HF68" t="e">
        <f>AND('Final Grade'!C30,"AAAAAD9b3tU=")</f>
        <v>#VALUE!</v>
      </c>
      <c r="HG68" t="e">
        <f>AND('Final Grade'!D30,"AAAAAD9b3tY=")</f>
        <v>#VALUE!</v>
      </c>
      <c r="HH68" t="e">
        <f>AND('Final Grade'!E30,"AAAAAD9b3tc=")</f>
        <v>#VALUE!</v>
      </c>
      <c r="HI68" t="e">
        <f>AND('Final Grade'!F20,"AAAAAD9b3tg=")</f>
        <v>#VALUE!</v>
      </c>
      <c r="HJ68" t="e">
        <f>AND('Final Grade'!G20,"AAAAAD9b3tk=")</f>
        <v>#VALUE!</v>
      </c>
      <c r="HK68" t="e">
        <f>AND('Final Grade'!H20,"AAAAAD9b3to=")</f>
        <v>#VALUE!</v>
      </c>
      <c r="HL68" t="e">
        <f>AND('Final Grade'!I20,"AAAAAD9b3ts=")</f>
        <v>#VALUE!</v>
      </c>
      <c r="HM68" t="e">
        <f>AND('Final Grade'!J20,"AAAAAD9b3tw=")</f>
        <v>#VALUE!</v>
      </c>
      <c r="HN68" t="e">
        <f>AND('Final Grade'!K21,"AAAAAD9b3t0=")</f>
        <v>#VALUE!</v>
      </c>
      <c r="HO68" t="e">
        <f>AND('Final Grade'!L21,"AAAAAD9b3t4=")</f>
        <v>#VALUE!</v>
      </c>
      <c r="HP68" t="e">
        <f>AND('Final Grade'!M23,"AAAAAD9b3t8=")</f>
        <v>#VALUE!</v>
      </c>
      <c r="HQ68" t="e">
        <f>AND('Final Grade'!N23,"AAAAAD9b3uA=")</f>
        <v>#VALUE!</v>
      </c>
      <c r="HR68" t="e">
        <f>AND('Final Grade'!O23,"AAAAAD9b3uE=")</f>
        <v>#VALUE!</v>
      </c>
      <c r="HS68" t="e">
        <f>AND('Final Grade'!P23,"AAAAAD9b3uI=")</f>
        <v>#VALUE!</v>
      </c>
      <c r="HT68" t="e">
        <f>AND('Final Grade'!Q23,"AAAAAD9b3uM=")</f>
        <v>#VALUE!</v>
      </c>
      <c r="HU68" t="e">
        <f>AND('Final Grade'!R21,"AAAAAD9b3uQ=")</f>
        <v>#VALUE!</v>
      </c>
      <c r="HV68" t="e">
        <f>AND('Final Grade'!S21,"AAAAAD9b3uU=")</f>
        <v>#VALUE!</v>
      </c>
      <c r="HW68" t="e">
        <f>AND('Final Grade'!T21,"AAAAAD9b3uY=")</f>
        <v>#VALUE!</v>
      </c>
      <c r="HX68" t="e">
        <f>AND('Final Grade'!U21,"AAAAAD9b3uc=")</f>
        <v>#VALUE!</v>
      </c>
      <c r="HY68" t="e">
        <f>AND('Final Grade'!V21,"AAAAAD9b3ug=")</f>
        <v>#VALUE!</v>
      </c>
      <c r="HZ68" t="e">
        <f>AND('Final Grade'!W21,"AAAAAD9b3uk=")</f>
        <v>#VALUE!</v>
      </c>
      <c r="IA68" t="e">
        <f>AND('Final Grade'!X21,"AAAAAD9b3uo=")</f>
        <v>#VALUE!</v>
      </c>
      <c r="IB68" t="e">
        <f>AND('Final Grade'!Y21,"AAAAAD9b3us=")</f>
        <v>#VALUE!</v>
      </c>
      <c r="IC68">
        <f>IF('Final Grade'!22:22,"AAAAAD9b3uw=",0)</f>
        <v>0</v>
      </c>
      <c r="ID68" t="e">
        <f>AND('Final Grade'!A31,"AAAAAD9b3u0=")</f>
        <v>#VALUE!</v>
      </c>
      <c r="IE68" t="e">
        <f>AND('Final Grade'!B31,"AAAAAD9b3u4=")</f>
        <v>#VALUE!</v>
      </c>
      <c r="IF68" t="e">
        <f>AND('Final Grade'!C31,"AAAAAD9b3u8=")</f>
        <v>#VALUE!</v>
      </c>
      <c r="IG68" t="e">
        <f>AND('Final Grade'!D31,"AAAAAD9b3vA=")</f>
        <v>#VALUE!</v>
      </c>
      <c r="IH68" t="e">
        <f>AND('Final Grade'!E31,"AAAAAD9b3vE=")</f>
        <v>#VALUE!</v>
      </c>
      <c r="II68" t="e">
        <f>AND('Final Grade'!F21,"AAAAAD9b3vI=")</f>
        <v>#VALUE!</v>
      </c>
      <c r="IJ68" t="e">
        <f>AND('Final Grade'!G21,"AAAAAD9b3vM=")</f>
        <v>#VALUE!</v>
      </c>
      <c r="IK68" t="e">
        <f>AND('Final Grade'!H21,"AAAAAD9b3vQ=")</f>
        <v>#VALUE!</v>
      </c>
      <c r="IL68" t="e">
        <f>AND('Final Grade'!I21,"AAAAAD9b3vU=")</f>
        <v>#VALUE!</v>
      </c>
      <c r="IM68" t="e">
        <f>AND('Final Grade'!J21,"AAAAAD9b3vY=")</f>
        <v>#VALUE!</v>
      </c>
      <c r="IN68" t="e">
        <f>AND('Final Grade'!K22,"AAAAAD9b3vc=")</f>
        <v>#VALUE!</v>
      </c>
      <c r="IO68" t="e">
        <f>AND('Final Grade'!L22,"AAAAAD9b3vg=")</f>
        <v>#VALUE!</v>
      </c>
      <c r="IP68" t="e">
        <f>AND('Final Grade'!M24,"AAAAAD9b3vk=")</f>
        <v>#VALUE!</v>
      </c>
      <c r="IQ68" t="e">
        <f>AND('Final Grade'!N24,"AAAAAD9b3vo=")</f>
        <v>#VALUE!</v>
      </c>
      <c r="IR68" t="e">
        <f>AND('Final Grade'!O24,"AAAAAD9b3vs=")</f>
        <v>#VALUE!</v>
      </c>
      <c r="IS68" t="e">
        <f>AND('Final Grade'!P24,"AAAAAD9b3vw=")</f>
        <v>#VALUE!</v>
      </c>
      <c r="IT68" t="e">
        <f>AND('Final Grade'!Q24,"AAAAAD9b3v0=")</f>
        <v>#VALUE!</v>
      </c>
      <c r="IU68" t="e">
        <f>AND('Final Grade'!R22,"AAAAAD9b3v4=")</f>
        <v>#VALUE!</v>
      </c>
      <c r="IV68" t="e">
        <f>AND('Final Grade'!S22,"AAAAAD9b3v8=")</f>
        <v>#VALUE!</v>
      </c>
    </row>
    <row r="69" spans="1:256" x14ac:dyDescent="0.15">
      <c r="A69" t="e">
        <f>AND('Final Grade'!T22,"AAAAAG879wA=")</f>
        <v>#VALUE!</v>
      </c>
      <c r="B69" t="e">
        <f>AND('Final Grade'!U22,"AAAAAG879wE=")</f>
        <v>#VALUE!</v>
      </c>
      <c r="C69" t="e">
        <f>AND('Final Grade'!V22,"AAAAAG879wI=")</f>
        <v>#VALUE!</v>
      </c>
      <c r="D69" t="e">
        <f>AND('Final Grade'!W22,"AAAAAG879wM=")</f>
        <v>#VALUE!</v>
      </c>
      <c r="E69" t="e">
        <f>AND('Final Grade'!X22,"AAAAAG879wQ=")</f>
        <v>#VALUE!</v>
      </c>
      <c r="F69" t="e">
        <f>AND('Final Grade'!Y22,"AAAAAG879wU=")</f>
        <v>#VALUE!</v>
      </c>
      <c r="G69">
        <f>IF('Final Grade'!23:23,"AAAAAG879wY=",0)</f>
        <v>0</v>
      </c>
      <c r="H69" t="e">
        <f>AND('Final Grade'!A32,"AAAAAG879wc=")</f>
        <v>#VALUE!</v>
      </c>
      <c r="I69" t="e">
        <f>AND('Final Grade'!B32,"AAAAAG879wg=")</f>
        <v>#VALUE!</v>
      </c>
      <c r="J69" t="e">
        <f>AND('Final Grade'!C32,"AAAAAG879wk=")</f>
        <v>#VALUE!</v>
      </c>
      <c r="K69" t="e">
        <f>AND('Final Grade'!D32,"AAAAAG879wo=")</f>
        <v>#VALUE!</v>
      </c>
      <c r="L69" t="e">
        <f>AND('Final Grade'!E32,"AAAAAG879ws=")</f>
        <v>#VALUE!</v>
      </c>
      <c r="M69" t="e">
        <f>AND('Final Grade'!F22,"AAAAAG879ww=")</f>
        <v>#VALUE!</v>
      </c>
      <c r="N69" t="e">
        <f>AND('Final Grade'!G22,"AAAAAG879w0=")</f>
        <v>#VALUE!</v>
      </c>
      <c r="O69" t="e">
        <f>AND('Final Grade'!H22,"AAAAAG879w4=")</f>
        <v>#VALUE!</v>
      </c>
      <c r="P69" t="e">
        <f>AND('Final Grade'!I22,"AAAAAG879w8=")</f>
        <v>#VALUE!</v>
      </c>
      <c r="Q69" t="e">
        <f>AND('Final Grade'!J22,"AAAAAG879xA=")</f>
        <v>#VALUE!</v>
      </c>
      <c r="R69" t="e">
        <f>AND('Final Grade'!K23,"AAAAAG879xE=")</f>
        <v>#VALUE!</v>
      </c>
      <c r="S69" t="e">
        <f>AND('Final Grade'!L23,"AAAAAG879xI=")</f>
        <v>#VALUE!</v>
      </c>
      <c r="T69" t="e">
        <f>AND('Final Grade'!M25,"AAAAAG879xM=")</f>
        <v>#VALUE!</v>
      </c>
      <c r="U69" t="e">
        <f>AND('Final Grade'!N25,"AAAAAG879xQ=")</f>
        <v>#VALUE!</v>
      </c>
      <c r="V69" t="e">
        <f>AND('Final Grade'!O25,"AAAAAG879xU=")</f>
        <v>#VALUE!</v>
      </c>
      <c r="W69" t="e">
        <f>AND('Final Grade'!P25,"AAAAAG879xY=")</f>
        <v>#VALUE!</v>
      </c>
      <c r="X69" t="e">
        <f>AND('Final Grade'!Q25,"AAAAAG879xc=")</f>
        <v>#VALUE!</v>
      </c>
      <c r="Y69" t="e">
        <f>AND('Final Grade'!R23,"AAAAAG879xg=")</f>
        <v>#VALUE!</v>
      </c>
      <c r="Z69" t="e">
        <f>AND('Final Grade'!S23,"AAAAAG879xk=")</f>
        <v>#VALUE!</v>
      </c>
      <c r="AA69" t="e">
        <f>AND('Final Grade'!T23,"AAAAAG879xo=")</f>
        <v>#VALUE!</v>
      </c>
      <c r="AB69" t="e">
        <f>AND('Final Grade'!U23,"AAAAAG879xs=")</f>
        <v>#VALUE!</v>
      </c>
      <c r="AC69" t="e">
        <f>AND('Final Grade'!V23,"AAAAAG879xw=")</f>
        <v>#VALUE!</v>
      </c>
      <c r="AD69" t="e">
        <f>AND('Final Grade'!W23,"AAAAAG879x0=")</f>
        <v>#VALUE!</v>
      </c>
      <c r="AE69" t="e">
        <f>AND('Final Grade'!X23,"AAAAAG879x4=")</f>
        <v>#VALUE!</v>
      </c>
      <c r="AF69" t="e">
        <f>AND('Final Grade'!Y23,"AAAAAG879x8=")</f>
        <v>#VALUE!</v>
      </c>
      <c r="AG69">
        <f>IF('Final Grade'!24:24,"AAAAAG879yA=",0)</f>
        <v>0</v>
      </c>
      <c r="AH69" t="e">
        <f>AND('Final Grade'!A34,"AAAAAG879yE=")</f>
        <v>#VALUE!</v>
      </c>
      <c r="AI69" t="e">
        <f>AND('Final Grade'!B34,"AAAAAG879yI=")</f>
        <v>#VALUE!</v>
      </c>
      <c r="AJ69" t="e">
        <f>AND('Final Grade'!C34,"AAAAAG879yM=")</f>
        <v>#VALUE!</v>
      </c>
      <c r="AK69" t="e">
        <f>AND('Final Grade'!D34,"AAAAAG879yQ=")</f>
        <v>#VALUE!</v>
      </c>
      <c r="AL69" t="e">
        <f>AND('Final Grade'!E34,"AAAAAG879yU=")</f>
        <v>#VALUE!</v>
      </c>
      <c r="AM69" t="e">
        <f>AND('Final Grade'!F23,"AAAAAG879yY=")</f>
        <v>#VALUE!</v>
      </c>
      <c r="AN69" t="e">
        <f>AND('Final Grade'!G23,"AAAAAG879yc=")</f>
        <v>#VALUE!</v>
      </c>
      <c r="AO69" t="e">
        <f>AND('Final Grade'!H23,"AAAAAG879yg=")</f>
        <v>#VALUE!</v>
      </c>
      <c r="AP69" t="e">
        <f>AND('Final Grade'!I23,"AAAAAG879yk=")</f>
        <v>#VALUE!</v>
      </c>
      <c r="AQ69" t="e">
        <f>AND('Final Grade'!J23,"AAAAAG879yo=")</f>
        <v>#VALUE!</v>
      </c>
      <c r="AR69" t="e">
        <f>AND('Final Grade'!K24,"AAAAAG879ys=")</f>
        <v>#VALUE!</v>
      </c>
      <c r="AS69" t="e">
        <f>AND('Final Grade'!L24,"AAAAAG879yw=")</f>
        <v>#VALUE!</v>
      </c>
      <c r="AT69" t="e">
        <f>AND('Final Grade'!#REF!,"AAAAAG879y0=")</f>
        <v>#REF!</v>
      </c>
      <c r="AU69" t="e">
        <f>AND('Final Grade'!#REF!,"AAAAAG879y4=")</f>
        <v>#REF!</v>
      </c>
      <c r="AV69" t="e">
        <f>AND('Final Grade'!#REF!,"AAAAAG879y8=")</f>
        <v>#REF!</v>
      </c>
      <c r="AW69" t="e">
        <f>AND('Final Grade'!#REF!,"AAAAAG879zA=")</f>
        <v>#REF!</v>
      </c>
      <c r="AX69" t="e">
        <f>AND('Final Grade'!#REF!,"AAAAAG879zE=")</f>
        <v>#REF!</v>
      </c>
      <c r="AY69" t="e">
        <f>AND('Final Grade'!R24,"AAAAAG879zI=")</f>
        <v>#VALUE!</v>
      </c>
      <c r="AZ69" t="e">
        <f>AND('Final Grade'!S24,"AAAAAG879zM=")</f>
        <v>#VALUE!</v>
      </c>
      <c r="BA69" t="e">
        <f>AND('Final Grade'!T24,"AAAAAG879zQ=")</f>
        <v>#VALUE!</v>
      </c>
      <c r="BB69" t="e">
        <f>AND('Final Grade'!U24,"AAAAAG879zU=")</f>
        <v>#VALUE!</v>
      </c>
      <c r="BC69" t="e">
        <f>AND('Final Grade'!V24,"AAAAAG879zY=")</f>
        <v>#VALUE!</v>
      </c>
      <c r="BD69" t="e">
        <f>AND('Final Grade'!W24,"AAAAAG879zc=")</f>
        <v>#VALUE!</v>
      </c>
      <c r="BE69" t="e">
        <f>AND('Final Grade'!X24,"AAAAAG879zg=")</f>
        <v>#VALUE!</v>
      </c>
      <c r="BF69" t="e">
        <f>AND('Final Grade'!Y24,"AAAAAG879zk=")</f>
        <v>#VALUE!</v>
      </c>
      <c r="BG69">
        <f>IF('Final Grade'!25:25,"AAAAAG879zo=",0)</f>
        <v>0</v>
      </c>
      <c r="BH69" t="e">
        <f>AND('Final Grade'!A35,"AAAAAG879zs=")</f>
        <v>#VALUE!</v>
      </c>
      <c r="BI69" t="e">
        <f>AND('Final Grade'!B35,"AAAAAG879zw=")</f>
        <v>#VALUE!</v>
      </c>
      <c r="BJ69" t="e">
        <f>AND('Final Grade'!C35,"AAAAAG879z0=")</f>
        <v>#VALUE!</v>
      </c>
      <c r="BK69" t="e">
        <f>AND('Final Grade'!D35,"AAAAAG879z4=")</f>
        <v>#VALUE!</v>
      </c>
      <c r="BL69" t="e">
        <f>AND('Final Grade'!E35,"AAAAAG879z8=")</f>
        <v>#VALUE!</v>
      </c>
      <c r="BM69" t="e">
        <f>AND('Final Grade'!F24,"AAAAAG8790A=")</f>
        <v>#VALUE!</v>
      </c>
      <c r="BN69" t="e">
        <f>AND('Final Grade'!G24,"AAAAAG8790E=")</f>
        <v>#VALUE!</v>
      </c>
      <c r="BO69" t="e">
        <f>AND('Final Grade'!H24,"AAAAAG8790I=")</f>
        <v>#VALUE!</v>
      </c>
      <c r="BP69" t="e">
        <f>AND('Final Grade'!I24,"AAAAAG8790M=")</f>
        <v>#VALUE!</v>
      </c>
      <c r="BQ69" t="e">
        <f>AND('Final Grade'!J24,"AAAAAG8790Q=")</f>
        <v>#VALUE!</v>
      </c>
      <c r="BR69" t="e">
        <f>AND('Final Grade'!K25,"AAAAAG8790U=")</f>
        <v>#VALUE!</v>
      </c>
      <c r="BS69" t="e">
        <f>AND('Final Grade'!L25,"AAAAAG8790Y=")</f>
        <v>#VALUE!</v>
      </c>
      <c r="BT69" t="e">
        <f>AND('Final Grade'!M26,"AAAAAG8790c=")</f>
        <v>#VALUE!</v>
      </c>
      <c r="BU69" t="e">
        <f>AND('Final Grade'!N26,"AAAAAG8790g=")</f>
        <v>#VALUE!</v>
      </c>
      <c r="BV69" t="e">
        <f>AND('Final Grade'!O26,"AAAAAG8790k=")</f>
        <v>#VALUE!</v>
      </c>
      <c r="BW69" t="e">
        <f>AND('Final Grade'!P26,"AAAAAG8790o=")</f>
        <v>#VALUE!</v>
      </c>
      <c r="BX69" t="e">
        <f>AND('Final Grade'!Q26,"AAAAAG8790s=")</f>
        <v>#VALUE!</v>
      </c>
      <c r="BY69" t="e">
        <f>AND('Final Grade'!#REF!,"AAAAAG8790w=")</f>
        <v>#REF!</v>
      </c>
      <c r="BZ69" t="e">
        <f>AND('Final Grade'!#REF!,"AAAAAG87900=")</f>
        <v>#REF!</v>
      </c>
      <c r="CA69" t="e">
        <f>AND('Final Grade'!#REF!,"AAAAAG87904=")</f>
        <v>#REF!</v>
      </c>
      <c r="CB69" t="e">
        <f>AND('Final Grade'!#REF!,"AAAAAG87908=")</f>
        <v>#REF!</v>
      </c>
      <c r="CC69" t="e">
        <f>AND('Final Grade'!#REF!,"AAAAAG8791A=")</f>
        <v>#REF!</v>
      </c>
      <c r="CD69" t="e">
        <f>AND('Final Grade'!#REF!,"AAAAAG8791E=")</f>
        <v>#REF!</v>
      </c>
      <c r="CE69" t="e">
        <f>AND('Final Grade'!#REF!,"AAAAAG8791I=")</f>
        <v>#REF!</v>
      </c>
      <c r="CF69" t="e">
        <f>AND('Final Grade'!R25,"AAAAAG8791M=")</f>
        <v>#VALUE!</v>
      </c>
      <c r="CG69" t="e">
        <f>IF('Final Grade'!#REF!,"AAAAAG8791Q=",0)</f>
        <v>#REF!</v>
      </c>
      <c r="CH69" t="e">
        <f>AND('Final Grade'!A36,"AAAAAG8791U=")</f>
        <v>#VALUE!</v>
      </c>
      <c r="CI69" t="e">
        <f>AND('Final Grade'!B36,"AAAAAG8791Y=")</f>
        <v>#VALUE!</v>
      </c>
      <c r="CJ69" t="e">
        <f>AND('Final Grade'!C36,"AAAAAG8791c=")</f>
        <v>#VALUE!</v>
      </c>
      <c r="CK69" t="e">
        <f>AND('Final Grade'!D36,"AAAAAG8791g=")</f>
        <v>#VALUE!</v>
      </c>
      <c r="CL69" t="e">
        <f>AND('Final Grade'!E36,"AAAAAG8791k=")</f>
        <v>#VALUE!</v>
      </c>
      <c r="CM69" t="e">
        <f>AND('Final Grade'!F25,"AAAAAG8791o=")</f>
        <v>#VALUE!</v>
      </c>
      <c r="CN69" t="e">
        <f>AND('Final Grade'!G25,"AAAAAG8791s=")</f>
        <v>#VALUE!</v>
      </c>
      <c r="CO69" t="e">
        <f>AND('Final Grade'!H25,"AAAAAG8791w=")</f>
        <v>#VALUE!</v>
      </c>
      <c r="CP69" t="e">
        <f>AND('Final Grade'!I25,"AAAAAG87910=")</f>
        <v>#VALUE!</v>
      </c>
      <c r="CQ69" t="e">
        <f>AND('Final Grade'!J25,"AAAAAG87914=")</f>
        <v>#VALUE!</v>
      </c>
      <c r="CR69" t="e">
        <f>AND('Final Grade'!#REF!,"AAAAAG87918=")</f>
        <v>#REF!</v>
      </c>
      <c r="CS69" t="e">
        <f>AND('Final Grade'!#REF!,"AAAAAG8792A=")</f>
        <v>#REF!</v>
      </c>
      <c r="CT69" t="e">
        <f>AND('Final Grade'!M28,"AAAAAG8792E=")</f>
        <v>#VALUE!</v>
      </c>
      <c r="CU69" t="e">
        <f>AND('Final Grade'!N28,"AAAAAG8792I=")</f>
        <v>#VALUE!</v>
      </c>
      <c r="CV69" t="e">
        <f>AND('Final Grade'!O28,"AAAAAG8792M=")</f>
        <v>#VALUE!</v>
      </c>
      <c r="CW69" t="e">
        <f>AND('Final Grade'!P28,"AAAAAG8792Q=")</f>
        <v>#VALUE!</v>
      </c>
      <c r="CX69" t="e">
        <f>AND('Final Grade'!Q28,"AAAAAG8792U=")</f>
        <v>#VALUE!</v>
      </c>
      <c r="CY69" t="e">
        <f>AND('Final Grade'!#REF!,"AAAAAG8792Y=")</f>
        <v>#REF!</v>
      </c>
      <c r="CZ69" t="e">
        <f>AND('Final Grade'!#REF!,"AAAAAG8792c=")</f>
        <v>#REF!</v>
      </c>
      <c r="DA69" t="e">
        <f>AND('Final Grade'!#REF!,"AAAAAG8792g=")</f>
        <v>#REF!</v>
      </c>
      <c r="DB69" t="e">
        <f>AND('Final Grade'!#REF!,"AAAAAG8792k=")</f>
        <v>#REF!</v>
      </c>
      <c r="DC69" t="e">
        <f>AND('Final Grade'!#REF!,"AAAAAG8792o=")</f>
        <v>#REF!</v>
      </c>
      <c r="DD69" t="e">
        <f>AND('Final Grade'!#REF!,"AAAAAG8792s=")</f>
        <v>#REF!</v>
      </c>
      <c r="DE69" t="e">
        <f>AND('Final Grade'!#REF!,"AAAAAG8792w=")</f>
        <v>#REF!</v>
      </c>
      <c r="DF69" t="e">
        <f>AND('Final Grade'!#REF!,"AAAAAG87920=")</f>
        <v>#REF!</v>
      </c>
      <c r="DG69">
        <f>IF('Final Grade'!26:26,"AAAAAG87924=",0)</f>
        <v>0</v>
      </c>
      <c r="DH69" t="e">
        <f>AND('Final Grade'!A39,"AAAAAG87928=")</f>
        <v>#VALUE!</v>
      </c>
      <c r="DI69" t="e">
        <f>AND('Final Grade'!B39,"AAAAAG8793A=")</f>
        <v>#VALUE!</v>
      </c>
      <c r="DJ69" t="e">
        <f>AND('Final Grade'!C39,"AAAAAG8793E=")</f>
        <v>#VALUE!</v>
      </c>
      <c r="DK69" t="e">
        <f>AND('Final Grade'!D39,"AAAAAG8793I=")</f>
        <v>#VALUE!</v>
      </c>
      <c r="DL69" t="e">
        <f>AND('Final Grade'!E37,"AAAAAG8793M=")</f>
        <v>#VALUE!</v>
      </c>
      <c r="DM69" t="e">
        <f>AND('Final Grade'!#REF!,"AAAAAG8793Q=")</f>
        <v>#REF!</v>
      </c>
      <c r="DN69" t="e">
        <f>AND('Final Grade'!#REF!,"AAAAAG8793U=")</f>
        <v>#REF!</v>
      </c>
      <c r="DO69" t="e">
        <f>AND('Final Grade'!#REF!,"AAAAAG8793Y=")</f>
        <v>#REF!</v>
      </c>
      <c r="DP69" t="e">
        <f>AND('Final Grade'!#REF!,"AAAAAG8793c=")</f>
        <v>#REF!</v>
      </c>
      <c r="DQ69" t="e">
        <f>AND('Final Grade'!#REF!,"AAAAAG8793g=")</f>
        <v>#REF!</v>
      </c>
      <c r="DR69" t="e">
        <f>AND('Final Grade'!K26,"AAAAAG8793k=")</f>
        <v>#VALUE!</v>
      </c>
      <c r="DS69" t="e">
        <f>AND('Final Grade'!L26,"AAAAAG8793o=")</f>
        <v>#VALUE!</v>
      </c>
      <c r="DT69" t="e">
        <f>AND('Final Grade'!M29,"AAAAAG8793s=")</f>
        <v>#VALUE!</v>
      </c>
      <c r="DU69" t="e">
        <f>AND('Final Grade'!N29,"AAAAAG8793w=")</f>
        <v>#VALUE!</v>
      </c>
      <c r="DV69" t="e">
        <f>AND('Final Grade'!O29,"AAAAAG87930=")</f>
        <v>#VALUE!</v>
      </c>
      <c r="DW69" t="e">
        <f>AND('Final Grade'!P29,"AAAAAG87934=")</f>
        <v>#VALUE!</v>
      </c>
      <c r="DX69" t="e">
        <f>AND('Final Grade'!Q29,"AAAAAG87938=")</f>
        <v>#VALUE!</v>
      </c>
      <c r="DY69" t="e">
        <f>AND('Final Grade'!#REF!,"AAAAAG8794A=")</f>
        <v>#REF!</v>
      </c>
      <c r="DZ69" t="e">
        <f>AND('Final Grade'!#REF!,"AAAAAG8794E=")</f>
        <v>#REF!</v>
      </c>
      <c r="EA69" t="e">
        <f>AND('Final Grade'!#REF!,"AAAAAG8794I=")</f>
        <v>#REF!</v>
      </c>
      <c r="EB69" t="e">
        <f>AND('Final Grade'!#REF!,"AAAAAG8794M=")</f>
        <v>#REF!</v>
      </c>
      <c r="EC69" t="e">
        <f>AND('Final Grade'!#REF!,"AAAAAG8794Q=")</f>
        <v>#REF!</v>
      </c>
      <c r="ED69" t="e">
        <f>AND('Final Grade'!#REF!,"AAAAAG8794U=")</f>
        <v>#REF!</v>
      </c>
      <c r="EE69" t="e">
        <f>AND('Final Grade'!#REF!,"AAAAAG8794Y=")</f>
        <v>#REF!</v>
      </c>
      <c r="EF69" t="e">
        <f>AND('Final Grade'!R26,"AAAAAG8794c=")</f>
        <v>#VALUE!</v>
      </c>
      <c r="EG69">
        <f>IF('Final Grade'!27:27,"AAAAAG8794g=",0)</f>
        <v>0</v>
      </c>
      <c r="EH69" t="e">
        <f>AND('Final Grade'!A38,"AAAAAG8794k=")</f>
        <v>#VALUE!</v>
      </c>
      <c r="EI69" t="e">
        <f>AND('Final Grade'!B38,"AAAAAG8794o=")</f>
        <v>#VALUE!</v>
      </c>
      <c r="EJ69" t="e">
        <f>AND('Final Grade'!C38,"AAAAAG8794s=")</f>
        <v>#VALUE!</v>
      </c>
      <c r="EK69" t="e">
        <f>AND('Final Grade'!D38,"AAAAAG8794w=")</f>
        <v>#VALUE!</v>
      </c>
      <c r="EL69" t="e">
        <f>AND('Final Grade'!E38,"AAAAAG87940=")</f>
        <v>#VALUE!</v>
      </c>
      <c r="EM69" t="e">
        <f>AND('Final Grade'!F26,"AAAAAG87944=")</f>
        <v>#VALUE!</v>
      </c>
      <c r="EN69" t="e">
        <f>AND('Final Grade'!G26,"AAAAAG87948=")</f>
        <v>#VALUE!</v>
      </c>
      <c r="EO69" t="e">
        <f>AND('Final Grade'!H26,"AAAAAG8795A=")</f>
        <v>#VALUE!</v>
      </c>
      <c r="EP69" t="e">
        <f>AND('Final Grade'!I26,"AAAAAG8795E=")</f>
        <v>#VALUE!</v>
      </c>
      <c r="EQ69" t="e">
        <f>AND('Final Grade'!J26,"AAAAAG8795I=")</f>
        <v>#VALUE!</v>
      </c>
      <c r="ER69" t="e">
        <f>AND('Final Grade'!K27,"AAAAAG8795M=")</f>
        <v>#VALUE!</v>
      </c>
      <c r="ES69" t="e">
        <f>AND('Final Grade'!L28,"AAAAAG8795Q=")</f>
        <v>#VALUE!</v>
      </c>
      <c r="ET69" t="e">
        <f>AND('Final Grade'!M30,"AAAAAG8795U=")</f>
        <v>#VALUE!</v>
      </c>
      <c r="EU69" t="e">
        <f>AND('Final Grade'!N30,"AAAAAG8795Y=")</f>
        <v>#VALUE!</v>
      </c>
      <c r="EV69" t="e">
        <f>AND('Final Grade'!O30,"AAAAAG8795c=")</f>
        <v>#VALUE!</v>
      </c>
      <c r="EW69" t="e">
        <f>AND('Final Grade'!P30,"AAAAAG8795g=")</f>
        <v>#VALUE!</v>
      </c>
      <c r="EX69" t="e">
        <f>AND('Final Grade'!Q30,"AAAAAG8795k=")</f>
        <v>#VALUE!</v>
      </c>
      <c r="EY69" t="e">
        <f>AND('Final Grade'!#REF!,"AAAAAG8795o=")</f>
        <v>#REF!</v>
      </c>
      <c r="EZ69" t="e">
        <f>AND('Final Grade'!#REF!,"AAAAAG8795s=")</f>
        <v>#REF!</v>
      </c>
      <c r="FA69" t="e">
        <f>AND('Final Grade'!#REF!,"AAAAAG8795w=")</f>
        <v>#REF!</v>
      </c>
      <c r="FB69" t="e">
        <f>AND('Final Grade'!#REF!,"AAAAAG87950=")</f>
        <v>#REF!</v>
      </c>
      <c r="FC69" t="e">
        <f>AND('Final Grade'!#REF!,"AAAAAG87954=")</f>
        <v>#REF!</v>
      </c>
      <c r="FD69" t="e">
        <f>AND('Final Grade'!#REF!,"AAAAAG87958=")</f>
        <v>#REF!</v>
      </c>
      <c r="FE69" t="e">
        <f>AND('Final Grade'!#REF!,"AAAAAG8796A=")</f>
        <v>#REF!</v>
      </c>
      <c r="FF69" t="e">
        <f>AND('Final Grade'!R27,"AAAAAG8796E=")</f>
        <v>#VALUE!</v>
      </c>
      <c r="FG69">
        <f>IF('Final Grade'!28:28,"AAAAAG8796I=",0)</f>
        <v>0</v>
      </c>
      <c r="FH69" t="e">
        <f>AND('Final Grade'!A37,"AAAAAG8796M=")</f>
        <v>#VALUE!</v>
      </c>
      <c r="FI69" t="e">
        <f>AND('Final Grade'!B37,"AAAAAG8796Q=")</f>
        <v>#VALUE!</v>
      </c>
      <c r="FJ69" t="e">
        <f>AND('Final Grade'!C37,"AAAAAG8796U=")</f>
        <v>#VALUE!</v>
      </c>
      <c r="FK69" t="e">
        <f>AND('Final Grade'!D37,"AAAAAG8796Y=")</f>
        <v>#VALUE!</v>
      </c>
      <c r="FL69" t="e">
        <f>AND('Final Grade'!E39,"AAAAAG8796c=")</f>
        <v>#VALUE!</v>
      </c>
      <c r="FM69" t="e">
        <f>AND('Final Grade'!F27,"AAAAAG8796g=")</f>
        <v>#VALUE!</v>
      </c>
      <c r="FN69" t="e">
        <f>AND('Final Grade'!G27,"AAAAAG8796k=")</f>
        <v>#VALUE!</v>
      </c>
      <c r="FO69" t="e">
        <f>AND('Final Grade'!H27,"AAAAAG8796o=")</f>
        <v>#VALUE!</v>
      </c>
      <c r="FP69" t="e">
        <f>AND('Final Grade'!I27,"AAAAAG8796s=")</f>
        <v>#VALUE!</v>
      </c>
      <c r="FQ69" t="e">
        <f>AND('Final Grade'!J27,"AAAAAG8796w=")</f>
        <v>#VALUE!</v>
      </c>
      <c r="FR69" t="e">
        <f>AND('Final Grade'!K28,"AAAAAG87960=")</f>
        <v>#VALUE!</v>
      </c>
      <c r="FS69" t="e">
        <f>AND('Final Grade'!L29,"AAAAAG87964=")</f>
        <v>#VALUE!</v>
      </c>
      <c r="FT69" t="e">
        <f>AND('Final Grade'!M31,"AAAAAG87968=")</f>
        <v>#VALUE!</v>
      </c>
      <c r="FU69" t="e">
        <f>AND('Final Grade'!N31,"AAAAAG8797A=")</f>
        <v>#VALUE!</v>
      </c>
      <c r="FV69" t="e">
        <f>AND('Final Grade'!O31,"AAAAAG8797E=")</f>
        <v>#VALUE!</v>
      </c>
      <c r="FW69" t="e">
        <f>AND('Final Grade'!P31,"AAAAAG8797I=")</f>
        <v>#VALUE!</v>
      </c>
      <c r="FX69" t="e">
        <f>AND('Final Grade'!Q31,"AAAAAG8797M=")</f>
        <v>#VALUE!</v>
      </c>
      <c r="FY69" t="e">
        <f>AND('Final Grade'!#REF!,"AAAAAG8797Q=")</f>
        <v>#REF!</v>
      </c>
      <c r="FZ69" t="e">
        <f>AND('Final Grade'!#REF!,"AAAAAG8797U=")</f>
        <v>#REF!</v>
      </c>
      <c r="GA69" t="e">
        <f>AND('Final Grade'!#REF!,"AAAAAG8797Y=")</f>
        <v>#REF!</v>
      </c>
      <c r="GB69" t="e">
        <f>AND('Final Grade'!#REF!,"AAAAAG8797c=")</f>
        <v>#REF!</v>
      </c>
      <c r="GC69" t="e">
        <f>AND('Final Grade'!#REF!,"AAAAAG8797g=")</f>
        <v>#REF!</v>
      </c>
      <c r="GD69" t="e">
        <f>AND('Final Grade'!#REF!,"AAAAAG8797k=")</f>
        <v>#REF!</v>
      </c>
      <c r="GE69" t="e">
        <f>AND('Final Grade'!#REF!,"AAAAAG8797o=")</f>
        <v>#REF!</v>
      </c>
      <c r="GF69" t="e">
        <f>AND('Final Grade'!R28,"AAAAAG8797s=")</f>
        <v>#VALUE!</v>
      </c>
      <c r="GG69">
        <f>IF('Final Grade'!29:29,"AAAAAG8797w=",0)</f>
        <v>0</v>
      </c>
      <c r="GH69" t="e">
        <f>AND('Final Grade'!A40,"AAAAAG87970=")</f>
        <v>#VALUE!</v>
      </c>
      <c r="GI69" t="e">
        <f>AND('Final Grade'!B40,"AAAAAG87974=")</f>
        <v>#VALUE!</v>
      </c>
      <c r="GJ69" t="e">
        <f>AND('Final Grade'!C40,"AAAAAG87978=")</f>
        <v>#VALUE!</v>
      </c>
      <c r="GK69" t="e">
        <f>AND('Final Grade'!D40,"AAAAAG8798A=")</f>
        <v>#VALUE!</v>
      </c>
      <c r="GL69" t="e">
        <f>AND('Final Grade'!E40,"AAAAAG8798E=")</f>
        <v>#VALUE!</v>
      </c>
      <c r="GM69" t="e">
        <f>AND('Final Grade'!F28,"AAAAAG8798I=")</f>
        <v>#VALUE!</v>
      </c>
      <c r="GN69" t="e">
        <f>AND('Final Grade'!G28,"AAAAAG8798M=")</f>
        <v>#VALUE!</v>
      </c>
      <c r="GO69" t="e">
        <f>AND('Final Grade'!H28,"AAAAAG8798Q=")</f>
        <v>#VALUE!</v>
      </c>
      <c r="GP69" t="e">
        <f>AND('Final Grade'!I28,"AAAAAG8798U=")</f>
        <v>#VALUE!</v>
      </c>
      <c r="GQ69" t="e">
        <f>AND('Final Grade'!J28,"AAAAAG8798Y=")</f>
        <v>#VALUE!</v>
      </c>
      <c r="GR69" t="e">
        <f>AND('Final Grade'!K29,"AAAAAG8798c=")</f>
        <v>#VALUE!</v>
      </c>
      <c r="GS69" t="e">
        <f>AND('Final Grade'!L30,"AAAAAG8798g=")</f>
        <v>#VALUE!</v>
      </c>
      <c r="GT69" t="e">
        <f>AND('Final Grade'!M32,"AAAAAG8798k=")</f>
        <v>#VALUE!</v>
      </c>
      <c r="GU69" t="e">
        <f>AND('Final Grade'!N32,"AAAAAG8798o=")</f>
        <v>#VALUE!</v>
      </c>
      <c r="GV69" t="e">
        <f>AND('Final Grade'!O32,"AAAAAG8798s=")</f>
        <v>#VALUE!</v>
      </c>
      <c r="GW69" t="e">
        <f>AND('Final Grade'!P32,"AAAAAG8798w=")</f>
        <v>#VALUE!</v>
      </c>
      <c r="GX69" t="e">
        <f>AND('Final Grade'!Q32,"AAAAAG87980=")</f>
        <v>#VALUE!</v>
      </c>
      <c r="GY69" t="e">
        <f>AND('Final Grade'!#REF!,"AAAAAG87984=")</f>
        <v>#REF!</v>
      </c>
      <c r="GZ69" t="e">
        <f>AND('Final Grade'!#REF!,"AAAAAG87988=")</f>
        <v>#REF!</v>
      </c>
      <c r="HA69" t="e">
        <f>AND('Final Grade'!#REF!,"AAAAAG8799A=")</f>
        <v>#REF!</v>
      </c>
      <c r="HB69" t="e">
        <f>AND('Final Grade'!#REF!,"AAAAAG8799E=")</f>
        <v>#REF!</v>
      </c>
      <c r="HC69" t="e">
        <f>AND('Final Grade'!#REF!,"AAAAAG8799I=")</f>
        <v>#REF!</v>
      </c>
      <c r="HD69" t="e">
        <f>AND('Final Grade'!#REF!,"AAAAAG8799M=")</f>
        <v>#REF!</v>
      </c>
      <c r="HE69" t="e">
        <f>AND('Final Grade'!#REF!,"AAAAAG8799Q=")</f>
        <v>#REF!</v>
      </c>
      <c r="HF69" t="e">
        <f>AND('Final Grade'!R29,"AAAAAG8799U=")</f>
        <v>#VALUE!</v>
      </c>
      <c r="HG69">
        <f>IF('Final Grade'!30:30,"AAAAAG8799Y=",0)</f>
        <v>0</v>
      </c>
      <c r="HH69" t="e">
        <f>AND('Final Grade'!#REF!,"AAAAAG8799c=")</f>
        <v>#REF!</v>
      </c>
      <c r="HI69" t="e">
        <f>AND('Final Grade'!#REF!,"AAAAAG8799g=")</f>
        <v>#REF!</v>
      </c>
      <c r="HJ69" t="e">
        <f>AND('Final Grade'!#REF!,"AAAAAG8799k=")</f>
        <v>#REF!</v>
      </c>
      <c r="HK69" t="e">
        <f>AND('Final Grade'!#REF!,"AAAAAG8799o=")</f>
        <v>#REF!</v>
      </c>
      <c r="HL69" t="e">
        <f>AND('Final Grade'!E41,"AAAAAG8799s=")</f>
        <v>#VALUE!</v>
      </c>
      <c r="HM69" t="e">
        <f>AND('Final Grade'!F29,"AAAAAG8799w=")</f>
        <v>#VALUE!</v>
      </c>
      <c r="HN69" t="e">
        <f>AND('Final Grade'!G29,"AAAAAG87990=")</f>
        <v>#VALUE!</v>
      </c>
      <c r="HO69" t="e">
        <f>AND('Final Grade'!H29,"AAAAAG87994=")</f>
        <v>#VALUE!</v>
      </c>
      <c r="HP69" t="e">
        <f>AND('Final Grade'!I29,"AAAAAG87998=")</f>
        <v>#VALUE!</v>
      </c>
      <c r="HQ69" t="e">
        <f>AND('Final Grade'!J29,"AAAAAG879+A=")</f>
        <v>#VALUE!</v>
      </c>
      <c r="HR69" t="e">
        <f>AND('Final Grade'!K30,"AAAAAG879+E=")</f>
        <v>#VALUE!</v>
      </c>
      <c r="HS69" t="e">
        <f>AND('Final Grade'!L31,"AAAAAG879+I=")</f>
        <v>#VALUE!</v>
      </c>
      <c r="HT69" t="e">
        <f>AND('Final Grade'!M34,"AAAAAG879+M=")</f>
        <v>#VALUE!</v>
      </c>
      <c r="HU69" t="e">
        <f>AND('Final Grade'!N34,"AAAAAG879+Q=")</f>
        <v>#VALUE!</v>
      </c>
      <c r="HV69" t="e">
        <f>AND('Final Grade'!O34,"AAAAAG879+U=")</f>
        <v>#VALUE!</v>
      </c>
      <c r="HW69" t="e">
        <f>AND('Final Grade'!P34,"AAAAAG879+Y=")</f>
        <v>#VALUE!</v>
      </c>
      <c r="HX69" t="e">
        <f>AND('Final Grade'!Q34,"AAAAAG879+c=")</f>
        <v>#VALUE!</v>
      </c>
      <c r="HY69" t="e">
        <f>AND('Final Grade'!#REF!,"AAAAAG879+g=")</f>
        <v>#REF!</v>
      </c>
      <c r="HZ69" t="e">
        <f>AND('Final Grade'!#REF!,"AAAAAG879+k=")</f>
        <v>#REF!</v>
      </c>
      <c r="IA69" t="e">
        <f>AND('Final Grade'!#REF!,"AAAAAG879+o=")</f>
        <v>#REF!</v>
      </c>
      <c r="IB69" t="e">
        <f>AND('Final Grade'!#REF!,"AAAAAG879+s=")</f>
        <v>#REF!</v>
      </c>
      <c r="IC69" t="e">
        <f>AND('Final Grade'!#REF!,"AAAAAG879+w=")</f>
        <v>#REF!</v>
      </c>
      <c r="ID69" t="e">
        <f>AND('Final Grade'!#REF!,"AAAAAG879+0=")</f>
        <v>#REF!</v>
      </c>
      <c r="IE69" t="e">
        <f>AND('Final Grade'!#REF!,"AAAAAG879+4=")</f>
        <v>#REF!</v>
      </c>
      <c r="IF69" t="e">
        <f>AND('Final Grade'!R30,"AAAAAG879+8=")</f>
        <v>#VALUE!</v>
      </c>
      <c r="IG69">
        <f>IF('Final Grade'!31:31,"AAAAAG879/A=",0)</f>
        <v>0</v>
      </c>
      <c r="IH69" t="e">
        <f>AND('Final Grade'!A42,"AAAAAG879/E=")</f>
        <v>#VALUE!</v>
      </c>
      <c r="II69" t="e">
        <f>AND('Final Grade'!B42,"AAAAAG879/I=")</f>
        <v>#VALUE!</v>
      </c>
      <c r="IJ69" t="e">
        <f>AND('Final Grade'!C42,"AAAAAG879/M=")</f>
        <v>#VALUE!</v>
      </c>
      <c r="IK69" t="e">
        <f>AND('Final Grade'!D42,"AAAAAG879/Q=")</f>
        <v>#VALUE!</v>
      </c>
      <c r="IL69" t="e">
        <f>AND('Final Grade'!E42,"AAAAAG879/U=")</f>
        <v>#VALUE!</v>
      </c>
      <c r="IM69" t="e">
        <f>AND('Final Grade'!F30,"AAAAAG879/Y=")</f>
        <v>#VALUE!</v>
      </c>
      <c r="IN69" t="e">
        <f>AND('Final Grade'!G30,"AAAAAG879/c=")</f>
        <v>#VALUE!</v>
      </c>
      <c r="IO69" t="e">
        <f>AND('Final Grade'!H30,"AAAAAG879/g=")</f>
        <v>#VALUE!</v>
      </c>
      <c r="IP69" t="e">
        <f>AND('Final Grade'!I30,"AAAAAG879/k=")</f>
        <v>#VALUE!</v>
      </c>
      <c r="IQ69" t="e">
        <f>AND('Final Grade'!J30,"AAAAAG879/o=")</f>
        <v>#VALUE!</v>
      </c>
      <c r="IR69" t="e">
        <f>AND('Final Grade'!K31,"AAAAAG879/s=")</f>
        <v>#VALUE!</v>
      </c>
      <c r="IS69" t="e">
        <f>AND('Final Grade'!L34,"AAAAAG879/w=")</f>
        <v>#VALUE!</v>
      </c>
      <c r="IT69" t="e">
        <f>AND('Final Grade'!M37,"AAAAAG879/0=")</f>
        <v>#VALUE!</v>
      </c>
      <c r="IU69" t="e">
        <f>AND('Final Grade'!N37,"AAAAAG879/4=")</f>
        <v>#VALUE!</v>
      </c>
      <c r="IV69" t="e">
        <f>AND('Final Grade'!O37,"AAAAAG879/8=")</f>
        <v>#VALUE!</v>
      </c>
    </row>
    <row r="70" spans="1:256" x14ac:dyDescent="0.15">
      <c r="A70" t="e">
        <f>AND('Final Grade'!P37,"AAAAAFf9/QA=")</f>
        <v>#VALUE!</v>
      </c>
      <c r="B70" t="e">
        <f>AND('Final Grade'!Q37,"AAAAAFf9/QE=")</f>
        <v>#VALUE!</v>
      </c>
      <c r="C70" t="e">
        <f>AND('Final Grade'!#REF!,"AAAAAFf9/QI=")</f>
        <v>#REF!</v>
      </c>
      <c r="D70" t="e">
        <f>AND('Final Grade'!#REF!,"AAAAAFf9/QM=")</f>
        <v>#REF!</v>
      </c>
      <c r="E70" t="e">
        <f>AND('Final Grade'!#REF!,"AAAAAFf9/QQ=")</f>
        <v>#REF!</v>
      </c>
      <c r="F70" t="e">
        <f>AND('Final Grade'!#REF!,"AAAAAFf9/QU=")</f>
        <v>#REF!</v>
      </c>
      <c r="G70" t="e">
        <f>AND('Final Grade'!#REF!,"AAAAAFf9/QY=")</f>
        <v>#REF!</v>
      </c>
      <c r="H70" t="e">
        <f>AND('Final Grade'!#REF!,"AAAAAFf9/Qc=")</f>
        <v>#REF!</v>
      </c>
      <c r="I70" t="e">
        <f>AND('Final Grade'!#REF!,"AAAAAFf9/Qg=")</f>
        <v>#REF!</v>
      </c>
      <c r="J70" t="e">
        <f>AND('Final Grade'!R32,"AAAAAFf9/Qk=")</f>
        <v>#VALUE!</v>
      </c>
      <c r="K70">
        <f>IF('Final Grade'!32:32,"AAAAAFf9/Qo=",0)</f>
        <v>0</v>
      </c>
      <c r="L70" t="e">
        <f>AND('Final Grade'!A43,"AAAAAFf9/Qs=")</f>
        <v>#VALUE!</v>
      </c>
      <c r="M70" t="e">
        <f>AND('Final Grade'!B43,"AAAAAFf9/Qw=")</f>
        <v>#VALUE!</v>
      </c>
      <c r="N70" t="e">
        <f>AND('Final Grade'!C43,"AAAAAFf9/Q0=")</f>
        <v>#VALUE!</v>
      </c>
      <c r="O70" t="e">
        <f>AND('Final Grade'!D43,"AAAAAFf9/Q4=")</f>
        <v>#VALUE!</v>
      </c>
      <c r="P70" t="e">
        <f>AND('Final Grade'!E43,"AAAAAFf9/Q8=")</f>
        <v>#VALUE!</v>
      </c>
      <c r="Q70" t="e">
        <f>AND('Final Grade'!F31,"AAAAAFf9/RA=")</f>
        <v>#VALUE!</v>
      </c>
      <c r="R70" t="e">
        <f>AND('Final Grade'!G31,"AAAAAFf9/RE=")</f>
        <v>#VALUE!</v>
      </c>
      <c r="S70" t="e">
        <f>AND('Final Grade'!H31,"AAAAAFf9/RI=")</f>
        <v>#VALUE!</v>
      </c>
      <c r="T70" t="e">
        <f>AND('Final Grade'!I31,"AAAAAFf9/RM=")</f>
        <v>#VALUE!</v>
      </c>
      <c r="U70" t="e">
        <f>AND('Final Grade'!J31,"AAAAAFf9/RQ=")</f>
        <v>#VALUE!</v>
      </c>
      <c r="V70" t="e">
        <f>AND('Final Grade'!K32,"AAAAAFf9/RU=")</f>
        <v>#VALUE!</v>
      </c>
      <c r="W70" t="e">
        <f>AND('Final Grade'!L35,"AAAAAFf9/RY=")</f>
        <v>#VALUE!</v>
      </c>
      <c r="X70" t="e">
        <f>AND('Final Grade'!M38,"AAAAAFf9/Rc=")</f>
        <v>#VALUE!</v>
      </c>
      <c r="Y70" t="e">
        <f>AND('Final Grade'!N38,"AAAAAFf9/Rg=")</f>
        <v>#VALUE!</v>
      </c>
      <c r="Z70" t="e">
        <f>AND('Final Grade'!O38,"AAAAAFf9/Rk=")</f>
        <v>#VALUE!</v>
      </c>
      <c r="AA70" t="e">
        <f>AND('Final Grade'!P38,"AAAAAFf9/Ro=")</f>
        <v>#VALUE!</v>
      </c>
      <c r="AB70" t="e">
        <f>AND('Final Grade'!Q38,"AAAAAFf9/Rs=")</f>
        <v>#VALUE!</v>
      </c>
      <c r="AC70" t="e">
        <f>AND('Final Grade'!#REF!,"AAAAAFf9/Rw=")</f>
        <v>#REF!</v>
      </c>
      <c r="AD70" t="e">
        <f>AND('Final Grade'!#REF!,"AAAAAFf9/R0=")</f>
        <v>#REF!</v>
      </c>
      <c r="AE70" t="e">
        <f>AND('Final Grade'!#REF!,"AAAAAFf9/R4=")</f>
        <v>#REF!</v>
      </c>
      <c r="AF70" t="e">
        <f>AND('Final Grade'!#REF!,"AAAAAFf9/R8=")</f>
        <v>#REF!</v>
      </c>
      <c r="AG70" t="e">
        <f>AND('Final Grade'!#REF!,"AAAAAFf9/SA=")</f>
        <v>#REF!</v>
      </c>
      <c r="AH70" t="e">
        <f>AND('Final Grade'!#REF!,"AAAAAFf9/SE=")</f>
        <v>#REF!</v>
      </c>
      <c r="AI70" t="e">
        <f>AND('Final Grade'!#REF!,"AAAAAFf9/SI=")</f>
        <v>#REF!</v>
      </c>
      <c r="AJ70" t="e">
        <f>AND('Final Grade'!R34,"AAAAAFf9/SM=")</f>
        <v>#VALUE!</v>
      </c>
      <c r="AK70">
        <f>IF('Final Grade'!34:34,"AAAAAFf9/SQ=",0)</f>
        <v>0</v>
      </c>
      <c r="AL70" t="e">
        <f>AND('Final Grade'!A44,"AAAAAFf9/SU=")</f>
        <v>#VALUE!</v>
      </c>
      <c r="AM70" t="e">
        <f>AND('Final Grade'!B44,"AAAAAFf9/SY=")</f>
        <v>#VALUE!</v>
      </c>
      <c r="AN70" t="e">
        <f>AND('Final Grade'!C44,"AAAAAFf9/Sc=")</f>
        <v>#VALUE!</v>
      </c>
      <c r="AO70" t="e">
        <f>AND('Final Grade'!D44,"AAAAAFf9/Sg=")</f>
        <v>#VALUE!</v>
      </c>
      <c r="AP70" t="e">
        <f>AND('Final Grade'!E44,"AAAAAFf9/Sk=")</f>
        <v>#VALUE!</v>
      </c>
      <c r="AQ70" t="e">
        <f>AND('Final Grade'!F32,"AAAAAFf9/So=")</f>
        <v>#VALUE!</v>
      </c>
      <c r="AR70" t="e">
        <f>AND('Final Grade'!G32,"AAAAAFf9/Ss=")</f>
        <v>#VALUE!</v>
      </c>
      <c r="AS70" t="e">
        <f>AND('Final Grade'!H32,"AAAAAFf9/Sw=")</f>
        <v>#VALUE!</v>
      </c>
      <c r="AT70" t="e">
        <f>AND('Final Grade'!I32,"AAAAAFf9/S0=")</f>
        <v>#VALUE!</v>
      </c>
      <c r="AU70" t="e">
        <f>AND('Final Grade'!J32,"AAAAAFf9/S4=")</f>
        <v>#VALUE!</v>
      </c>
      <c r="AV70" t="e">
        <f>AND('Final Grade'!K34,"AAAAAFf9/S8=")</f>
        <v>#VALUE!</v>
      </c>
      <c r="AW70" t="e">
        <f>AND('Final Grade'!L37,"AAAAAFf9/TA=")</f>
        <v>#VALUE!</v>
      </c>
      <c r="AX70" t="e">
        <f>AND('Final Grade'!M39,"AAAAAFf9/TE=")</f>
        <v>#VALUE!</v>
      </c>
      <c r="AY70" t="e">
        <f>AND('Final Grade'!N39,"AAAAAFf9/TI=")</f>
        <v>#VALUE!</v>
      </c>
      <c r="AZ70" t="e">
        <f>AND('Final Grade'!O39,"AAAAAFf9/TM=")</f>
        <v>#VALUE!</v>
      </c>
      <c r="BA70" t="e">
        <f>AND('Final Grade'!P39,"AAAAAFf9/TQ=")</f>
        <v>#VALUE!</v>
      </c>
      <c r="BB70" t="e">
        <f>AND('Final Grade'!Q39,"AAAAAFf9/TU=")</f>
        <v>#VALUE!</v>
      </c>
      <c r="BC70" t="e">
        <f>AND('Final Grade'!#REF!,"AAAAAFf9/TY=")</f>
        <v>#REF!</v>
      </c>
      <c r="BD70" t="e">
        <f>AND('Final Grade'!#REF!,"AAAAAFf9/Tc=")</f>
        <v>#REF!</v>
      </c>
      <c r="BE70" t="e">
        <f>AND('Final Grade'!#REF!,"AAAAAFf9/Tg=")</f>
        <v>#REF!</v>
      </c>
      <c r="BF70" t="e">
        <f>AND('Final Grade'!#REF!,"AAAAAFf9/Tk=")</f>
        <v>#REF!</v>
      </c>
      <c r="BG70" t="e">
        <f>AND('Final Grade'!#REF!,"AAAAAFf9/To=")</f>
        <v>#REF!</v>
      </c>
      <c r="BH70" t="e">
        <f>AND('Final Grade'!#REF!,"AAAAAFf9/Ts=")</f>
        <v>#REF!</v>
      </c>
      <c r="BI70" t="e">
        <f>AND('Final Grade'!#REF!,"AAAAAFf9/Tw=")</f>
        <v>#REF!</v>
      </c>
      <c r="BJ70" t="e">
        <f>AND('Final Grade'!R35,"AAAAAFf9/T0=")</f>
        <v>#VALUE!</v>
      </c>
      <c r="BK70">
        <f>IF('Final Grade'!35:35,"AAAAAFf9/T4=",0)</f>
        <v>0</v>
      </c>
      <c r="BL70" t="e">
        <f>AND('Final Grade'!A45,"AAAAAFf9/T8=")</f>
        <v>#VALUE!</v>
      </c>
      <c r="BM70" t="e">
        <f>AND('Final Grade'!B45,"AAAAAFf9/UA=")</f>
        <v>#VALUE!</v>
      </c>
      <c r="BN70" t="e">
        <f>AND('Final Grade'!C45,"AAAAAFf9/UE=")</f>
        <v>#VALUE!</v>
      </c>
      <c r="BO70" t="e">
        <f>AND('Final Grade'!D45,"AAAAAFf9/UI=")</f>
        <v>#VALUE!</v>
      </c>
      <c r="BP70" t="e">
        <f>AND('Final Grade'!E45,"AAAAAFf9/UM=")</f>
        <v>#VALUE!</v>
      </c>
      <c r="BQ70" t="e">
        <f>AND('Final Grade'!F34,"AAAAAFf9/UQ=")</f>
        <v>#VALUE!</v>
      </c>
      <c r="BR70" t="e">
        <f>AND('Final Grade'!G34,"AAAAAFf9/UU=")</f>
        <v>#VALUE!</v>
      </c>
      <c r="BS70" t="e">
        <f>AND('Final Grade'!H34,"AAAAAFf9/UY=")</f>
        <v>#VALUE!</v>
      </c>
      <c r="BT70" t="e">
        <f>AND('Final Grade'!I34,"AAAAAFf9/Uc=")</f>
        <v>#VALUE!</v>
      </c>
      <c r="BU70" t="e">
        <f>AND('Final Grade'!J34,"AAAAAFf9/Ug=")</f>
        <v>#VALUE!</v>
      </c>
      <c r="BV70" t="e">
        <f>AND('Final Grade'!K35,"AAAAAFf9/Uk=")</f>
        <v>#VALUE!</v>
      </c>
      <c r="BW70" t="e">
        <f>AND('Final Grade'!L38,"AAAAAFf9/Uo=")</f>
        <v>#VALUE!</v>
      </c>
      <c r="BX70" t="e">
        <f>AND('Final Grade'!M40,"AAAAAFf9/Us=")</f>
        <v>#VALUE!</v>
      </c>
      <c r="BY70" t="e">
        <f>AND('Final Grade'!N40,"AAAAAFf9/Uw=")</f>
        <v>#VALUE!</v>
      </c>
      <c r="BZ70" t="e">
        <f>AND('Final Grade'!O40,"AAAAAFf9/U0=")</f>
        <v>#VALUE!</v>
      </c>
      <c r="CA70" t="e">
        <f>AND('Final Grade'!P40,"AAAAAFf9/U4=")</f>
        <v>#VALUE!</v>
      </c>
      <c r="CB70" t="e">
        <f>AND('Final Grade'!Q40,"AAAAAFf9/U8=")</f>
        <v>#VALUE!</v>
      </c>
      <c r="CC70" t="e">
        <f>AND('Final Grade'!#REF!,"AAAAAFf9/VA=")</f>
        <v>#REF!</v>
      </c>
      <c r="CD70" t="e">
        <f>AND('Final Grade'!#REF!,"AAAAAFf9/VE=")</f>
        <v>#REF!</v>
      </c>
      <c r="CE70" t="e">
        <f>AND('Final Grade'!#REF!,"AAAAAFf9/VI=")</f>
        <v>#REF!</v>
      </c>
      <c r="CF70" t="e">
        <f>AND('Final Grade'!#REF!,"AAAAAFf9/VM=")</f>
        <v>#REF!</v>
      </c>
      <c r="CG70" t="e">
        <f>AND('Final Grade'!#REF!,"AAAAAFf9/VQ=")</f>
        <v>#REF!</v>
      </c>
      <c r="CH70" t="e">
        <f>AND('Final Grade'!#REF!,"AAAAAFf9/VU=")</f>
        <v>#REF!</v>
      </c>
      <c r="CI70" t="e">
        <f>AND('Final Grade'!#REF!,"AAAAAFf9/VY=")</f>
        <v>#REF!</v>
      </c>
      <c r="CJ70" t="e">
        <f>AND('Final Grade'!R36,"AAAAAFf9/Vc=")</f>
        <v>#VALUE!</v>
      </c>
      <c r="CK70">
        <f>IF('Final Grade'!36:36,"AAAAAFf9/Vg=",0)</f>
        <v>0</v>
      </c>
      <c r="CL70" t="e">
        <f>AND('Final Grade'!A46,"AAAAAFf9/Vk=")</f>
        <v>#VALUE!</v>
      </c>
      <c r="CM70" t="e">
        <f>AND('Final Grade'!B46,"AAAAAFf9/Vo=")</f>
        <v>#VALUE!</v>
      </c>
      <c r="CN70" t="e">
        <f>AND('Final Grade'!C46,"AAAAAFf9/Vs=")</f>
        <v>#VALUE!</v>
      </c>
      <c r="CO70" t="e">
        <f>AND('Final Grade'!D46,"AAAAAFf9/Vw=")</f>
        <v>#VALUE!</v>
      </c>
      <c r="CP70" t="e">
        <f>AND('Final Grade'!E46,"AAAAAFf9/V0=")</f>
        <v>#VALUE!</v>
      </c>
      <c r="CQ70" t="e">
        <f>AND('Final Grade'!F35,"AAAAAFf9/V4=")</f>
        <v>#VALUE!</v>
      </c>
      <c r="CR70" t="e">
        <f>AND('Final Grade'!G35,"AAAAAFf9/V8=")</f>
        <v>#VALUE!</v>
      </c>
      <c r="CS70" t="e">
        <f>AND('Final Grade'!H35,"AAAAAFf9/WA=")</f>
        <v>#VALUE!</v>
      </c>
      <c r="CT70" t="e">
        <f>AND('Final Grade'!I35,"AAAAAFf9/WE=")</f>
        <v>#VALUE!</v>
      </c>
      <c r="CU70" t="e">
        <f>AND('Final Grade'!J35,"AAAAAFf9/WI=")</f>
        <v>#VALUE!</v>
      </c>
      <c r="CV70" t="e">
        <f>AND('Final Grade'!K36,"AAAAAFf9/WM=")</f>
        <v>#VALUE!</v>
      </c>
      <c r="CW70" t="e">
        <f>AND('Final Grade'!L39,"AAAAAFf9/WQ=")</f>
        <v>#VALUE!</v>
      </c>
      <c r="CX70" t="e">
        <f>AND('Final Grade'!M41,"AAAAAFf9/WU=")</f>
        <v>#VALUE!</v>
      </c>
      <c r="CY70" t="e">
        <f>AND('Final Grade'!N41,"AAAAAFf9/WY=")</f>
        <v>#VALUE!</v>
      </c>
      <c r="CZ70" t="e">
        <f>AND('Final Grade'!O41,"AAAAAFf9/Wc=")</f>
        <v>#VALUE!</v>
      </c>
      <c r="DA70" t="e">
        <f>AND('Final Grade'!P41,"AAAAAFf9/Wg=")</f>
        <v>#VALUE!</v>
      </c>
      <c r="DB70" t="e">
        <f>AND('Final Grade'!Q41,"AAAAAFf9/Wk=")</f>
        <v>#VALUE!</v>
      </c>
      <c r="DC70" t="e">
        <f>AND('Final Grade'!#REF!,"AAAAAFf9/Wo=")</f>
        <v>#REF!</v>
      </c>
      <c r="DD70" t="e">
        <f>AND('Final Grade'!#REF!,"AAAAAFf9/Ws=")</f>
        <v>#REF!</v>
      </c>
      <c r="DE70" t="e">
        <f>AND('Final Grade'!#REF!,"AAAAAFf9/Ww=")</f>
        <v>#REF!</v>
      </c>
      <c r="DF70" t="e">
        <f>AND('Final Grade'!#REF!,"AAAAAFf9/W0=")</f>
        <v>#REF!</v>
      </c>
      <c r="DG70" t="e">
        <f>AND('Final Grade'!#REF!,"AAAAAFf9/W4=")</f>
        <v>#REF!</v>
      </c>
      <c r="DH70" t="e">
        <f>AND('Final Grade'!#REF!,"AAAAAFf9/W8=")</f>
        <v>#REF!</v>
      </c>
      <c r="DI70" t="e">
        <f>AND('Final Grade'!#REF!,"AAAAAFf9/XA=")</f>
        <v>#REF!</v>
      </c>
      <c r="DJ70" t="e">
        <f>AND('Final Grade'!R37,"AAAAAFf9/XE=")</f>
        <v>#VALUE!</v>
      </c>
      <c r="DK70">
        <f>IF('Final Grade'!37:37,"AAAAAFf9/XI=",0)</f>
        <v>0</v>
      </c>
      <c r="DL70" t="e">
        <f>AND('Final Grade'!A47,"AAAAAFf9/XM=")</f>
        <v>#VALUE!</v>
      </c>
      <c r="DM70" t="e">
        <f>AND('Final Grade'!B47,"AAAAAFf9/XQ=")</f>
        <v>#VALUE!</v>
      </c>
      <c r="DN70" t="e">
        <f>AND('Final Grade'!C47,"AAAAAFf9/XU=")</f>
        <v>#VALUE!</v>
      </c>
      <c r="DO70" t="e">
        <f>AND('Final Grade'!D47,"AAAAAFf9/XY=")</f>
        <v>#VALUE!</v>
      </c>
      <c r="DP70" t="e">
        <f>AND('Final Grade'!E47,"AAAAAFf9/Xc=")</f>
        <v>#VALUE!</v>
      </c>
      <c r="DQ70" t="e">
        <f>AND('Final Grade'!F36,"AAAAAFf9/Xg=")</f>
        <v>#VALUE!</v>
      </c>
      <c r="DR70" t="e">
        <f>AND('Final Grade'!G36,"AAAAAFf9/Xk=")</f>
        <v>#VALUE!</v>
      </c>
      <c r="DS70" t="e">
        <f>AND('Final Grade'!H36,"AAAAAFf9/Xo=")</f>
        <v>#VALUE!</v>
      </c>
      <c r="DT70" t="e">
        <f>AND('Final Grade'!I36,"AAAAAFf9/Xs=")</f>
        <v>#VALUE!</v>
      </c>
      <c r="DU70" t="e">
        <f>AND('Final Grade'!J36,"AAAAAFf9/Xw=")</f>
        <v>#VALUE!</v>
      </c>
      <c r="DV70" t="e">
        <f>AND('Final Grade'!K37,"AAAAAFf9/X0=")</f>
        <v>#VALUE!</v>
      </c>
      <c r="DW70" t="e">
        <f>AND('Final Grade'!L40,"AAAAAFf9/X4=")</f>
        <v>#VALUE!</v>
      </c>
      <c r="DX70" t="e">
        <f>AND('Final Grade'!M42,"AAAAAFf9/X8=")</f>
        <v>#VALUE!</v>
      </c>
      <c r="DY70" t="e">
        <f>AND('Final Grade'!N42,"AAAAAFf9/YA=")</f>
        <v>#VALUE!</v>
      </c>
      <c r="DZ70" t="e">
        <f>AND('Final Grade'!O42,"AAAAAFf9/YE=")</f>
        <v>#VALUE!</v>
      </c>
      <c r="EA70" t="e">
        <f>AND('Final Grade'!P42,"AAAAAFf9/YI=")</f>
        <v>#VALUE!</v>
      </c>
      <c r="EB70" t="e">
        <f>AND('Final Grade'!Q42,"AAAAAFf9/YM=")</f>
        <v>#VALUE!</v>
      </c>
      <c r="EC70" t="e">
        <f>AND('Final Grade'!#REF!,"AAAAAFf9/YQ=")</f>
        <v>#REF!</v>
      </c>
      <c r="ED70" t="e">
        <f>AND('Final Grade'!#REF!,"AAAAAFf9/YU=")</f>
        <v>#REF!</v>
      </c>
      <c r="EE70" t="e">
        <f>AND('Final Grade'!#REF!,"AAAAAFf9/YY=")</f>
        <v>#REF!</v>
      </c>
      <c r="EF70" t="e">
        <f>AND('Final Grade'!#REF!,"AAAAAFf9/Yc=")</f>
        <v>#REF!</v>
      </c>
      <c r="EG70" t="e">
        <f>AND('Final Grade'!#REF!,"AAAAAFf9/Yg=")</f>
        <v>#REF!</v>
      </c>
      <c r="EH70" t="e">
        <f>AND('Final Grade'!#REF!,"AAAAAFf9/Yk=")</f>
        <v>#REF!</v>
      </c>
      <c r="EI70" t="e">
        <f>AND('Final Grade'!#REF!,"AAAAAFf9/Yo=")</f>
        <v>#REF!</v>
      </c>
      <c r="EJ70" t="e">
        <f>AND('Final Grade'!R38,"AAAAAFf9/Ys=")</f>
        <v>#VALUE!</v>
      </c>
      <c r="EK70">
        <f>IF('Final Grade'!38:38,"AAAAAFf9/Yw=",0)</f>
        <v>0</v>
      </c>
      <c r="EL70" t="e">
        <f>AND('Final Grade'!A48,"AAAAAFf9/Y0=")</f>
        <v>#VALUE!</v>
      </c>
      <c r="EM70" t="e">
        <f>AND('Final Grade'!B48,"AAAAAFf9/Y4=")</f>
        <v>#VALUE!</v>
      </c>
      <c r="EN70" t="e">
        <f>AND('Final Grade'!C48,"AAAAAFf9/Y8=")</f>
        <v>#VALUE!</v>
      </c>
      <c r="EO70" t="e">
        <f>AND('Final Grade'!D48,"AAAAAFf9/ZA=")</f>
        <v>#VALUE!</v>
      </c>
      <c r="EP70" t="e">
        <f>AND('Final Grade'!E48,"AAAAAFf9/ZE=")</f>
        <v>#VALUE!</v>
      </c>
      <c r="EQ70" t="e">
        <f>AND('Final Grade'!F37,"AAAAAFf9/ZI=")</f>
        <v>#VALUE!</v>
      </c>
      <c r="ER70" t="e">
        <f>AND('Final Grade'!G37,"AAAAAFf9/ZM=")</f>
        <v>#VALUE!</v>
      </c>
      <c r="ES70" t="e">
        <f>AND('Final Grade'!H37,"AAAAAFf9/ZQ=")</f>
        <v>#VALUE!</v>
      </c>
      <c r="ET70" t="e">
        <f>AND('Final Grade'!I37,"AAAAAFf9/ZU=")</f>
        <v>#VALUE!</v>
      </c>
      <c r="EU70" t="e">
        <f>AND('Final Grade'!J37,"AAAAAFf9/ZY=")</f>
        <v>#VALUE!</v>
      </c>
      <c r="EV70" t="e">
        <f>AND('Final Grade'!K38,"AAAAAFf9/Zc=")</f>
        <v>#VALUE!</v>
      </c>
      <c r="EW70" t="e">
        <f>AND('Final Grade'!L41,"AAAAAFf9/Zg=")</f>
        <v>#VALUE!</v>
      </c>
      <c r="EX70" t="e">
        <f>AND('Final Grade'!M43,"AAAAAFf9/Zk=")</f>
        <v>#VALUE!</v>
      </c>
      <c r="EY70" t="e">
        <f>AND('Final Grade'!N43,"AAAAAFf9/Zo=")</f>
        <v>#VALUE!</v>
      </c>
      <c r="EZ70" t="e">
        <f>AND('Final Grade'!O43,"AAAAAFf9/Zs=")</f>
        <v>#VALUE!</v>
      </c>
      <c r="FA70" t="e">
        <f>AND('Final Grade'!P43,"AAAAAFf9/Zw=")</f>
        <v>#VALUE!</v>
      </c>
      <c r="FB70" t="e">
        <f>AND('Final Grade'!Q43,"AAAAAFf9/Z0=")</f>
        <v>#VALUE!</v>
      </c>
      <c r="FC70" t="e">
        <f>AND('Final Grade'!#REF!,"AAAAAFf9/Z4=")</f>
        <v>#REF!</v>
      </c>
      <c r="FD70" t="e">
        <f>AND('Final Grade'!#REF!,"AAAAAFf9/Z8=")</f>
        <v>#REF!</v>
      </c>
      <c r="FE70" t="e">
        <f>AND('Final Grade'!#REF!,"AAAAAFf9/aA=")</f>
        <v>#REF!</v>
      </c>
      <c r="FF70" t="e">
        <f>AND('Final Grade'!#REF!,"AAAAAFf9/aE=")</f>
        <v>#REF!</v>
      </c>
      <c r="FG70" t="e">
        <f>AND('Final Grade'!#REF!,"AAAAAFf9/aI=")</f>
        <v>#REF!</v>
      </c>
      <c r="FH70" t="e">
        <f>AND('Final Grade'!#REF!,"AAAAAFf9/aM=")</f>
        <v>#REF!</v>
      </c>
      <c r="FI70" t="e">
        <f>AND('Final Grade'!#REF!,"AAAAAFf9/aQ=")</f>
        <v>#REF!</v>
      </c>
      <c r="FJ70" t="e">
        <f>AND('Final Grade'!R39,"AAAAAFf9/aU=")</f>
        <v>#VALUE!</v>
      </c>
      <c r="FK70">
        <f>IF('Final Grade'!39:39,"AAAAAFf9/aY=",0)</f>
        <v>0</v>
      </c>
      <c r="FL70" t="e">
        <f>AND('Final Grade'!A49,"AAAAAFf9/ac=")</f>
        <v>#VALUE!</v>
      </c>
      <c r="FM70" t="e">
        <f>AND('Final Grade'!B49,"AAAAAFf9/ag=")</f>
        <v>#VALUE!</v>
      </c>
      <c r="FN70" t="e">
        <f>AND('Final Grade'!C49,"AAAAAFf9/ak=")</f>
        <v>#VALUE!</v>
      </c>
      <c r="FO70" t="e">
        <f>AND('Final Grade'!D49,"AAAAAFf9/ao=")</f>
        <v>#VALUE!</v>
      </c>
      <c r="FP70" t="e">
        <f>AND('Final Grade'!E49,"AAAAAFf9/as=")</f>
        <v>#VALUE!</v>
      </c>
      <c r="FQ70" t="e">
        <f>AND('Final Grade'!F38,"AAAAAFf9/aw=")</f>
        <v>#VALUE!</v>
      </c>
      <c r="FR70" t="e">
        <f>AND('Final Grade'!G38,"AAAAAFf9/a0=")</f>
        <v>#VALUE!</v>
      </c>
      <c r="FS70" t="e">
        <f>AND('Final Grade'!H38,"AAAAAFf9/a4=")</f>
        <v>#VALUE!</v>
      </c>
      <c r="FT70" t="e">
        <f>AND('Final Grade'!I38,"AAAAAFf9/a8=")</f>
        <v>#VALUE!</v>
      </c>
      <c r="FU70" t="e">
        <f>AND('Final Grade'!J38,"AAAAAFf9/bA=")</f>
        <v>#VALUE!</v>
      </c>
      <c r="FV70" t="e">
        <f>AND('Final Grade'!K39,"AAAAAFf9/bE=")</f>
        <v>#VALUE!</v>
      </c>
      <c r="FW70" t="e">
        <f>AND('Final Grade'!L42,"AAAAAFf9/bI=")</f>
        <v>#VALUE!</v>
      </c>
      <c r="FX70" t="e">
        <f>AND('Final Grade'!M47,"AAAAAFf9/bM=")</f>
        <v>#VALUE!</v>
      </c>
      <c r="FY70" t="e">
        <f>AND('Final Grade'!N47,"AAAAAFf9/bQ=")</f>
        <v>#VALUE!</v>
      </c>
      <c r="FZ70" t="e">
        <f>AND('Final Grade'!O47,"AAAAAFf9/bU=")</f>
        <v>#VALUE!</v>
      </c>
      <c r="GA70" t="e">
        <f>AND('Final Grade'!P47,"AAAAAFf9/bY=")</f>
        <v>#VALUE!</v>
      </c>
      <c r="GB70" t="e">
        <f>AND('Final Grade'!Q47,"AAAAAFf9/bc=")</f>
        <v>#VALUE!</v>
      </c>
      <c r="GC70" t="e">
        <f>AND('Final Grade'!#REF!,"AAAAAFf9/bg=")</f>
        <v>#REF!</v>
      </c>
      <c r="GD70" t="e">
        <f>AND('Final Grade'!#REF!,"AAAAAFf9/bk=")</f>
        <v>#REF!</v>
      </c>
      <c r="GE70" t="e">
        <f>AND('Final Grade'!#REF!,"AAAAAFf9/bo=")</f>
        <v>#REF!</v>
      </c>
      <c r="GF70" t="e">
        <f>AND('Final Grade'!#REF!,"AAAAAFf9/bs=")</f>
        <v>#REF!</v>
      </c>
      <c r="GG70" t="e">
        <f>AND('Final Grade'!#REF!,"AAAAAFf9/bw=")</f>
        <v>#REF!</v>
      </c>
      <c r="GH70" t="e">
        <f>AND('Final Grade'!#REF!,"AAAAAFf9/b0=")</f>
        <v>#REF!</v>
      </c>
      <c r="GI70" t="e">
        <f>AND('Final Grade'!#REF!,"AAAAAFf9/b4=")</f>
        <v>#REF!</v>
      </c>
      <c r="GJ70" t="e">
        <f>AND('Final Grade'!#REF!,"AAAAAFf9/b8=")</f>
        <v>#REF!</v>
      </c>
      <c r="GK70">
        <f>IF('Final Grade'!40:40,"AAAAAFf9/cA=",0)</f>
        <v>0</v>
      </c>
      <c r="GL70" t="e">
        <f>AND('Final Grade'!A50,"AAAAAFf9/cE=")</f>
        <v>#VALUE!</v>
      </c>
      <c r="GM70" t="e">
        <f>AND('Final Grade'!B50,"AAAAAFf9/cI=")</f>
        <v>#VALUE!</v>
      </c>
      <c r="GN70" t="e">
        <f>AND('Final Grade'!C50,"AAAAAFf9/cM=")</f>
        <v>#VALUE!</v>
      </c>
      <c r="GO70" t="e">
        <f>AND('Final Grade'!D50,"AAAAAFf9/cQ=")</f>
        <v>#VALUE!</v>
      </c>
      <c r="GP70" t="e">
        <f>AND('Final Grade'!E50,"AAAAAFf9/cU=")</f>
        <v>#VALUE!</v>
      </c>
      <c r="GQ70" t="e">
        <f>AND('Final Grade'!F39,"AAAAAFf9/cY=")</f>
        <v>#VALUE!</v>
      </c>
      <c r="GR70" t="e">
        <f>AND('Final Grade'!G39,"AAAAAFf9/cc=")</f>
        <v>#VALUE!</v>
      </c>
      <c r="GS70" t="e">
        <f>AND('Final Grade'!H39,"AAAAAFf9/cg=")</f>
        <v>#VALUE!</v>
      </c>
      <c r="GT70" t="e">
        <f>AND('Final Grade'!I39,"AAAAAFf9/ck=")</f>
        <v>#VALUE!</v>
      </c>
      <c r="GU70" t="e">
        <f>AND('Final Grade'!J39,"AAAAAFf9/co=")</f>
        <v>#VALUE!</v>
      </c>
      <c r="GV70" t="e">
        <f>AND('Final Grade'!K40,"AAAAAFf9/cs=")</f>
        <v>#VALUE!</v>
      </c>
      <c r="GW70" t="e">
        <f>AND('Final Grade'!L43,"AAAAAFf9/cw=")</f>
        <v>#VALUE!</v>
      </c>
      <c r="GX70" t="e">
        <f>AND('Final Grade'!M48,"AAAAAFf9/c0=")</f>
        <v>#VALUE!</v>
      </c>
      <c r="GY70" t="e">
        <f>AND('Final Grade'!N48,"AAAAAFf9/c4=")</f>
        <v>#VALUE!</v>
      </c>
      <c r="GZ70" t="e">
        <f>AND('Final Grade'!O48,"AAAAAFf9/c8=")</f>
        <v>#VALUE!</v>
      </c>
      <c r="HA70" t="e">
        <f>AND('Final Grade'!P48,"AAAAAFf9/dA=")</f>
        <v>#VALUE!</v>
      </c>
      <c r="HB70" t="e">
        <f>AND('Final Grade'!Q48,"AAAAAFf9/dE=")</f>
        <v>#VALUE!</v>
      </c>
      <c r="HC70" t="e">
        <f>AND('Final Grade'!#REF!,"AAAAAFf9/dI=")</f>
        <v>#REF!</v>
      </c>
      <c r="HD70" t="e">
        <f>AND('Final Grade'!#REF!,"AAAAAFf9/dM=")</f>
        <v>#REF!</v>
      </c>
      <c r="HE70" t="e">
        <f>AND('Final Grade'!#REF!,"AAAAAFf9/dQ=")</f>
        <v>#REF!</v>
      </c>
      <c r="HF70" t="e">
        <f>AND('Final Grade'!#REF!,"AAAAAFf9/dU=")</f>
        <v>#REF!</v>
      </c>
      <c r="HG70" t="e">
        <f>AND('Final Grade'!#REF!,"AAAAAFf9/dY=")</f>
        <v>#REF!</v>
      </c>
      <c r="HH70" t="e">
        <f>AND('Final Grade'!#REF!,"AAAAAFf9/dc=")</f>
        <v>#REF!</v>
      </c>
      <c r="HI70" t="e">
        <f>AND('Final Grade'!#REF!,"AAAAAFf9/dg=")</f>
        <v>#REF!</v>
      </c>
      <c r="HJ70" t="e">
        <f>AND('Final Grade'!R41,"AAAAAFf9/dk=")</f>
        <v>#VALUE!</v>
      </c>
      <c r="HK70">
        <f>IF('Final Grade'!41:41,"AAAAAFf9/do=",0)</f>
        <v>0</v>
      </c>
      <c r="HL70" t="e">
        <f>AND('Final Grade'!A51,"AAAAAFf9/ds=")</f>
        <v>#VALUE!</v>
      </c>
      <c r="HM70" t="e">
        <f>AND('Final Grade'!B51,"AAAAAFf9/dw=")</f>
        <v>#VALUE!</v>
      </c>
      <c r="HN70" t="e">
        <f>AND('Final Grade'!C51,"AAAAAFf9/d0=")</f>
        <v>#VALUE!</v>
      </c>
      <c r="HO70" t="e">
        <f>AND('Final Grade'!D51,"AAAAAFf9/d4=")</f>
        <v>#VALUE!</v>
      </c>
      <c r="HP70" t="e">
        <f>AND('Final Grade'!E51,"AAAAAFf9/d8=")</f>
        <v>#VALUE!</v>
      </c>
      <c r="HQ70" t="e">
        <f>AND('Final Grade'!F40,"AAAAAFf9/eA=")</f>
        <v>#VALUE!</v>
      </c>
      <c r="HR70" t="e">
        <f>AND('Final Grade'!G40,"AAAAAFf9/eE=")</f>
        <v>#VALUE!</v>
      </c>
      <c r="HS70" t="e">
        <f>AND('Final Grade'!H40,"AAAAAFf9/eI=")</f>
        <v>#VALUE!</v>
      </c>
      <c r="HT70" t="e">
        <f>AND('Final Grade'!I40,"AAAAAFf9/eM=")</f>
        <v>#VALUE!</v>
      </c>
      <c r="HU70" t="e">
        <f>AND('Final Grade'!J40,"AAAAAFf9/eQ=")</f>
        <v>#VALUE!</v>
      </c>
      <c r="HV70" t="e">
        <f>AND('Final Grade'!K41,"AAAAAFf9/eU=")</f>
        <v>#VALUE!</v>
      </c>
      <c r="HW70" t="e">
        <f>AND('Final Grade'!L47,"AAAAAFf9/eY=")</f>
        <v>#VALUE!</v>
      </c>
      <c r="HX70" t="e">
        <f>AND('Final Grade'!M49,"AAAAAFf9/ec=")</f>
        <v>#VALUE!</v>
      </c>
      <c r="HY70" t="e">
        <f>AND('Final Grade'!N49,"AAAAAFf9/eg=")</f>
        <v>#VALUE!</v>
      </c>
      <c r="HZ70" t="e">
        <f>AND('Final Grade'!O49,"AAAAAFf9/ek=")</f>
        <v>#VALUE!</v>
      </c>
      <c r="IA70" t="e">
        <f>AND('Final Grade'!P49,"AAAAAFf9/eo=")</f>
        <v>#VALUE!</v>
      </c>
      <c r="IB70" t="e">
        <f>AND('Final Grade'!Q49,"AAAAAFf9/es=")</f>
        <v>#VALUE!</v>
      </c>
      <c r="IC70" t="e">
        <f>AND('Final Grade'!#REF!,"AAAAAFf9/ew=")</f>
        <v>#REF!</v>
      </c>
      <c r="ID70" t="e">
        <f>AND('Final Grade'!#REF!,"AAAAAFf9/e0=")</f>
        <v>#REF!</v>
      </c>
      <c r="IE70" t="e">
        <f>AND('Final Grade'!#REF!,"AAAAAFf9/e4=")</f>
        <v>#REF!</v>
      </c>
      <c r="IF70" t="e">
        <f>AND('Final Grade'!#REF!,"AAAAAFf9/e8=")</f>
        <v>#REF!</v>
      </c>
      <c r="IG70" t="e">
        <f>AND('Final Grade'!#REF!,"AAAAAFf9/fA=")</f>
        <v>#REF!</v>
      </c>
      <c r="IH70" t="e">
        <f>AND('Final Grade'!#REF!,"AAAAAFf9/fE=")</f>
        <v>#REF!</v>
      </c>
      <c r="II70" t="e">
        <f>AND('Final Grade'!#REF!,"AAAAAFf9/fI=")</f>
        <v>#REF!</v>
      </c>
      <c r="IJ70" t="e">
        <f>AND('Final Grade'!R42,"AAAAAFf9/fM=")</f>
        <v>#VALUE!</v>
      </c>
      <c r="IK70">
        <f>IF('Final Grade'!42:42,"AAAAAFf9/fQ=",0)</f>
        <v>0</v>
      </c>
      <c r="IL70" t="e">
        <f>AND('Final Grade'!A52,"AAAAAFf9/fU=")</f>
        <v>#VALUE!</v>
      </c>
      <c r="IM70" t="e">
        <f>AND('Final Grade'!B52,"AAAAAFf9/fY=")</f>
        <v>#VALUE!</v>
      </c>
      <c r="IN70" t="e">
        <f>AND('Final Grade'!C52,"AAAAAFf9/fc=")</f>
        <v>#VALUE!</v>
      </c>
      <c r="IO70" t="e">
        <f>AND('Final Grade'!D52,"AAAAAFf9/fg=")</f>
        <v>#VALUE!</v>
      </c>
      <c r="IP70" t="e">
        <f>AND('Final Grade'!E52,"AAAAAFf9/fk=")</f>
        <v>#VALUE!</v>
      </c>
      <c r="IQ70" t="e">
        <f>AND('Final Grade'!F41,"AAAAAFf9/fo=")</f>
        <v>#VALUE!</v>
      </c>
      <c r="IR70" t="e">
        <f>AND('Final Grade'!G41,"AAAAAFf9/fs=")</f>
        <v>#VALUE!</v>
      </c>
      <c r="IS70" t="e">
        <f>AND('Final Grade'!H41,"AAAAAFf9/fw=")</f>
        <v>#VALUE!</v>
      </c>
      <c r="IT70" t="e">
        <f>AND('Final Grade'!I41,"AAAAAFf9/f0=")</f>
        <v>#VALUE!</v>
      </c>
      <c r="IU70" t="e">
        <f>AND('Final Grade'!J41,"AAAAAFf9/f4=")</f>
        <v>#VALUE!</v>
      </c>
      <c r="IV70" t="e">
        <f>AND('Final Grade'!K42,"AAAAAFf9/f8=")</f>
        <v>#VALUE!</v>
      </c>
    </row>
    <row r="71" spans="1:256" x14ac:dyDescent="0.15">
      <c r="A71" t="e">
        <f>AND('Final Grade'!L53,"AAAAAD/a+QA=")</f>
        <v>#VALUE!</v>
      </c>
      <c r="B71" t="e">
        <f>AND('Final Grade'!M52,"AAAAAD/a+QE=")</f>
        <v>#VALUE!</v>
      </c>
      <c r="C71" t="e">
        <f>AND('Final Grade'!N52,"AAAAAD/a+QI=")</f>
        <v>#VALUE!</v>
      </c>
      <c r="D71" t="e">
        <f>AND('Final Grade'!O52,"AAAAAD/a+QM=")</f>
        <v>#VALUE!</v>
      </c>
      <c r="E71" t="e">
        <f>AND('Final Grade'!P52,"AAAAAD/a+QQ=")</f>
        <v>#VALUE!</v>
      </c>
      <c r="F71" t="e">
        <f>AND('Final Grade'!Q55,"AAAAAD/a+QU=")</f>
        <v>#VALUE!</v>
      </c>
      <c r="G71" t="e">
        <f>AND('Final Grade'!#REF!,"AAAAAD/a+QY=")</f>
        <v>#REF!</v>
      </c>
      <c r="H71" t="e">
        <f>AND('Final Grade'!#REF!,"AAAAAD/a+Qc=")</f>
        <v>#REF!</v>
      </c>
      <c r="I71" t="e">
        <f>AND('Final Grade'!#REF!,"AAAAAD/a+Qg=")</f>
        <v>#REF!</v>
      </c>
      <c r="J71" t="e">
        <f>AND('Final Grade'!#REF!,"AAAAAD/a+Qk=")</f>
        <v>#REF!</v>
      </c>
      <c r="K71" t="e">
        <f>AND('Final Grade'!#REF!,"AAAAAD/a+Qo=")</f>
        <v>#REF!</v>
      </c>
      <c r="L71" t="e">
        <f>AND('Final Grade'!#REF!,"AAAAAD/a+Qs=")</f>
        <v>#REF!</v>
      </c>
      <c r="M71" t="e">
        <f>AND('Final Grade'!#REF!,"AAAAAD/a+Qw=")</f>
        <v>#REF!</v>
      </c>
      <c r="N71" t="e">
        <f>AND('Final Grade'!R44,"AAAAAD/a+Q0=")</f>
        <v>#VALUE!</v>
      </c>
      <c r="O71">
        <f>IF('Final Grade'!43:43,"AAAAAD/a+Q4=",0)</f>
        <v>0</v>
      </c>
      <c r="P71" t="e">
        <f>AND('Final Grade'!A53,"AAAAAD/a+Q8=")</f>
        <v>#VALUE!</v>
      </c>
      <c r="Q71" t="e">
        <f>AND('Final Grade'!B53,"AAAAAD/a+RA=")</f>
        <v>#VALUE!</v>
      </c>
      <c r="R71" t="e">
        <f>AND('Final Grade'!C53,"AAAAAD/a+RE=")</f>
        <v>#VALUE!</v>
      </c>
      <c r="S71" t="e">
        <f>AND('Final Grade'!D53,"AAAAAD/a+RI=")</f>
        <v>#VALUE!</v>
      </c>
      <c r="T71" t="e">
        <f>AND('Final Grade'!E53,"AAAAAD/a+RM=")</f>
        <v>#VALUE!</v>
      </c>
      <c r="U71" t="e">
        <f>AND('Final Grade'!F42,"AAAAAD/a+RQ=")</f>
        <v>#VALUE!</v>
      </c>
      <c r="V71" t="e">
        <f>AND('Final Grade'!G42,"AAAAAD/a+RU=")</f>
        <v>#VALUE!</v>
      </c>
      <c r="W71" t="e">
        <f>AND('Final Grade'!H42,"AAAAAD/a+RY=")</f>
        <v>#VALUE!</v>
      </c>
      <c r="X71" t="e">
        <f>AND('Final Grade'!I42,"AAAAAD/a+Rc=")</f>
        <v>#VALUE!</v>
      </c>
      <c r="Y71" t="e">
        <f>AND('Final Grade'!J42,"AAAAAD/a+Rg=")</f>
        <v>#VALUE!</v>
      </c>
      <c r="Z71" t="e">
        <f>AND('Final Grade'!K43,"AAAAAD/a+Rk=")</f>
        <v>#VALUE!</v>
      </c>
      <c r="AA71" t="e">
        <f>AND('Final Grade'!L51,"AAAAAD/a+Ro=")</f>
        <v>#VALUE!</v>
      </c>
      <c r="AB71" t="e">
        <f>AND('Final Grade'!M53,"AAAAAD/a+Rs=")</f>
        <v>#VALUE!</v>
      </c>
      <c r="AC71" t="e">
        <f>AND('Final Grade'!N53,"AAAAAD/a+Rw=")</f>
        <v>#VALUE!</v>
      </c>
      <c r="AD71" t="e">
        <f>AND('Final Grade'!O53,"AAAAAD/a+R0=")</f>
        <v>#VALUE!</v>
      </c>
      <c r="AE71" t="e">
        <f>AND('Final Grade'!P53,"AAAAAD/a+R4=")</f>
        <v>#VALUE!</v>
      </c>
      <c r="AF71" t="e">
        <f>AND('Final Grade'!Q56,"AAAAAD/a+R8=")</f>
        <v>#VALUE!</v>
      </c>
      <c r="AG71" t="e">
        <f>AND('Final Grade'!#REF!,"AAAAAD/a+SA=")</f>
        <v>#REF!</v>
      </c>
      <c r="AH71" t="e">
        <f>AND('Final Grade'!#REF!,"AAAAAD/a+SE=")</f>
        <v>#REF!</v>
      </c>
      <c r="AI71" t="e">
        <f>AND('Final Grade'!#REF!,"AAAAAD/a+SI=")</f>
        <v>#REF!</v>
      </c>
      <c r="AJ71" t="e">
        <f>AND('Final Grade'!#REF!,"AAAAAD/a+SM=")</f>
        <v>#REF!</v>
      </c>
      <c r="AK71" t="e">
        <f>AND('Final Grade'!#REF!,"AAAAAD/a+SQ=")</f>
        <v>#REF!</v>
      </c>
      <c r="AL71" t="e">
        <f>AND('Final Grade'!#REF!,"AAAAAD/a+SU=")</f>
        <v>#REF!</v>
      </c>
      <c r="AM71" t="e">
        <f>AND('Final Grade'!#REF!,"AAAAAD/a+SY=")</f>
        <v>#REF!</v>
      </c>
      <c r="AN71" t="e">
        <f>AND('Final Grade'!R45,"AAAAAD/a+Sc=")</f>
        <v>#VALUE!</v>
      </c>
      <c r="AO71">
        <f>IF('Final Grade'!44:44,"AAAAAD/a+Sg=",0)</f>
        <v>0</v>
      </c>
      <c r="AP71" t="e">
        <f>AND('Final Grade'!A54,"AAAAAD/a+Sk=")</f>
        <v>#VALUE!</v>
      </c>
      <c r="AQ71" t="e">
        <f>AND('Final Grade'!B54,"AAAAAD/a+So=")</f>
        <v>#VALUE!</v>
      </c>
      <c r="AR71" t="e">
        <f>AND('Final Grade'!C54,"AAAAAD/a+Ss=")</f>
        <v>#VALUE!</v>
      </c>
      <c r="AS71" t="e">
        <f>AND('Final Grade'!D54,"AAAAAD/a+Sw=")</f>
        <v>#VALUE!</v>
      </c>
      <c r="AT71" t="e">
        <f>AND('Final Grade'!E54,"AAAAAD/a+S0=")</f>
        <v>#VALUE!</v>
      </c>
      <c r="AU71" t="e">
        <f>AND('Final Grade'!F43,"AAAAAD/a+S4=")</f>
        <v>#VALUE!</v>
      </c>
      <c r="AV71" t="e">
        <f>AND('Final Grade'!G43,"AAAAAD/a+S8=")</f>
        <v>#VALUE!</v>
      </c>
      <c r="AW71" t="e">
        <f>AND('Final Grade'!H43,"AAAAAD/a+TA=")</f>
        <v>#VALUE!</v>
      </c>
      <c r="AX71" t="e">
        <f>AND('Final Grade'!I43,"AAAAAD/a+TE=")</f>
        <v>#VALUE!</v>
      </c>
      <c r="AY71" t="e">
        <f>AND('Final Grade'!J43,"AAAAAD/a+TI=")</f>
        <v>#VALUE!</v>
      </c>
      <c r="AZ71" t="e">
        <f>AND('Final Grade'!K44,"AAAAAD/a+TM=")</f>
        <v>#VALUE!</v>
      </c>
      <c r="BA71" t="e">
        <f>AND('Final Grade'!#REF!,"AAAAAD/a+TQ=")</f>
        <v>#REF!</v>
      </c>
      <c r="BB71" t="e">
        <f>AND('Final Grade'!M54,"AAAAAD/a+TU=")</f>
        <v>#VALUE!</v>
      </c>
      <c r="BC71" t="e">
        <f>AND('Final Grade'!N54,"AAAAAD/a+TY=")</f>
        <v>#VALUE!</v>
      </c>
      <c r="BD71" t="e">
        <f>AND('Final Grade'!O54,"AAAAAD/a+Tc=")</f>
        <v>#VALUE!</v>
      </c>
      <c r="BE71" t="e">
        <f>AND('Final Grade'!P54,"AAAAAD/a+Tg=")</f>
        <v>#VALUE!</v>
      </c>
      <c r="BF71" t="e">
        <f>AND('Final Grade'!Q57,"AAAAAD/a+Tk=")</f>
        <v>#VALUE!</v>
      </c>
      <c r="BG71" t="e">
        <f>AND('Final Grade'!#REF!,"AAAAAD/a+To=")</f>
        <v>#REF!</v>
      </c>
      <c r="BH71" t="e">
        <f>AND('Final Grade'!#REF!,"AAAAAD/a+Ts=")</f>
        <v>#REF!</v>
      </c>
      <c r="BI71" t="e">
        <f>AND('Final Grade'!#REF!,"AAAAAD/a+Tw=")</f>
        <v>#REF!</v>
      </c>
      <c r="BJ71" t="e">
        <f>AND('Final Grade'!#REF!,"AAAAAD/a+T0=")</f>
        <v>#REF!</v>
      </c>
      <c r="BK71" t="e">
        <f>AND('Final Grade'!#REF!,"AAAAAD/a+T4=")</f>
        <v>#REF!</v>
      </c>
      <c r="BL71" t="e">
        <f>AND('Final Grade'!#REF!,"AAAAAD/a+T8=")</f>
        <v>#REF!</v>
      </c>
      <c r="BM71" t="e">
        <f>AND('Final Grade'!#REF!,"AAAAAD/a+UA=")</f>
        <v>#REF!</v>
      </c>
      <c r="BN71" t="e">
        <f>AND('Final Grade'!R46,"AAAAAD/a+UE=")</f>
        <v>#VALUE!</v>
      </c>
      <c r="BO71">
        <f>IF('Final Grade'!45:45,"AAAAAD/a+UI=",0)</f>
        <v>0</v>
      </c>
      <c r="BP71" t="e">
        <f>AND('Final Grade'!A55,"AAAAAD/a+UM=")</f>
        <v>#VALUE!</v>
      </c>
      <c r="BQ71" t="e">
        <f>AND('Final Grade'!B55,"AAAAAD/a+UQ=")</f>
        <v>#VALUE!</v>
      </c>
      <c r="BR71" t="e">
        <f>AND('Final Grade'!C55,"AAAAAD/a+UU=")</f>
        <v>#VALUE!</v>
      </c>
      <c r="BS71" t="e">
        <f>AND('Final Grade'!D55,"AAAAAD/a+UY=")</f>
        <v>#VALUE!</v>
      </c>
      <c r="BT71" t="e">
        <f>AND('Final Grade'!E55,"AAAAAD/a+Uc=")</f>
        <v>#VALUE!</v>
      </c>
      <c r="BU71" t="e">
        <f>AND('Final Grade'!F44,"AAAAAD/a+Ug=")</f>
        <v>#VALUE!</v>
      </c>
      <c r="BV71" t="e">
        <f>AND('Final Grade'!G44,"AAAAAD/a+Uk=")</f>
        <v>#VALUE!</v>
      </c>
      <c r="BW71" t="e">
        <f>AND('Final Grade'!H44,"AAAAAD/a+Uo=")</f>
        <v>#VALUE!</v>
      </c>
      <c r="BX71" t="e">
        <f>AND('Final Grade'!I44,"AAAAAD/a+Us=")</f>
        <v>#VALUE!</v>
      </c>
      <c r="BY71" t="e">
        <f>AND('Final Grade'!J44,"AAAAAD/a+Uw=")</f>
        <v>#VALUE!</v>
      </c>
      <c r="BZ71" t="e">
        <f>AND('Final Grade'!K45,"AAAAAD/a+U0=")</f>
        <v>#VALUE!</v>
      </c>
      <c r="CA71" t="e">
        <f>AND('Final Grade'!#REF!,"AAAAAD/a+U4=")</f>
        <v>#REF!</v>
      </c>
      <c r="CB71" t="e">
        <f>AND('Final Grade'!M55,"AAAAAD/a+U8=")</f>
        <v>#VALUE!</v>
      </c>
      <c r="CC71" t="e">
        <f>AND('Final Grade'!N55,"AAAAAD/a+VA=")</f>
        <v>#VALUE!</v>
      </c>
      <c r="CD71" t="e">
        <f>AND('Final Grade'!O55,"AAAAAD/a+VE=")</f>
        <v>#VALUE!</v>
      </c>
      <c r="CE71" t="e">
        <f>AND('Final Grade'!P55,"AAAAAD/a+VI=")</f>
        <v>#VALUE!</v>
      </c>
      <c r="CF71" t="e">
        <f>AND('Final Grade'!#REF!,"AAAAAD/a+VM=")</f>
        <v>#REF!</v>
      </c>
      <c r="CG71" t="e">
        <f>AND('Final Grade'!#REF!,"AAAAAD/a+VQ=")</f>
        <v>#REF!</v>
      </c>
      <c r="CH71" t="e">
        <f>AND('Final Grade'!#REF!,"AAAAAD/a+VU=")</f>
        <v>#REF!</v>
      </c>
      <c r="CI71" t="e">
        <f>AND('Final Grade'!#REF!,"AAAAAD/a+VY=")</f>
        <v>#REF!</v>
      </c>
      <c r="CJ71" t="e">
        <f>AND('Final Grade'!#REF!,"AAAAAD/a+Vc=")</f>
        <v>#REF!</v>
      </c>
      <c r="CK71" t="e">
        <f>AND('Final Grade'!#REF!,"AAAAAD/a+Vg=")</f>
        <v>#REF!</v>
      </c>
      <c r="CL71" t="e">
        <f>AND('Final Grade'!#REF!,"AAAAAD/a+Vk=")</f>
        <v>#REF!</v>
      </c>
      <c r="CM71" t="e">
        <f>AND('Final Grade'!#REF!,"AAAAAD/a+Vo=")</f>
        <v>#REF!</v>
      </c>
      <c r="CN71" t="e">
        <f>AND('Final Grade'!R47,"AAAAAD/a+Vs=")</f>
        <v>#VALUE!</v>
      </c>
      <c r="CO71">
        <f>IF('Final Grade'!46:46,"AAAAAD/a+Vw=",0)</f>
        <v>0</v>
      </c>
      <c r="CP71" t="e">
        <f>AND('Final Grade'!A56,"AAAAAD/a+V0=")</f>
        <v>#VALUE!</v>
      </c>
      <c r="CQ71" t="e">
        <f>AND('Final Grade'!B56,"AAAAAD/a+V4=")</f>
        <v>#VALUE!</v>
      </c>
      <c r="CR71" t="e">
        <f>AND('Final Grade'!C56,"AAAAAD/a+V8=")</f>
        <v>#VALUE!</v>
      </c>
      <c r="CS71" t="e">
        <f>AND('Final Grade'!D56,"AAAAAD/a+WA=")</f>
        <v>#VALUE!</v>
      </c>
      <c r="CT71" t="e">
        <f>AND('Final Grade'!E56,"AAAAAD/a+WE=")</f>
        <v>#VALUE!</v>
      </c>
      <c r="CU71" t="e">
        <f>AND('Final Grade'!F45,"AAAAAD/a+WI=")</f>
        <v>#VALUE!</v>
      </c>
      <c r="CV71" t="e">
        <f>AND('Final Grade'!G45,"AAAAAD/a+WM=")</f>
        <v>#VALUE!</v>
      </c>
      <c r="CW71" t="e">
        <f>AND('Final Grade'!H45,"AAAAAD/a+WQ=")</f>
        <v>#VALUE!</v>
      </c>
      <c r="CX71" t="e">
        <f>AND('Final Grade'!I45,"AAAAAD/a+WU=")</f>
        <v>#VALUE!</v>
      </c>
      <c r="CY71" t="e">
        <f>AND('Final Grade'!J45,"AAAAAD/a+WY=")</f>
        <v>#VALUE!</v>
      </c>
      <c r="CZ71" t="e">
        <f>AND('Final Grade'!K46,"AAAAAD/a+Wc=")</f>
        <v>#VALUE!</v>
      </c>
      <c r="DA71" t="e">
        <f>AND('Final Grade'!#REF!,"AAAAAD/a+Wg=")</f>
        <v>#REF!</v>
      </c>
      <c r="DB71" t="e">
        <f>AND('Final Grade'!M56,"AAAAAD/a+Wk=")</f>
        <v>#VALUE!</v>
      </c>
      <c r="DC71" t="e">
        <f>AND('Final Grade'!N56,"AAAAAD/a+Wo=")</f>
        <v>#VALUE!</v>
      </c>
      <c r="DD71" t="e">
        <f>AND('Final Grade'!O56,"AAAAAD/a+Ws=")</f>
        <v>#VALUE!</v>
      </c>
      <c r="DE71" t="e">
        <f>AND('Final Grade'!P56,"AAAAAD/a+Ww=")</f>
        <v>#VALUE!</v>
      </c>
      <c r="DF71" t="e">
        <f>AND('Final Grade'!#REF!,"AAAAAD/a+W0=")</f>
        <v>#REF!</v>
      </c>
      <c r="DG71" t="e">
        <f>AND('Final Grade'!R50,"AAAAAD/a+W4=")</f>
        <v>#VALUE!</v>
      </c>
      <c r="DH71" t="e">
        <f>AND('Final Grade'!S50,"AAAAAD/a+W8=")</f>
        <v>#VALUE!</v>
      </c>
      <c r="DI71" t="e">
        <f>AND('Final Grade'!T50,"AAAAAD/a+XA=")</f>
        <v>#VALUE!</v>
      </c>
      <c r="DJ71" t="e">
        <f>AND('Final Grade'!U50,"AAAAAD/a+XE=")</f>
        <v>#VALUE!</v>
      </c>
      <c r="DK71" t="e">
        <f>AND('Final Grade'!#REF!,"AAAAAD/a+XI=")</f>
        <v>#REF!</v>
      </c>
      <c r="DL71" t="e">
        <f>AND('Final Grade'!#REF!,"AAAAAD/a+XM=")</f>
        <v>#REF!</v>
      </c>
      <c r="DM71" t="e">
        <f>AND('Final Grade'!#REF!,"AAAAAD/a+XQ=")</f>
        <v>#REF!</v>
      </c>
      <c r="DN71" t="e">
        <f>AND('Final Grade'!R48,"AAAAAD/a+XU=")</f>
        <v>#VALUE!</v>
      </c>
      <c r="DO71">
        <f>IF('Final Grade'!47:47,"AAAAAD/a+XY=",0)</f>
        <v>0</v>
      </c>
      <c r="DP71" t="e">
        <f>AND('Final Grade'!A57,"AAAAAD/a+Xc=")</f>
        <v>#VALUE!</v>
      </c>
      <c r="DQ71" t="e">
        <f>AND('Final Grade'!B57,"AAAAAD/a+Xg=")</f>
        <v>#VALUE!</v>
      </c>
      <c r="DR71" t="e">
        <f>AND('Final Grade'!C57,"AAAAAD/a+Xk=")</f>
        <v>#VALUE!</v>
      </c>
      <c r="DS71" t="e">
        <f>AND('Final Grade'!D57,"AAAAAD/a+Xo=")</f>
        <v>#VALUE!</v>
      </c>
      <c r="DT71" t="e">
        <f>AND('Final Grade'!E57,"AAAAAD/a+Xs=")</f>
        <v>#VALUE!</v>
      </c>
      <c r="DU71" t="e">
        <f>AND('Final Grade'!F46,"AAAAAD/a+Xw=")</f>
        <v>#VALUE!</v>
      </c>
      <c r="DV71" t="e">
        <f>AND('Final Grade'!G46,"AAAAAD/a+X0=")</f>
        <v>#VALUE!</v>
      </c>
      <c r="DW71" t="e">
        <f>AND('Final Grade'!H46,"AAAAAD/a+X4=")</f>
        <v>#VALUE!</v>
      </c>
      <c r="DX71" t="e">
        <f>AND('Final Grade'!I46,"AAAAAD/a+X8=")</f>
        <v>#VALUE!</v>
      </c>
      <c r="DY71" t="e">
        <f>AND('Final Grade'!J46,"AAAAAD/a+YA=")</f>
        <v>#VALUE!</v>
      </c>
      <c r="DZ71" t="e">
        <f>AND('Final Grade'!K47,"AAAAAD/a+YE=")</f>
        <v>#VALUE!</v>
      </c>
      <c r="EA71" t="e">
        <f>AND('Final Grade'!L55,"AAAAAD/a+YI=")</f>
        <v>#VALUE!</v>
      </c>
      <c r="EB71" t="e">
        <f>AND('Final Grade'!M57,"AAAAAD/a+YM=")</f>
        <v>#VALUE!</v>
      </c>
      <c r="EC71" t="e">
        <f>AND('Final Grade'!N57,"AAAAAD/a+YQ=")</f>
        <v>#VALUE!</v>
      </c>
      <c r="ED71" t="e">
        <f>AND('Final Grade'!O57,"AAAAAD/a+YU=")</f>
        <v>#VALUE!</v>
      </c>
      <c r="EE71" t="e">
        <f>AND('Final Grade'!P57,"AAAAAD/a+YY=")</f>
        <v>#VALUE!</v>
      </c>
      <c r="EF71" t="e">
        <f>AND('Final Grade'!#REF!,"AAAAAD/a+Yc=")</f>
        <v>#REF!</v>
      </c>
      <c r="EG71" t="e">
        <f>AND('Final Grade'!R51,"AAAAAD/a+Yg=")</f>
        <v>#VALUE!</v>
      </c>
      <c r="EH71" t="e">
        <f>AND('Final Grade'!S51,"AAAAAD/a+Yk=")</f>
        <v>#VALUE!</v>
      </c>
      <c r="EI71" t="e">
        <f>AND('Final Grade'!T51,"AAAAAD/a+Yo=")</f>
        <v>#VALUE!</v>
      </c>
      <c r="EJ71" t="e">
        <f>AND('Final Grade'!U51,"AAAAAD/a+Ys=")</f>
        <v>#VALUE!</v>
      </c>
      <c r="EK71" t="e">
        <f>AND('Final Grade'!V50,"AAAAAD/a+Yw=")</f>
        <v>#VALUE!</v>
      </c>
      <c r="EL71" t="e">
        <f>AND('Final Grade'!#REF!,"AAAAAD/a+Y0=")</f>
        <v>#REF!</v>
      </c>
      <c r="EM71" t="e">
        <f>AND('Final Grade'!#REF!,"AAAAAD/a+Y4=")</f>
        <v>#REF!</v>
      </c>
      <c r="EN71" t="e">
        <f>AND('Final Grade'!V49,"AAAAAD/a+Y8=")</f>
        <v>#VALUE!</v>
      </c>
      <c r="EO71">
        <f>IF('Final Grade'!48:48,"AAAAAD/a+ZA=",0)</f>
        <v>0</v>
      </c>
      <c r="EP71" t="e">
        <f>AND('Final Grade'!A58,"AAAAAD/a+ZE=")</f>
        <v>#VALUE!</v>
      </c>
      <c r="EQ71" t="e">
        <f>AND('Final Grade'!B58,"AAAAAD/a+ZI=")</f>
        <v>#VALUE!</v>
      </c>
      <c r="ER71" t="e">
        <f>AND('Final Grade'!C58,"AAAAAD/a+ZM=")</f>
        <v>#VALUE!</v>
      </c>
      <c r="ES71" t="e">
        <f>AND('Final Grade'!D58,"AAAAAD/a+ZQ=")</f>
        <v>#VALUE!</v>
      </c>
      <c r="ET71" t="e">
        <f>AND('Final Grade'!E58,"AAAAAD/a+ZU=")</f>
        <v>#VALUE!</v>
      </c>
      <c r="EU71" t="e">
        <f>AND('Final Grade'!F47,"AAAAAD/a+ZY=")</f>
        <v>#VALUE!</v>
      </c>
      <c r="EV71" t="e">
        <f>AND('Final Grade'!G47,"AAAAAD/a+Zc=")</f>
        <v>#VALUE!</v>
      </c>
      <c r="EW71" t="e">
        <f>AND('Final Grade'!H47,"AAAAAD/a+Zg=")</f>
        <v>#VALUE!</v>
      </c>
      <c r="EX71" t="e">
        <f>AND('Final Grade'!I47,"AAAAAD/a+Zk=")</f>
        <v>#VALUE!</v>
      </c>
      <c r="EY71" t="e">
        <f>AND('Final Grade'!J47,"AAAAAD/a+Zo=")</f>
        <v>#VALUE!</v>
      </c>
      <c r="EZ71" t="e">
        <f>AND('Final Grade'!K48,"AAAAAD/a+Zs=")</f>
        <v>#VALUE!</v>
      </c>
      <c r="FA71" t="e">
        <f>AND('Final Grade'!L56,"AAAAAD/a+Zw=")</f>
        <v>#VALUE!</v>
      </c>
      <c r="FB71" t="e">
        <f>AND('Final Grade'!M58,"AAAAAD/a+Z0=")</f>
        <v>#VALUE!</v>
      </c>
      <c r="FC71" t="e">
        <f>AND('Final Grade'!N58,"AAAAAD/a+Z4=")</f>
        <v>#VALUE!</v>
      </c>
      <c r="FD71" t="e">
        <f>AND('Final Grade'!O58,"AAAAAD/a+Z8=")</f>
        <v>#VALUE!</v>
      </c>
      <c r="FE71" t="e">
        <f>AND('Final Grade'!P58,"AAAAAD/a+aA=")</f>
        <v>#VALUE!</v>
      </c>
      <c r="FF71" t="e">
        <f>AND('Final Grade'!#REF!,"AAAAAD/a+aE=")</f>
        <v>#REF!</v>
      </c>
      <c r="FG71" t="e">
        <f>AND('Final Grade'!R52,"AAAAAD/a+aI=")</f>
        <v>#VALUE!</v>
      </c>
      <c r="FH71" t="e">
        <f>AND('Final Grade'!S52,"AAAAAD/a+aM=")</f>
        <v>#VALUE!</v>
      </c>
      <c r="FI71" t="e">
        <f>AND('Final Grade'!T52,"AAAAAD/a+aQ=")</f>
        <v>#VALUE!</v>
      </c>
      <c r="FJ71" t="e">
        <f>AND('Final Grade'!U52,"AAAAAD/a+aU=")</f>
        <v>#VALUE!</v>
      </c>
      <c r="FK71" t="e">
        <f>AND('Final Grade'!V51,"AAAAAD/a+aY=")</f>
        <v>#VALUE!</v>
      </c>
      <c r="FL71" t="e">
        <f>AND('Final Grade'!W50,"AAAAAD/a+ac=")</f>
        <v>#VALUE!</v>
      </c>
      <c r="FM71" t="e">
        <f>AND('Final Grade'!X50,"AAAAAD/a+ag=")</f>
        <v>#VALUE!</v>
      </c>
      <c r="FN71" t="e">
        <f>AND('Final Grade'!Y50,"AAAAAD/a+ak=")</f>
        <v>#VALUE!</v>
      </c>
      <c r="FO71">
        <f>IF('Final Grade'!49:49,"AAAAAD/a+ao=",0)</f>
        <v>0</v>
      </c>
      <c r="FP71" t="e">
        <f>AND('Final Grade'!A59,"AAAAAD/a+as=")</f>
        <v>#VALUE!</v>
      </c>
      <c r="FQ71" t="e">
        <f>AND('Final Grade'!B59,"AAAAAD/a+aw=")</f>
        <v>#VALUE!</v>
      </c>
      <c r="FR71" t="e">
        <f>AND('Final Grade'!C59,"AAAAAD/a+a0=")</f>
        <v>#VALUE!</v>
      </c>
      <c r="FS71" t="e">
        <f>AND('Final Grade'!D59,"AAAAAD/a+a4=")</f>
        <v>#VALUE!</v>
      </c>
      <c r="FT71" t="e">
        <f>AND('Final Grade'!E59,"AAAAAD/a+a8=")</f>
        <v>#VALUE!</v>
      </c>
      <c r="FU71" t="e">
        <f>AND('Final Grade'!F48,"AAAAAD/a+bA=")</f>
        <v>#VALUE!</v>
      </c>
      <c r="FV71" t="e">
        <f>AND('Final Grade'!G48,"AAAAAD/a+bE=")</f>
        <v>#VALUE!</v>
      </c>
      <c r="FW71" t="e">
        <f>AND('Final Grade'!H48,"AAAAAD/a+bI=")</f>
        <v>#VALUE!</v>
      </c>
      <c r="FX71" t="e">
        <f>AND('Final Grade'!I48,"AAAAAD/a+bM=")</f>
        <v>#VALUE!</v>
      </c>
      <c r="FY71" t="e">
        <f>AND('Final Grade'!J48,"AAAAAD/a+bQ=")</f>
        <v>#VALUE!</v>
      </c>
      <c r="FZ71" t="e">
        <f>AND('Final Grade'!K49,"AAAAAD/a+bU=")</f>
        <v>#VALUE!</v>
      </c>
      <c r="GA71" t="e">
        <f>AND('Final Grade'!L58,"AAAAAD/a+bY=")</f>
        <v>#VALUE!</v>
      </c>
      <c r="GB71" t="e">
        <f>AND('Final Grade'!M60,"AAAAAD/a+bc=")</f>
        <v>#VALUE!</v>
      </c>
      <c r="GC71" t="e">
        <f>AND('Final Grade'!N60,"AAAAAD/a+bg=")</f>
        <v>#VALUE!</v>
      </c>
      <c r="GD71" t="e">
        <f>AND('Final Grade'!O60,"AAAAAD/a+bk=")</f>
        <v>#VALUE!</v>
      </c>
      <c r="GE71" t="e">
        <f>AND('Final Grade'!P60,"AAAAAD/a+bo=")</f>
        <v>#VALUE!</v>
      </c>
      <c r="GF71" t="e">
        <f>AND('Final Grade'!Q60,"AAAAAD/a+bs=")</f>
        <v>#VALUE!</v>
      </c>
      <c r="GG71" t="e">
        <f>AND('Final Grade'!R53,"AAAAAD/a+bw=")</f>
        <v>#VALUE!</v>
      </c>
      <c r="GH71" t="e">
        <f>AND('Final Grade'!S53,"AAAAAD/a+b0=")</f>
        <v>#VALUE!</v>
      </c>
      <c r="GI71" t="e">
        <f>AND('Final Grade'!T53,"AAAAAD/a+b4=")</f>
        <v>#VALUE!</v>
      </c>
      <c r="GJ71" t="e">
        <f>AND('Final Grade'!U53,"AAAAAD/a+b8=")</f>
        <v>#VALUE!</v>
      </c>
      <c r="GK71" t="e">
        <f>AND('Final Grade'!V52,"AAAAAD/a+cA=")</f>
        <v>#VALUE!</v>
      </c>
      <c r="GL71" t="e">
        <f>AND('Final Grade'!W51,"AAAAAD/a+cE=")</f>
        <v>#VALUE!</v>
      </c>
      <c r="GM71" t="e">
        <f>AND('Final Grade'!X51,"AAAAAD/a+cI=")</f>
        <v>#VALUE!</v>
      </c>
      <c r="GN71" t="e">
        <f>AND('Final Grade'!Y51,"AAAAAD/a+cM=")</f>
        <v>#VALUE!</v>
      </c>
      <c r="GO71">
        <f>IF('Final Grade'!50:50,"AAAAAD/a+cQ=",0)</f>
        <v>0</v>
      </c>
      <c r="GP71" t="e">
        <f>AND('Final Grade'!A60,"AAAAAD/a+cU=")</f>
        <v>#VALUE!</v>
      </c>
      <c r="GQ71" t="e">
        <f>AND('Final Grade'!B60,"AAAAAD/a+cY=")</f>
        <v>#VALUE!</v>
      </c>
      <c r="GR71" t="e">
        <f>AND('Final Grade'!C60,"AAAAAD/a+cc=")</f>
        <v>#VALUE!</v>
      </c>
      <c r="GS71" t="e">
        <f>AND('Final Grade'!D60,"AAAAAD/a+cg=")</f>
        <v>#VALUE!</v>
      </c>
      <c r="GT71" t="e">
        <f>AND('Final Grade'!E60,"AAAAAD/a+ck=")</f>
        <v>#VALUE!</v>
      </c>
      <c r="GU71" t="e">
        <f>AND('Final Grade'!F49,"AAAAAD/a+co=")</f>
        <v>#VALUE!</v>
      </c>
      <c r="GV71" t="e">
        <f>AND('Final Grade'!G49,"AAAAAD/a+cs=")</f>
        <v>#VALUE!</v>
      </c>
      <c r="GW71" t="e">
        <f>AND('Final Grade'!H49,"AAAAAD/a+cw=")</f>
        <v>#VALUE!</v>
      </c>
      <c r="GX71" t="e">
        <f>AND('Final Grade'!I49,"AAAAAD/a+c0=")</f>
        <v>#VALUE!</v>
      </c>
      <c r="GY71" t="e">
        <f>AND('Final Grade'!J49,"AAAAAD/a+c4=")</f>
        <v>#VALUE!</v>
      </c>
      <c r="GZ71" t="e">
        <f>AND('Final Grade'!K50,"AAAAAD/a+c8=")</f>
        <v>#VALUE!</v>
      </c>
      <c r="HA71" t="e">
        <f>AND('Final Grade'!#REF!,"AAAAAD/a+dA=")</f>
        <v>#REF!</v>
      </c>
      <c r="HB71" t="e">
        <f>AND('Final Grade'!#REF!,"AAAAAD/a+dE=")</f>
        <v>#REF!</v>
      </c>
      <c r="HC71" t="e">
        <f>AND('Final Grade'!#REF!,"AAAAAD/a+dI=")</f>
        <v>#REF!</v>
      </c>
      <c r="HD71" t="e">
        <f>AND('Final Grade'!#REF!,"AAAAAD/a+dM=")</f>
        <v>#REF!</v>
      </c>
      <c r="HE71" t="e">
        <f>AND('Final Grade'!#REF!,"AAAAAD/a+dQ=")</f>
        <v>#REF!</v>
      </c>
      <c r="HF71" t="e">
        <f>AND('Final Grade'!#REF!,"AAAAAD/a+dU=")</f>
        <v>#REF!</v>
      </c>
      <c r="HG71" t="e">
        <f>AND('Final Grade'!#REF!,"AAAAAD/a+dY=")</f>
        <v>#REF!</v>
      </c>
      <c r="HH71" t="e">
        <f>AND('Final Grade'!#REF!,"AAAAAD/a+dc=")</f>
        <v>#REF!</v>
      </c>
      <c r="HI71" t="e">
        <f>AND('Final Grade'!#REF!,"AAAAAD/a+dg=")</f>
        <v>#REF!</v>
      </c>
      <c r="HJ71" t="e">
        <f>AND('Final Grade'!#REF!,"AAAAAD/a+dk=")</f>
        <v>#REF!</v>
      </c>
      <c r="HK71" t="e">
        <f>AND('Final Grade'!#REF!,"AAAAAD/a+do=")</f>
        <v>#REF!</v>
      </c>
      <c r="HL71" t="e">
        <f>AND('Final Grade'!#REF!,"AAAAAD/a+ds=")</f>
        <v>#REF!</v>
      </c>
      <c r="HM71" t="e">
        <f>AND('Final Grade'!#REF!,"AAAAAD/a+dw=")</f>
        <v>#REF!</v>
      </c>
      <c r="HN71" t="e">
        <f>AND('Final Grade'!#REF!,"AAAAAD/a+d0=")</f>
        <v>#REF!</v>
      </c>
      <c r="HO71">
        <f>IF('Final Grade'!51:51,"AAAAAD/a+d4=",0)</f>
        <v>0</v>
      </c>
      <c r="HP71" t="e">
        <f>AND('Final Grade'!A61,"AAAAAD/a+d8=")</f>
        <v>#VALUE!</v>
      </c>
      <c r="HQ71" t="e">
        <f>AND('Final Grade'!B61,"AAAAAD/a+eA=")</f>
        <v>#VALUE!</v>
      </c>
      <c r="HR71" t="e">
        <f>AND('Final Grade'!C61,"AAAAAD/a+eE=")</f>
        <v>#VALUE!</v>
      </c>
      <c r="HS71" t="e">
        <f>AND('Final Grade'!D61,"AAAAAD/a+eI=")</f>
        <v>#VALUE!</v>
      </c>
      <c r="HT71" t="e">
        <f>AND('Final Grade'!E61,"AAAAAD/a+eM=")</f>
        <v>#VALUE!</v>
      </c>
      <c r="HU71" t="e">
        <f>AND('Final Grade'!F50,"AAAAAD/a+eQ=")</f>
        <v>#VALUE!</v>
      </c>
      <c r="HV71" t="e">
        <f>AND('Final Grade'!G50,"AAAAAD/a+eU=")</f>
        <v>#VALUE!</v>
      </c>
      <c r="HW71" t="e">
        <f>AND('Final Grade'!H50,"AAAAAD/a+eY=")</f>
        <v>#VALUE!</v>
      </c>
      <c r="HX71" t="e">
        <f>AND('Final Grade'!I50,"AAAAAD/a+ec=")</f>
        <v>#VALUE!</v>
      </c>
      <c r="HY71" t="e">
        <f>AND('Final Grade'!J50,"AAAAAD/a+eg=")</f>
        <v>#VALUE!</v>
      </c>
      <c r="HZ71" t="e">
        <f>AND('Final Grade'!K51,"AAAAAD/a+ek=")</f>
        <v>#VALUE!</v>
      </c>
      <c r="IA71" t="e">
        <f>AND('Final Grade'!#REF!,"AAAAAD/a+eo=")</f>
        <v>#REF!</v>
      </c>
      <c r="IB71" t="e">
        <f>AND('Final Grade'!#REF!,"AAAAAD/a+es=")</f>
        <v>#REF!</v>
      </c>
      <c r="IC71" t="e">
        <f>AND('Final Grade'!#REF!,"AAAAAD/a+ew=")</f>
        <v>#REF!</v>
      </c>
      <c r="ID71" t="e">
        <f>AND('Final Grade'!#REF!,"AAAAAD/a+e0=")</f>
        <v>#REF!</v>
      </c>
      <c r="IE71" t="e">
        <f>AND('Final Grade'!#REF!,"AAAAAD/a+e4=")</f>
        <v>#REF!</v>
      </c>
      <c r="IF71" t="e">
        <f>AND('Final Grade'!#REF!,"AAAAAD/a+e8=")</f>
        <v>#REF!</v>
      </c>
      <c r="IG71" t="e">
        <f>AND('Final Grade'!#REF!,"AAAAAD/a+fA=")</f>
        <v>#REF!</v>
      </c>
      <c r="IH71" t="e">
        <f>AND('Final Grade'!#REF!,"AAAAAD/a+fE=")</f>
        <v>#REF!</v>
      </c>
      <c r="II71" t="e">
        <f>AND('Final Grade'!#REF!,"AAAAAD/a+fI=")</f>
        <v>#REF!</v>
      </c>
      <c r="IJ71" t="e">
        <f>AND('Final Grade'!#REF!,"AAAAAD/a+fM=")</f>
        <v>#REF!</v>
      </c>
      <c r="IK71" t="e">
        <f>AND('Final Grade'!#REF!,"AAAAAD/a+fQ=")</f>
        <v>#REF!</v>
      </c>
      <c r="IL71" t="e">
        <f>AND('Final Grade'!#REF!,"AAAAAD/a+fU=")</f>
        <v>#REF!</v>
      </c>
      <c r="IM71" t="e">
        <f>AND('Final Grade'!#REF!,"AAAAAD/a+fY=")</f>
        <v>#REF!</v>
      </c>
      <c r="IN71" t="e">
        <f>AND('Final Grade'!#REF!,"AAAAAD/a+fc=")</f>
        <v>#REF!</v>
      </c>
      <c r="IO71">
        <f>IF('Final Grade'!52:52,"AAAAAD/a+fg=",0)</f>
        <v>0</v>
      </c>
      <c r="IP71" t="e">
        <f>AND('Final Grade'!A62,"AAAAAD/a+fk=")</f>
        <v>#VALUE!</v>
      </c>
      <c r="IQ71" t="e">
        <f>AND('Final Grade'!B62,"AAAAAD/a+fo=")</f>
        <v>#VALUE!</v>
      </c>
      <c r="IR71" t="e">
        <f>AND('Final Grade'!C62,"AAAAAD/a+fs=")</f>
        <v>#VALUE!</v>
      </c>
      <c r="IS71" t="e">
        <f>AND('Final Grade'!D62,"AAAAAD/a+fw=")</f>
        <v>#VALUE!</v>
      </c>
      <c r="IT71" t="e">
        <f>AND('Final Grade'!E62,"AAAAAD/a+f0=")</f>
        <v>#VALUE!</v>
      </c>
      <c r="IU71" t="e">
        <f>AND('Final Grade'!F51,"AAAAAD/a+f4=")</f>
        <v>#VALUE!</v>
      </c>
      <c r="IV71" t="e">
        <f>AND('Final Grade'!G51,"AAAAAD/a+f8=")</f>
        <v>#VALUE!</v>
      </c>
    </row>
    <row r="72" spans="1:256" x14ac:dyDescent="0.15">
      <c r="A72" t="e">
        <f>AND('Final Grade'!H51,"AAAAAH6/iwA=")</f>
        <v>#VALUE!</v>
      </c>
      <c r="B72" t="e">
        <f>AND('Final Grade'!I51,"AAAAAH6/iwE=")</f>
        <v>#VALUE!</v>
      </c>
      <c r="C72" t="e">
        <f>AND('Final Grade'!J51,"AAAAAH6/iwI=")</f>
        <v>#VALUE!</v>
      </c>
      <c r="D72" t="e">
        <f>AND('Final Grade'!K52,"AAAAAH6/iwM=")</f>
        <v>#VALUE!</v>
      </c>
      <c r="E72" t="e">
        <f>AND('Final Grade'!L59,"AAAAAH6/iwQ=")</f>
        <v>#VALUE!</v>
      </c>
      <c r="F72" t="e">
        <f>AND('Final Grade'!M61,"AAAAAH6/iwU=")</f>
        <v>#VALUE!</v>
      </c>
      <c r="G72" t="e">
        <f>AND('Final Grade'!N61,"AAAAAH6/iwY=")</f>
        <v>#VALUE!</v>
      </c>
      <c r="H72" t="e">
        <f>AND('Final Grade'!O61,"AAAAAH6/iwc=")</f>
        <v>#VALUE!</v>
      </c>
      <c r="I72" t="e">
        <f>AND('Final Grade'!P61,"AAAAAH6/iwg=")</f>
        <v>#VALUE!</v>
      </c>
      <c r="J72" t="e">
        <f>AND('Final Grade'!Q61,"AAAAAH6/iwk=")</f>
        <v>#VALUE!</v>
      </c>
      <c r="K72" t="e">
        <f>AND('Final Grade'!R54,"AAAAAH6/iwo=")</f>
        <v>#VALUE!</v>
      </c>
      <c r="L72" t="e">
        <f>AND('Final Grade'!S54,"AAAAAH6/iws=")</f>
        <v>#VALUE!</v>
      </c>
      <c r="M72" t="e">
        <f>AND('Final Grade'!T54,"AAAAAH6/iww=")</f>
        <v>#VALUE!</v>
      </c>
      <c r="N72" t="e">
        <f>AND('Final Grade'!U54,"AAAAAH6/iw0=")</f>
        <v>#VALUE!</v>
      </c>
      <c r="O72" t="e">
        <f>AND('Final Grade'!V53,"AAAAAH6/iw4=")</f>
        <v>#VALUE!</v>
      </c>
      <c r="P72" t="e">
        <f>AND('Final Grade'!W52,"AAAAAH6/iw8=")</f>
        <v>#VALUE!</v>
      </c>
      <c r="Q72" t="e">
        <f>AND('Final Grade'!X52,"AAAAAH6/ixA=")</f>
        <v>#VALUE!</v>
      </c>
      <c r="R72" t="e">
        <f>AND('Final Grade'!Y52,"AAAAAH6/ixE=")</f>
        <v>#VALUE!</v>
      </c>
      <c r="S72">
        <f>IF('Final Grade'!53:53,"AAAAAH6/ixI=",0)</f>
        <v>0</v>
      </c>
      <c r="T72" t="e">
        <f>AND('Final Grade'!A63,"AAAAAH6/ixM=")</f>
        <v>#VALUE!</v>
      </c>
      <c r="U72" t="e">
        <f>AND('Final Grade'!B63,"AAAAAH6/ixQ=")</f>
        <v>#VALUE!</v>
      </c>
      <c r="V72" t="e">
        <f>AND('Final Grade'!C63,"AAAAAH6/ixU=")</f>
        <v>#VALUE!</v>
      </c>
      <c r="W72" t="e">
        <f>AND('Final Grade'!D63,"AAAAAH6/ixY=")</f>
        <v>#VALUE!</v>
      </c>
      <c r="X72" t="e">
        <f>AND('Final Grade'!E63,"AAAAAH6/ixc=")</f>
        <v>#VALUE!</v>
      </c>
      <c r="Y72" t="e">
        <f>AND('Final Grade'!F52,"AAAAAH6/ixg=")</f>
        <v>#VALUE!</v>
      </c>
      <c r="Z72" t="e">
        <f>AND('Final Grade'!G52,"AAAAAH6/ixk=")</f>
        <v>#VALUE!</v>
      </c>
      <c r="AA72" t="e">
        <f>AND('Final Grade'!H52,"AAAAAH6/ixo=")</f>
        <v>#VALUE!</v>
      </c>
      <c r="AB72" t="e">
        <f>AND('Final Grade'!I52,"AAAAAH6/ixs=")</f>
        <v>#VALUE!</v>
      </c>
      <c r="AC72" t="e">
        <f>AND('Final Grade'!J52,"AAAAAH6/ixw=")</f>
        <v>#VALUE!</v>
      </c>
      <c r="AD72" t="e">
        <f>AND('Final Grade'!K53,"AAAAAH6/ix0=")</f>
        <v>#VALUE!</v>
      </c>
      <c r="AE72" t="e">
        <f>AND('Final Grade'!#REF!,"AAAAAH6/ix4=")</f>
        <v>#REF!</v>
      </c>
      <c r="AF72" t="e">
        <f>AND('Final Grade'!#REF!,"AAAAAH6/ix8=")</f>
        <v>#REF!</v>
      </c>
      <c r="AG72" t="e">
        <f>AND('Final Grade'!#REF!,"AAAAAH6/iyA=")</f>
        <v>#REF!</v>
      </c>
      <c r="AH72" t="e">
        <f>AND('Final Grade'!#REF!,"AAAAAH6/iyE=")</f>
        <v>#REF!</v>
      </c>
      <c r="AI72" t="e">
        <f>AND('Final Grade'!#REF!,"AAAAAH6/iyI=")</f>
        <v>#REF!</v>
      </c>
      <c r="AJ72" t="e">
        <f>AND('Final Grade'!#REF!,"AAAAAH6/iyM=")</f>
        <v>#REF!</v>
      </c>
      <c r="AK72" t="e">
        <f>AND('Final Grade'!#REF!,"AAAAAH6/iyQ=")</f>
        <v>#REF!</v>
      </c>
      <c r="AL72" t="e">
        <f>AND('Final Grade'!#REF!,"AAAAAH6/iyU=")</f>
        <v>#REF!</v>
      </c>
      <c r="AM72" t="e">
        <f>AND('Final Grade'!#REF!,"AAAAAH6/iyY=")</f>
        <v>#REF!</v>
      </c>
      <c r="AN72" t="e">
        <f>AND('Final Grade'!#REF!,"AAAAAH6/iyc=")</f>
        <v>#REF!</v>
      </c>
      <c r="AO72" t="e">
        <f>AND('Final Grade'!V54,"AAAAAH6/iyg=")</f>
        <v>#VALUE!</v>
      </c>
      <c r="AP72" t="e">
        <f>AND('Final Grade'!W53,"AAAAAH6/iyk=")</f>
        <v>#VALUE!</v>
      </c>
      <c r="AQ72" t="e">
        <f>AND('Final Grade'!X53,"AAAAAH6/iyo=")</f>
        <v>#VALUE!</v>
      </c>
      <c r="AR72" t="e">
        <f>AND('Final Grade'!Y53,"AAAAAH6/iys=")</f>
        <v>#VALUE!</v>
      </c>
      <c r="AS72">
        <f>IF('Final Grade'!54:54,"AAAAAH6/iyw=",0)</f>
        <v>0</v>
      </c>
      <c r="AT72" t="e">
        <f>AND('Final Grade'!A65,"AAAAAH6/iy0=")</f>
        <v>#VALUE!</v>
      </c>
      <c r="AU72" t="e">
        <f>AND('Final Grade'!B65,"AAAAAH6/iy4=")</f>
        <v>#VALUE!</v>
      </c>
      <c r="AV72" t="e">
        <f>AND('Final Grade'!C65,"AAAAAH6/iy8=")</f>
        <v>#VALUE!</v>
      </c>
      <c r="AW72" t="e">
        <f>AND('Final Grade'!D65,"AAAAAH6/izA=")</f>
        <v>#VALUE!</v>
      </c>
      <c r="AX72" t="e">
        <f>AND('Final Grade'!E65,"AAAAAH6/izE=")</f>
        <v>#VALUE!</v>
      </c>
      <c r="AY72" t="e">
        <f>AND('Final Grade'!F54,"AAAAAH6/izI=")</f>
        <v>#VALUE!</v>
      </c>
      <c r="AZ72" t="e">
        <f>AND('Final Grade'!G54,"AAAAAH6/izM=")</f>
        <v>#VALUE!</v>
      </c>
      <c r="BA72" t="e">
        <f>AND('Final Grade'!H54,"AAAAAH6/izQ=")</f>
        <v>#VALUE!</v>
      </c>
      <c r="BB72" t="e">
        <f>AND('Final Grade'!I54,"AAAAAH6/izU=")</f>
        <v>#VALUE!</v>
      </c>
      <c r="BC72" t="e">
        <f>AND('Final Grade'!J54,"AAAAAH6/izY=")</f>
        <v>#VALUE!</v>
      </c>
      <c r="BD72" t="e">
        <f>AND('Final Grade'!K54,"AAAAAH6/izc=")</f>
        <v>#VALUE!</v>
      </c>
      <c r="BE72" t="e">
        <f>AND('Final Grade'!L60,"AAAAAH6/izg=")</f>
        <v>#VALUE!</v>
      </c>
      <c r="BF72" t="e">
        <f>AND('Final Grade'!M62,"AAAAAH6/izk=")</f>
        <v>#VALUE!</v>
      </c>
      <c r="BG72" t="e">
        <f>AND('Final Grade'!N62,"AAAAAH6/izo=")</f>
        <v>#VALUE!</v>
      </c>
      <c r="BH72" t="e">
        <f>AND('Final Grade'!O62,"AAAAAH6/izs=")</f>
        <v>#VALUE!</v>
      </c>
      <c r="BI72" t="e">
        <f>AND('Final Grade'!P62,"AAAAAH6/izw=")</f>
        <v>#VALUE!</v>
      </c>
      <c r="BJ72" t="e">
        <f>AND('Final Grade'!Q62,"AAAAAH6/iz0=")</f>
        <v>#VALUE!</v>
      </c>
      <c r="BK72" t="e">
        <f>AND('Final Grade'!R55,"AAAAAH6/iz4=")</f>
        <v>#VALUE!</v>
      </c>
      <c r="BL72" t="e">
        <f>AND('Final Grade'!S55,"AAAAAH6/iz8=")</f>
        <v>#VALUE!</v>
      </c>
      <c r="BM72" t="e">
        <f>AND('Final Grade'!T55,"AAAAAH6/i0A=")</f>
        <v>#VALUE!</v>
      </c>
      <c r="BN72" t="e">
        <f>AND('Final Grade'!U55,"AAAAAH6/i0E=")</f>
        <v>#VALUE!</v>
      </c>
      <c r="BO72" t="e">
        <f>AND('Final Grade'!V55,"AAAAAH6/i0I=")</f>
        <v>#VALUE!</v>
      </c>
      <c r="BP72" t="e">
        <f>AND('Final Grade'!W54,"AAAAAH6/i0M=")</f>
        <v>#VALUE!</v>
      </c>
      <c r="BQ72" t="e">
        <f>AND('Final Grade'!X54,"AAAAAH6/i0Q=")</f>
        <v>#VALUE!</v>
      </c>
      <c r="BR72" t="e">
        <f>AND('Final Grade'!Y54,"AAAAAH6/i0U=")</f>
        <v>#VALUE!</v>
      </c>
      <c r="BS72">
        <f>IF('Final Grade'!55:55,"AAAAAH6/i0Y=",0)</f>
        <v>0</v>
      </c>
      <c r="BT72" t="e">
        <f>AND('Final Grade'!A66,"AAAAAH6/i0c=")</f>
        <v>#VALUE!</v>
      </c>
      <c r="BU72" t="e">
        <f>AND('Final Grade'!B66,"AAAAAH6/i0g=")</f>
        <v>#VALUE!</v>
      </c>
      <c r="BV72" t="e">
        <f>AND('Final Grade'!C66,"AAAAAH6/i0k=")</f>
        <v>#VALUE!</v>
      </c>
      <c r="BW72" t="e">
        <f>AND('Final Grade'!D66,"AAAAAH6/i0o=")</f>
        <v>#VALUE!</v>
      </c>
      <c r="BX72" t="e">
        <f>AND('Final Grade'!E66,"AAAAAH6/i0s=")</f>
        <v>#VALUE!</v>
      </c>
      <c r="BY72" t="e">
        <f>AND('Final Grade'!F55,"AAAAAH6/i0w=")</f>
        <v>#VALUE!</v>
      </c>
      <c r="BZ72" t="e">
        <f>AND('Final Grade'!G55,"AAAAAH6/i00=")</f>
        <v>#VALUE!</v>
      </c>
      <c r="CA72" t="e">
        <f>AND('Final Grade'!H55,"AAAAAH6/i04=")</f>
        <v>#VALUE!</v>
      </c>
      <c r="CB72" t="e">
        <f>AND('Final Grade'!I55,"AAAAAH6/i08=")</f>
        <v>#VALUE!</v>
      </c>
      <c r="CC72" t="e">
        <f>AND('Final Grade'!J55,"AAAAAH6/i1A=")</f>
        <v>#VALUE!</v>
      </c>
      <c r="CD72" t="e">
        <f>AND('Final Grade'!K55,"AAAAAH6/i1E=")</f>
        <v>#VALUE!</v>
      </c>
      <c r="CE72" t="e">
        <f>AND('Final Grade'!L61,"AAAAAH6/i1I=")</f>
        <v>#VALUE!</v>
      </c>
      <c r="CF72" t="e">
        <f>AND('Final Grade'!M63,"AAAAAH6/i1M=")</f>
        <v>#VALUE!</v>
      </c>
      <c r="CG72" t="e">
        <f>AND('Final Grade'!N63,"AAAAAH6/i1Q=")</f>
        <v>#VALUE!</v>
      </c>
      <c r="CH72" t="e">
        <f>AND('Final Grade'!O63,"AAAAAH6/i1U=")</f>
        <v>#VALUE!</v>
      </c>
      <c r="CI72" t="e">
        <f>AND('Final Grade'!P63,"AAAAAH6/i1Y=")</f>
        <v>#VALUE!</v>
      </c>
      <c r="CJ72" t="e">
        <f>AND('Final Grade'!Q63,"AAAAAH6/i1c=")</f>
        <v>#VALUE!</v>
      </c>
      <c r="CK72" t="e">
        <f>AND('Final Grade'!R56,"AAAAAH6/i1g=")</f>
        <v>#VALUE!</v>
      </c>
      <c r="CL72" t="e">
        <f>AND('Final Grade'!S56,"AAAAAH6/i1k=")</f>
        <v>#VALUE!</v>
      </c>
      <c r="CM72" t="e">
        <f>AND('Final Grade'!T56,"AAAAAH6/i1o=")</f>
        <v>#VALUE!</v>
      </c>
      <c r="CN72" t="e">
        <f>AND('Final Grade'!U56,"AAAAAH6/i1s=")</f>
        <v>#VALUE!</v>
      </c>
      <c r="CO72" t="e">
        <f>AND('Final Grade'!V56,"AAAAAH6/i1w=")</f>
        <v>#VALUE!</v>
      </c>
      <c r="CP72" t="e">
        <f>AND('Final Grade'!W55,"AAAAAH6/i10=")</f>
        <v>#VALUE!</v>
      </c>
      <c r="CQ72" t="e">
        <f>AND('Final Grade'!X55,"AAAAAH6/i14=")</f>
        <v>#VALUE!</v>
      </c>
      <c r="CR72" t="e">
        <f>AND('Final Grade'!Y55,"AAAAAH6/i18=")</f>
        <v>#VALUE!</v>
      </c>
      <c r="CS72">
        <f>IF('Final Grade'!56:56,"AAAAAH6/i2A=",0)</f>
        <v>0</v>
      </c>
      <c r="CT72" t="e">
        <f>AND('Final Grade'!A67,"AAAAAH6/i2E=")</f>
        <v>#VALUE!</v>
      </c>
      <c r="CU72" t="e">
        <f>AND('Final Grade'!B67,"AAAAAH6/i2I=")</f>
        <v>#VALUE!</v>
      </c>
      <c r="CV72" t="e">
        <f>AND('Final Grade'!C67,"AAAAAH6/i2M=")</f>
        <v>#VALUE!</v>
      </c>
      <c r="CW72" t="e">
        <f>AND('Final Grade'!D67,"AAAAAH6/i2Q=")</f>
        <v>#VALUE!</v>
      </c>
      <c r="CX72" t="e">
        <f>AND('Final Grade'!E67,"AAAAAH6/i2U=")</f>
        <v>#VALUE!</v>
      </c>
      <c r="CY72" t="e">
        <f>AND('Final Grade'!F56,"AAAAAH6/i2Y=")</f>
        <v>#VALUE!</v>
      </c>
      <c r="CZ72" t="e">
        <f>AND('Final Grade'!G56,"AAAAAH6/i2c=")</f>
        <v>#VALUE!</v>
      </c>
      <c r="DA72" t="e">
        <f>AND('Final Grade'!H56,"AAAAAH6/i2g=")</f>
        <v>#VALUE!</v>
      </c>
      <c r="DB72" t="e">
        <f>AND('Final Grade'!I56,"AAAAAH6/i2k=")</f>
        <v>#VALUE!</v>
      </c>
      <c r="DC72" t="e">
        <f>AND('Final Grade'!J56,"AAAAAH6/i2o=")</f>
        <v>#VALUE!</v>
      </c>
      <c r="DD72" t="e">
        <f>AND('Final Grade'!K56,"AAAAAH6/i2s=")</f>
        <v>#VALUE!</v>
      </c>
      <c r="DE72" t="e">
        <f>AND('Final Grade'!L62,"AAAAAH6/i2w=")</f>
        <v>#VALUE!</v>
      </c>
      <c r="DF72" t="e">
        <f>AND('Final Grade'!M64,"AAAAAH6/i20=")</f>
        <v>#VALUE!</v>
      </c>
      <c r="DG72" t="e">
        <f>AND('Final Grade'!N64,"AAAAAH6/i24=")</f>
        <v>#VALUE!</v>
      </c>
      <c r="DH72" t="e">
        <f>AND('Final Grade'!O64,"AAAAAH6/i28=")</f>
        <v>#VALUE!</v>
      </c>
      <c r="DI72" t="e">
        <f>AND('Final Grade'!P64,"AAAAAH6/i3A=")</f>
        <v>#VALUE!</v>
      </c>
      <c r="DJ72" t="e">
        <f>AND('Final Grade'!Q64,"AAAAAH6/i3E=")</f>
        <v>#VALUE!</v>
      </c>
      <c r="DK72" t="e">
        <f>AND('Final Grade'!R57,"AAAAAH6/i3I=")</f>
        <v>#VALUE!</v>
      </c>
      <c r="DL72" t="e">
        <f>AND('Final Grade'!S57,"AAAAAH6/i3M=")</f>
        <v>#VALUE!</v>
      </c>
      <c r="DM72" t="e">
        <f>AND('Final Grade'!T57,"AAAAAH6/i3Q=")</f>
        <v>#VALUE!</v>
      </c>
      <c r="DN72" t="e">
        <f>AND('Final Grade'!U57,"AAAAAH6/i3U=")</f>
        <v>#VALUE!</v>
      </c>
      <c r="DO72" t="e">
        <f>AND('Final Grade'!V57,"AAAAAH6/i3Y=")</f>
        <v>#VALUE!</v>
      </c>
      <c r="DP72" t="e">
        <f>AND('Final Grade'!W56,"AAAAAH6/i3c=")</f>
        <v>#VALUE!</v>
      </c>
      <c r="DQ72" t="e">
        <f>AND('Final Grade'!X56,"AAAAAH6/i3g=")</f>
        <v>#VALUE!</v>
      </c>
      <c r="DR72" t="e">
        <f>AND('Final Grade'!Y56,"AAAAAH6/i3k=")</f>
        <v>#VALUE!</v>
      </c>
      <c r="DS72">
        <f>IF('Final Grade'!57:57,"AAAAAH6/i3o=",0)</f>
        <v>0</v>
      </c>
      <c r="DT72" t="e">
        <f>AND('Final Grade'!A68,"AAAAAH6/i3s=")</f>
        <v>#VALUE!</v>
      </c>
      <c r="DU72" t="e">
        <f>AND('Final Grade'!B68,"AAAAAH6/i3w=")</f>
        <v>#VALUE!</v>
      </c>
      <c r="DV72" t="e">
        <f>AND('Final Grade'!C68,"AAAAAH6/i30=")</f>
        <v>#VALUE!</v>
      </c>
      <c r="DW72" t="e">
        <f>AND('Final Grade'!D68,"AAAAAH6/i34=")</f>
        <v>#VALUE!</v>
      </c>
      <c r="DX72" t="e">
        <f>AND('Final Grade'!E68,"AAAAAH6/i38=")</f>
        <v>#VALUE!</v>
      </c>
      <c r="DY72" t="e">
        <f>AND('Final Grade'!F57,"AAAAAH6/i4A=")</f>
        <v>#VALUE!</v>
      </c>
      <c r="DZ72" t="e">
        <f>AND('Final Grade'!G57,"AAAAAH6/i4E=")</f>
        <v>#VALUE!</v>
      </c>
      <c r="EA72" t="e">
        <f>AND('Final Grade'!H57,"AAAAAH6/i4I=")</f>
        <v>#VALUE!</v>
      </c>
      <c r="EB72" t="e">
        <f>AND('Final Grade'!I57,"AAAAAH6/i4M=")</f>
        <v>#VALUE!</v>
      </c>
      <c r="EC72" t="e">
        <f>AND('Final Grade'!J57,"AAAAAH6/i4Q=")</f>
        <v>#VALUE!</v>
      </c>
      <c r="ED72" t="e">
        <f>AND('Final Grade'!K57,"AAAAAH6/i4U=")</f>
        <v>#VALUE!</v>
      </c>
      <c r="EE72" t="e">
        <f>AND('Final Grade'!L63,"AAAAAH6/i4Y=")</f>
        <v>#VALUE!</v>
      </c>
      <c r="EF72" t="e">
        <f>AND('Final Grade'!M65,"AAAAAH6/i4c=")</f>
        <v>#VALUE!</v>
      </c>
      <c r="EG72" t="e">
        <f>AND('Final Grade'!N65,"AAAAAH6/i4g=")</f>
        <v>#VALUE!</v>
      </c>
      <c r="EH72" t="e">
        <f>AND('Final Grade'!O65,"AAAAAH6/i4k=")</f>
        <v>#VALUE!</v>
      </c>
      <c r="EI72" t="e">
        <f>AND('Final Grade'!P65,"AAAAAH6/i4o=")</f>
        <v>#VALUE!</v>
      </c>
      <c r="EJ72" t="e">
        <f>AND('Final Grade'!Q65,"AAAAAH6/i4s=")</f>
        <v>#VALUE!</v>
      </c>
      <c r="EK72" t="e">
        <f>AND('Final Grade'!R58,"AAAAAH6/i4w=")</f>
        <v>#VALUE!</v>
      </c>
      <c r="EL72" t="e">
        <f>AND('Final Grade'!S58,"AAAAAH6/i40=")</f>
        <v>#VALUE!</v>
      </c>
      <c r="EM72" t="e">
        <f>AND('Final Grade'!T58,"AAAAAH6/i44=")</f>
        <v>#VALUE!</v>
      </c>
      <c r="EN72" t="e">
        <f>AND('Final Grade'!U58,"AAAAAH6/i48=")</f>
        <v>#VALUE!</v>
      </c>
      <c r="EO72" t="e">
        <f>AND('Final Grade'!V58,"AAAAAH6/i5A=")</f>
        <v>#VALUE!</v>
      </c>
      <c r="EP72" t="e">
        <f>AND('Final Grade'!W57,"AAAAAH6/i5E=")</f>
        <v>#VALUE!</v>
      </c>
      <c r="EQ72" t="e">
        <f>AND('Final Grade'!X57,"AAAAAH6/i5I=")</f>
        <v>#VALUE!</v>
      </c>
      <c r="ER72" t="e">
        <f>AND('Final Grade'!Y57,"AAAAAH6/i5M=")</f>
        <v>#VALUE!</v>
      </c>
      <c r="ES72">
        <f>IF('Final Grade'!58:58,"AAAAAH6/i5Q=",0)</f>
        <v>0</v>
      </c>
      <c r="ET72" t="e">
        <f>AND('Final Grade'!A69,"AAAAAH6/i5U=")</f>
        <v>#VALUE!</v>
      </c>
      <c r="EU72" t="e">
        <f>AND('Final Grade'!B69,"AAAAAH6/i5Y=")</f>
        <v>#VALUE!</v>
      </c>
      <c r="EV72" t="e">
        <f>AND('Final Grade'!C69,"AAAAAH6/i5c=")</f>
        <v>#VALUE!</v>
      </c>
      <c r="EW72" t="e">
        <f>AND('Final Grade'!D69,"AAAAAH6/i5g=")</f>
        <v>#VALUE!</v>
      </c>
      <c r="EX72" t="e">
        <f>AND('Final Grade'!E69,"AAAAAH6/i5k=")</f>
        <v>#VALUE!</v>
      </c>
      <c r="EY72" t="e">
        <f>AND('Final Grade'!F58,"AAAAAH6/i5o=")</f>
        <v>#VALUE!</v>
      </c>
      <c r="EZ72" t="e">
        <f>AND('Final Grade'!G58,"AAAAAH6/i5s=")</f>
        <v>#VALUE!</v>
      </c>
      <c r="FA72" t="e">
        <f>AND('Final Grade'!H58,"AAAAAH6/i5w=")</f>
        <v>#VALUE!</v>
      </c>
      <c r="FB72" t="e">
        <f>AND('Final Grade'!I58,"AAAAAH6/i50=")</f>
        <v>#VALUE!</v>
      </c>
      <c r="FC72" t="e">
        <f>AND('Final Grade'!J58,"AAAAAH6/i54=")</f>
        <v>#VALUE!</v>
      </c>
      <c r="FD72" t="e">
        <f>AND('Final Grade'!K58,"AAAAAH6/i58=")</f>
        <v>#VALUE!</v>
      </c>
      <c r="FE72" t="e">
        <f>AND('Final Grade'!L64,"AAAAAH6/i6A=")</f>
        <v>#VALUE!</v>
      </c>
      <c r="FF72" t="e">
        <f>AND('Final Grade'!M66,"AAAAAH6/i6E=")</f>
        <v>#VALUE!</v>
      </c>
      <c r="FG72" t="e">
        <f>AND('Final Grade'!N66,"AAAAAH6/i6I=")</f>
        <v>#VALUE!</v>
      </c>
      <c r="FH72" t="e">
        <f>AND('Final Grade'!O66,"AAAAAH6/i6M=")</f>
        <v>#VALUE!</v>
      </c>
      <c r="FI72" t="e">
        <f>AND('Final Grade'!P66,"AAAAAH6/i6Q=")</f>
        <v>#VALUE!</v>
      </c>
      <c r="FJ72" t="e">
        <f>AND('Final Grade'!Q66,"AAAAAH6/i6U=")</f>
        <v>#VALUE!</v>
      </c>
      <c r="FK72" t="e">
        <f>AND('Final Grade'!R59,"AAAAAH6/i6Y=")</f>
        <v>#VALUE!</v>
      </c>
      <c r="FL72" t="e">
        <f>AND('Final Grade'!S59,"AAAAAH6/i6c=")</f>
        <v>#VALUE!</v>
      </c>
      <c r="FM72" t="e">
        <f>AND('Final Grade'!T59,"AAAAAH6/i6g=")</f>
        <v>#VALUE!</v>
      </c>
      <c r="FN72" t="e">
        <f>AND('Final Grade'!U59,"AAAAAH6/i6k=")</f>
        <v>#VALUE!</v>
      </c>
      <c r="FO72" t="e">
        <f>AND('Final Grade'!V59,"AAAAAH6/i6o=")</f>
        <v>#VALUE!</v>
      </c>
      <c r="FP72" t="e">
        <f>AND('Final Grade'!W58,"AAAAAH6/i6s=")</f>
        <v>#VALUE!</v>
      </c>
      <c r="FQ72" t="e">
        <f>AND('Final Grade'!X58,"AAAAAH6/i6w=")</f>
        <v>#VALUE!</v>
      </c>
      <c r="FR72" t="e">
        <f>AND('Final Grade'!Y58,"AAAAAH6/i60=")</f>
        <v>#VALUE!</v>
      </c>
      <c r="FS72">
        <f>IF('Final Grade'!59:59,"AAAAAH6/i64=",0)</f>
        <v>0</v>
      </c>
      <c r="FT72" t="e">
        <f>AND('Final Grade'!A70,"AAAAAH6/i68=")</f>
        <v>#VALUE!</v>
      </c>
      <c r="FU72" t="e">
        <f>AND('Final Grade'!B70,"AAAAAH6/i7A=")</f>
        <v>#VALUE!</v>
      </c>
      <c r="FV72" t="e">
        <f>AND('Final Grade'!C70,"AAAAAH6/i7E=")</f>
        <v>#VALUE!</v>
      </c>
      <c r="FW72" t="e">
        <f>AND('Final Grade'!D70,"AAAAAH6/i7I=")</f>
        <v>#VALUE!</v>
      </c>
      <c r="FX72" t="e">
        <f>AND('Final Grade'!E70,"AAAAAH6/i7M=")</f>
        <v>#VALUE!</v>
      </c>
      <c r="FY72" t="e">
        <f>AND('Final Grade'!F59,"AAAAAH6/i7Q=")</f>
        <v>#VALUE!</v>
      </c>
      <c r="FZ72" t="e">
        <f>AND('Final Grade'!G59,"AAAAAH6/i7U=")</f>
        <v>#VALUE!</v>
      </c>
      <c r="GA72" t="e">
        <f>AND('Final Grade'!H59,"AAAAAH6/i7Y=")</f>
        <v>#VALUE!</v>
      </c>
      <c r="GB72" t="e">
        <f>AND('Final Grade'!I59,"AAAAAH6/i7c=")</f>
        <v>#VALUE!</v>
      </c>
      <c r="GC72" t="e">
        <f>AND('Final Grade'!J59,"AAAAAH6/i7g=")</f>
        <v>#VALUE!</v>
      </c>
      <c r="GD72" t="e">
        <f>AND('Final Grade'!K59,"AAAAAH6/i7k=")</f>
        <v>#VALUE!</v>
      </c>
      <c r="GE72" t="e">
        <f>AND('Final Grade'!L65,"AAAAAH6/i7o=")</f>
        <v>#VALUE!</v>
      </c>
      <c r="GF72" t="e">
        <f>AND('Final Grade'!M67,"AAAAAH6/i7s=")</f>
        <v>#VALUE!</v>
      </c>
      <c r="GG72" t="e">
        <f>AND('Final Grade'!N67,"AAAAAH6/i7w=")</f>
        <v>#VALUE!</v>
      </c>
      <c r="GH72" t="e">
        <f>AND('Final Grade'!O67,"AAAAAH6/i70=")</f>
        <v>#VALUE!</v>
      </c>
      <c r="GI72" t="e">
        <f>AND('Final Grade'!P67,"AAAAAH6/i74=")</f>
        <v>#VALUE!</v>
      </c>
      <c r="GJ72" t="e">
        <f>AND('Final Grade'!Q67,"AAAAAH6/i78=")</f>
        <v>#VALUE!</v>
      </c>
      <c r="GK72" t="e">
        <f>AND('Final Grade'!R60,"AAAAAH6/i8A=")</f>
        <v>#VALUE!</v>
      </c>
      <c r="GL72" t="e">
        <f>AND('Final Grade'!S60,"AAAAAH6/i8E=")</f>
        <v>#VALUE!</v>
      </c>
      <c r="GM72" t="e">
        <f>AND('Final Grade'!T60,"AAAAAH6/i8I=")</f>
        <v>#VALUE!</v>
      </c>
      <c r="GN72" t="e">
        <f>AND('Final Grade'!U60,"AAAAAH6/i8M=")</f>
        <v>#VALUE!</v>
      </c>
      <c r="GO72" t="e">
        <f>AND('Final Grade'!V60,"AAAAAH6/i8Q=")</f>
        <v>#VALUE!</v>
      </c>
      <c r="GP72" t="e">
        <f>AND('Final Grade'!W59,"AAAAAH6/i8U=")</f>
        <v>#VALUE!</v>
      </c>
      <c r="GQ72" t="e">
        <f>AND('Final Grade'!X59,"AAAAAH6/i8Y=")</f>
        <v>#VALUE!</v>
      </c>
      <c r="GR72" t="e">
        <f>AND('Final Grade'!Y59,"AAAAAH6/i8c=")</f>
        <v>#VALUE!</v>
      </c>
      <c r="GS72">
        <f>IF('Final Grade'!60:60,"AAAAAH6/i8g=",0)</f>
        <v>0</v>
      </c>
      <c r="GT72" t="e">
        <f>AND('Final Grade'!A71,"AAAAAH6/i8k=")</f>
        <v>#VALUE!</v>
      </c>
      <c r="GU72" t="e">
        <f>AND('Final Grade'!B71,"AAAAAH6/i8o=")</f>
        <v>#VALUE!</v>
      </c>
      <c r="GV72" t="e">
        <f>AND('Final Grade'!C71,"AAAAAH6/i8s=")</f>
        <v>#VALUE!</v>
      </c>
      <c r="GW72" t="e">
        <f>AND('Final Grade'!D71,"AAAAAH6/i8w=")</f>
        <v>#VALUE!</v>
      </c>
      <c r="GX72" t="e">
        <f>AND('Final Grade'!E71,"AAAAAH6/i80=")</f>
        <v>#VALUE!</v>
      </c>
      <c r="GY72" t="e">
        <f>AND('Final Grade'!F60,"AAAAAH6/i84=")</f>
        <v>#VALUE!</v>
      </c>
      <c r="GZ72" t="e">
        <f>AND('Final Grade'!G60,"AAAAAH6/i88=")</f>
        <v>#VALUE!</v>
      </c>
      <c r="HA72" t="e">
        <f>AND('Final Grade'!H60,"AAAAAH6/i9A=")</f>
        <v>#VALUE!</v>
      </c>
      <c r="HB72" t="e">
        <f>AND('Final Grade'!I60,"AAAAAH6/i9E=")</f>
        <v>#VALUE!</v>
      </c>
      <c r="HC72" t="e">
        <f>AND('Final Grade'!J60,"AAAAAH6/i9I=")</f>
        <v>#VALUE!</v>
      </c>
      <c r="HD72" t="e">
        <f>AND('Final Grade'!K60,"AAAAAH6/i9M=")</f>
        <v>#VALUE!</v>
      </c>
      <c r="HE72" t="e">
        <f>AND('Final Grade'!L66,"AAAAAH6/i9Q=")</f>
        <v>#VALUE!</v>
      </c>
      <c r="HF72" t="e">
        <f>AND('Final Grade'!M68,"AAAAAH6/i9U=")</f>
        <v>#VALUE!</v>
      </c>
      <c r="HG72" t="e">
        <f>AND('Final Grade'!N68,"AAAAAH6/i9Y=")</f>
        <v>#VALUE!</v>
      </c>
      <c r="HH72" t="e">
        <f>AND('Final Grade'!O68,"AAAAAH6/i9c=")</f>
        <v>#VALUE!</v>
      </c>
      <c r="HI72" t="e">
        <f>AND('Final Grade'!P68,"AAAAAH6/i9g=")</f>
        <v>#VALUE!</v>
      </c>
      <c r="HJ72" t="e">
        <f>AND('Final Grade'!Q68,"AAAAAH6/i9k=")</f>
        <v>#VALUE!</v>
      </c>
      <c r="HK72" t="e">
        <f>AND('Final Grade'!R61,"AAAAAH6/i9o=")</f>
        <v>#VALUE!</v>
      </c>
      <c r="HL72" t="e">
        <f>AND('Final Grade'!S61,"AAAAAH6/i9s=")</f>
        <v>#VALUE!</v>
      </c>
      <c r="HM72" t="e">
        <f>AND('Final Grade'!T61,"AAAAAH6/i9w=")</f>
        <v>#VALUE!</v>
      </c>
      <c r="HN72" t="e">
        <f>AND('Final Grade'!U61,"AAAAAH6/i90=")</f>
        <v>#VALUE!</v>
      </c>
      <c r="HO72" t="e">
        <f>AND('Final Grade'!V61,"AAAAAH6/i94=")</f>
        <v>#VALUE!</v>
      </c>
      <c r="HP72" t="e">
        <f>AND('Final Grade'!W60,"AAAAAH6/i98=")</f>
        <v>#VALUE!</v>
      </c>
      <c r="HQ72" t="e">
        <f>AND('Final Grade'!X60,"AAAAAH6/i+A=")</f>
        <v>#VALUE!</v>
      </c>
      <c r="HR72" t="e">
        <f>AND('Final Grade'!Y60,"AAAAAH6/i+E=")</f>
        <v>#VALUE!</v>
      </c>
      <c r="HS72">
        <f>IF('Final Grade'!61:61,"AAAAAH6/i+I=",0)</f>
        <v>0</v>
      </c>
      <c r="HT72">
        <f>IF('Final Grade'!62:62,"AAAAAH6/i+M=",0)</f>
        <v>0</v>
      </c>
      <c r="HU72">
        <f>IF('Final Grade'!63:63,"AAAAAH6/i+Q=",0)</f>
        <v>0</v>
      </c>
      <c r="HV72">
        <f>IF('Final Grade'!64:64,"AAAAAH6/i+U=",0)</f>
        <v>0</v>
      </c>
      <c r="HW72">
        <f>IF('Final Grade'!65:65,"AAAAAH6/i+Y=",0)</f>
        <v>0</v>
      </c>
      <c r="HX72">
        <f>IF('Final Grade'!66:66,"AAAAAH6/i+c=",0)</f>
        <v>0</v>
      </c>
      <c r="HY72">
        <f>IF('Final Grade'!67:67,"AAAAAH6/i+g=",0)</f>
        <v>0</v>
      </c>
      <c r="HZ72">
        <f>IF('Final Grade'!68:68,"AAAAAH6/i+k=",0)</f>
        <v>0</v>
      </c>
      <c r="IA72">
        <f>IF('Final Grade'!69:69,"AAAAAH6/i+o=",0)</f>
        <v>0</v>
      </c>
      <c r="IB72">
        <f>IF('Final Grade'!70:70,"AAAAAH6/i+s=",0)</f>
        <v>0</v>
      </c>
      <c r="IC72">
        <f>IF('Final Grade'!71:71,"AAAAAH6/i+w=",0)</f>
        <v>0</v>
      </c>
      <c r="ID72">
        <f>IF('Final Grade'!72:72,"AAAAAH6/i+0=",0)</f>
        <v>0</v>
      </c>
      <c r="IE72">
        <f>IF('Final Grade'!73:73,"AAAAAH6/i+4=",0)</f>
        <v>0</v>
      </c>
      <c r="IF72">
        <f>IF('Final Grade'!74:74,"AAAAAH6/i+8=",0)</f>
        <v>0</v>
      </c>
      <c r="IG72">
        <f>IF('Final Grade'!75:75,"AAAAAH6/i/A=",0)</f>
        <v>0</v>
      </c>
      <c r="IH72">
        <f>IF('Final Grade'!76:76,"AAAAAH6/i/E=",0)</f>
        <v>0</v>
      </c>
      <c r="II72">
        <f>IF('Final Grade'!77:77,"AAAAAH6/i/I=",0)</f>
        <v>0</v>
      </c>
      <c r="IJ72">
        <f>IF('Final Grade'!78:78,"AAAAAH6/i/M=",0)</f>
        <v>0</v>
      </c>
      <c r="IK72">
        <f>IF('Final Grade'!79:79,"AAAAAH6/i/Q=",0)</f>
        <v>0</v>
      </c>
      <c r="IL72">
        <f>IF('Final Grade'!80:80,"AAAAAH6/i/U=",0)</f>
        <v>0</v>
      </c>
      <c r="IM72">
        <f>IF('Final Grade'!81:81,"AAAAAH6/i/Y=",0)</f>
        <v>0</v>
      </c>
      <c r="IN72">
        <f>IF('Final Grade'!82:82,"AAAAAH6/i/c=",0)</f>
        <v>0</v>
      </c>
      <c r="IO72">
        <f>IF('Final Grade'!83:83,"AAAAAH6/i/g=",0)</f>
        <v>0</v>
      </c>
      <c r="IP72">
        <f>IF('Final Grade'!84:84,"AAAAAH6/i/k=",0)</f>
        <v>0</v>
      </c>
      <c r="IQ72">
        <f>IF('Final Grade'!85:85,"AAAAAH6/i/o=",0)</f>
        <v>0</v>
      </c>
      <c r="IR72">
        <f>IF('Final Grade'!86:86,"AAAAAH6/i/s=",0)</f>
        <v>0</v>
      </c>
      <c r="IS72">
        <f>IF('Final Grade'!87:87,"AAAAAH6/i/w=",0)</f>
        <v>0</v>
      </c>
      <c r="IT72">
        <f>IF('Final Grade'!88:88,"AAAAAH6/i/0=",0)</f>
        <v>0</v>
      </c>
      <c r="IU72">
        <f>IF('Final Grade'!89:89,"AAAAAH6/i/4=",0)</f>
        <v>0</v>
      </c>
      <c r="IV72">
        <f>IF('Final Grade'!90:90,"AAAAAH6/i/8=",0)</f>
        <v>0</v>
      </c>
    </row>
    <row r="73" spans="1:256" x14ac:dyDescent="0.15">
      <c r="A73">
        <f>IF('Final Grade'!91:91,"AAAAAB6HzwA=",0)</f>
        <v>0</v>
      </c>
      <c r="B73">
        <f>IF('Final Grade'!92:92,"AAAAAB6HzwE=",0)</f>
        <v>0</v>
      </c>
      <c r="C73">
        <f>IF('Final Grade'!93:93,"AAAAAB6HzwI=",0)</f>
        <v>0</v>
      </c>
      <c r="D73">
        <f>IF('Final Grade'!94:94,"AAAAAB6HzwM=",0)</f>
        <v>0</v>
      </c>
      <c r="E73">
        <f>IF('Final Grade'!95:95,"AAAAAB6HzwQ=",0)</f>
        <v>0</v>
      </c>
      <c r="F73">
        <f>IF('Final Grade'!96:96,"AAAAAB6HzwU=",0)</f>
        <v>0</v>
      </c>
      <c r="G73">
        <f>IF('Final Grade'!97:97,"AAAAAB6HzwY=",0)</f>
        <v>0</v>
      </c>
      <c r="H73">
        <f>IF('Final Grade'!98:98,"AAAAAB6Hzwc=",0)</f>
        <v>0</v>
      </c>
      <c r="I73">
        <f>IF('Final Grade'!99:99,"AAAAAB6Hzwg=",0)</f>
        <v>0</v>
      </c>
      <c r="J73">
        <f>IF('Final Grade'!100:100,"AAAAAB6Hzwk=",0)</f>
        <v>0</v>
      </c>
      <c r="K73">
        <f>IF('Final Grade'!101:101,"AAAAAB6Hzwo=",0)</f>
        <v>0</v>
      </c>
      <c r="L73">
        <f>IF('Final Grade'!102:102,"AAAAAB6Hzws=",0)</f>
        <v>0</v>
      </c>
      <c r="M73">
        <f>IF('Final Grade'!103:103,"AAAAAB6Hzww=",0)</f>
        <v>0</v>
      </c>
      <c r="N73">
        <f>IF('Final Grade'!104:104,"AAAAAB6Hzw0=",0)</f>
        <v>0</v>
      </c>
      <c r="O73">
        <f>IF('Final Grade'!105:105,"AAAAAB6Hzw4=",0)</f>
        <v>0</v>
      </c>
      <c r="P73">
        <f>IF('Final Grade'!106:106,"AAAAAB6Hzw8=",0)</f>
        <v>0</v>
      </c>
      <c r="Q73">
        <f>IF('Final Grade'!107:107,"AAAAAB6HzxA=",0)</f>
        <v>0</v>
      </c>
      <c r="R73">
        <f>IF('Final Grade'!108:108,"AAAAAB6HzxE=",0)</f>
        <v>0</v>
      </c>
      <c r="S73">
        <f>IF('Final Grade'!109:109,"AAAAAB6HzxI=",0)</f>
        <v>0</v>
      </c>
      <c r="T73">
        <f>IF('Final Grade'!110:110,"AAAAAB6HzxM=",0)</f>
        <v>0</v>
      </c>
      <c r="U73">
        <f>IF('Final Grade'!111:111,"AAAAAB6HzxQ=",0)</f>
        <v>0</v>
      </c>
      <c r="V73">
        <f>IF('Final Grade'!112:112,"AAAAAB6HzxU=",0)</f>
        <v>0</v>
      </c>
      <c r="W73">
        <f>IF('Final Grade'!113:113,"AAAAAB6HzxY=",0)</f>
        <v>0</v>
      </c>
      <c r="X73">
        <f>IF('Final Grade'!114:114,"AAAAAB6Hzxc=",0)</f>
        <v>0</v>
      </c>
      <c r="Y73">
        <f>IF('Final Grade'!115:115,"AAAAAB6Hzxg=",0)</f>
        <v>0</v>
      </c>
      <c r="Z73">
        <f>IF('Final Grade'!116:116,"AAAAAB6Hzxk=",0)</f>
        <v>0</v>
      </c>
      <c r="AA73">
        <f>IF('Final Grade'!117:117,"AAAAAB6Hzxo=",0)</f>
        <v>0</v>
      </c>
      <c r="AB73">
        <f>IF('Final Grade'!118:118,"AAAAAB6Hzxs=",0)</f>
        <v>0</v>
      </c>
      <c r="AC73">
        <f>IF('Final Grade'!119:119,"AAAAAB6Hzxw=",0)</f>
        <v>0</v>
      </c>
      <c r="AD73">
        <f>IF('Final Grade'!120:120,"AAAAAB6Hzx0=",0)</f>
        <v>0</v>
      </c>
      <c r="AE73">
        <f>IF('Final Grade'!121:121,"AAAAAB6Hzx4=",0)</f>
        <v>0</v>
      </c>
      <c r="AF73">
        <f>IF('Final Grade'!122:122,"AAAAAB6Hzx8=",0)</f>
        <v>0</v>
      </c>
      <c r="AG73">
        <f>IF('Final Grade'!123:123,"AAAAAB6HzyA=",0)</f>
        <v>0</v>
      </c>
      <c r="AH73">
        <f>IF('Final Grade'!124:124,"AAAAAB6HzyE=",0)</f>
        <v>0</v>
      </c>
      <c r="AI73">
        <f>IF('Final Grade'!125:125,"AAAAAB6HzyI=",0)</f>
        <v>0</v>
      </c>
      <c r="AJ73">
        <f>IF('Final Grade'!126:126,"AAAAAB6HzyM=",0)</f>
        <v>0</v>
      </c>
      <c r="AK73">
        <f>IF('Final Grade'!127:127,"AAAAAB6HzyQ=",0)</f>
        <v>0</v>
      </c>
      <c r="AL73">
        <f>IF('Final Grade'!128:128,"AAAAAB6HzyU=",0)</f>
        <v>0</v>
      </c>
      <c r="AM73">
        <f>IF('Final Grade'!129:129,"AAAAAB6HzyY=",0)</f>
        <v>0</v>
      </c>
      <c r="AN73">
        <f>IF('Final Grade'!130:130,"AAAAAB6Hzyc=",0)</f>
        <v>0</v>
      </c>
      <c r="AO73">
        <f>IF('Final Grade'!131:131,"AAAAAB6Hzyg=",0)</f>
        <v>0</v>
      </c>
      <c r="AP73">
        <f>IF('Final Grade'!132:132,"AAAAAB6Hzyk=",0)</f>
        <v>0</v>
      </c>
      <c r="AQ73">
        <f>IF('Final Grade'!133:133,"AAAAAB6Hzyo=",0)</f>
        <v>0</v>
      </c>
      <c r="AR73">
        <f>IF('Final Grade'!134:134,"AAAAAB6Hzys=",0)</f>
        <v>0</v>
      </c>
      <c r="AS73">
        <f>IF('Final Grade'!135:135,"AAAAAB6Hzyw=",0)</f>
        <v>0</v>
      </c>
      <c r="AT73">
        <f>IF('Final Grade'!136:136,"AAAAAB6Hzy0=",0)</f>
        <v>0</v>
      </c>
      <c r="AU73">
        <f>IF('Final Grade'!137:137,"AAAAAB6Hzy4=",0)</f>
        <v>0</v>
      </c>
      <c r="AV73">
        <f>IF('Final Grade'!A:A,"AAAAAB6Hzy8=",0)</f>
        <v>0</v>
      </c>
      <c r="AW73">
        <f>IF('Final Grade'!B:B,"AAAAAB6HzzA=",0)</f>
        <v>0</v>
      </c>
      <c r="AX73">
        <f>IF('Final Grade'!C:C,"AAAAAB6HzzE=",0)</f>
        <v>0</v>
      </c>
      <c r="AY73">
        <f>IF('Final Grade'!D:D,"AAAAAB6HzzI=",0)</f>
        <v>0</v>
      </c>
      <c r="AZ73">
        <f>IF('Final Grade'!E:E,"AAAAAB6HzzM=",0)</f>
        <v>0</v>
      </c>
      <c r="BA73">
        <f>IF('Final Grade'!F:F,"AAAAAB6HzzQ=",0)</f>
        <v>0</v>
      </c>
      <c r="BB73">
        <f>IF('Final Grade'!G:G,"AAAAAB6HzzU=",0)</f>
        <v>0</v>
      </c>
      <c r="BC73">
        <f>IF('Final Grade'!H:H,"AAAAAB6HzzY=",0)</f>
        <v>0</v>
      </c>
      <c r="BD73">
        <f>IF('Final Grade'!I:I,"AAAAAB6Hzzc=",0)</f>
        <v>0</v>
      </c>
      <c r="BE73">
        <f>IF('Final Grade'!J:J,"AAAAAB6Hzzg=",0)</f>
        <v>0</v>
      </c>
      <c r="BF73">
        <f>IF('Final Grade'!K:K,"AAAAAB6Hzzk=",0)</f>
        <v>0</v>
      </c>
      <c r="BG73">
        <f>IF('Final Grade'!L:L,"AAAAAB6Hzzo=",0)</f>
        <v>0</v>
      </c>
      <c r="BH73">
        <f>IF('Final Grade'!M:M,"AAAAAB6Hzzs=",0)</f>
        <v>0</v>
      </c>
      <c r="BI73">
        <f>IF('Final Grade'!N:N,"AAAAAB6Hzzw=",0)</f>
        <v>0</v>
      </c>
      <c r="BJ73">
        <f>IF('Final Grade'!O:O,"AAAAAB6Hzz0=",0)</f>
        <v>0</v>
      </c>
      <c r="BK73">
        <f>IF('Final Grade'!P:P,"AAAAAB6Hzz4=",0)</f>
        <v>0</v>
      </c>
      <c r="BL73">
        <f>IF('Final Grade'!Q:Q,"AAAAAB6Hzz8=",0)</f>
        <v>0</v>
      </c>
      <c r="BM73">
        <f>IF('Final Grade'!R:R,"AAAAAB6Hz0A=",0)</f>
        <v>0</v>
      </c>
      <c r="BN73">
        <f>IF('Final Grade'!S:S,"AAAAAB6Hz0E=",0)</f>
        <v>0</v>
      </c>
      <c r="BO73">
        <f>IF('Final Grade'!T:T,"AAAAAB6Hz0I=",0)</f>
        <v>0</v>
      </c>
      <c r="BP73">
        <f>IF('Final Grade'!U:U,"AAAAAB6Hz0M=",0)</f>
        <v>0</v>
      </c>
      <c r="BQ73">
        <f>IF('Final Grade'!V:V,"AAAAAB6Hz0Q=",0)</f>
        <v>0</v>
      </c>
      <c r="BR73">
        <f>IF('Final Grade'!W:W,"AAAAAB6Hz0U=",0)</f>
        <v>0</v>
      </c>
      <c r="BS73">
        <f>IF('Final Grade'!X:X,"AAAAAB6Hz0Y=",0)</f>
        <v>0</v>
      </c>
      <c r="BT73">
        <f>IF('Final Grade'!Y:Y,"AAAAAB6Hz0c=",0)</f>
        <v>0</v>
      </c>
      <c r="BU73">
        <f>IF(Names!1:1,"AAAAAB6Hz0g=",0)</f>
        <v>0</v>
      </c>
      <c r="BV73" t="e">
        <f>AND(Names!A1,"AAAAAB6Hz0k=")</f>
        <v>#VALUE!</v>
      </c>
      <c r="BW73" t="e">
        <f>AND(Names!B1,"AAAAAB6Hz0o=")</f>
        <v>#VALUE!</v>
      </c>
      <c r="BX73" t="e">
        <f>AND(Names!C1,"AAAAAB6Hz0s=")</f>
        <v>#VALUE!</v>
      </c>
      <c r="BY73" t="e">
        <f>AND(Names!D1,"AAAAAB6Hz0w=")</f>
        <v>#VALUE!</v>
      </c>
      <c r="BZ73" t="e">
        <f>AND(Names!E1,"AAAAAB6Hz00=")</f>
        <v>#VALUE!</v>
      </c>
      <c r="CA73" t="e">
        <f>AND(Names!F1,"AAAAAB6Hz04=")</f>
        <v>#VALUE!</v>
      </c>
      <c r="CB73" t="e">
        <f>AND(Names!G1,"AAAAAB6Hz08=")</f>
        <v>#VALUE!</v>
      </c>
      <c r="CC73" t="e">
        <f>AND(Names!H1,"AAAAAB6Hz1A=")</f>
        <v>#VALUE!</v>
      </c>
      <c r="CD73" t="e">
        <f>AND(Names!I1,"AAAAAB6Hz1E=")</f>
        <v>#VALUE!</v>
      </c>
      <c r="CE73" t="e">
        <f>AND(Names!J1,"AAAAAB6Hz1I=")</f>
        <v>#VALUE!</v>
      </c>
      <c r="CF73" t="e">
        <f>AND(Names!K1,"AAAAAB6Hz1M=")</f>
        <v>#VALUE!</v>
      </c>
      <c r="CG73" t="e">
        <f>AND(Names!L1,"AAAAAB6Hz1Q=")</f>
        <v>#VALUE!</v>
      </c>
      <c r="CH73" t="e">
        <f>AND(Names!M1,"AAAAAB6Hz1U=")</f>
        <v>#VALUE!</v>
      </c>
      <c r="CI73" t="e">
        <f>AND(Names!N1,"AAAAAB6Hz1Y=")</f>
        <v>#VALUE!</v>
      </c>
      <c r="CJ73" t="e">
        <f>AND(Names!O1,"AAAAAB6Hz1c=")</f>
        <v>#VALUE!</v>
      </c>
      <c r="CK73" t="e">
        <f>AND(Names!P1,"AAAAAB6Hz1g=")</f>
        <v>#VALUE!</v>
      </c>
      <c r="CL73" t="e">
        <f>AND(Names!Q1,"AAAAAB6Hz1k=")</f>
        <v>#VALUE!</v>
      </c>
      <c r="CM73" t="e">
        <f>AND(Names!R1,"AAAAAB6Hz1o=")</f>
        <v>#VALUE!</v>
      </c>
      <c r="CN73" t="e">
        <f>AND(Names!S1,"AAAAAB6Hz1s=")</f>
        <v>#VALUE!</v>
      </c>
      <c r="CO73" t="e">
        <f>AND(Names!T1,"AAAAAB6Hz1w=")</f>
        <v>#VALUE!</v>
      </c>
      <c r="CP73" t="e">
        <f>AND(Names!U1,"AAAAAB6Hz10=")</f>
        <v>#VALUE!</v>
      </c>
      <c r="CQ73" t="e">
        <f>AND(Names!V1,"AAAAAB6Hz14=")</f>
        <v>#VALUE!</v>
      </c>
      <c r="CR73" t="e">
        <f>AND(Names!W1,"AAAAAB6Hz18=")</f>
        <v>#VALUE!</v>
      </c>
      <c r="CS73" t="e">
        <f>AND(Names!X1,"AAAAAB6Hz2A=")</f>
        <v>#VALUE!</v>
      </c>
      <c r="CT73" t="e">
        <f>AND(Names!Y1,"AAAAAB6Hz2E=")</f>
        <v>#VALUE!</v>
      </c>
      <c r="CU73" t="e">
        <f>AND(Names!Z1,"AAAAAB6Hz2I=")</f>
        <v>#VALUE!</v>
      </c>
      <c r="CV73" t="e">
        <f>AND(Names!AA1,"AAAAAB6Hz2M=")</f>
        <v>#VALUE!</v>
      </c>
      <c r="CW73" t="e">
        <f>AND(Names!AB1,"AAAAAB6Hz2Q=")</f>
        <v>#VALUE!</v>
      </c>
      <c r="CX73" t="e">
        <f>AND(Names!AC1,"AAAAAB6Hz2U=")</f>
        <v>#VALUE!</v>
      </c>
      <c r="CY73" t="e">
        <f>AND(Names!AD1,"AAAAAB6Hz2Y=")</f>
        <v>#VALUE!</v>
      </c>
      <c r="CZ73" t="e">
        <f>AND(Names!AE1,"AAAAAB6Hz2c=")</f>
        <v>#VALUE!</v>
      </c>
      <c r="DA73" t="e">
        <f>AND(Names!AF1,"AAAAAB6Hz2g=")</f>
        <v>#VALUE!</v>
      </c>
      <c r="DB73" t="e">
        <f>AND(Names!AG1,"AAAAAB6Hz2k=")</f>
        <v>#VALUE!</v>
      </c>
      <c r="DC73" t="e">
        <f>AND(Names!AH1,"AAAAAB6Hz2o=")</f>
        <v>#VALUE!</v>
      </c>
      <c r="DD73" t="e">
        <f>AND(Names!AI1,"AAAAAB6Hz2s=")</f>
        <v>#VALUE!</v>
      </c>
      <c r="DE73" t="e">
        <f>AND(Names!AJ1,"AAAAAB6Hz2w=")</f>
        <v>#VALUE!</v>
      </c>
      <c r="DF73" t="e">
        <f>AND(Names!AK1,"AAAAAB6Hz20=")</f>
        <v>#VALUE!</v>
      </c>
      <c r="DG73" t="e">
        <f>AND(Names!AL1,"AAAAAB6Hz24=")</f>
        <v>#VALUE!</v>
      </c>
      <c r="DH73" t="e">
        <f>AND(Names!AM1,"AAAAAB6Hz28=")</f>
        <v>#VALUE!</v>
      </c>
      <c r="DI73">
        <f>IF(Names!2:2,"AAAAAB6Hz3A=",0)</f>
        <v>0</v>
      </c>
      <c r="DJ73" t="e">
        <f>AND(Names!A2,"AAAAAB6Hz3E=")</f>
        <v>#VALUE!</v>
      </c>
      <c r="DK73" t="e">
        <f>AND(Names!B2,"AAAAAB6Hz3I=")</f>
        <v>#VALUE!</v>
      </c>
      <c r="DL73" t="e">
        <f>AND(Names!C2,"AAAAAB6Hz3M=")</f>
        <v>#VALUE!</v>
      </c>
      <c r="DM73" t="e">
        <f>AND(Names!D2,"AAAAAB6Hz3Q=")</f>
        <v>#VALUE!</v>
      </c>
      <c r="DN73" t="e">
        <f>AND(Names!E2,"AAAAAB6Hz3U=")</f>
        <v>#VALUE!</v>
      </c>
      <c r="DO73" t="e">
        <f>AND(Names!F2,"AAAAAB6Hz3Y=")</f>
        <v>#VALUE!</v>
      </c>
      <c r="DP73" t="e">
        <f>AND(Names!G2,"AAAAAB6Hz3c=")</f>
        <v>#VALUE!</v>
      </c>
      <c r="DQ73" t="e">
        <f>AND(Names!H2,"AAAAAB6Hz3g=")</f>
        <v>#VALUE!</v>
      </c>
      <c r="DR73" t="e">
        <f>AND(Names!I2,"AAAAAB6Hz3k=")</f>
        <v>#VALUE!</v>
      </c>
      <c r="DS73" t="e">
        <f>AND(Names!J2,"AAAAAB6Hz3o=")</f>
        <v>#VALUE!</v>
      </c>
      <c r="DT73" t="e">
        <f>AND(Names!K2,"AAAAAB6Hz3s=")</f>
        <v>#VALUE!</v>
      </c>
      <c r="DU73" t="e">
        <f>AND(Names!L2,"AAAAAB6Hz3w=")</f>
        <v>#VALUE!</v>
      </c>
      <c r="DV73" t="e">
        <f>AND(Names!M2,"AAAAAB6Hz30=")</f>
        <v>#VALUE!</v>
      </c>
      <c r="DW73" t="e">
        <f>AND(Names!N2,"AAAAAB6Hz34=")</f>
        <v>#VALUE!</v>
      </c>
      <c r="DX73" t="e">
        <f>AND(Names!O2,"AAAAAB6Hz38=")</f>
        <v>#VALUE!</v>
      </c>
      <c r="DY73" t="e">
        <f>AND(Names!P2,"AAAAAB6Hz4A=")</f>
        <v>#VALUE!</v>
      </c>
      <c r="DZ73" t="e">
        <f>AND(Names!Q2,"AAAAAB6Hz4E=")</f>
        <v>#VALUE!</v>
      </c>
      <c r="EA73" t="e">
        <f>AND(Names!R2,"AAAAAB6Hz4I=")</f>
        <v>#VALUE!</v>
      </c>
      <c r="EB73" t="e">
        <f>AND(Names!S2,"AAAAAB6Hz4M=")</f>
        <v>#VALUE!</v>
      </c>
      <c r="EC73" t="e">
        <f>AND(Names!T2,"AAAAAB6Hz4Q=")</f>
        <v>#VALUE!</v>
      </c>
      <c r="ED73" t="e">
        <f>AND(Names!U2,"AAAAAB6Hz4U=")</f>
        <v>#VALUE!</v>
      </c>
      <c r="EE73" t="e">
        <f>AND(Names!V2,"AAAAAB6Hz4Y=")</f>
        <v>#VALUE!</v>
      </c>
      <c r="EF73" t="e">
        <f>AND(Names!W2,"AAAAAB6Hz4c=")</f>
        <v>#VALUE!</v>
      </c>
      <c r="EG73" t="e">
        <f>AND(Names!X2,"AAAAAB6Hz4g=")</f>
        <v>#VALUE!</v>
      </c>
      <c r="EH73" t="e">
        <f>AND(Names!Y2,"AAAAAB6Hz4k=")</f>
        <v>#VALUE!</v>
      </c>
      <c r="EI73" t="e">
        <f>AND(Names!Z2,"AAAAAB6Hz4o=")</f>
        <v>#VALUE!</v>
      </c>
      <c r="EJ73" t="e">
        <f>AND(Names!AA2,"AAAAAB6Hz4s=")</f>
        <v>#VALUE!</v>
      </c>
      <c r="EK73" t="e">
        <f>AND(Names!AB2,"AAAAAB6Hz4w=")</f>
        <v>#VALUE!</v>
      </c>
      <c r="EL73" t="e">
        <f>AND(Names!AC2,"AAAAAB6Hz40=")</f>
        <v>#VALUE!</v>
      </c>
      <c r="EM73" t="e">
        <f>AND(Names!AD2,"AAAAAB6Hz44=")</f>
        <v>#VALUE!</v>
      </c>
      <c r="EN73" t="e">
        <f>AND(Names!AE2,"AAAAAB6Hz48=")</f>
        <v>#VALUE!</v>
      </c>
      <c r="EO73" t="e">
        <f>AND(Names!AF2,"AAAAAB6Hz5A=")</f>
        <v>#VALUE!</v>
      </c>
      <c r="EP73" t="e">
        <f>AND(Names!AG2,"AAAAAB6Hz5E=")</f>
        <v>#VALUE!</v>
      </c>
      <c r="EQ73" t="e">
        <f>AND(Names!AH2,"AAAAAB6Hz5I=")</f>
        <v>#VALUE!</v>
      </c>
      <c r="ER73" t="e">
        <f>AND(Names!AI2,"AAAAAB6Hz5M=")</f>
        <v>#VALUE!</v>
      </c>
      <c r="ES73" t="e">
        <f>AND(Names!AJ2,"AAAAAB6Hz5Q=")</f>
        <v>#VALUE!</v>
      </c>
      <c r="ET73" t="e">
        <f>AND(Names!AK2,"AAAAAB6Hz5U=")</f>
        <v>#VALUE!</v>
      </c>
      <c r="EU73" t="e">
        <f>AND(Names!AL2,"AAAAAB6Hz5Y=")</f>
        <v>#VALUE!</v>
      </c>
      <c r="EV73" t="e">
        <f>AND(Names!AM2,"AAAAAB6Hz5c=")</f>
        <v>#VALUE!</v>
      </c>
      <c r="EW73">
        <f>IF(Names!3:3,"AAAAAB6Hz5g=",0)</f>
        <v>0</v>
      </c>
      <c r="EX73" t="e">
        <f>AND(Names!A3,"AAAAAB6Hz5k=")</f>
        <v>#VALUE!</v>
      </c>
      <c r="EY73" t="e">
        <f>AND(Names!B3,"AAAAAB6Hz5o=")</f>
        <v>#VALUE!</v>
      </c>
      <c r="EZ73" t="e">
        <f>AND(Names!C3,"AAAAAB6Hz5s=")</f>
        <v>#VALUE!</v>
      </c>
      <c r="FA73" t="e">
        <f>AND(Names!D3,"AAAAAB6Hz5w=")</f>
        <v>#VALUE!</v>
      </c>
      <c r="FB73" t="e">
        <f>AND(Names!E3,"AAAAAB6Hz50=")</f>
        <v>#VALUE!</v>
      </c>
      <c r="FC73" t="e">
        <f>AND(Names!F3,"AAAAAB6Hz54=")</f>
        <v>#VALUE!</v>
      </c>
      <c r="FD73" t="e">
        <f>AND(Names!G3,"AAAAAB6Hz58=")</f>
        <v>#VALUE!</v>
      </c>
      <c r="FE73" t="e">
        <f>AND(Names!H3,"AAAAAB6Hz6A=")</f>
        <v>#VALUE!</v>
      </c>
      <c r="FF73" t="e">
        <f>AND(Names!I3,"AAAAAB6Hz6E=")</f>
        <v>#VALUE!</v>
      </c>
      <c r="FG73" t="e">
        <f>AND(Names!J3,"AAAAAB6Hz6I=")</f>
        <v>#VALUE!</v>
      </c>
      <c r="FH73" t="e">
        <f>AND(Names!K3,"AAAAAB6Hz6M=")</f>
        <v>#VALUE!</v>
      </c>
      <c r="FI73" t="e">
        <f>AND(Names!L3,"AAAAAB6Hz6Q=")</f>
        <v>#VALUE!</v>
      </c>
      <c r="FJ73" t="e">
        <f>AND(Names!M3,"AAAAAB6Hz6U=")</f>
        <v>#VALUE!</v>
      </c>
      <c r="FK73" t="e">
        <f>AND(Names!N3,"AAAAAB6Hz6Y=")</f>
        <v>#VALUE!</v>
      </c>
      <c r="FL73" t="e">
        <f>AND(Names!O3,"AAAAAB6Hz6c=")</f>
        <v>#VALUE!</v>
      </c>
      <c r="FM73" t="e">
        <f>AND(Names!P3,"AAAAAB6Hz6g=")</f>
        <v>#VALUE!</v>
      </c>
      <c r="FN73" t="e">
        <f>AND(Names!Q3,"AAAAAB6Hz6k=")</f>
        <v>#VALUE!</v>
      </c>
      <c r="FO73" t="e">
        <f>AND(Names!R3,"AAAAAB6Hz6o=")</f>
        <v>#VALUE!</v>
      </c>
      <c r="FP73" t="e">
        <f>AND(Names!S3,"AAAAAB6Hz6s=")</f>
        <v>#VALUE!</v>
      </c>
      <c r="FQ73" t="e">
        <f>AND(Names!T3,"AAAAAB6Hz6w=")</f>
        <v>#VALUE!</v>
      </c>
      <c r="FR73" t="e">
        <f>AND(Names!U3,"AAAAAB6Hz60=")</f>
        <v>#VALUE!</v>
      </c>
      <c r="FS73" t="e">
        <f>AND(Names!V3,"AAAAAB6Hz64=")</f>
        <v>#VALUE!</v>
      </c>
      <c r="FT73" t="e">
        <f>AND(Names!W3,"AAAAAB6Hz68=")</f>
        <v>#VALUE!</v>
      </c>
      <c r="FU73" t="e">
        <f>AND(Names!X3,"AAAAAB6Hz7A=")</f>
        <v>#VALUE!</v>
      </c>
      <c r="FV73" t="e">
        <f>AND(Names!Y3,"AAAAAB6Hz7E=")</f>
        <v>#VALUE!</v>
      </c>
      <c r="FW73" t="e">
        <f>AND(Names!Z3,"AAAAAB6Hz7I=")</f>
        <v>#VALUE!</v>
      </c>
      <c r="FX73" t="e">
        <f>AND(Names!AA3,"AAAAAB6Hz7M=")</f>
        <v>#VALUE!</v>
      </c>
      <c r="FY73" t="e">
        <f>AND(Names!AB3,"AAAAAB6Hz7Q=")</f>
        <v>#VALUE!</v>
      </c>
      <c r="FZ73" t="e">
        <f>AND(Names!AC3,"AAAAAB6Hz7U=")</f>
        <v>#VALUE!</v>
      </c>
      <c r="GA73" t="e">
        <f>AND(Names!AD3,"AAAAAB6Hz7Y=")</f>
        <v>#VALUE!</v>
      </c>
      <c r="GB73" t="e">
        <f>AND(Names!AE3,"AAAAAB6Hz7c=")</f>
        <v>#VALUE!</v>
      </c>
      <c r="GC73" t="e">
        <f>AND(Names!AF3,"AAAAAB6Hz7g=")</f>
        <v>#VALUE!</v>
      </c>
      <c r="GD73" t="e">
        <f>AND(Names!AG3,"AAAAAB6Hz7k=")</f>
        <v>#VALUE!</v>
      </c>
      <c r="GE73" t="e">
        <f>AND(Names!AH3,"AAAAAB6Hz7o=")</f>
        <v>#VALUE!</v>
      </c>
      <c r="GF73" t="e">
        <f>AND(Names!AI3,"AAAAAB6Hz7s=")</f>
        <v>#VALUE!</v>
      </c>
      <c r="GG73" t="e">
        <f>AND(Names!AJ3,"AAAAAB6Hz7w=")</f>
        <v>#VALUE!</v>
      </c>
      <c r="GH73" t="e">
        <f>AND(Names!AK3,"AAAAAB6Hz70=")</f>
        <v>#VALUE!</v>
      </c>
      <c r="GI73" t="e">
        <f>AND(Names!AL3,"AAAAAB6Hz74=")</f>
        <v>#VALUE!</v>
      </c>
      <c r="GJ73" t="e">
        <f>AND(Names!AM3,"AAAAAB6Hz78=")</f>
        <v>#VALUE!</v>
      </c>
      <c r="GK73">
        <f>IF(Names!4:4,"AAAAAB6Hz8A=",0)</f>
        <v>0</v>
      </c>
      <c r="GL73" t="e">
        <f>AND(Names!A4,"AAAAAB6Hz8E=")</f>
        <v>#VALUE!</v>
      </c>
      <c r="GM73" t="e">
        <f>AND(Names!B4,"AAAAAB6Hz8I=")</f>
        <v>#VALUE!</v>
      </c>
      <c r="GN73" t="e">
        <f>AND(Names!C4,"AAAAAB6Hz8M=")</f>
        <v>#VALUE!</v>
      </c>
      <c r="GO73" t="e">
        <f>AND(Names!D4,"AAAAAB6Hz8Q=")</f>
        <v>#VALUE!</v>
      </c>
      <c r="GP73" t="e">
        <f>AND(Names!E4,"AAAAAB6Hz8U=")</f>
        <v>#VALUE!</v>
      </c>
      <c r="GQ73" t="e">
        <f>AND(Names!F4,"AAAAAB6Hz8Y=")</f>
        <v>#VALUE!</v>
      </c>
      <c r="GR73" t="e">
        <f>AND(Names!G4,"AAAAAB6Hz8c=")</f>
        <v>#VALUE!</v>
      </c>
      <c r="GS73" t="e">
        <f>AND(Names!H4,"AAAAAB6Hz8g=")</f>
        <v>#VALUE!</v>
      </c>
      <c r="GT73" t="e">
        <f>AND(Names!I4,"AAAAAB6Hz8k=")</f>
        <v>#VALUE!</v>
      </c>
      <c r="GU73" t="e">
        <f>AND(Names!J4,"AAAAAB6Hz8o=")</f>
        <v>#VALUE!</v>
      </c>
      <c r="GV73" t="e">
        <f>AND(Names!K4,"AAAAAB6Hz8s=")</f>
        <v>#VALUE!</v>
      </c>
      <c r="GW73" t="e">
        <f>AND(Names!L4,"AAAAAB6Hz8w=")</f>
        <v>#VALUE!</v>
      </c>
      <c r="GX73" t="e">
        <f>AND(Names!M4,"AAAAAB6Hz80=")</f>
        <v>#VALUE!</v>
      </c>
      <c r="GY73" t="e">
        <f>AND(Names!N4,"AAAAAB6Hz84=")</f>
        <v>#VALUE!</v>
      </c>
      <c r="GZ73" t="e">
        <f>AND(Names!O4,"AAAAAB6Hz88=")</f>
        <v>#VALUE!</v>
      </c>
      <c r="HA73" t="e">
        <f>AND(Names!P4,"AAAAAB6Hz9A=")</f>
        <v>#VALUE!</v>
      </c>
      <c r="HB73" t="e">
        <f>AND(Names!Q4,"AAAAAB6Hz9E=")</f>
        <v>#VALUE!</v>
      </c>
      <c r="HC73" t="e">
        <f>AND(Names!R4,"AAAAAB6Hz9I=")</f>
        <v>#VALUE!</v>
      </c>
      <c r="HD73" t="e">
        <f>AND(Names!S4,"AAAAAB6Hz9M=")</f>
        <v>#VALUE!</v>
      </c>
      <c r="HE73" t="e">
        <f>AND(Names!T4,"AAAAAB6Hz9Q=")</f>
        <v>#VALUE!</v>
      </c>
      <c r="HF73" t="e">
        <f>AND(Names!U4,"AAAAAB6Hz9U=")</f>
        <v>#VALUE!</v>
      </c>
      <c r="HG73" t="e">
        <f>AND(Names!V4,"AAAAAB6Hz9Y=")</f>
        <v>#VALUE!</v>
      </c>
      <c r="HH73" t="e">
        <f>AND(Names!W4,"AAAAAB6Hz9c=")</f>
        <v>#VALUE!</v>
      </c>
      <c r="HI73" t="e">
        <f>AND(Names!X4,"AAAAAB6Hz9g=")</f>
        <v>#VALUE!</v>
      </c>
      <c r="HJ73" t="e">
        <f>AND(Names!Y4,"AAAAAB6Hz9k=")</f>
        <v>#VALUE!</v>
      </c>
      <c r="HK73" t="e">
        <f>AND(Names!Z4,"AAAAAB6Hz9o=")</f>
        <v>#VALUE!</v>
      </c>
      <c r="HL73" t="e">
        <f>AND(Names!AA4,"AAAAAB6Hz9s=")</f>
        <v>#VALUE!</v>
      </c>
      <c r="HM73" t="e">
        <f>AND(Names!AB4,"AAAAAB6Hz9w=")</f>
        <v>#VALUE!</v>
      </c>
      <c r="HN73" t="e">
        <f>AND(Names!AC4,"AAAAAB6Hz90=")</f>
        <v>#VALUE!</v>
      </c>
      <c r="HO73" t="e">
        <f>AND(Names!AD4,"AAAAAB6Hz94=")</f>
        <v>#VALUE!</v>
      </c>
      <c r="HP73" t="e">
        <f>AND(Names!AE4,"AAAAAB6Hz98=")</f>
        <v>#VALUE!</v>
      </c>
      <c r="HQ73" t="e">
        <f>AND(Names!AF4,"AAAAAB6Hz+A=")</f>
        <v>#VALUE!</v>
      </c>
      <c r="HR73" t="e">
        <f>AND(Names!AG4,"AAAAAB6Hz+E=")</f>
        <v>#VALUE!</v>
      </c>
      <c r="HS73" t="e">
        <f>AND(Names!AH4,"AAAAAB6Hz+I=")</f>
        <v>#VALUE!</v>
      </c>
      <c r="HT73" t="e">
        <f>AND(Names!AI4,"AAAAAB6Hz+M=")</f>
        <v>#VALUE!</v>
      </c>
      <c r="HU73" t="e">
        <f>AND(Names!AJ4,"AAAAAB6Hz+Q=")</f>
        <v>#VALUE!</v>
      </c>
      <c r="HV73" t="e">
        <f>AND(Names!AK4,"AAAAAB6Hz+U=")</f>
        <v>#VALUE!</v>
      </c>
      <c r="HW73" t="e">
        <f>AND(Names!AL4,"AAAAAB6Hz+Y=")</f>
        <v>#VALUE!</v>
      </c>
      <c r="HX73" t="e">
        <f>AND(Names!AM4,"AAAAAB6Hz+c=")</f>
        <v>#VALUE!</v>
      </c>
      <c r="HY73">
        <f>IF(Names!5:5,"AAAAAB6Hz+g=",0)</f>
        <v>0</v>
      </c>
      <c r="HZ73" t="e">
        <f>AND(Names!A5,"AAAAAB6Hz+k=")</f>
        <v>#VALUE!</v>
      </c>
      <c r="IA73" t="e">
        <f>AND(Names!B5,"AAAAAB6Hz+o=")</f>
        <v>#VALUE!</v>
      </c>
      <c r="IB73" t="e">
        <f>AND(Names!C5,"AAAAAB6Hz+s=")</f>
        <v>#VALUE!</v>
      </c>
      <c r="IC73" t="e">
        <f>AND(Names!D5,"AAAAAB6Hz+w=")</f>
        <v>#VALUE!</v>
      </c>
      <c r="ID73" t="e">
        <f>AND(Names!E5,"AAAAAB6Hz+0=")</f>
        <v>#VALUE!</v>
      </c>
      <c r="IE73" t="e">
        <f>AND(Names!F5,"AAAAAB6Hz+4=")</f>
        <v>#VALUE!</v>
      </c>
      <c r="IF73" t="e">
        <f>AND(Names!G5,"AAAAAB6Hz+8=")</f>
        <v>#VALUE!</v>
      </c>
      <c r="IG73" t="e">
        <f>AND(Names!H5,"AAAAAB6Hz/A=")</f>
        <v>#VALUE!</v>
      </c>
      <c r="IH73" t="e">
        <f>AND(Names!I5,"AAAAAB6Hz/E=")</f>
        <v>#VALUE!</v>
      </c>
      <c r="II73" t="e">
        <f>AND(Names!J5,"AAAAAB6Hz/I=")</f>
        <v>#VALUE!</v>
      </c>
      <c r="IJ73" t="e">
        <f>AND(Names!K5,"AAAAAB6Hz/M=")</f>
        <v>#VALUE!</v>
      </c>
      <c r="IK73" t="e">
        <f>AND(Names!L5,"AAAAAB6Hz/Q=")</f>
        <v>#VALUE!</v>
      </c>
      <c r="IL73" t="e">
        <f>AND(Names!M5,"AAAAAB6Hz/U=")</f>
        <v>#VALUE!</v>
      </c>
      <c r="IM73" t="e">
        <f>AND(Names!N5,"AAAAAB6Hz/Y=")</f>
        <v>#VALUE!</v>
      </c>
      <c r="IN73" t="e">
        <f>AND(Names!O5,"AAAAAB6Hz/c=")</f>
        <v>#VALUE!</v>
      </c>
      <c r="IO73" t="e">
        <f>AND(Names!P5,"AAAAAB6Hz/g=")</f>
        <v>#VALUE!</v>
      </c>
      <c r="IP73" t="e">
        <f>AND(Names!Q5,"AAAAAB6Hz/k=")</f>
        <v>#VALUE!</v>
      </c>
      <c r="IQ73" t="e">
        <f>AND(Names!R5,"AAAAAB6Hz/o=")</f>
        <v>#VALUE!</v>
      </c>
      <c r="IR73" t="e">
        <f>AND(Names!S5,"AAAAAB6Hz/s=")</f>
        <v>#VALUE!</v>
      </c>
      <c r="IS73" t="e">
        <f>AND(Names!T5,"AAAAAB6Hz/w=")</f>
        <v>#VALUE!</v>
      </c>
      <c r="IT73" t="e">
        <f>AND(Names!U5,"AAAAAB6Hz/0=")</f>
        <v>#VALUE!</v>
      </c>
      <c r="IU73" t="e">
        <f>AND(Names!V5,"AAAAAB6Hz/4=")</f>
        <v>#VALUE!</v>
      </c>
      <c r="IV73" t="e">
        <f>AND(Names!W5,"AAAAAB6Hz/8=")</f>
        <v>#VALUE!</v>
      </c>
    </row>
    <row r="74" spans="1:256" x14ac:dyDescent="0.15">
      <c r="A74" t="e">
        <f>AND(Names!X5,"AAAAAC7XZwA=")</f>
        <v>#VALUE!</v>
      </c>
      <c r="B74" t="e">
        <f>AND(Names!Y5,"AAAAAC7XZwE=")</f>
        <v>#VALUE!</v>
      </c>
      <c r="C74" t="e">
        <f>AND(Names!Z5,"AAAAAC7XZwI=")</f>
        <v>#VALUE!</v>
      </c>
      <c r="D74" t="e">
        <f>AND(Names!AA5,"AAAAAC7XZwM=")</f>
        <v>#VALUE!</v>
      </c>
      <c r="E74" t="e">
        <f>AND(Names!AB5,"AAAAAC7XZwQ=")</f>
        <v>#VALUE!</v>
      </c>
      <c r="F74" t="e">
        <f>AND(Names!AC5,"AAAAAC7XZwU=")</f>
        <v>#VALUE!</v>
      </c>
      <c r="G74" t="e">
        <f>AND(Names!AD5,"AAAAAC7XZwY=")</f>
        <v>#VALUE!</v>
      </c>
      <c r="H74" t="e">
        <f>AND(Names!AE5,"AAAAAC7XZwc=")</f>
        <v>#VALUE!</v>
      </c>
      <c r="I74" t="e">
        <f>AND(Names!AF5,"AAAAAC7XZwg=")</f>
        <v>#VALUE!</v>
      </c>
      <c r="J74" t="e">
        <f>AND(Names!AG5,"AAAAAC7XZwk=")</f>
        <v>#VALUE!</v>
      </c>
      <c r="K74" t="e">
        <f>AND(Names!AH5,"AAAAAC7XZwo=")</f>
        <v>#VALUE!</v>
      </c>
      <c r="L74" t="e">
        <f>AND(Names!AI5,"AAAAAC7XZws=")</f>
        <v>#VALUE!</v>
      </c>
      <c r="M74" t="e">
        <f>AND(Names!AJ5,"AAAAAC7XZww=")</f>
        <v>#VALUE!</v>
      </c>
      <c r="N74" t="e">
        <f>AND(Names!AK5,"AAAAAC7XZw0=")</f>
        <v>#VALUE!</v>
      </c>
      <c r="O74" t="e">
        <f>AND(Names!AL5,"AAAAAC7XZw4=")</f>
        <v>#VALUE!</v>
      </c>
      <c r="P74" t="e">
        <f>AND(Names!AM5,"AAAAAC7XZw8=")</f>
        <v>#VALUE!</v>
      </c>
      <c r="Q74">
        <f>IF(Names!6:6,"AAAAAC7XZxA=",0)</f>
        <v>0</v>
      </c>
      <c r="R74" t="e">
        <f>AND(Names!A6,"AAAAAC7XZxE=")</f>
        <v>#VALUE!</v>
      </c>
      <c r="S74" t="e">
        <f>AND(Names!B6,"AAAAAC7XZxI=")</f>
        <v>#VALUE!</v>
      </c>
      <c r="T74" t="e">
        <f>AND(Names!C6,"AAAAAC7XZxM=")</f>
        <v>#VALUE!</v>
      </c>
      <c r="U74" t="e">
        <f>AND(Names!D6,"AAAAAC7XZxQ=")</f>
        <v>#VALUE!</v>
      </c>
      <c r="V74" t="e">
        <f>AND(Names!E6,"AAAAAC7XZxU=")</f>
        <v>#VALUE!</v>
      </c>
      <c r="W74" t="e">
        <f>AND(Names!F6,"AAAAAC7XZxY=")</f>
        <v>#VALUE!</v>
      </c>
      <c r="X74" t="e">
        <f>AND(Names!G6,"AAAAAC7XZxc=")</f>
        <v>#VALUE!</v>
      </c>
      <c r="Y74" t="e">
        <f>AND(Names!H6,"AAAAAC7XZxg=")</f>
        <v>#VALUE!</v>
      </c>
      <c r="Z74" t="e">
        <f>AND(Names!I6,"AAAAAC7XZxk=")</f>
        <v>#VALUE!</v>
      </c>
      <c r="AA74" t="e">
        <f>AND(Names!J6,"AAAAAC7XZxo=")</f>
        <v>#VALUE!</v>
      </c>
      <c r="AB74" t="e">
        <f>AND(Names!K6,"AAAAAC7XZxs=")</f>
        <v>#VALUE!</v>
      </c>
      <c r="AC74" t="e">
        <f>AND(Names!L6,"AAAAAC7XZxw=")</f>
        <v>#VALUE!</v>
      </c>
      <c r="AD74" t="e">
        <f>AND(Names!M6,"AAAAAC7XZx0=")</f>
        <v>#VALUE!</v>
      </c>
      <c r="AE74" t="e">
        <f>AND(Names!N6,"AAAAAC7XZx4=")</f>
        <v>#VALUE!</v>
      </c>
      <c r="AF74" t="e">
        <f>AND(Names!O6,"AAAAAC7XZx8=")</f>
        <v>#VALUE!</v>
      </c>
      <c r="AG74" t="e">
        <f>AND(Names!P6,"AAAAAC7XZyA=")</f>
        <v>#VALUE!</v>
      </c>
      <c r="AH74" t="e">
        <f>AND(Names!Q6,"AAAAAC7XZyE=")</f>
        <v>#VALUE!</v>
      </c>
      <c r="AI74" t="e">
        <f>AND(Names!R6,"AAAAAC7XZyI=")</f>
        <v>#VALUE!</v>
      </c>
      <c r="AJ74" t="e">
        <f>AND(Names!S6,"AAAAAC7XZyM=")</f>
        <v>#VALUE!</v>
      </c>
      <c r="AK74" t="e">
        <f>AND(Names!T6,"AAAAAC7XZyQ=")</f>
        <v>#VALUE!</v>
      </c>
      <c r="AL74" t="e">
        <f>AND(Names!U6,"AAAAAC7XZyU=")</f>
        <v>#VALUE!</v>
      </c>
      <c r="AM74" t="e">
        <f>AND(Names!V6,"AAAAAC7XZyY=")</f>
        <v>#VALUE!</v>
      </c>
      <c r="AN74" t="e">
        <f>AND(Names!W6,"AAAAAC7XZyc=")</f>
        <v>#VALUE!</v>
      </c>
      <c r="AO74" t="e">
        <f>AND(Names!X6,"AAAAAC7XZyg=")</f>
        <v>#VALUE!</v>
      </c>
      <c r="AP74" t="e">
        <f>AND(Names!Y6,"AAAAAC7XZyk=")</f>
        <v>#VALUE!</v>
      </c>
      <c r="AQ74" t="e">
        <f>AND(Names!Z6,"AAAAAC7XZyo=")</f>
        <v>#VALUE!</v>
      </c>
      <c r="AR74" t="e">
        <f>AND(Names!AA6,"AAAAAC7XZys=")</f>
        <v>#VALUE!</v>
      </c>
      <c r="AS74" t="e">
        <f>AND(Names!AB6,"AAAAAC7XZyw=")</f>
        <v>#VALUE!</v>
      </c>
      <c r="AT74" t="e">
        <f>AND(Names!AC6,"AAAAAC7XZy0=")</f>
        <v>#VALUE!</v>
      </c>
      <c r="AU74" t="e">
        <f>AND(Names!AD6,"AAAAAC7XZy4=")</f>
        <v>#VALUE!</v>
      </c>
      <c r="AV74" t="e">
        <f>AND(Names!AE6,"AAAAAC7XZy8=")</f>
        <v>#VALUE!</v>
      </c>
      <c r="AW74" t="e">
        <f>AND(Names!AF6,"AAAAAC7XZzA=")</f>
        <v>#VALUE!</v>
      </c>
      <c r="AX74" t="e">
        <f>AND(Names!AG6,"AAAAAC7XZzE=")</f>
        <v>#VALUE!</v>
      </c>
      <c r="AY74" t="e">
        <f>AND(Names!AH6,"AAAAAC7XZzI=")</f>
        <v>#VALUE!</v>
      </c>
      <c r="AZ74" t="e">
        <f>AND(Names!AI6,"AAAAAC7XZzM=")</f>
        <v>#VALUE!</v>
      </c>
      <c r="BA74" t="e">
        <f>AND(Names!AJ6,"AAAAAC7XZzQ=")</f>
        <v>#VALUE!</v>
      </c>
      <c r="BB74" t="e">
        <f>AND(Names!AK6,"AAAAAC7XZzU=")</f>
        <v>#VALUE!</v>
      </c>
      <c r="BC74" t="e">
        <f>AND(Names!AL6,"AAAAAC7XZzY=")</f>
        <v>#VALUE!</v>
      </c>
      <c r="BD74" t="e">
        <f>AND(Names!AM6,"AAAAAC7XZzc=")</f>
        <v>#VALUE!</v>
      </c>
      <c r="BE74">
        <f>IF(Names!7:7,"AAAAAC7XZzg=",0)</f>
        <v>0</v>
      </c>
      <c r="BF74" t="e">
        <f>AND(Names!A7,"AAAAAC7XZzk=")</f>
        <v>#VALUE!</v>
      </c>
      <c r="BG74" t="e">
        <f>AND(Names!B7,"AAAAAC7XZzo=")</f>
        <v>#VALUE!</v>
      </c>
      <c r="BH74" t="e">
        <f>AND(Names!C7,"AAAAAC7XZzs=")</f>
        <v>#VALUE!</v>
      </c>
      <c r="BI74" t="e">
        <f>AND(Names!D7,"AAAAAC7XZzw=")</f>
        <v>#VALUE!</v>
      </c>
      <c r="BJ74" t="e">
        <f>AND(Names!E7,"AAAAAC7XZz0=")</f>
        <v>#VALUE!</v>
      </c>
      <c r="BK74" t="e">
        <f>AND(Names!F7,"AAAAAC7XZz4=")</f>
        <v>#VALUE!</v>
      </c>
      <c r="BL74" t="e">
        <f>AND(Names!G7,"AAAAAC7XZz8=")</f>
        <v>#VALUE!</v>
      </c>
      <c r="BM74" t="e">
        <f>AND(Names!H7,"AAAAAC7XZ0A=")</f>
        <v>#VALUE!</v>
      </c>
      <c r="BN74" t="e">
        <f>AND(Names!I7,"AAAAAC7XZ0E=")</f>
        <v>#VALUE!</v>
      </c>
      <c r="BO74" t="e">
        <f>AND(Names!J7,"AAAAAC7XZ0I=")</f>
        <v>#VALUE!</v>
      </c>
      <c r="BP74" t="e">
        <f>AND(Names!K7,"AAAAAC7XZ0M=")</f>
        <v>#VALUE!</v>
      </c>
      <c r="BQ74" t="e">
        <f>AND(Names!L7,"AAAAAC7XZ0Q=")</f>
        <v>#VALUE!</v>
      </c>
      <c r="BR74" t="e">
        <f>AND(Names!M7,"AAAAAC7XZ0U=")</f>
        <v>#VALUE!</v>
      </c>
      <c r="BS74" t="e">
        <f>AND(Names!N7,"AAAAAC7XZ0Y=")</f>
        <v>#VALUE!</v>
      </c>
      <c r="BT74" t="e">
        <f>AND(Names!O7,"AAAAAC7XZ0c=")</f>
        <v>#VALUE!</v>
      </c>
      <c r="BU74" t="e">
        <f>AND(Names!P7,"AAAAAC7XZ0g=")</f>
        <v>#VALUE!</v>
      </c>
      <c r="BV74" t="e">
        <f>AND(Names!Q7,"AAAAAC7XZ0k=")</f>
        <v>#VALUE!</v>
      </c>
      <c r="BW74" t="e">
        <f>AND(Names!R7,"AAAAAC7XZ0o=")</f>
        <v>#VALUE!</v>
      </c>
      <c r="BX74" t="e">
        <f>AND(Names!S7,"AAAAAC7XZ0s=")</f>
        <v>#VALUE!</v>
      </c>
      <c r="BY74" t="e">
        <f>AND(Names!T7,"AAAAAC7XZ0w=")</f>
        <v>#VALUE!</v>
      </c>
      <c r="BZ74" t="e">
        <f>AND(Names!U7,"AAAAAC7XZ00=")</f>
        <v>#VALUE!</v>
      </c>
      <c r="CA74" t="e">
        <f>AND(Names!V7,"AAAAAC7XZ04=")</f>
        <v>#VALUE!</v>
      </c>
      <c r="CB74" t="e">
        <f>AND(Names!W7,"AAAAAC7XZ08=")</f>
        <v>#VALUE!</v>
      </c>
      <c r="CC74" t="e">
        <f>AND(Names!X7,"AAAAAC7XZ1A=")</f>
        <v>#VALUE!</v>
      </c>
      <c r="CD74" t="e">
        <f>AND(Names!Y7,"AAAAAC7XZ1E=")</f>
        <v>#VALUE!</v>
      </c>
      <c r="CE74" t="e">
        <f>AND(Names!Z7,"AAAAAC7XZ1I=")</f>
        <v>#VALUE!</v>
      </c>
      <c r="CF74" t="e">
        <f>AND(Names!AA7,"AAAAAC7XZ1M=")</f>
        <v>#VALUE!</v>
      </c>
      <c r="CG74" t="e">
        <f>AND(Names!AB7,"AAAAAC7XZ1Q=")</f>
        <v>#VALUE!</v>
      </c>
      <c r="CH74" t="e">
        <f>AND(Names!AC7,"AAAAAC7XZ1U=")</f>
        <v>#VALUE!</v>
      </c>
      <c r="CI74" t="e">
        <f>AND(Names!AD7,"AAAAAC7XZ1Y=")</f>
        <v>#VALUE!</v>
      </c>
      <c r="CJ74" t="e">
        <f>AND(Names!AE7,"AAAAAC7XZ1c=")</f>
        <v>#VALUE!</v>
      </c>
      <c r="CK74" t="e">
        <f>AND(Names!AF7,"AAAAAC7XZ1g=")</f>
        <v>#VALUE!</v>
      </c>
      <c r="CL74" t="e">
        <f>AND(Names!AG7,"AAAAAC7XZ1k=")</f>
        <v>#VALUE!</v>
      </c>
      <c r="CM74" t="e">
        <f>AND(Names!AH7,"AAAAAC7XZ1o=")</f>
        <v>#VALUE!</v>
      </c>
      <c r="CN74" t="e">
        <f>AND(Names!AI7,"AAAAAC7XZ1s=")</f>
        <v>#VALUE!</v>
      </c>
      <c r="CO74" t="e">
        <f>AND(Names!AJ7,"AAAAAC7XZ1w=")</f>
        <v>#VALUE!</v>
      </c>
      <c r="CP74" t="e">
        <f>AND(Names!AK7,"AAAAAC7XZ10=")</f>
        <v>#VALUE!</v>
      </c>
      <c r="CQ74" t="e">
        <f>AND(Names!AL7,"AAAAAC7XZ14=")</f>
        <v>#VALUE!</v>
      </c>
      <c r="CR74" t="e">
        <f>AND(Names!AM7,"AAAAAC7XZ18=")</f>
        <v>#VALUE!</v>
      </c>
      <c r="CS74">
        <f>IF(Names!8:8,"AAAAAC7XZ2A=",0)</f>
        <v>0</v>
      </c>
      <c r="CT74" t="e">
        <f>AND(Names!A8,"AAAAAC7XZ2E=")</f>
        <v>#VALUE!</v>
      </c>
      <c r="CU74" t="e">
        <f>AND(Names!B8,"AAAAAC7XZ2I=")</f>
        <v>#VALUE!</v>
      </c>
      <c r="CV74" t="e">
        <f>AND(Names!C8,"AAAAAC7XZ2M=")</f>
        <v>#VALUE!</v>
      </c>
      <c r="CW74" t="e">
        <f>AND(Names!D8,"AAAAAC7XZ2Q=")</f>
        <v>#VALUE!</v>
      </c>
      <c r="CX74" t="e">
        <f>AND(Names!E8,"AAAAAC7XZ2U=")</f>
        <v>#VALUE!</v>
      </c>
      <c r="CY74" t="e">
        <f>AND(Names!F8,"AAAAAC7XZ2Y=")</f>
        <v>#VALUE!</v>
      </c>
      <c r="CZ74" t="e">
        <f>AND(Names!G8,"AAAAAC7XZ2c=")</f>
        <v>#VALUE!</v>
      </c>
      <c r="DA74" t="e">
        <f>AND(Names!H8,"AAAAAC7XZ2g=")</f>
        <v>#VALUE!</v>
      </c>
      <c r="DB74" t="e">
        <f>AND(Names!I8,"AAAAAC7XZ2k=")</f>
        <v>#VALUE!</v>
      </c>
      <c r="DC74" t="e">
        <f>AND(Names!J8,"AAAAAC7XZ2o=")</f>
        <v>#VALUE!</v>
      </c>
      <c r="DD74" t="e">
        <f>AND(Names!K8,"AAAAAC7XZ2s=")</f>
        <v>#VALUE!</v>
      </c>
      <c r="DE74" t="e">
        <f>AND(Names!L8,"AAAAAC7XZ2w=")</f>
        <v>#VALUE!</v>
      </c>
      <c r="DF74" t="e">
        <f>AND(Names!M8,"AAAAAC7XZ20=")</f>
        <v>#VALUE!</v>
      </c>
      <c r="DG74" t="e">
        <f>AND(Names!N8,"AAAAAC7XZ24=")</f>
        <v>#VALUE!</v>
      </c>
      <c r="DH74" t="e">
        <f>AND(Names!O8,"AAAAAC7XZ28=")</f>
        <v>#VALUE!</v>
      </c>
      <c r="DI74" t="e">
        <f>AND(Names!P8,"AAAAAC7XZ3A=")</f>
        <v>#VALUE!</v>
      </c>
      <c r="DJ74" t="e">
        <f>AND(Names!Q8,"AAAAAC7XZ3E=")</f>
        <v>#VALUE!</v>
      </c>
      <c r="DK74" t="e">
        <f>AND(Names!R8,"AAAAAC7XZ3I=")</f>
        <v>#VALUE!</v>
      </c>
      <c r="DL74" t="e">
        <f>AND(Names!S8,"AAAAAC7XZ3M=")</f>
        <v>#VALUE!</v>
      </c>
      <c r="DM74" t="e">
        <f>AND(Names!T8,"AAAAAC7XZ3Q=")</f>
        <v>#VALUE!</v>
      </c>
      <c r="DN74" t="e">
        <f>AND(Names!U8,"AAAAAC7XZ3U=")</f>
        <v>#VALUE!</v>
      </c>
      <c r="DO74" t="e">
        <f>AND(Names!V8,"AAAAAC7XZ3Y=")</f>
        <v>#VALUE!</v>
      </c>
      <c r="DP74" t="e">
        <f>AND(Names!W8,"AAAAAC7XZ3c=")</f>
        <v>#VALUE!</v>
      </c>
      <c r="DQ74" t="e">
        <f>AND(Names!X8,"AAAAAC7XZ3g=")</f>
        <v>#VALUE!</v>
      </c>
      <c r="DR74" t="e">
        <f>AND(Names!Y8,"AAAAAC7XZ3k=")</f>
        <v>#VALUE!</v>
      </c>
      <c r="DS74" t="e">
        <f>AND(Names!Z8,"AAAAAC7XZ3o=")</f>
        <v>#VALUE!</v>
      </c>
      <c r="DT74" t="e">
        <f>AND(Names!AA8,"AAAAAC7XZ3s=")</f>
        <v>#VALUE!</v>
      </c>
      <c r="DU74" t="e">
        <f>AND(Names!AB8,"AAAAAC7XZ3w=")</f>
        <v>#VALUE!</v>
      </c>
      <c r="DV74" t="e">
        <f>AND(Names!AC8,"AAAAAC7XZ30=")</f>
        <v>#VALUE!</v>
      </c>
      <c r="DW74" t="e">
        <f>AND(Names!AD8,"AAAAAC7XZ34=")</f>
        <v>#VALUE!</v>
      </c>
      <c r="DX74" t="e">
        <f>AND(Names!AE8,"AAAAAC7XZ38=")</f>
        <v>#VALUE!</v>
      </c>
      <c r="DY74" t="e">
        <f>AND(Names!AF8,"AAAAAC7XZ4A=")</f>
        <v>#VALUE!</v>
      </c>
      <c r="DZ74" t="e">
        <f>AND(Names!AG8,"AAAAAC7XZ4E=")</f>
        <v>#VALUE!</v>
      </c>
      <c r="EA74" t="e">
        <f>AND(Names!AH8,"AAAAAC7XZ4I=")</f>
        <v>#VALUE!</v>
      </c>
      <c r="EB74" t="e">
        <f>AND(Names!AI8,"AAAAAC7XZ4M=")</f>
        <v>#VALUE!</v>
      </c>
      <c r="EC74" t="e">
        <f>AND(Names!AJ8,"AAAAAC7XZ4Q=")</f>
        <v>#VALUE!</v>
      </c>
      <c r="ED74" t="e">
        <f>AND(Names!AK8,"AAAAAC7XZ4U=")</f>
        <v>#VALUE!</v>
      </c>
      <c r="EE74" t="e">
        <f>AND(Names!AL8,"AAAAAC7XZ4Y=")</f>
        <v>#VALUE!</v>
      </c>
      <c r="EF74" t="e">
        <f>AND(Names!AM8,"AAAAAC7XZ4c=")</f>
        <v>#VALUE!</v>
      </c>
      <c r="EG74">
        <f>IF(Names!9:9,"AAAAAC7XZ4g=",0)</f>
        <v>0</v>
      </c>
      <c r="EH74" t="e">
        <f>AND(Names!A9,"AAAAAC7XZ4k=")</f>
        <v>#VALUE!</v>
      </c>
      <c r="EI74" t="e">
        <f>AND(Names!B9,"AAAAAC7XZ4o=")</f>
        <v>#VALUE!</v>
      </c>
      <c r="EJ74" t="e">
        <f>AND(Names!C9,"AAAAAC7XZ4s=")</f>
        <v>#VALUE!</v>
      </c>
      <c r="EK74" t="e">
        <f>AND(Names!D9,"AAAAAC7XZ4w=")</f>
        <v>#VALUE!</v>
      </c>
      <c r="EL74" t="e">
        <f>AND(Names!E9,"AAAAAC7XZ40=")</f>
        <v>#VALUE!</v>
      </c>
      <c r="EM74" t="e">
        <f>AND(Names!F9,"AAAAAC7XZ44=")</f>
        <v>#VALUE!</v>
      </c>
      <c r="EN74" t="e">
        <f>AND(Names!G9,"AAAAAC7XZ48=")</f>
        <v>#VALUE!</v>
      </c>
      <c r="EO74" t="e">
        <f>AND(Names!H9,"AAAAAC7XZ5A=")</f>
        <v>#VALUE!</v>
      </c>
      <c r="EP74" t="e">
        <f>AND(Names!I9,"AAAAAC7XZ5E=")</f>
        <v>#VALUE!</v>
      </c>
      <c r="EQ74" t="e">
        <f>AND(Names!J9,"AAAAAC7XZ5I=")</f>
        <v>#VALUE!</v>
      </c>
      <c r="ER74" t="e">
        <f>AND(Names!K9,"AAAAAC7XZ5M=")</f>
        <v>#VALUE!</v>
      </c>
      <c r="ES74" t="e">
        <f>AND(Names!L9,"AAAAAC7XZ5Q=")</f>
        <v>#VALUE!</v>
      </c>
      <c r="ET74" t="e">
        <f>AND(Names!M9,"AAAAAC7XZ5U=")</f>
        <v>#VALUE!</v>
      </c>
      <c r="EU74" t="e">
        <f>AND(Names!N9,"AAAAAC7XZ5Y=")</f>
        <v>#VALUE!</v>
      </c>
      <c r="EV74" t="e">
        <f>AND(Names!O9,"AAAAAC7XZ5c=")</f>
        <v>#VALUE!</v>
      </c>
      <c r="EW74" t="e">
        <f>AND(Names!P9,"AAAAAC7XZ5g=")</f>
        <v>#VALUE!</v>
      </c>
      <c r="EX74" t="e">
        <f>AND(Names!Q9,"AAAAAC7XZ5k=")</f>
        <v>#VALUE!</v>
      </c>
      <c r="EY74" t="e">
        <f>AND(Names!R9,"AAAAAC7XZ5o=")</f>
        <v>#VALUE!</v>
      </c>
      <c r="EZ74" t="e">
        <f>AND(Names!S9,"AAAAAC7XZ5s=")</f>
        <v>#VALUE!</v>
      </c>
      <c r="FA74" t="e">
        <f>AND(Names!T9,"AAAAAC7XZ5w=")</f>
        <v>#VALUE!</v>
      </c>
      <c r="FB74" t="e">
        <f>AND(Names!U9,"AAAAAC7XZ50=")</f>
        <v>#VALUE!</v>
      </c>
      <c r="FC74" t="e">
        <f>AND(Names!V9,"AAAAAC7XZ54=")</f>
        <v>#VALUE!</v>
      </c>
      <c r="FD74" t="e">
        <f>AND(Names!W9,"AAAAAC7XZ58=")</f>
        <v>#VALUE!</v>
      </c>
      <c r="FE74" t="e">
        <f>AND(Names!X9,"AAAAAC7XZ6A=")</f>
        <v>#VALUE!</v>
      </c>
      <c r="FF74" t="e">
        <f>AND(Names!Y9,"AAAAAC7XZ6E=")</f>
        <v>#VALUE!</v>
      </c>
      <c r="FG74" t="e">
        <f>AND(Names!Z9,"AAAAAC7XZ6I=")</f>
        <v>#VALUE!</v>
      </c>
      <c r="FH74" t="e">
        <f>AND(Names!AA9,"AAAAAC7XZ6M=")</f>
        <v>#VALUE!</v>
      </c>
      <c r="FI74" t="e">
        <f>AND(Names!AB9,"AAAAAC7XZ6Q=")</f>
        <v>#VALUE!</v>
      </c>
      <c r="FJ74" t="e">
        <f>AND(Names!AC9,"AAAAAC7XZ6U=")</f>
        <v>#VALUE!</v>
      </c>
      <c r="FK74" t="e">
        <f>AND(Names!AD9,"AAAAAC7XZ6Y=")</f>
        <v>#VALUE!</v>
      </c>
      <c r="FL74" t="e">
        <f>AND(Names!AE9,"AAAAAC7XZ6c=")</f>
        <v>#VALUE!</v>
      </c>
      <c r="FM74" t="e">
        <f>AND(Names!AF9,"AAAAAC7XZ6g=")</f>
        <v>#VALUE!</v>
      </c>
      <c r="FN74" t="e">
        <f>AND(Names!AG9,"AAAAAC7XZ6k=")</f>
        <v>#VALUE!</v>
      </c>
      <c r="FO74" t="e">
        <f>AND(Names!AH9,"AAAAAC7XZ6o=")</f>
        <v>#VALUE!</v>
      </c>
      <c r="FP74" t="e">
        <f>AND(Names!AI9,"AAAAAC7XZ6s=")</f>
        <v>#VALUE!</v>
      </c>
      <c r="FQ74" t="e">
        <f>AND(Names!AJ9,"AAAAAC7XZ6w=")</f>
        <v>#VALUE!</v>
      </c>
      <c r="FR74" t="e">
        <f>AND(Names!AK9,"AAAAAC7XZ60=")</f>
        <v>#VALUE!</v>
      </c>
      <c r="FS74" t="e">
        <f>AND(Names!AL9,"AAAAAC7XZ64=")</f>
        <v>#VALUE!</v>
      </c>
      <c r="FT74" t="e">
        <f>AND(Names!AM9,"AAAAAC7XZ68=")</f>
        <v>#VALUE!</v>
      </c>
      <c r="FU74">
        <f>IF(Names!10:10,"AAAAAC7XZ7A=",0)</f>
        <v>0</v>
      </c>
      <c r="FV74" t="e">
        <f>AND(Names!A10,"AAAAAC7XZ7E=")</f>
        <v>#VALUE!</v>
      </c>
      <c r="FW74" t="e">
        <f>AND(Names!B10,"AAAAAC7XZ7I=")</f>
        <v>#VALUE!</v>
      </c>
      <c r="FX74" t="e">
        <f>AND(Names!C10,"AAAAAC7XZ7M=")</f>
        <v>#VALUE!</v>
      </c>
      <c r="FY74" t="e">
        <f>AND(Names!D10,"AAAAAC7XZ7Q=")</f>
        <v>#VALUE!</v>
      </c>
      <c r="FZ74" t="e">
        <f>AND(Names!E10,"AAAAAC7XZ7U=")</f>
        <v>#VALUE!</v>
      </c>
      <c r="GA74" t="e">
        <f>AND(Names!F10,"AAAAAC7XZ7Y=")</f>
        <v>#VALUE!</v>
      </c>
      <c r="GB74" t="e">
        <f>AND(Names!G10,"AAAAAC7XZ7c=")</f>
        <v>#VALUE!</v>
      </c>
      <c r="GC74" t="e">
        <f>AND(Names!H10,"AAAAAC7XZ7g=")</f>
        <v>#VALUE!</v>
      </c>
      <c r="GD74" t="e">
        <f>AND(Names!I10,"AAAAAC7XZ7k=")</f>
        <v>#VALUE!</v>
      </c>
      <c r="GE74" t="e">
        <f>AND(Names!J10,"AAAAAC7XZ7o=")</f>
        <v>#VALUE!</v>
      </c>
      <c r="GF74" t="e">
        <f>AND(Names!K10,"AAAAAC7XZ7s=")</f>
        <v>#VALUE!</v>
      </c>
      <c r="GG74" t="e">
        <f>AND(Names!L10,"AAAAAC7XZ7w=")</f>
        <v>#VALUE!</v>
      </c>
      <c r="GH74" t="e">
        <f>AND(Names!M10,"AAAAAC7XZ70=")</f>
        <v>#VALUE!</v>
      </c>
      <c r="GI74" t="e">
        <f>AND(Names!N10,"AAAAAC7XZ74=")</f>
        <v>#VALUE!</v>
      </c>
      <c r="GJ74" t="e">
        <f>AND(Names!O10,"AAAAAC7XZ78=")</f>
        <v>#VALUE!</v>
      </c>
      <c r="GK74" t="e">
        <f>AND(Names!P10,"AAAAAC7XZ8A=")</f>
        <v>#VALUE!</v>
      </c>
      <c r="GL74" t="e">
        <f>AND(Names!Q10,"AAAAAC7XZ8E=")</f>
        <v>#VALUE!</v>
      </c>
      <c r="GM74" t="e">
        <f>AND(Names!R10,"AAAAAC7XZ8I=")</f>
        <v>#VALUE!</v>
      </c>
      <c r="GN74" t="e">
        <f>AND(Names!S10,"AAAAAC7XZ8M=")</f>
        <v>#VALUE!</v>
      </c>
      <c r="GO74" t="e">
        <f>AND(Names!T10,"AAAAAC7XZ8Q=")</f>
        <v>#VALUE!</v>
      </c>
      <c r="GP74" t="e">
        <f>AND(Names!U10,"AAAAAC7XZ8U=")</f>
        <v>#VALUE!</v>
      </c>
      <c r="GQ74" t="e">
        <f>AND(Names!V10,"AAAAAC7XZ8Y=")</f>
        <v>#VALUE!</v>
      </c>
      <c r="GR74" t="e">
        <f>AND(Names!W10,"AAAAAC7XZ8c=")</f>
        <v>#VALUE!</v>
      </c>
      <c r="GS74" t="e">
        <f>AND(Names!X10,"AAAAAC7XZ8g=")</f>
        <v>#VALUE!</v>
      </c>
      <c r="GT74" t="e">
        <f>AND(Names!Y10,"AAAAAC7XZ8k=")</f>
        <v>#VALUE!</v>
      </c>
      <c r="GU74" t="e">
        <f>AND(Names!Z10,"AAAAAC7XZ8o=")</f>
        <v>#VALUE!</v>
      </c>
      <c r="GV74" t="e">
        <f>AND(Names!AA10,"AAAAAC7XZ8s=")</f>
        <v>#VALUE!</v>
      </c>
      <c r="GW74" t="e">
        <f>AND(Names!AB10,"AAAAAC7XZ8w=")</f>
        <v>#VALUE!</v>
      </c>
      <c r="GX74" t="e">
        <f>AND(Names!AC10,"AAAAAC7XZ80=")</f>
        <v>#VALUE!</v>
      </c>
      <c r="GY74" t="e">
        <f>AND(Names!AD10,"AAAAAC7XZ84=")</f>
        <v>#VALUE!</v>
      </c>
      <c r="GZ74" t="e">
        <f>AND(Names!AE10,"AAAAAC7XZ88=")</f>
        <v>#VALUE!</v>
      </c>
      <c r="HA74" t="e">
        <f>AND(Names!AF10,"AAAAAC7XZ9A=")</f>
        <v>#VALUE!</v>
      </c>
      <c r="HB74" t="e">
        <f>AND(Names!AG10,"AAAAAC7XZ9E=")</f>
        <v>#VALUE!</v>
      </c>
      <c r="HC74" t="e">
        <f>AND(Names!AH10,"AAAAAC7XZ9I=")</f>
        <v>#VALUE!</v>
      </c>
      <c r="HD74" t="e">
        <f>AND(Names!AI10,"AAAAAC7XZ9M=")</f>
        <v>#VALUE!</v>
      </c>
      <c r="HE74" t="e">
        <f>AND(Names!AJ10,"AAAAAC7XZ9Q=")</f>
        <v>#VALUE!</v>
      </c>
      <c r="HF74" t="e">
        <f>AND(Names!AK10,"AAAAAC7XZ9U=")</f>
        <v>#VALUE!</v>
      </c>
      <c r="HG74" t="e">
        <f>AND(Names!AL10,"AAAAAC7XZ9Y=")</f>
        <v>#VALUE!</v>
      </c>
      <c r="HH74" t="e">
        <f>AND(Names!AM10,"AAAAAC7XZ9c=")</f>
        <v>#VALUE!</v>
      </c>
      <c r="HI74">
        <f>IF(Names!11:11,"AAAAAC7XZ9g=",0)</f>
        <v>0</v>
      </c>
      <c r="HJ74" t="e">
        <f>AND(Names!A11,"AAAAAC7XZ9k=")</f>
        <v>#VALUE!</v>
      </c>
      <c r="HK74" t="e">
        <f>AND(Names!B11,"AAAAAC7XZ9o=")</f>
        <v>#VALUE!</v>
      </c>
      <c r="HL74" t="e">
        <f>AND(Names!C11,"AAAAAC7XZ9s=")</f>
        <v>#VALUE!</v>
      </c>
      <c r="HM74" t="e">
        <f>AND(Names!D11,"AAAAAC7XZ9w=")</f>
        <v>#VALUE!</v>
      </c>
      <c r="HN74" t="e">
        <f>AND(Names!E11,"AAAAAC7XZ90=")</f>
        <v>#VALUE!</v>
      </c>
      <c r="HO74" t="e">
        <f>AND(Names!F11,"AAAAAC7XZ94=")</f>
        <v>#VALUE!</v>
      </c>
      <c r="HP74" t="e">
        <f>AND(Names!G11,"AAAAAC7XZ98=")</f>
        <v>#VALUE!</v>
      </c>
      <c r="HQ74" t="e">
        <f>AND(Names!H11,"AAAAAC7XZ+A=")</f>
        <v>#VALUE!</v>
      </c>
      <c r="HR74" t="e">
        <f>AND(Names!I11,"AAAAAC7XZ+E=")</f>
        <v>#VALUE!</v>
      </c>
      <c r="HS74" t="e">
        <f>AND(Names!J11,"AAAAAC7XZ+I=")</f>
        <v>#VALUE!</v>
      </c>
      <c r="HT74" t="e">
        <f>AND(Names!K11,"AAAAAC7XZ+M=")</f>
        <v>#VALUE!</v>
      </c>
      <c r="HU74" t="e">
        <f>AND(Names!L11,"AAAAAC7XZ+Q=")</f>
        <v>#VALUE!</v>
      </c>
      <c r="HV74" t="e">
        <f>AND(Names!M11,"AAAAAC7XZ+U=")</f>
        <v>#VALUE!</v>
      </c>
      <c r="HW74" t="e">
        <f>AND(Names!N11,"AAAAAC7XZ+Y=")</f>
        <v>#VALUE!</v>
      </c>
      <c r="HX74" t="e">
        <f>AND(Names!O11,"AAAAAC7XZ+c=")</f>
        <v>#VALUE!</v>
      </c>
      <c r="HY74" t="e">
        <f>AND(Names!P11,"AAAAAC7XZ+g=")</f>
        <v>#VALUE!</v>
      </c>
      <c r="HZ74" t="e">
        <f>AND(Names!Q11,"AAAAAC7XZ+k=")</f>
        <v>#VALUE!</v>
      </c>
      <c r="IA74" t="e">
        <f>AND(Names!R11,"AAAAAC7XZ+o=")</f>
        <v>#VALUE!</v>
      </c>
      <c r="IB74" t="e">
        <f>AND(Names!S11,"AAAAAC7XZ+s=")</f>
        <v>#VALUE!</v>
      </c>
      <c r="IC74" t="e">
        <f>AND(Names!T11,"AAAAAC7XZ+w=")</f>
        <v>#VALUE!</v>
      </c>
      <c r="ID74" t="e">
        <f>AND(Names!U11,"AAAAAC7XZ+0=")</f>
        <v>#VALUE!</v>
      </c>
      <c r="IE74" t="e">
        <f>AND(Names!V11,"AAAAAC7XZ+4=")</f>
        <v>#VALUE!</v>
      </c>
      <c r="IF74" t="e">
        <f>AND(Names!W11,"AAAAAC7XZ+8=")</f>
        <v>#VALUE!</v>
      </c>
      <c r="IG74" t="e">
        <f>AND(Names!X11,"AAAAAC7XZ/A=")</f>
        <v>#VALUE!</v>
      </c>
      <c r="IH74" t="e">
        <f>AND(Names!Y11,"AAAAAC7XZ/E=")</f>
        <v>#VALUE!</v>
      </c>
      <c r="II74" t="e">
        <f>AND(Names!Z11,"AAAAAC7XZ/I=")</f>
        <v>#VALUE!</v>
      </c>
      <c r="IJ74" t="e">
        <f>AND(Names!AA11,"AAAAAC7XZ/M=")</f>
        <v>#VALUE!</v>
      </c>
      <c r="IK74" t="e">
        <f>AND(Names!AB11,"AAAAAC7XZ/Q=")</f>
        <v>#VALUE!</v>
      </c>
      <c r="IL74" t="e">
        <f>AND(Names!AC11,"AAAAAC7XZ/U=")</f>
        <v>#VALUE!</v>
      </c>
      <c r="IM74" t="e">
        <f>AND(Names!AD11,"AAAAAC7XZ/Y=")</f>
        <v>#VALUE!</v>
      </c>
      <c r="IN74" t="e">
        <f>AND(Names!AE11,"AAAAAC7XZ/c=")</f>
        <v>#VALUE!</v>
      </c>
      <c r="IO74" t="e">
        <f>AND(Names!AF11,"AAAAAC7XZ/g=")</f>
        <v>#VALUE!</v>
      </c>
      <c r="IP74" t="e">
        <f>AND(Names!AG11,"AAAAAC7XZ/k=")</f>
        <v>#VALUE!</v>
      </c>
      <c r="IQ74" t="e">
        <f>AND(Names!AH11,"AAAAAC7XZ/o=")</f>
        <v>#VALUE!</v>
      </c>
      <c r="IR74" t="e">
        <f>AND(Names!AI11,"AAAAAC7XZ/s=")</f>
        <v>#VALUE!</v>
      </c>
      <c r="IS74" t="e">
        <f>AND(Names!AJ11,"AAAAAC7XZ/w=")</f>
        <v>#VALUE!</v>
      </c>
      <c r="IT74" t="e">
        <f>AND(Names!AK11,"AAAAAC7XZ/0=")</f>
        <v>#VALUE!</v>
      </c>
      <c r="IU74" t="e">
        <f>AND(Names!AL11,"AAAAAC7XZ/4=")</f>
        <v>#VALUE!</v>
      </c>
      <c r="IV74" t="e">
        <f>AND(Names!AM11,"AAAAAC7XZ/8=")</f>
        <v>#VALUE!</v>
      </c>
    </row>
    <row r="75" spans="1:256" x14ac:dyDescent="0.15">
      <c r="A75">
        <f>IF(Names!12:12,"AAAAAEvl9wA=",0)</f>
        <v>0</v>
      </c>
      <c r="B75" t="e">
        <f>AND(Names!A12,"AAAAAEvl9wE=")</f>
        <v>#VALUE!</v>
      </c>
      <c r="C75" t="e">
        <f>AND(Names!B12,"AAAAAEvl9wI=")</f>
        <v>#VALUE!</v>
      </c>
      <c r="D75" t="e">
        <f>AND(Names!C12,"AAAAAEvl9wM=")</f>
        <v>#VALUE!</v>
      </c>
      <c r="E75" t="e">
        <f>AND(Names!D12,"AAAAAEvl9wQ=")</f>
        <v>#VALUE!</v>
      </c>
      <c r="F75" t="e">
        <f>AND(Names!E12,"AAAAAEvl9wU=")</f>
        <v>#VALUE!</v>
      </c>
      <c r="G75" t="e">
        <f>AND(Names!F12,"AAAAAEvl9wY=")</f>
        <v>#VALUE!</v>
      </c>
      <c r="H75" t="e">
        <f>AND(Names!G12,"AAAAAEvl9wc=")</f>
        <v>#VALUE!</v>
      </c>
      <c r="I75" t="e">
        <f>AND(Names!H12,"AAAAAEvl9wg=")</f>
        <v>#VALUE!</v>
      </c>
      <c r="J75" t="e">
        <f>AND(Names!I12,"AAAAAEvl9wk=")</f>
        <v>#VALUE!</v>
      </c>
      <c r="K75" t="e">
        <f>AND(Names!J12,"AAAAAEvl9wo=")</f>
        <v>#VALUE!</v>
      </c>
      <c r="L75" t="e">
        <f>AND(Names!K12,"AAAAAEvl9ws=")</f>
        <v>#VALUE!</v>
      </c>
      <c r="M75" t="e">
        <f>AND(Names!L12,"AAAAAEvl9ww=")</f>
        <v>#VALUE!</v>
      </c>
      <c r="N75" t="e">
        <f>AND(Names!M12,"AAAAAEvl9w0=")</f>
        <v>#VALUE!</v>
      </c>
      <c r="O75" t="e">
        <f>AND(Names!N12,"AAAAAEvl9w4=")</f>
        <v>#VALUE!</v>
      </c>
      <c r="P75" t="e">
        <f>AND(Names!O12,"AAAAAEvl9w8=")</f>
        <v>#VALUE!</v>
      </c>
      <c r="Q75" t="e">
        <f>AND(Names!P12,"AAAAAEvl9xA=")</f>
        <v>#VALUE!</v>
      </c>
      <c r="R75" t="e">
        <f>AND(Names!Q12,"AAAAAEvl9xE=")</f>
        <v>#VALUE!</v>
      </c>
      <c r="S75" t="e">
        <f>AND(Names!R12,"AAAAAEvl9xI=")</f>
        <v>#VALUE!</v>
      </c>
      <c r="T75" t="e">
        <f>AND(Names!S12,"AAAAAEvl9xM=")</f>
        <v>#VALUE!</v>
      </c>
      <c r="U75" t="e">
        <f>AND(Names!T12,"AAAAAEvl9xQ=")</f>
        <v>#VALUE!</v>
      </c>
      <c r="V75" t="e">
        <f>AND(Names!U12,"AAAAAEvl9xU=")</f>
        <v>#VALUE!</v>
      </c>
      <c r="W75" t="e">
        <f>AND(Names!V12,"AAAAAEvl9xY=")</f>
        <v>#VALUE!</v>
      </c>
      <c r="X75" t="e">
        <f>AND(Names!W12,"AAAAAEvl9xc=")</f>
        <v>#VALUE!</v>
      </c>
      <c r="Y75" t="e">
        <f>AND(Names!X12,"AAAAAEvl9xg=")</f>
        <v>#VALUE!</v>
      </c>
      <c r="Z75" t="e">
        <f>AND(Names!Y12,"AAAAAEvl9xk=")</f>
        <v>#VALUE!</v>
      </c>
      <c r="AA75" t="e">
        <f>AND(Names!Z12,"AAAAAEvl9xo=")</f>
        <v>#VALUE!</v>
      </c>
      <c r="AB75" t="e">
        <f>AND(Names!AA12,"AAAAAEvl9xs=")</f>
        <v>#VALUE!</v>
      </c>
      <c r="AC75" t="e">
        <f>AND(Names!AB12,"AAAAAEvl9xw=")</f>
        <v>#VALUE!</v>
      </c>
      <c r="AD75" t="e">
        <f>AND(Names!AC12,"AAAAAEvl9x0=")</f>
        <v>#VALUE!</v>
      </c>
      <c r="AE75" t="e">
        <f>AND(Names!AD12,"AAAAAEvl9x4=")</f>
        <v>#VALUE!</v>
      </c>
      <c r="AF75" t="e">
        <f>AND(Names!AE12,"AAAAAEvl9x8=")</f>
        <v>#VALUE!</v>
      </c>
      <c r="AG75" t="e">
        <f>AND(Names!AF12,"AAAAAEvl9yA=")</f>
        <v>#VALUE!</v>
      </c>
      <c r="AH75" t="e">
        <f>AND(Names!AG12,"AAAAAEvl9yE=")</f>
        <v>#VALUE!</v>
      </c>
      <c r="AI75" t="e">
        <f>AND(Names!AH12,"AAAAAEvl9yI=")</f>
        <v>#VALUE!</v>
      </c>
      <c r="AJ75" t="e">
        <f>AND(Names!AI12,"AAAAAEvl9yM=")</f>
        <v>#VALUE!</v>
      </c>
      <c r="AK75" t="e">
        <f>AND(Names!AJ12,"AAAAAEvl9yQ=")</f>
        <v>#VALUE!</v>
      </c>
      <c r="AL75" t="e">
        <f>AND(Names!AK12,"AAAAAEvl9yU=")</f>
        <v>#VALUE!</v>
      </c>
      <c r="AM75" t="e">
        <f>AND(Names!AL12,"AAAAAEvl9yY=")</f>
        <v>#VALUE!</v>
      </c>
      <c r="AN75" t="e">
        <f>AND(Names!AM12,"AAAAAEvl9yc=")</f>
        <v>#VALUE!</v>
      </c>
      <c r="AO75">
        <f>IF(Names!13:13,"AAAAAEvl9yg=",0)</f>
        <v>0</v>
      </c>
      <c r="AP75" t="e">
        <f>AND(Names!A13,"AAAAAEvl9yk=")</f>
        <v>#VALUE!</v>
      </c>
      <c r="AQ75" t="e">
        <f>AND(Names!B13,"AAAAAEvl9yo=")</f>
        <v>#VALUE!</v>
      </c>
      <c r="AR75" t="e">
        <f>AND(Names!C13,"AAAAAEvl9ys=")</f>
        <v>#VALUE!</v>
      </c>
      <c r="AS75" t="e">
        <f>AND(Names!D13,"AAAAAEvl9yw=")</f>
        <v>#VALUE!</v>
      </c>
      <c r="AT75" t="e">
        <f>AND(Names!E13,"AAAAAEvl9y0=")</f>
        <v>#VALUE!</v>
      </c>
      <c r="AU75" t="e">
        <f>AND(Names!F13,"AAAAAEvl9y4=")</f>
        <v>#VALUE!</v>
      </c>
      <c r="AV75" t="e">
        <f>AND(Names!G13,"AAAAAEvl9y8=")</f>
        <v>#VALUE!</v>
      </c>
      <c r="AW75" t="e">
        <f>AND(Names!H13,"AAAAAEvl9zA=")</f>
        <v>#VALUE!</v>
      </c>
      <c r="AX75" t="e">
        <f>AND(Names!I13,"AAAAAEvl9zE=")</f>
        <v>#VALUE!</v>
      </c>
      <c r="AY75" t="e">
        <f>AND(Names!J13,"AAAAAEvl9zI=")</f>
        <v>#VALUE!</v>
      </c>
      <c r="AZ75" t="e">
        <f>AND(Names!K13,"AAAAAEvl9zM=")</f>
        <v>#VALUE!</v>
      </c>
      <c r="BA75" t="e">
        <f>AND(Names!L13,"AAAAAEvl9zQ=")</f>
        <v>#VALUE!</v>
      </c>
      <c r="BB75" t="e">
        <f>AND(Names!M13,"AAAAAEvl9zU=")</f>
        <v>#VALUE!</v>
      </c>
      <c r="BC75" t="e">
        <f>AND(Names!N13,"AAAAAEvl9zY=")</f>
        <v>#VALUE!</v>
      </c>
      <c r="BD75" t="e">
        <f>AND(Names!O13,"AAAAAEvl9zc=")</f>
        <v>#VALUE!</v>
      </c>
      <c r="BE75" t="e">
        <f>AND(Names!P13,"AAAAAEvl9zg=")</f>
        <v>#VALUE!</v>
      </c>
      <c r="BF75" t="e">
        <f>AND(Names!Q13,"AAAAAEvl9zk=")</f>
        <v>#VALUE!</v>
      </c>
      <c r="BG75" t="e">
        <f>AND(Names!R13,"AAAAAEvl9zo=")</f>
        <v>#VALUE!</v>
      </c>
      <c r="BH75" t="e">
        <f>AND(Names!S13,"AAAAAEvl9zs=")</f>
        <v>#VALUE!</v>
      </c>
      <c r="BI75" t="e">
        <f>AND(Names!T13,"AAAAAEvl9zw=")</f>
        <v>#VALUE!</v>
      </c>
      <c r="BJ75" t="e">
        <f>AND(Names!U13,"AAAAAEvl9z0=")</f>
        <v>#VALUE!</v>
      </c>
      <c r="BK75" t="e">
        <f>AND(Names!V13,"AAAAAEvl9z4=")</f>
        <v>#VALUE!</v>
      </c>
      <c r="BL75" t="e">
        <f>AND(Names!W13,"AAAAAEvl9z8=")</f>
        <v>#VALUE!</v>
      </c>
      <c r="BM75" t="e">
        <f>AND(Names!X13,"AAAAAEvl90A=")</f>
        <v>#VALUE!</v>
      </c>
      <c r="BN75" t="e">
        <f>AND(Names!Y13,"AAAAAEvl90E=")</f>
        <v>#VALUE!</v>
      </c>
      <c r="BO75" t="e">
        <f>AND(Names!Z13,"AAAAAEvl90I=")</f>
        <v>#VALUE!</v>
      </c>
      <c r="BP75" t="e">
        <f>AND(Names!AA13,"AAAAAEvl90M=")</f>
        <v>#VALUE!</v>
      </c>
      <c r="BQ75" t="e">
        <f>AND(Names!AB13,"AAAAAEvl90Q=")</f>
        <v>#VALUE!</v>
      </c>
      <c r="BR75" t="e">
        <f>AND(Names!AC13,"AAAAAEvl90U=")</f>
        <v>#VALUE!</v>
      </c>
      <c r="BS75" t="e">
        <f>AND(Names!AD13,"AAAAAEvl90Y=")</f>
        <v>#VALUE!</v>
      </c>
      <c r="BT75" t="e">
        <f>AND(Names!AE13,"AAAAAEvl90c=")</f>
        <v>#VALUE!</v>
      </c>
      <c r="BU75" t="e">
        <f>AND(Names!AF13,"AAAAAEvl90g=")</f>
        <v>#VALUE!</v>
      </c>
      <c r="BV75" t="e">
        <f>AND(Names!AG13,"AAAAAEvl90k=")</f>
        <v>#VALUE!</v>
      </c>
      <c r="BW75" t="e">
        <f>AND(Names!AH13,"AAAAAEvl90o=")</f>
        <v>#VALUE!</v>
      </c>
      <c r="BX75" t="e">
        <f>AND(Names!AI13,"AAAAAEvl90s=")</f>
        <v>#VALUE!</v>
      </c>
      <c r="BY75" t="e">
        <f>AND(Names!AJ13,"AAAAAEvl90w=")</f>
        <v>#VALUE!</v>
      </c>
      <c r="BZ75" t="e">
        <f>AND(Names!AK13,"AAAAAEvl900=")</f>
        <v>#VALUE!</v>
      </c>
      <c r="CA75" t="e">
        <f>AND(Names!AL13,"AAAAAEvl904=")</f>
        <v>#VALUE!</v>
      </c>
      <c r="CB75" t="e">
        <f>AND(Names!AM13,"AAAAAEvl908=")</f>
        <v>#VALUE!</v>
      </c>
      <c r="CC75">
        <f>IF(Names!14:14,"AAAAAEvl91A=",0)</f>
        <v>0</v>
      </c>
      <c r="CD75" t="e">
        <f>AND(Names!A14,"AAAAAEvl91E=")</f>
        <v>#VALUE!</v>
      </c>
      <c r="CE75" t="e">
        <f>AND(Names!B14,"AAAAAEvl91I=")</f>
        <v>#VALUE!</v>
      </c>
      <c r="CF75" t="e">
        <f>AND(Names!C14,"AAAAAEvl91M=")</f>
        <v>#VALUE!</v>
      </c>
      <c r="CG75" t="e">
        <f>AND(Names!D14,"AAAAAEvl91Q=")</f>
        <v>#VALUE!</v>
      </c>
      <c r="CH75" t="e">
        <f>AND(Names!E14,"AAAAAEvl91U=")</f>
        <v>#VALUE!</v>
      </c>
      <c r="CI75" t="e">
        <f>AND(Names!F14,"AAAAAEvl91Y=")</f>
        <v>#VALUE!</v>
      </c>
      <c r="CJ75" t="e">
        <f>AND(Names!G14,"AAAAAEvl91c=")</f>
        <v>#VALUE!</v>
      </c>
      <c r="CK75" t="e">
        <f>AND(Names!H14,"AAAAAEvl91g=")</f>
        <v>#VALUE!</v>
      </c>
      <c r="CL75" t="e">
        <f>AND(Names!I14,"AAAAAEvl91k=")</f>
        <v>#VALUE!</v>
      </c>
      <c r="CM75" t="e">
        <f>AND(Names!J14,"AAAAAEvl91o=")</f>
        <v>#VALUE!</v>
      </c>
      <c r="CN75" t="e">
        <f>AND(Names!K14,"AAAAAEvl91s=")</f>
        <v>#VALUE!</v>
      </c>
      <c r="CO75" t="e">
        <f>AND(Names!L14,"AAAAAEvl91w=")</f>
        <v>#VALUE!</v>
      </c>
      <c r="CP75" t="e">
        <f>AND(Names!M14,"AAAAAEvl910=")</f>
        <v>#VALUE!</v>
      </c>
      <c r="CQ75" t="e">
        <f>AND(Names!N14,"AAAAAEvl914=")</f>
        <v>#VALUE!</v>
      </c>
      <c r="CR75" t="e">
        <f>AND(Names!O14,"AAAAAEvl918=")</f>
        <v>#VALUE!</v>
      </c>
      <c r="CS75" t="e">
        <f>AND(Names!P14,"AAAAAEvl92A=")</f>
        <v>#VALUE!</v>
      </c>
      <c r="CT75" t="e">
        <f>AND(Names!Q14,"AAAAAEvl92E=")</f>
        <v>#VALUE!</v>
      </c>
      <c r="CU75" t="e">
        <f>AND(Names!R14,"AAAAAEvl92I=")</f>
        <v>#VALUE!</v>
      </c>
      <c r="CV75" t="e">
        <f>AND(Names!S14,"AAAAAEvl92M=")</f>
        <v>#VALUE!</v>
      </c>
      <c r="CW75" t="e">
        <f>AND(Names!T14,"AAAAAEvl92Q=")</f>
        <v>#VALUE!</v>
      </c>
      <c r="CX75" t="e">
        <f>AND(Names!U14,"AAAAAEvl92U=")</f>
        <v>#VALUE!</v>
      </c>
      <c r="CY75" t="e">
        <f>AND(Names!V14,"AAAAAEvl92Y=")</f>
        <v>#VALUE!</v>
      </c>
      <c r="CZ75" t="e">
        <f>AND(Names!W14,"AAAAAEvl92c=")</f>
        <v>#VALUE!</v>
      </c>
      <c r="DA75" t="e">
        <f>AND(Names!X14,"AAAAAEvl92g=")</f>
        <v>#VALUE!</v>
      </c>
      <c r="DB75" t="e">
        <f>AND(Names!Y14,"AAAAAEvl92k=")</f>
        <v>#VALUE!</v>
      </c>
      <c r="DC75" t="e">
        <f>AND(Names!Z14,"AAAAAEvl92o=")</f>
        <v>#VALUE!</v>
      </c>
      <c r="DD75" t="e">
        <f>AND(Names!AA14,"AAAAAEvl92s=")</f>
        <v>#VALUE!</v>
      </c>
      <c r="DE75" t="e">
        <f>AND(Names!AB14,"AAAAAEvl92w=")</f>
        <v>#VALUE!</v>
      </c>
      <c r="DF75" t="e">
        <f>AND(Names!AC14,"AAAAAEvl920=")</f>
        <v>#VALUE!</v>
      </c>
      <c r="DG75" t="e">
        <f>AND(Names!AD14,"AAAAAEvl924=")</f>
        <v>#VALUE!</v>
      </c>
      <c r="DH75" t="e">
        <f>AND(Names!AE14,"AAAAAEvl928=")</f>
        <v>#VALUE!</v>
      </c>
      <c r="DI75" t="e">
        <f>AND(Names!AF14,"AAAAAEvl93A=")</f>
        <v>#VALUE!</v>
      </c>
      <c r="DJ75" t="e">
        <f>AND(Names!AG14,"AAAAAEvl93E=")</f>
        <v>#VALUE!</v>
      </c>
      <c r="DK75" t="e">
        <f>AND(Names!AH14,"AAAAAEvl93I=")</f>
        <v>#VALUE!</v>
      </c>
      <c r="DL75" t="e">
        <f>AND(Names!AI14,"AAAAAEvl93M=")</f>
        <v>#VALUE!</v>
      </c>
      <c r="DM75" t="e">
        <f>AND(Names!AJ14,"AAAAAEvl93Q=")</f>
        <v>#VALUE!</v>
      </c>
      <c r="DN75" t="e">
        <f>AND(Names!AK14,"AAAAAEvl93U=")</f>
        <v>#VALUE!</v>
      </c>
      <c r="DO75" t="e">
        <f>AND(Names!AL14,"AAAAAEvl93Y=")</f>
        <v>#VALUE!</v>
      </c>
      <c r="DP75" t="e">
        <f>AND(Names!AM14,"AAAAAEvl93c=")</f>
        <v>#VALUE!</v>
      </c>
      <c r="DQ75">
        <f>IF(Names!15:15,"AAAAAEvl93g=",0)</f>
        <v>0</v>
      </c>
      <c r="DR75" t="e">
        <f>AND(Names!A15,"AAAAAEvl93k=")</f>
        <v>#VALUE!</v>
      </c>
      <c r="DS75" t="e">
        <f>AND(Names!B15,"AAAAAEvl93o=")</f>
        <v>#VALUE!</v>
      </c>
      <c r="DT75" t="e">
        <f>AND(Names!C15,"AAAAAEvl93s=")</f>
        <v>#VALUE!</v>
      </c>
      <c r="DU75" t="e">
        <f>AND(Names!D15,"AAAAAEvl93w=")</f>
        <v>#VALUE!</v>
      </c>
      <c r="DV75" t="e">
        <f>AND(Names!E15,"AAAAAEvl930=")</f>
        <v>#VALUE!</v>
      </c>
      <c r="DW75" t="e">
        <f>AND(Names!F15,"AAAAAEvl934=")</f>
        <v>#VALUE!</v>
      </c>
      <c r="DX75" t="e">
        <f>AND(Names!G15,"AAAAAEvl938=")</f>
        <v>#VALUE!</v>
      </c>
      <c r="DY75" t="e">
        <f>AND(Names!H15,"AAAAAEvl94A=")</f>
        <v>#VALUE!</v>
      </c>
      <c r="DZ75" t="e">
        <f>AND(Names!I15,"AAAAAEvl94E=")</f>
        <v>#VALUE!</v>
      </c>
      <c r="EA75" t="e">
        <f>AND(Names!J15,"AAAAAEvl94I=")</f>
        <v>#VALUE!</v>
      </c>
      <c r="EB75" t="e">
        <f>AND(Names!K15,"AAAAAEvl94M=")</f>
        <v>#VALUE!</v>
      </c>
      <c r="EC75" t="e">
        <f>AND(Names!L15,"AAAAAEvl94Q=")</f>
        <v>#VALUE!</v>
      </c>
      <c r="ED75" t="e">
        <f>AND(Names!M15,"AAAAAEvl94U=")</f>
        <v>#VALUE!</v>
      </c>
      <c r="EE75" t="e">
        <f>AND(Names!N15,"AAAAAEvl94Y=")</f>
        <v>#VALUE!</v>
      </c>
      <c r="EF75" t="e">
        <f>AND(Names!O15,"AAAAAEvl94c=")</f>
        <v>#VALUE!</v>
      </c>
      <c r="EG75" t="e">
        <f>AND(Names!P15,"AAAAAEvl94g=")</f>
        <v>#VALUE!</v>
      </c>
      <c r="EH75" t="e">
        <f>AND(Names!Q15,"AAAAAEvl94k=")</f>
        <v>#VALUE!</v>
      </c>
      <c r="EI75" t="e">
        <f>AND(Names!R15,"AAAAAEvl94o=")</f>
        <v>#VALUE!</v>
      </c>
      <c r="EJ75" t="e">
        <f>AND(Names!S15,"AAAAAEvl94s=")</f>
        <v>#VALUE!</v>
      </c>
      <c r="EK75" t="e">
        <f>AND(Names!T15,"AAAAAEvl94w=")</f>
        <v>#VALUE!</v>
      </c>
      <c r="EL75" t="e">
        <f>AND(Names!U15,"AAAAAEvl940=")</f>
        <v>#VALUE!</v>
      </c>
      <c r="EM75" t="e">
        <f>AND(Names!V15,"AAAAAEvl944=")</f>
        <v>#VALUE!</v>
      </c>
      <c r="EN75" t="e">
        <f>AND(Names!W15,"AAAAAEvl948=")</f>
        <v>#VALUE!</v>
      </c>
      <c r="EO75" t="e">
        <f>AND(Names!X15,"AAAAAEvl95A=")</f>
        <v>#VALUE!</v>
      </c>
      <c r="EP75" t="e">
        <f>AND(Names!Y15,"AAAAAEvl95E=")</f>
        <v>#VALUE!</v>
      </c>
      <c r="EQ75" t="e">
        <f>AND(Names!Z15,"AAAAAEvl95I=")</f>
        <v>#VALUE!</v>
      </c>
      <c r="ER75" t="e">
        <f>AND(Names!AA15,"AAAAAEvl95M=")</f>
        <v>#VALUE!</v>
      </c>
      <c r="ES75" t="e">
        <f>AND(Names!AB15,"AAAAAEvl95Q=")</f>
        <v>#VALUE!</v>
      </c>
      <c r="ET75" t="e">
        <f>AND(Names!AC15,"AAAAAEvl95U=")</f>
        <v>#VALUE!</v>
      </c>
      <c r="EU75" t="e">
        <f>AND(Names!AD15,"AAAAAEvl95Y=")</f>
        <v>#VALUE!</v>
      </c>
      <c r="EV75" t="e">
        <f>AND(Names!AE15,"AAAAAEvl95c=")</f>
        <v>#VALUE!</v>
      </c>
      <c r="EW75" t="e">
        <f>AND(Names!AF15,"AAAAAEvl95g=")</f>
        <v>#VALUE!</v>
      </c>
      <c r="EX75" t="e">
        <f>AND(Names!AG15,"AAAAAEvl95k=")</f>
        <v>#VALUE!</v>
      </c>
      <c r="EY75" t="e">
        <f>AND(Names!AH15,"AAAAAEvl95o=")</f>
        <v>#VALUE!</v>
      </c>
      <c r="EZ75" t="e">
        <f>AND(Names!AI15,"AAAAAEvl95s=")</f>
        <v>#VALUE!</v>
      </c>
      <c r="FA75" t="e">
        <f>AND(Names!AJ15,"AAAAAEvl95w=")</f>
        <v>#VALUE!</v>
      </c>
      <c r="FB75" t="e">
        <f>AND(Names!AK15,"AAAAAEvl950=")</f>
        <v>#VALUE!</v>
      </c>
      <c r="FC75" t="e">
        <f>AND(Names!AL15,"AAAAAEvl954=")</f>
        <v>#VALUE!</v>
      </c>
      <c r="FD75" t="e">
        <f>AND(Names!AM15,"AAAAAEvl958=")</f>
        <v>#VALUE!</v>
      </c>
      <c r="FE75">
        <f>IF(Names!16:16,"AAAAAEvl96A=",0)</f>
        <v>0</v>
      </c>
      <c r="FF75" t="e">
        <f>AND(Names!A16,"AAAAAEvl96E=")</f>
        <v>#VALUE!</v>
      </c>
      <c r="FG75" t="e">
        <f>AND(Names!B16,"AAAAAEvl96I=")</f>
        <v>#VALUE!</v>
      </c>
      <c r="FH75" t="e">
        <f>AND(Names!C16,"AAAAAEvl96M=")</f>
        <v>#VALUE!</v>
      </c>
      <c r="FI75" t="e">
        <f>AND(Names!D16,"AAAAAEvl96Q=")</f>
        <v>#VALUE!</v>
      </c>
      <c r="FJ75" t="e">
        <f>AND(Names!E16,"AAAAAEvl96U=")</f>
        <v>#VALUE!</v>
      </c>
      <c r="FK75" t="e">
        <f>AND(Names!F16,"AAAAAEvl96Y=")</f>
        <v>#VALUE!</v>
      </c>
      <c r="FL75" t="e">
        <f>AND(Names!G16,"AAAAAEvl96c=")</f>
        <v>#VALUE!</v>
      </c>
      <c r="FM75" t="e">
        <f>AND(Names!H16,"AAAAAEvl96g=")</f>
        <v>#VALUE!</v>
      </c>
      <c r="FN75" t="e">
        <f>AND(Names!I16,"AAAAAEvl96k=")</f>
        <v>#VALUE!</v>
      </c>
      <c r="FO75" t="e">
        <f>AND(Names!J16,"AAAAAEvl96o=")</f>
        <v>#VALUE!</v>
      </c>
      <c r="FP75" t="e">
        <f>AND(Names!K16,"AAAAAEvl96s=")</f>
        <v>#VALUE!</v>
      </c>
      <c r="FQ75" t="e">
        <f>AND(Names!L16,"AAAAAEvl96w=")</f>
        <v>#VALUE!</v>
      </c>
      <c r="FR75" t="e">
        <f>AND(Names!M16,"AAAAAEvl960=")</f>
        <v>#VALUE!</v>
      </c>
      <c r="FS75" t="e">
        <f>AND(Names!N16,"AAAAAEvl964=")</f>
        <v>#VALUE!</v>
      </c>
      <c r="FT75" t="e">
        <f>AND(Names!O16,"AAAAAEvl968=")</f>
        <v>#VALUE!</v>
      </c>
      <c r="FU75" t="e">
        <f>AND(Names!P16,"AAAAAEvl97A=")</f>
        <v>#VALUE!</v>
      </c>
      <c r="FV75" t="e">
        <f>AND(Names!Q16,"AAAAAEvl97E=")</f>
        <v>#VALUE!</v>
      </c>
      <c r="FW75" t="e">
        <f>AND(Names!R16,"AAAAAEvl97I=")</f>
        <v>#VALUE!</v>
      </c>
      <c r="FX75" t="e">
        <f>AND(Names!S16,"AAAAAEvl97M=")</f>
        <v>#VALUE!</v>
      </c>
      <c r="FY75" t="e">
        <f>AND(Names!T16,"AAAAAEvl97Q=")</f>
        <v>#VALUE!</v>
      </c>
      <c r="FZ75" t="e">
        <f>AND(Names!U16,"AAAAAEvl97U=")</f>
        <v>#VALUE!</v>
      </c>
      <c r="GA75" t="e">
        <f>AND(Names!V16,"AAAAAEvl97Y=")</f>
        <v>#VALUE!</v>
      </c>
      <c r="GB75" t="e">
        <f>AND(Names!W16,"AAAAAEvl97c=")</f>
        <v>#VALUE!</v>
      </c>
      <c r="GC75" t="e">
        <f>AND(Names!X16,"AAAAAEvl97g=")</f>
        <v>#VALUE!</v>
      </c>
      <c r="GD75" t="e">
        <f>AND(Names!Y16,"AAAAAEvl97k=")</f>
        <v>#VALUE!</v>
      </c>
      <c r="GE75" t="e">
        <f>AND(Names!Z16,"AAAAAEvl97o=")</f>
        <v>#VALUE!</v>
      </c>
      <c r="GF75" t="e">
        <f>AND(Names!AA16,"AAAAAEvl97s=")</f>
        <v>#VALUE!</v>
      </c>
      <c r="GG75" t="e">
        <f>AND(Names!AB16,"AAAAAEvl97w=")</f>
        <v>#VALUE!</v>
      </c>
      <c r="GH75" t="e">
        <f>AND(Names!AC16,"AAAAAEvl970=")</f>
        <v>#VALUE!</v>
      </c>
      <c r="GI75" t="e">
        <f>AND(Names!AD16,"AAAAAEvl974=")</f>
        <v>#VALUE!</v>
      </c>
      <c r="GJ75" t="e">
        <f>AND(Names!AE16,"AAAAAEvl978=")</f>
        <v>#VALUE!</v>
      </c>
      <c r="GK75" t="e">
        <f>AND(Names!AF16,"AAAAAEvl98A=")</f>
        <v>#VALUE!</v>
      </c>
      <c r="GL75" t="e">
        <f>AND(Names!AG16,"AAAAAEvl98E=")</f>
        <v>#VALUE!</v>
      </c>
      <c r="GM75" t="e">
        <f>AND(Names!AH16,"AAAAAEvl98I=")</f>
        <v>#VALUE!</v>
      </c>
      <c r="GN75" t="e">
        <f>AND(Names!AI16,"AAAAAEvl98M=")</f>
        <v>#VALUE!</v>
      </c>
      <c r="GO75" t="e">
        <f>AND(Names!AJ16,"AAAAAEvl98Q=")</f>
        <v>#VALUE!</v>
      </c>
      <c r="GP75" t="e">
        <f>AND(Names!AK16,"AAAAAEvl98U=")</f>
        <v>#VALUE!</v>
      </c>
      <c r="GQ75" t="e">
        <f>AND(Names!AL16,"AAAAAEvl98Y=")</f>
        <v>#VALUE!</v>
      </c>
      <c r="GR75" t="e">
        <f>AND(Names!AM16,"AAAAAEvl98c=")</f>
        <v>#VALUE!</v>
      </c>
      <c r="GS75">
        <f>IF(Names!17:17,"AAAAAEvl98g=",0)</f>
        <v>0</v>
      </c>
      <c r="GT75" t="e">
        <f>AND(Names!A17,"AAAAAEvl98k=")</f>
        <v>#VALUE!</v>
      </c>
      <c r="GU75" t="e">
        <f>AND(Names!B17,"AAAAAEvl98o=")</f>
        <v>#VALUE!</v>
      </c>
      <c r="GV75" t="e">
        <f>AND(Names!C17,"AAAAAEvl98s=")</f>
        <v>#VALUE!</v>
      </c>
      <c r="GW75" t="e">
        <f>AND(Names!D17,"AAAAAEvl98w=")</f>
        <v>#VALUE!</v>
      </c>
      <c r="GX75" t="e">
        <f>AND(Names!E17,"AAAAAEvl980=")</f>
        <v>#VALUE!</v>
      </c>
      <c r="GY75" t="e">
        <f>AND(Names!F17,"AAAAAEvl984=")</f>
        <v>#VALUE!</v>
      </c>
      <c r="GZ75" t="e">
        <f>AND(Names!G17,"AAAAAEvl988=")</f>
        <v>#VALUE!</v>
      </c>
      <c r="HA75" t="e">
        <f>AND(Names!H17,"AAAAAEvl99A=")</f>
        <v>#VALUE!</v>
      </c>
      <c r="HB75" t="e">
        <f>AND(Names!I17,"AAAAAEvl99E=")</f>
        <v>#VALUE!</v>
      </c>
      <c r="HC75" t="e">
        <f>AND(Names!J17,"AAAAAEvl99I=")</f>
        <v>#VALUE!</v>
      </c>
      <c r="HD75" t="e">
        <f>AND(Names!K17,"AAAAAEvl99M=")</f>
        <v>#VALUE!</v>
      </c>
      <c r="HE75" t="e">
        <f>AND(Names!L17,"AAAAAEvl99Q=")</f>
        <v>#VALUE!</v>
      </c>
      <c r="HF75" t="e">
        <f>AND(Names!M17,"AAAAAEvl99U=")</f>
        <v>#VALUE!</v>
      </c>
      <c r="HG75" t="e">
        <f>AND(Names!N17,"AAAAAEvl99Y=")</f>
        <v>#VALUE!</v>
      </c>
      <c r="HH75" t="e">
        <f>AND(Names!O17,"AAAAAEvl99c=")</f>
        <v>#VALUE!</v>
      </c>
      <c r="HI75" t="e">
        <f>AND(Names!P17,"AAAAAEvl99g=")</f>
        <v>#VALUE!</v>
      </c>
      <c r="HJ75" t="e">
        <f>AND(Names!Q17,"AAAAAEvl99k=")</f>
        <v>#VALUE!</v>
      </c>
      <c r="HK75" t="e">
        <f>AND(Names!R17,"AAAAAEvl99o=")</f>
        <v>#VALUE!</v>
      </c>
      <c r="HL75" t="e">
        <f>AND(Names!S17,"AAAAAEvl99s=")</f>
        <v>#VALUE!</v>
      </c>
      <c r="HM75" t="e">
        <f>AND(Names!T17,"AAAAAEvl99w=")</f>
        <v>#VALUE!</v>
      </c>
      <c r="HN75" t="e">
        <f>AND(Names!U17,"AAAAAEvl990=")</f>
        <v>#VALUE!</v>
      </c>
      <c r="HO75" t="e">
        <f>AND(Names!V17,"AAAAAEvl994=")</f>
        <v>#VALUE!</v>
      </c>
      <c r="HP75" t="e">
        <f>AND(Names!W17,"AAAAAEvl998=")</f>
        <v>#VALUE!</v>
      </c>
      <c r="HQ75" t="e">
        <f>AND(Names!X17,"AAAAAEvl9+A=")</f>
        <v>#VALUE!</v>
      </c>
      <c r="HR75" t="e">
        <f>AND(Names!Y17,"AAAAAEvl9+E=")</f>
        <v>#VALUE!</v>
      </c>
      <c r="HS75" t="e">
        <f>AND(Names!Z17,"AAAAAEvl9+I=")</f>
        <v>#VALUE!</v>
      </c>
      <c r="HT75" t="e">
        <f>AND(Names!AA17,"AAAAAEvl9+M=")</f>
        <v>#VALUE!</v>
      </c>
      <c r="HU75" t="e">
        <f>AND(Names!AB17,"AAAAAEvl9+Q=")</f>
        <v>#VALUE!</v>
      </c>
      <c r="HV75" t="e">
        <f>AND(Names!AC17,"AAAAAEvl9+U=")</f>
        <v>#VALUE!</v>
      </c>
      <c r="HW75" t="e">
        <f>AND(Names!AD17,"AAAAAEvl9+Y=")</f>
        <v>#VALUE!</v>
      </c>
      <c r="HX75" t="e">
        <f>AND(Names!AE17,"AAAAAEvl9+c=")</f>
        <v>#VALUE!</v>
      </c>
      <c r="HY75" t="e">
        <f>AND(Names!AF17,"AAAAAEvl9+g=")</f>
        <v>#VALUE!</v>
      </c>
      <c r="HZ75" t="e">
        <f>AND(Names!AG17,"AAAAAEvl9+k=")</f>
        <v>#VALUE!</v>
      </c>
      <c r="IA75" t="e">
        <f>AND(Names!AH17,"AAAAAEvl9+o=")</f>
        <v>#VALUE!</v>
      </c>
      <c r="IB75" t="e">
        <f>AND(Names!AI17,"AAAAAEvl9+s=")</f>
        <v>#VALUE!</v>
      </c>
      <c r="IC75" t="e">
        <f>AND(Names!AJ17,"AAAAAEvl9+w=")</f>
        <v>#VALUE!</v>
      </c>
      <c r="ID75" t="e">
        <f>AND(Names!AK17,"AAAAAEvl9+0=")</f>
        <v>#VALUE!</v>
      </c>
      <c r="IE75" t="e">
        <f>AND(Names!AL17,"AAAAAEvl9+4=")</f>
        <v>#VALUE!</v>
      </c>
      <c r="IF75" t="e">
        <f>AND(Names!AM17,"AAAAAEvl9+8=")</f>
        <v>#VALUE!</v>
      </c>
      <c r="IG75">
        <f>IF(Names!18:18,"AAAAAEvl9/A=",0)</f>
        <v>0</v>
      </c>
      <c r="IH75" t="e">
        <f>AND(Names!A18,"AAAAAEvl9/E=")</f>
        <v>#VALUE!</v>
      </c>
      <c r="II75" t="e">
        <f>AND(Names!B18,"AAAAAEvl9/I=")</f>
        <v>#VALUE!</v>
      </c>
      <c r="IJ75" t="e">
        <f>AND(Names!C18,"AAAAAEvl9/M=")</f>
        <v>#VALUE!</v>
      </c>
      <c r="IK75" t="e">
        <f>AND(Names!D18,"AAAAAEvl9/Q=")</f>
        <v>#VALUE!</v>
      </c>
      <c r="IL75" t="e">
        <f>AND(Names!E18,"AAAAAEvl9/U=")</f>
        <v>#VALUE!</v>
      </c>
      <c r="IM75" t="e">
        <f>AND(Names!F18,"AAAAAEvl9/Y=")</f>
        <v>#VALUE!</v>
      </c>
      <c r="IN75" t="e">
        <f>AND(Names!G18,"AAAAAEvl9/c=")</f>
        <v>#VALUE!</v>
      </c>
      <c r="IO75" t="e">
        <f>AND(Names!H18,"AAAAAEvl9/g=")</f>
        <v>#VALUE!</v>
      </c>
      <c r="IP75" t="e">
        <f>AND(Names!I18,"AAAAAEvl9/k=")</f>
        <v>#VALUE!</v>
      </c>
      <c r="IQ75" t="e">
        <f>AND(Names!J18,"AAAAAEvl9/o=")</f>
        <v>#VALUE!</v>
      </c>
      <c r="IR75" t="e">
        <f>AND(Names!K18,"AAAAAEvl9/s=")</f>
        <v>#VALUE!</v>
      </c>
      <c r="IS75" t="e">
        <f>AND(Names!L18,"AAAAAEvl9/w=")</f>
        <v>#VALUE!</v>
      </c>
      <c r="IT75" t="e">
        <f>AND(Names!M18,"AAAAAEvl9/0=")</f>
        <v>#VALUE!</v>
      </c>
      <c r="IU75" t="e">
        <f>AND(Names!N18,"AAAAAEvl9/4=")</f>
        <v>#VALUE!</v>
      </c>
      <c r="IV75" t="e">
        <f>AND(Names!O18,"AAAAAEvl9/8=")</f>
        <v>#VALUE!</v>
      </c>
    </row>
    <row r="76" spans="1:256" x14ac:dyDescent="0.15">
      <c r="A76" t="e">
        <f>AND(Names!P18,"AAAAAH/VXgA=")</f>
        <v>#VALUE!</v>
      </c>
      <c r="B76" t="e">
        <f>AND(Names!Q18,"AAAAAH/VXgE=")</f>
        <v>#VALUE!</v>
      </c>
      <c r="C76" t="e">
        <f>AND(Names!R18,"AAAAAH/VXgI=")</f>
        <v>#VALUE!</v>
      </c>
      <c r="D76" t="e">
        <f>AND(Names!S18,"AAAAAH/VXgM=")</f>
        <v>#VALUE!</v>
      </c>
      <c r="E76" t="e">
        <f>AND(Names!T18,"AAAAAH/VXgQ=")</f>
        <v>#VALUE!</v>
      </c>
      <c r="F76" t="e">
        <f>AND(Names!U18,"AAAAAH/VXgU=")</f>
        <v>#VALUE!</v>
      </c>
      <c r="G76" t="e">
        <f>AND(Names!V18,"AAAAAH/VXgY=")</f>
        <v>#VALUE!</v>
      </c>
      <c r="H76" t="e">
        <f>AND(Names!W18,"AAAAAH/VXgc=")</f>
        <v>#VALUE!</v>
      </c>
      <c r="I76" t="e">
        <f>AND(Names!X18,"AAAAAH/VXgg=")</f>
        <v>#VALUE!</v>
      </c>
      <c r="J76" t="e">
        <f>AND(Names!Y18,"AAAAAH/VXgk=")</f>
        <v>#VALUE!</v>
      </c>
      <c r="K76" t="e">
        <f>AND(Names!Z18,"AAAAAH/VXgo=")</f>
        <v>#VALUE!</v>
      </c>
      <c r="L76" t="e">
        <f>AND(Names!AA18,"AAAAAH/VXgs=")</f>
        <v>#VALUE!</v>
      </c>
      <c r="M76" t="e">
        <f>AND(Names!AB18,"AAAAAH/VXgw=")</f>
        <v>#VALUE!</v>
      </c>
      <c r="N76" t="e">
        <f>AND(Names!AC18,"AAAAAH/VXg0=")</f>
        <v>#VALUE!</v>
      </c>
      <c r="O76" t="e">
        <f>AND(Names!AD18,"AAAAAH/VXg4=")</f>
        <v>#VALUE!</v>
      </c>
      <c r="P76" t="e">
        <f>AND(Names!AE18,"AAAAAH/VXg8=")</f>
        <v>#VALUE!</v>
      </c>
      <c r="Q76" t="e">
        <f>AND(Names!AF18,"AAAAAH/VXhA=")</f>
        <v>#VALUE!</v>
      </c>
      <c r="R76" t="e">
        <f>AND(Names!AG18,"AAAAAH/VXhE=")</f>
        <v>#VALUE!</v>
      </c>
      <c r="S76" t="e">
        <f>AND(Names!AH18,"AAAAAH/VXhI=")</f>
        <v>#VALUE!</v>
      </c>
      <c r="T76" t="e">
        <f>AND(Names!AI18,"AAAAAH/VXhM=")</f>
        <v>#VALUE!</v>
      </c>
      <c r="U76" t="e">
        <f>AND(Names!AJ18,"AAAAAH/VXhQ=")</f>
        <v>#VALUE!</v>
      </c>
      <c r="V76" t="e">
        <f>AND(Names!AK18,"AAAAAH/VXhU=")</f>
        <v>#VALUE!</v>
      </c>
      <c r="W76" t="e">
        <f>AND(Names!AL18,"AAAAAH/VXhY=")</f>
        <v>#VALUE!</v>
      </c>
      <c r="X76" t="e">
        <f>AND(Names!AM18,"AAAAAH/VXhc=")</f>
        <v>#VALUE!</v>
      </c>
      <c r="Y76">
        <f>IF(Names!19:19,"AAAAAH/VXhg=",0)</f>
        <v>0</v>
      </c>
      <c r="Z76" t="e">
        <f>AND(Names!A19,"AAAAAH/VXhk=")</f>
        <v>#VALUE!</v>
      </c>
      <c r="AA76" t="e">
        <f>AND(Names!B19,"AAAAAH/VXho=")</f>
        <v>#VALUE!</v>
      </c>
      <c r="AB76" t="e">
        <f>AND(Names!C19,"AAAAAH/VXhs=")</f>
        <v>#VALUE!</v>
      </c>
      <c r="AC76" t="e">
        <f>AND(Names!D19,"AAAAAH/VXhw=")</f>
        <v>#VALUE!</v>
      </c>
      <c r="AD76" t="e">
        <f>AND(Names!E19,"AAAAAH/VXh0=")</f>
        <v>#VALUE!</v>
      </c>
      <c r="AE76" t="e">
        <f>AND(Names!F19,"AAAAAH/VXh4=")</f>
        <v>#VALUE!</v>
      </c>
      <c r="AF76" t="e">
        <f>AND(Names!G19,"AAAAAH/VXh8=")</f>
        <v>#VALUE!</v>
      </c>
      <c r="AG76" t="e">
        <f>AND(Names!H19,"AAAAAH/VXiA=")</f>
        <v>#VALUE!</v>
      </c>
      <c r="AH76" t="e">
        <f>AND(Names!I19,"AAAAAH/VXiE=")</f>
        <v>#VALUE!</v>
      </c>
      <c r="AI76" t="e">
        <f>AND(Names!J19,"AAAAAH/VXiI=")</f>
        <v>#VALUE!</v>
      </c>
      <c r="AJ76" t="e">
        <f>AND(Names!K19,"AAAAAH/VXiM=")</f>
        <v>#VALUE!</v>
      </c>
      <c r="AK76" t="e">
        <f>AND(Names!L19,"AAAAAH/VXiQ=")</f>
        <v>#VALUE!</v>
      </c>
      <c r="AL76" t="e">
        <f>AND(Names!M19,"AAAAAH/VXiU=")</f>
        <v>#VALUE!</v>
      </c>
      <c r="AM76" t="e">
        <f>AND(Names!N19,"AAAAAH/VXiY=")</f>
        <v>#VALUE!</v>
      </c>
      <c r="AN76" t="e">
        <f>AND(Names!O19,"AAAAAH/VXic=")</f>
        <v>#VALUE!</v>
      </c>
      <c r="AO76" t="e">
        <f>AND(Names!P19,"AAAAAH/VXig=")</f>
        <v>#VALUE!</v>
      </c>
      <c r="AP76" t="e">
        <f>AND(Names!Q19,"AAAAAH/VXik=")</f>
        <v>#VALUE!</v>
      </c>
      <c r="AQ76" t="e">
        <f>AND(Names!R19,"AAAAAH/VXio=")</f>
        <v>#VALUE!</v>
      </c>
      <c r="AR76" t="e">
        <f>AND(Names!S19,"AAAAAH/VXis=")</f>
        <v>#VALUE!</v>
      </c>
      <c r="AS76" t="e">
        <f>AND(Names!T19,"AAAAAH/VXiw=")</f>
        <v>#VALUE!</v>
      </c>
      <c r="AT76" t="e">
        <f>AND(Names!U19,"AAAAAH/VXi0=")</f>
        <v>#VALUE!</v>
      </c>
      <c r="AU76" t="e">
        <f>AND(Names!V19,"AAAAAH/VXi4=")</f>
        <v>#VALUE!</v>
      </c>
      <c r="AV76" t="e">
        <f>AND(Names!W19,"AAAAAH/VXi8=")</f>
        <v>#VALUE!</v>
      </c>
      <c r="AW76" t="e">
        <f>AND(Names!X19,"AAAAAH/VXjA=")</f>
        <v>#VALUE!</v>
      </c>
      <c r="AX76" t="e">
        <f>AND(Names!Y19,"AAAAAH/VXjE=")</f>
        <v>#VALUE!</v>
      </c>
      <c r="AY76" t="e">
        <f>AND(Names!Z19,"AAAAAH/VXjI=")</f>
        <v>#VALUE!</v>
      </c>
      <c r="AZ76" t="e">
        <f>AND(Names!AA19,"AAAAAH/VXjM=")</f>
        <v>#VALUE!</v>
      </c>
      <c r="BA76" t="e">
        <f>AND(Names!AB19,"AAAAAH/VXjQ=")</f>
        <v>#VALUE!</v>
      </c>
      <c r="BB76" t="e">
        <f>AND(Names!AC19,"AAAAAH/VXjU=")</f>
        <v>#VALUE!</v>
      </c>
      <c r="BC76" t="e">
        <f>AND(Names!AD19,"AAAAAH/VXjY=")</f>
        <v>#VALUE!</v>
      </c>
      <c r="BD76" t="e">
        <f>AND(Names!AE19,"AAAAAH/VXjc=")</f>
        <v>#VALUE!</v>
      </c>
      <c r="BE76" t="e">
        <f>AND(Names!AF19,"AAAAAH/VXjg=")</f>
        <v>#VALUE!</v>
      </c>
      <c r="BF76" t="e">
        <f>AND(Names!AG19,"AAAAAH/VXjk=")</f>
        <v>#VALUE!</v>
      </c>
      <c r="BG76" t="e">
        <f>AND(Names!AH19,"AAAAAH/VXjo=")</f>
        <v>#VALUE!</v>
      </c>
      <c r="BH76" t="e">
        <f>AND(Names!AI19,"AAAAAH/VXjs=")</f>
        <v>#VALUE!</v>
      </c>
      <c r="BI76" t="e">
        <f>AND(Names!AJ19,"AAAAAH/VXjw=")</f>
        <v>#VALUE!</v>
      </c>
      <c r="BJ76" t="e">
        <f>AND(Names!AK19,"AAAAAH/VXj0=")</f>
        <v>#VALUE!</v>
      </c>
      <c r="BK76" t="e">
        <f>AND(Names!AL19,"AAAAAH/VXj4=")</f>
        <v>#VALUE!</v>
      </c>
      <c r="BL76" t="e">
        <f>AND(Names!AM19,"AAAAAH/VXj8=")</f>
        <v>#VALUE!</v>
      </c>
      <c r="BM76">
        <f>IF(Names!20:20,"AAAAAH/VXkA=",0)</f>
        <v>0</v>
      </c>
      <c r="BN76" t="e">
        <f>AND(Names!A20,"AAAAAH/VXkE=")</f>
        <v>#VALUE!</v>
      </c>
      <c r="BO76" t="e">
        <f>AND(Names!B20,"AAAAAH/VXkI=")</f>
        <v>#VALUE!</v>
      </c>
      <c r="BP76" t="e">
        <f>AND(Names!C20,"AAAAAH/VXkM=")</f>
        <v>#VALUE!</v>
      </c>
      <c r="BQ76" t="e">
        <f>AND(Names!D20,"AAAAAH/VXkQ=")</f>
        <v>#VALUE!</v>
      </c>
      <c r="BR76" t="e">
        <f>AND(Names!E20,"AAAAAH/VXkU=")</f>
        <v>#VALUE!</v>
      </c>
      <c r="BS76" t="e">
        <f>AND(Names!F20,"AAAAAH/VXkY=")</f>
        <v>#VALUE!</v>
      </c>
      <c r="BT76" t="e">
        <f>AND(Names!G20,"AAAAAH/VXkc=")</f>
        <v>#VALUE!</v>
      </c>
      <c r="BU76" t="e">
        <f>AND(Names!H20,"AAAAAH/VXkg=")</f>
        <v>#VALUE!</v>
      </c>
      <c r="BV76" t="e">
        <f>AND(Names!I20,"AAAAAH/VXkk=")</f>
        <v>#VALUE!</v>
      </c>
      <c r="BW76" t="e">
        <f>AND(Names!J20,"AAAAAH/VXko=")</f>
        <v>#VALUE!</v>
      </c>
      <c r="BX76" t="e">
        <f>AND(Names!K20,"AAAAAH/VXks=")</f>
        <v>#VALUE!</v>
      </c>
      <c r="BY76" t="e">
        <f>AND(Names!L20,"AAAAAH/VXkw=")</f>
        <v>#VALUE!</v>
      </c>
      <c r="BZ76" t="e">
        <f>AND(Names!M20,"AAAAAH/VXk0=")</f>
        <v>#VALUE!</v>
      </c>
      <c r="CA76" t="e">
        <f>AND(Names!N20,"AAAAAH/VXk4=")</f>
        <v>#VALUE!</v>
      </c>
      <c r="CB76" t="e">
        <f>AND(Names!O20,"AAAAAH/VXk8=")</f>
        <v>#VALUE!</v>
      </c>
      <c r="CC76" t="e">
        <f>AND(Names!P20,"AAAAAH/VXlA=")</f>
        <v>#VALUE!</v>
      </c>
      <c r="CD76" t="e">
        <f>AND(Names!Q20,"AAAAAH/VXlE=")</f>
        <v>#VALUE!</v>
      </c>
      <c r="CE76" t="e">
        <f>AND(Names!R20,"AAAAAH/VXlI=")</f>
        <v>#VALUE!</v>
      </c>
      <c r="CF76" t="e">
        <f>AND(Names!S20,"AAAAAH/VXlM=")</f>
        <v>#VALUE!</v>
      </c>
      <c r="CG76" t="e">
        <f>AND(Names!T20,"AAAAAH/VXlQ=")</f>
        <v>#VALUE!</v>
      </c>
      <c r="CH76" t="e">
        <f>AND(Names!U20,"AAAAAH/VXlU=")</f>
        <v>#VALUE!</v>
      </c>
      <c r="CI76" t="e">
        <f>AND(Names!V20,"AAAAAH/VXlY=")</f>
        <v>#VALUE!</v>
      </c>
      <c r="CJ76" t="e">
        <f>AND(Names!W20,"AAAAAH/VXlc=")</f>
        <v>#VALUE!</v>
      </c>
      <c r="CK76" t="e">
        <f>AND(Names!X20,"AAAAAH/VXlg=")</f>
        <v>#VALUE!</v>
      </c>
      <c r="CL76" t="e">
        <f>AND(Names!Y20,"AAAAAH/VXlk=")</f>
        <v>#VALUE!</v>
      </c>
      <c r="CM76" t="e">
        <f>AND(Names!Z20,"AAAAAH/VXlo=")</f>
        <v>#VALUE!</v>
      </c>
      <c r="CN76" t="e">
        <f>AND(Names!AA20,"AAAAAH/VXls=")</f>
        <v>#VALUE!</v>
      </c>
      <c r="CO76" t="e">
        <f>AND(Names!AB20,"AAAAAH/VXlw=")</f>
        <v>#VALUE!</v>
      </c>
      <c r="CP76" t="e">
        <f>AND(Names!AC20,"AAAAAH/VXl0=")</f>
        <v>#VALUE!</v>
      </c>
      <c r="CQ76" t="e">
        <f>AND(Names!AD20,"AAAAAH/VXl4=")</f>
        <v>#VALUE!</v>
      </c>
      <c r="CR76" t="e">
        <f>AND(Names!AE20,"AAAAAH/VXl8=")</f>
        <v>#VALUE!</v>
      </c>
      <c r="CS76" t="e">
        <f>AND(Names!AF20,"AAAAAH/VXmA=")</f>
        <v>#VALUE!</v>
      </c>
      <c r="CT76" t="e">
        <f>AND(Names!AG20,"AAAAAH/VXmE=")</f>
        <v>#VALUE!</v>
      </c>
      <c r="CU76" t="e">
        <f>AND(Names!AH20,"AAAAAH/VXmI=")</f>
        <v>#VALUE!</v>
      </c>
      <c r="CV76" t="e">
        <f>AND(Names!AI20,"AAAAAH/VXmM=")</f>
        <v>#VALUE!</v>
      </c>
      <c r="CW76" t="e">
        <f>AND(Names!AJ20,"AAAAAH/VXmQ=")</f>
        <v>#VALUE!</v>
      </c>
      <c r="CX76" t="e">
        <f>AND(Names!AK20,"AAAAAH/VXmU=")</f>
        <v>#VALUE!</v>
      </c>
      <c r="CY76" t="e">
        <f>AND(Names!AL20,"AAAAAH/VXmY=")</f>
        <v>#VALUE!</v>
      </c>
      <c r="CZ76" t="e">
        <f>AND(Names!AM20,"AAAAAH/VXmc=")</f>
        <v>#VALUE!</v>
      </c>
      <c r="DA76">
        <f>IF(Names!21:21,"AAAAAH/VXmg=",0)</f>
        <v>0</v>
      </c>
      <c r="DB76" t="e">
        <f>AND(Names!A21,"AAAAAH/VXmk=")</f>
        <v>#VALUE!</v>
      </c>
      <c r="DC76" t="e">
        <f>AND(Names!B21,"AAAAAH/VXmo=")</f>
        <v>#VALUE!</v>
      </c>
      <c r="DD76" t="e">
        <f>AND(Names!C21,"AAAAAH/VXms=")</f>
        <v>#VALUE!</v>
      </c>
      <c r="DE76" t="e">
        <f>AND(Names!D21,"AAAAAH/VXmw=")</f>
        <v>#VALUE!</v>
      </c>
      <c r="DF76" t="e">
        <f>AND(Names!E21,"AAAAAH/VXm0=")</f>
        <v>#VALUE!</v>
      </c>
      <c r="DG76" t="e">
        <f>AND(Names!F21,"AAAAAH/VXm4=")</f>
        <v>#VALUE!</v>
      </c>
      <c r="DH76" t="e">
        <f>AND(Names!G21,"AAAAAH/VXm8=")</f>
        <v>#VALUE!</v>
      </c>
      <c r="DI76" t="e">
        <f>AND(Names!H21,"AAAAAH/VXnA=")</f>
        <v>#VALUE!</v>
      </c>
      <c r="DJ76" t="e">
        <f>AND(Names!I21,"AAAAAH/VXnE=")</f>
        <v>#VALUE!</v>
      </c>
      <c r="DK76" t="e">
        <f>AND(Names!J21,"AAAAAH/VXnI=")</f>
        <v>#VALUE!</v>
      </c>
      <c r="DL76" t="e">
        <f>AND(Names!K21,"AAAAAH/VXnM=")</f>
        <v>#VALUE!</v>
      </c>
      <c r="DM76" t="e">
        <f>AND(Names!L21,"AAAAAH/VXnQ=")</f>
        <v>#VALUE!</v>
      </c>
      <c r="DN76" t="e">
        <f>AND(Names!M21,"AAAAAH/VXnU=")</f>
        <v>#VALUE!</v>
      </c>
      <c r="DO76" t="e">
        <f>AND(Names!N21,"AAAAAH/VXnY=")</f>
        <v>#VALUE!</v>
      </c>
      <c r="DP76" t="e">
        <f>AND(Names!O21,"AAAAAH/VXnc=")</f>
        <v>#VALUE!</v>
      </c>
      <c r="DQ76" t="e">
        <f>AND(Names!P21,"AAAAAH/VXng=")</f>
        <v>#VALUE!</v>
      </c>
      <c r="DR76" t="e">
        <f>AND(Names!Q21,"AAAAAH/VXnk=")</f>
        <v>#VALUE!</v>
      </c>
      <c r="DS76" t="e">
        <f>AND(Names!R21,"AAAAAH/VXno=")</f>
        <v>#VALUE!</v>
      </c>
      <c r="DT76" t="e">
        <f>AND(Names!S21,"AAAAAH/VXns=")</f>
        <v>#VALUE!</v>
      </c>
      <c r="DU76" t="e">
        <f>AND(Names!T21,"AAAAAH/VXnw=")</f>
        <v>#VALUE!</v>
      </c>
      <c r="DV76" t="e">
        <f>AND(Names!U21,"AAAAAH/VXn0=")</f>
        <v>#VALUE!</v>
      </c>
      <c r="DW76" t="e">
        <f>AND(Names!V21,"AAAAAH/VXn4=")</f>
        <v>#VALUE!</v>
      </c>
      <c r="DX76" t="e">
        <f>AND(Names!W21,"AAAAAH/VXn8=")</f>
        <v>#VALUE!</v>
      </c>
      <c r="DY76" t="e">
        <f>AND(Names!X21,"AAAAAH/VXoA=")</f>
        <v>#VALUE!</v>
      </c>
      <c r="DZ76" t="e">
        <f>AND(Names!Y21,"AAAAAH/VXoE=")</f>
        <v>#VALUE!</v>
      </c>
      <c r="EA76" t="e">
        <f>AND(Names!Z21,"AAAAAH/VXoI=")</f>
        <v>#VALUE!</v>
      </c>
      <c r="EB76" t="e">
        <f>AND(Names!AA21,"AAAAAH/VXoM=")</f>
        <v>#VALUE!</v>
      </c>
      <c r="EC76" t="e">
        <f>AND(Names!AB21,"AAAAAH/VXoQ=")</f>
        <v>#VALUE!</v>
      </c>
      <c r="ED76" t="e">
        <f>AND(Names!AC21,"AAAAAH/VXoU=")</f>
        <v>#VALUE!</v>
      </c>
      <c r="EE76" t="e">
        <f>AND(Names!AD21,"AAAAAH/VXoY=")</f>
        <v>#VALUE!</v>
      </c>
      <c r="EF76" t="e">
        <f>AND(Names!AE21,"AAAAAH/VXoc=")</f>
        <v>#VALUE!</v>
      </c>
      <c r="EG76" t="e">
        <f>AND(Names!AF21,"AAAAAH/VXog=")</f>
        <v>#VALUE!</v>
      </c>
      <c r="EH76" t="e">
        <f>AND(Names!AG21,"AAAAAH/VXok=")</f>
        <v>#VALUE!</v>
      </c>
      <c r="EI76" t="e">
        <f>AND(Names!AH21,"AAAAAH/VXoo=")</f>
        <v>#VALUE!</v>
      </c>
      <c r="EJ76" t="e">
        <f>AND(Names!AI21,"AAAAAH/VXos=")</f>
        <v>#VALUE!</v>
      </c>
      <c r="EK76" t="e">
        <f>AND(Names!AJ21,"AAAAAH/VXow=")</f>
        <v>#VALUE!</v>
      </c>
      <c r="EL76" t="e">
        <f>AND(Names!AK21,"AAAAAH/VXo0=")</f>
        <v>#VALUE!</v>
      </c>
      <c r="EM76" t="e">
        <f>AND(Names!AL21,"AAAAAH/VXo4=")</f>
        <v>#VALUE!</v>
      </c>
      <c r="EN76" t="e">
        <f>AND(Names!AM21,"AAAAAH/VXo8=")</f>
        <v>#VALUE!</v>
      </c>
      <c r="EO76">
        <f>IF(Names!22:22,"AAAAAH/VXpA=",0)</f>
        <v>0</v>
      </c>
      <c r="EP76" t="e">
        <f>AND(Names!A22,"AAAAAH/VXpE=")</f>
        <v>#VALUE!</v>
      </c>
      <c r="EQ76" t="e">
        <f>AND(Names!B22,"AAAAAH/VXpI=")</f>
        <v>#VALUE!</v>
      </c>
      <c r="ER76" t="e">
        <f>AND(Names!C22,"AAAAAH/VXpM=")</f>
        <v>#VALUE!</v>
      </c>
      <c r="ES76" t="e">
        <f>AND(Names!D22,"AAAAAH/VXpQ=")</f>
        <v>#VALUE!</v>
      </c>
      <c r="ET76" t="e">
        <f>AND(Names!E22,"AAAAAH/VXpU=")</f>
        <v>#VALUE!</v>
      </c>
      <c r="EU76" t="e">
        <f>AND(Names!F22,"AAAAAH/VXpY=")</f>
        <v>#VALUE!</v>
      </c>
      <c r="EV76" t="e">
        <f>AND(Names!G22,"AAAAAH/VXpc=")</f>
        <v>#VALUE!</v>
      </c>
      <c r="EW76" t="e">
        <f>AND(Names!H22,"AAAAAH/VXpg=")</f>
        <v>#VALUE!</v>
      </c>
      <c r="EX76" t="e">
        <f>AND(Names!I22,"AAAAAH/VXpk=")</f>
        <v>#VALUE!</v>
      </c>
      <c r="EY76" t="e">
        <f>AND(Names!J22,"AAAAAH/VXpo=")</f>
        <v>#VALUE!</v>
      </c>
      <c r="EZ76" t="e">
        <f>AND(Names!K22,"AAAAAH/VXps=")</f>
        <v>#VALUE!</v>
      </c>
      <c r="FA76" t="e">
        <f>AND(Names!L22,"AAAAAH/VXpw=")</f>
        <v>#VALUE!</v>
      </c>
      <c r="FB76" t="e">
        <f>AND(Names!M22,"AAAAAH/VXp0=")</f>
        <v>#VALUE!</v>
      </c>
      <c r="FC76" t="e">
        <f>AND(Names!N22,"AAAAAH/VXp4=")</f>
        <v>#VALUE!</v>
      </c>
      <c r="FD76" t="e">
        <f>AND(Names!O22,"AAAAAH/VXp8=")</f>
        <v>#VALUE!</v>
      </c>
      <c r="FE76" t="e">
        <f>AND(Names!P22,"AAAAAH/VXqA=")</f>
        <v>#VALUE!</v>
      </c>
      <c r="FF76" t="e">
        <f>AND(Names!Q22,"AAAAAH/VXqE=")</f>
        <v>#VALUE!</v>
      </c>
      <c r="FG76" t="e">
        <f>AND(Names!R22,"AAAAAH/VXqI=")</f>
        <v>#VALUE!</v>
      </c>
      <c r="FH76" t="e">
        <f>AND(Names!S22,"AAAAAH/VXqM=")</f>
        <v>#VALUE!</v>
      </c>
      <c r="FI76" t="e">
        <f>AND(Names!T22,"AAAAAH/VXqQ=")</f>
        <v>#VALUE!</v>
      </c>
      <c r="FJ76" t="e">
        <f>AND(Names!U22,"AAAAAH/VXqU=")</f>
        <v>#VALUE!</v>
      </c>
      <c r="FK76" t="e">
        <f>AND(Names!V22,"AAAAAH/VXqY=")</f>
        <v>#VALUE!</v>
      </c>
      <c r="FL76" t="e">
        <f>AND(Names!W22,"AAAAAH/VXqc=")</f>
        <v>#VALUE!</v>
      </c>
      <c r="FM76" t="e">
        <f>AND(Names!X22,"AAAAAH/VXqg=")</f>
        <v>#VALUE!</v>
      </c>
      <c r="FN76" t="e">
        <f>AND(Names!Y22,"AAAAAH/VXqk=")</f>
        <v>#VALUE!</v>
      </c>
      <c r="FO76" t="e">
        <f>AND(Names!Z22,"AAAAAH/VXqo=")</f>
        <v>#VALUE!</v>
      </c>
      <c r="FP76" t="e">
        <f>AND(Names!AA22,"AAAAAH/VXqs=")</f>
        <v>#VALUE!</v>
      </c>
      <c r="FQ76" t="e">
        <f>AND(Names!AB22,"AAAAAH/VXqw=")</f>
        <v>#VALUE!</v>
      </c>
      <c r="FR76" t="e">
        <f>AND(Names!AC22,"AAAAAH/VXq0=")</f>
        <v>#VALUE!</v>
      </c>
      <c r="FS76" t="e">
        <f>AND(Names!AD22,"AAAAAH/VXq4=")</f>
        <v>#VALUE!</v>
      </c>
      <c r="FT76" t="e">
        <f>AND(Names!AE22,"AAAAAH/VXq8=")</f>
        <v>#VALUE!</v>
      </c>
      <c r="FU76" t="e">
        <f>AND(Names!AF22,"AAAAAH/VXrA=")</f>
        <v>#VALUE!</v>
      </c>
      <c r="FV76" t="e">
        <f>AND(Names!AG22,"AAAAAH/VXrE=")</f>
        <v>#VALUE!</v>
      </c>
      <c r="FW76" t="e">
        <f>AND(Names!AH22,"AAAAAH/VXrI=")</f>
        <v>#VALUE!</v>
      </c>
      <c r="FX76" t="e">
        <f>AND(Names!AI22,"AAAAAH/VXrM=")</f>
        <v>#VALUE!</v>
      </c>
      <c r="FY76" t="e">
        <f>AND(Names!AJ22,"AAAAAH/VXrQ=")</f>
        <v>#VALUE!</v>
      </c>
      <c r="FZ76" t="e">
        <f>AND(Names!AK22,"AAAAAH/VXrU=")</f>
        <v>#VALUE!</v>
      </c>
      <c r="GA76" t="e">
        <f>AND(Names!AL22,"AAAAAH/VXrY=")</f>
        <v>#VALUE!</v>
      </c>
      <c r="GB76" t="e">
        <f>AND(Names!AM22,"AAAAAH/VXrc=")</f>
        <v>#VALUE!</v>
      </c>
      <c r="GC76">
        <f>IF(Names!23:23,"AAAAAH/VXrg=",0)</f>
        <v>0</v>
      </c>
      <c r="GD76" t="e">
        <f>AND(Names!A23,"AAAAAH/VXrk=")</f>
        <v>#VALUE!</v>
      </c>
      <c r="GE76" t="e">
        <f>AND(Names!B23,"AAAAAH/VXro=")</f>
        <v>#VALUE!</v>
      </c>
      <c r="GF76" t="e">
        <f>AND(Names!C23,"AAAAAH/VXrs=")</f>
        <v>#VALUE!</v>
      </c>
      <c r="GG76" t="e">
        <f>AND(Names!D23,"AAAAAH/VXrw=")</f>
        <v>#VALUE!</v>
      </c>
      <c r="GH76" t="e">
        <f>AND(Names!E23,"AAAAAH/VXr0=")</f>
        <v>#VALUE!</v>
      </c>
      <c r="GI76" t="e">
        <f>AND(Names!F23,"AAAAAH/VXr4=")</f>
        <v>#VALUE!</v>
      </c>
      <c r="GJ76" t="e">
        <f>AND(Names!G23,"AAAAAH/VXr8=")</f>
        <v>#VALUE!</v>
      </c>
      <c r="GK76" t="e">
        <f>AND(Names!H23,"AAAAAH/VXsA=")</f>
        <v>#VALUE!</v>
      </c>
      <c r="GL76" t="e">
        <f>AND(Names!I23,"AAAAAH/VXsE=")</f>
        <v>#VALUE!</v>
      </c>
      <c r="GM76" t="e">
        <f>AND(Names!J23,"AAAAAH/VXsI=")</f>
        <v>#VALUE!</v>
      </c>
      <c r="GN76" t="e">
        <f>AND(Names!K23,"AAAAAH/VXsM=")</f>
        <v>#VALUE!</v>
      </c>
      <c r="GO76" t="e">
        <f>AND(Names!L23,"AAAAAH/VXsQ=")</f>
        <v>#VALUE!</v>
      </c>
      <c r="GP76" t="e">
        <f>AND(Names!M23,"AAAAAH/VXsU=")</f>
        <v>#VALUE!</v>
      </c>
      <c r="GQ76" t="e">
        <f>AND(Names!N23,"AAAAAH/VXsY=")</f>
        <v>#VALUE!</v>
      </c>
      <c r="GR76" t="e">
        <f>AND(Names!O23,"AAAAAH/VXsc=")</f>
        <v>#VALUE!</v>
      </c>
      <c r="GS76" t="e">
        <f>AND(Names!P23,"AAAAAH/VXsg=")</f>
        <v>#VALUE!</v>
      </c>
      <c r="GT76" t="e">
        <f>AND(Names!Q23,"AAAAAH/VXsk=")</f>
        <v>#VALUE!</v>
      </c>
      <c r="GU76" t="e">
        <f>AND(Names!R23,"AAAAAH/VXso=")</f>
        <v>#VALUE!</v>
      </c>
      <c r="GV76" t="e">
        <f>AND(Names!S23,"AAAAAH/VXss=")</f>
        <v>#VALUE!</v>
      </c>
      <c r="GW76" t="e">
        <f>AND(Names!T23,"AAAAAH/VXsw=")</f>
        <v>#VALUE!</v>
      </c>
      <c r="GX76" t="e">
        <f>AND(Names!U23,"AAAAAH/VXs0=")</f>
        <v>#VALUE!</v>
      </c>
      <c r="GY76" t="e">
        <f>AND(Names!V23,"AAAAAH/VXs4=")</f>
        <v>#VALUE!</v>
      </c>
      <c r="GZ76" t="e">
        <f>AND(Names!W23,"AAAAAH/VXs8=")</f>
        <v>#VALUE!</v>
      </c>
      <c r="HA76" t="e">
        <f>AND(Names!X23,"AAAAAH/VXtA=")</f>
        <v>#VALUE!</v>
      </c>
      <c r="HB76" t="e">
        <f>AND(Names!Y23,"AAAAAH/VXtE=")</f>
        <v>#VALUE!</v>
      </c>
      <c r="HC76" t="e">
        <f>AND(Names!Z23,"AAAAAH/VXtI=")</f>
        <v>#VALUE!</v>
      </c>
      <c r="HD76" t="e">
        <f>AND(Names!AA23,"AAAAAH/VXtM=")</f>
        <v>#VALUE!</v>
      </c>
      <c r="HE76" t="e">
        <f>AND(Names!AB23,"AAAAAH/VXtQ=")</f>
        <v>#VALUE!</v>
      </c>
      <c r="HF76" t="e">
        <f>AND(Names!AC23,"AAAAAH/VXtU=")</f>
        <v>#VALUE!</v>
      </c>
      <c r="HG76" t="e">
        <f>AND(Names!AD23,"AAAAAH/VXtY=")</f>
        <v>#VALUE!</v>
      </c>
      <c r="HH76" t="e">
        <f>AND(Names!AE23,"AAAAAH/VXtc=")</f>
        <v>#VALUE!</v>
      </c>
      <c r="HI76" t="e">
        <f>AND(Names!AF23,"AAAAAH/VXtg=")</f>
        <v>#VALUE!</v>
      </c>
      <c r="HJ76" t="e">
        <f>AND(Names!AG23,"AAAAAH/VXtk=")</f>
        <v>#VALUE!</v>
      </c>
      <c r="HK76" t="e">
        <f>AND(Names!AH23,"AAAAAH/VXto=")</f>
        <v>#VALUE!</v>
      </c>
      <c r="HL76" t="e">
        <f>AND(Names!AI23,"AAAAAH/VXts=")</f>
        <v>#VALUE!</v>
      </c>
      <c r="HM76" t="e">
        <f>AND(Names!AJ23,"AAAAAH/VXtw=")</f>
        <v>#VALUE!</v>
      </c>
      <c r="HN76" t="e">
        <f>AND(Names!AK23,"AAAAAH/VXt0=")</f>
        <v>#VALUE!</v>
      </c>
      <c r="HO76" t="e">
        <f>AND(Names!AL23,"AAAAAH/VXt4=")</f>
        <v>#VALUE!</v>
      </c>
      <c r="HP76" t="e">
        <f>AND(Names!AM23,"AAAAAH/VXt8=")</f>
        <v>#VALUE!</v>
      </c>
      <c r="HQ76">
        <f>IF(Names!24:24,"AAAAAH/VXuA=",0)</f>
        <v>0</v>
      </c>
      <c r="HR76" t="e">
        <f>AND(Names!A24,"AAAAAH/VXuE=")</f>
        <v>#VALUE!</v>
      </c>
      <c r="HS76" t="e">
        <f>AND(Names!B24,"AAAAAH/VXuI=")</f>
        <v>#VALUE!</v>
      </c>
      <c r="HT76" t="e">
        <f>AND(Names!C24,"AAAAAH/VXuM=")</f>
        <v>#VALUE!</v>
      </c>
      <c r="HU76" t="e">
        <f>AND(Names!D24,"AAAAAH/VXuQ=")</f>
        <v>#VALUE!</v>
      </c>
      <c r="HV76" t="e">
        <f>AND(Names!E24,"AAAAAH/VXuU=")</f>
        <v>#VALUE!</v>
      </c>
      <c r="HW76" t="e">
        <f>AND(Names!F24,"AAAAAH/VXuY=")</f>
        <v>#VALUE!</v>
      </c>
      <c r="HX76" t="e">
        <f>AND(Names!G24,"AAAAAH/VXuc=")</f>
        <v>#VALUE!</v>
      </c>
      <c r="HY76" t="e">
        <f>AND(Names!H24,"AAAAAH/VXug=")</f>
        <v>#VALUE!</v>
      </c>
      <c r="HZ76" t="e">
        <f>AND(Names!I24,"AAAAAH/VXuk=")</f>
        <v>#VALUE!</v>
      </c>
      <c r="IA76" t="e">
        <f>AND(Names!J24,"AAAAAH/VXuo=")</f>
        <v>#VALUE!</v>
      </c>
      <c r="IB76" t="e">
        <f>AND(Names!K24,"AAAAAH/VXus=")</f>
        <v>#VALUE!</v>
      </c>
      <c r="IC76" t="e">
        <f>AND(Names!L24,"AAAAAH/VXuw=")</f>
        <v>#VALUE!</v>
      </c>
      <c r="ID76" t="e">
        <f>AND(Names!M24,"AAAAAH/VXu0=")</f>
        <v>#VALUE!</v>
      </c>
      <c r="IE76" t="e">
        <f>AND(Names!N24,"AAAAAH/VXu4=")</f>
        <v>#VALUE!</v>
      </c>
      <c r="IF76" t="e">
        <f>AND(Names!O24,"AAAAAH/VXu8=")</f>
        <v>#VALUE!</v>
      </c>
      <c r="IG76" t="e">
        <f>AND(Names!P24,"AAAAAH/VXvA=")</f>
        <v>#VALUE!</v>
      </c>
      <c r="IH76" t="e">
        <f>AND(Names!Q24,"AAAAAH/VXvE=")</f>
        <v>#VALUE!</v>
      </c>
      <c r="II76" t="e">
        <f>AND(Names!R24,"AAAAAH/VXvI=")</f>
        <v>#VALUE!</v>
      </c>
      <c r="IJ76" t="e">
        <f>AND(Names!S24,"AAAAAH/VXvM=")</f>
        <v>#VALUE!</v>
      </c>
      <c r="IK76" t="e">
        <f>AND(Names!T24,"AAAAAH/VXvQ=")</f>
        <v>#VALUE!</v>
      </c>
      <c r="IL76" t="e">
        <f>AND(Names!U24,"AAAAAH/VXvU=")</f>
        <v>#VALUE!</v>
      </c>
      <c r="IM76" t="e">
        <f>AND(Names!V24,"AAAAAH/VXvY=")</f>
        <v>#VALUE!</v>
      </c>
      <c r="IN76" t="e">
        <f>AND(Names!W24,"AAAAAH/VXvc=")</f>
        <v>#VALUE!</v>
      </c>
      <c r="IO76" t="e">
        <f>AND(Names!X24,"AAAAAH/VXvg=")</f>
        <v>#VALUE!</v>
      </c>
      <c r="IP76" t="e">
        <f>AND(Names!Y24,"AAAAAH/VXvk=")</f>
        <v>#VALUE!</v>
      </c>
      <c r="IQ76" t="e">
        <f>AND(Names!Z24,"AAAAAH/VXvo=")</f>
        <v>#VALUE!</v>
      </c>
      <c r="IR76" t="e">
        <f>AND(Names!AA24,"AAAAAH/VXvs=")</f>
        <v>#VALUE!</v>
      </c>
      <c r="IS76" t="e">
        <f>AND(Names!AB24,"AAAAAH/VXvw=")</f>
        <v>#VALUE!</v>
      </c>
      <c r="IT76" t="e">
        <f>AND(Names!AC24,"AAAAAH/VXv0=")</f>
        <v>#VALUE!</v>
      </c>
      <c r="IU76" t="e">
        <f>AND(Names!AD24,"AAAAAH/VXv4=")</f>
        <v>#VALUE!</v>
      </c>
      <c r="IV76" t="e">
        <f>AND(Names!AE24,"AAAAAH/VXv8=")</f>
        <v>#VALUE!</v>
      </c>
    </row>
    <row r="77" spans="1:256" x14ac:dyDescent="0.15">
      <c r="A77" t="e">
        <f>AND(Names!AF24,"AAAAAGtftwA=")</f>
        <v>#VALUE!</v>
      </c>
      <c r="B77" t="e">
        <f>AND(Names!AG24,"AAAAAGtftwE=")</f>
        <v>#VALUE!</v>
      </c>
      <c r="C77" t="e">
        <f>AND(Names!AH24,"AAAAAGtftwI=")</f>
        <v>#VALUE!</v>
      </c>
      <c r="D77" t="e">
        <f>AND(Names!AI24,"AAAAAGtftwM=")</f>
        <v>#VALUE!</v>
      </c>
      <c r="E77" t="e">
        <f>AND(Names!AJ24,"AAAAAGtftwQ=")</f>
        <v>#VALUE!</v>
      </c>
      <c r="F77" t="e">
        <f>AND(Names!AK24,"AAAAAGtftwU=")</f>
        <v>#VALUE!</v>
      </c>
      <c r="G77" t="e">
        <f>AND(Names!AL24,"AAAAAGtftwY=")</f>
        <v>#VALUE!</v>
      </c>
      <c r="H77" t="e">
        <f>AND(Names!AM24,"AAAAAGtftwc=")</f>
        <v>#VALUE!</v>
      </c>
      <c r="I77">
        <f>IF(Names!25:25,"AAAAAGtftwg=",0)</f>
        <v>0</v>
      </c>
      <c r="J77" t="e">
        <f>AND(Names!A25,"AAAAAGtftwk=")</f>
        <v>#VALUE!</v>
      </c>
      <c r="K77" t="e">
        <f>AND(Names!B25,"AAAAAGtftwo=")</f>
        <v>#VALUE!</v>
      </c>
      <c r="L77" t="e">
        <f>AND(Names!C25,"AAAAAGtftws=")</f>
        <v>#VALUE!</v>
      </c>
      <c r="M77" t="e">
        <f>AND(Names!D25,"AAAAAGtftww=")</f>
        <v>#VALUE!</v>
      </c>
      <c r="N77" t="e">
        <f>AND(Names!E25,"AAAAAGtftw0=")</f>
        <v>#VALUE!</v>
      </c>
      <c r="O77" t="e">
        <f>AND(Names!F25,"AAAAAGtftw4=")</f>
        <v>#VALUE!</v>
      </c>
      <c r="P77" t="e">
        <f>AND(Names!G25,"AAAAAGtftw8=")</f>
        <v>#VALUE!</v>
      </c>
      <c r="Q77" t="e">
        <f>AND(Names!H25,"AAAAAGtftxA=")</f>
        <v>#VALUE!</v>
      </c>
      <c r="R77" t="e">
        <f>AND(Names!I25,"AAAAAGtftxE=")</f>
        <v>#VALUE!</v>
      </c>
      <c r="S77" t="e">
        <f>AND(Names!J25,"AAAAAGtftxI=")</f>
        <v>#VALUE!</v>
      </c>
      <c r="T77" t="e">
        <f>AND(Names!K25,"AAAAAGtftxM=")</f>
        <v>#VALUE!</v>
      </c>
      <c r="U77" t="e">
        <f>AND(Names!L25,"AAAAAGtftxQ=")</f>
        <v>#VALUE!</v>
      </c>
      <c r="V77" t="e">
        <f>AND(Names!M25,"AAAAAGtftxU=")</f>
        <v>#VALUE!</v>
      </c>
      <c r="W77" t="e">
        <f>AND(Names!N25,"AAAAAGtftxY=")</f>
        <v>#VALUE!</v>
      </c>
      <c r="X77" t="e">
        <f>AND(Names!O25,"AAAAAGtftxc=")</f>
        <v>#VALUE!</v>
      </c>
      <c r="Y77" t="e">
        <f>AND(Names!P25,"AAAAAGtftxg=")</f>
        <v>#VALUE!</v>
      </c>
      <c r="Z77" t="e">
        <f>AND(Names!Q25,"AAAAAGtftxk=")</f>
        <v>#VALUE!</v>
      </c>
      <c r="AA77" t="e">
        <f>AND(Names!R25,"AAAAAGtftxo=")</f>
        <v>#VALUE!</v>
      </c>
      <c r="AB77" t="e">
        <f>AND(Names!S25,"AAAAAGtftxs=")</f>
        <v>#VALUE!</v>
      </c>
      <c r="AC77" t="e">
        <f>AND(Names!T25,"AAAAAGtftxw=")</f>
        <v>#VALUE!</v>
      </c>
      <c r="AD77" t="e">
        <f>AND(Names!U25,"AAAAAGtftx0=")</f>
        <v>#VALUE!</v>
      </c>
      <c r="AE77" t="e">
        <f>AND(Names!V25,"AAAAAGtftx4=")</f>
        <v>#VALUE!</v>
      </c>
      <c r="AF77" t="e">
        <f>AND(Names!W25,"AAAAAGtftx8=")</f>
        <v>#VALUE!</v>
      </c>
      <c r="AG77" t="e">
        <f>AND(Names!X25,"AAAAAGtftyA=")</f>
        <v>#VALUE!</v>
      </c>
      <c r="AH77" t="e">
        <f>AND(Names!Y25,"AAAAAGtftyE=")</f>
        <v>#VALUE!</v>
      </c>
      <c r="AI77" t="e">
        <f>AND(Names!Z25,"AAAAAGtftyI=")</f>
        <v>#VALUE!</v>
      </c>
      <c r="AJ77" t="e">
        <f>AND(Names!AA25,"AAAAAGtftyM=")</f>
        <v>#VALUE!</v>
      </c>
      <c r="AK77" t="e">
        <f>AND(Names!AB25,"AAAAAGtftyQ=")</f>
        <v>#VALUE!</v>
      </c>
      <c r="AL77" t="e">
        <f>AND(Names!AC25,"AAAAAGtftyU=")</f>
        <v>#VALUE!</v>
      </c>
      <c r="AM77" t="e">
        <f>AND(Names!AD25,"AAAAAGtftyY=")</f>
        <v>#VALUE!</v>
      </c>
      <c r="AN77" t="e">
        <f>AND(Names!AE25,"AAAAAGtftyc=")</f>
        <v>#VALUE!</v>
      </c>
      <c r="AO77" t="e">
        <f>AND(Names!AF25,"AAAAAGtftyg=")</f>
        <v>#VALUE!</v>
      </c>
      <c r="AP77" t="e">
        <f>AND(Names!AG25,"AAAAAGtftyk=")</f>
        <v>#VALUE!</v>
      </c>
      <c r="AQ77" t="e">
        <f>AND(Names!AH25,"AAAAAGtftyo=")</f>
        <v>#VALUE!</v>
      </c>
      <c r="AR77" t="e">
        <f>AND(Names!AI25,"AAAAAGtftys=")</f>
        <v>#VALUE!</v>
      </c>
      <c r="AS77" t="e">
        <f>AND(Names!AJ25,"AAAAAGtftyw=")</f>
        <v>#VALUE!</v>
      </c>
      <c r="AT77" t="e">
        <f>AND(Names!AK25,"AAAAAGtfty0=")</f>
        <v>#VALUE!</v>
      </c>
      <c r="AU77" t="e">
        <f>AND(Names!AL25,"AAAAAGtfty4=")</f>
        <v>#VALUE!</v>
      </c>
      <c r="AV77" t="e">
        <f>AND(Names!AM25,"AAAAAGtfty8=")</f>
        <v>#VALUE!</v>
      </c>
      <c r="AW77">
        <f>IF(Names!26:26,"AAAAAGtftzA=",0)</f>
        <v>0</v>
      </c>
      <c r="AX77" t="e">
        <f>AND(Names!A26,"AAAAAGtftzE=")</f>
        <v>#VALUE!</v>
      </c>
      <c r="AY77" t="e">
        <f>AND(Names!B26,"AAAAAGtftzI=")</f>
        <v>#VALUE!</v>
      </c>
      <c r="AZ77" t="e">
        <f>AND(Names!C26,"AAAAAGtftzM=")</f>
        <v>#VALUE!</v>
      </c>
      <c r="BA77" t="e">
        <f>AND(Names!D26,"AAAAAGtftzQ=")</f>
        <v>#VALUE!</v>
      </c>
      <c r="BB77" t="e">
        <f>AND(Names!E26,"AAAAAGtftzU=")</f>
        <v>#VALUE!</v>
      </c>
      <c r="BC77" t="e">
        <f>AND(Names!F26,"AAAAAGtftzY=")</f>
        <v>#VALUE!</v>
      </c>
      <c r="BD77" t="e">
        <f>AND(Names!G26,"AAAAAGtftzc=")</f>
        <v>#VALUE!</v>
      </c>
      <c r="BE77" t="e">
        <f>AND(Names!H26,"AAAAAGtftzg=")</f>
        <v>#VALUE!</v>
      </c>
      <c r="BF77" t="e">
        <f>AND(Names!I26,"AAAAAGtftzk=")</f>
        <v>#VALUE!</v>
      </c>
      <c r="BG77" t="e">
        <f>AND(Names!J26,"AAAAAGtftzo=")</f>
        <v>#VALUE!</v>
      </c>
      <c r="BH77" t="e">
        <f>AND(Names!K26,"AAAAAGtftzs=")</f>
        <v>#VALUE!</v>
      </c>
      <c r="BI77" t="e">
        <f>AND(Names!L26,"AAAAAGtftzw=")</f>
        <v>#VALUE!</v>
      </c>
      <c r="BJ77" t="e">
        <f>AND(Names!M26,"AAAAAGtftz0=")</f>
        <v>#VALUE!</v>
      </c>
      <c r="BK77" t="e">
        <f>AND(Names!N26,"AAAAAGtftz4=")</f>
        <v>#VALUE!</v>
      </c>
      <c r="BL77" t="e">
        <f>AND(Names!O26,"AAAAAGtftz8=")</f>
        <v>#VALUE!</v>
      </c>
      <c r="BM77" t="e">
        <f>AND(Names!P26,"AAAAAGtft0A=")</f>
        <v>#VALUE!</v>
      </c>
      <c r="BN77" t="e">
        <f>AND(Names!Q26,"AAAAAGtft0E=")</f>
        <v>#VALUE!</v>
      </c>
      <c r="BO77" t="e">
        <f>AND(Names!R26,"AAAAAGtft0I=")</f>
        <v>#VALUE!</v>
      </c>
      <c r="BP77" t="e">
        <f>AND(Names!S26,"AAAAAGtft0M=")</f>
        <v>#VALUE!</v>
      </c>
      <c r="BQ77" t="e">
        <f>AND(Names!T26,"AAAAAGtft0Q=")</f>
        <v>#VALUE!</v>
      </c>
      <c r="BR77" t="e">
        <f>AND(Names!U26,"AAAAAGtft0U=")</f>
        <v>#VALUE!</v>
      </c>
      <c r="BS77" t="e">
        <f>AND(Names!V26,"AAAAAGtft0Y=")</f>
        <v>#VALUE!</v>
      </c>
      <c r="BT77" t="e">
        <f>AND(Names!W26,"AAAAAGtft0c=")</f>
        <v>#VALUE!</v>
      </c>
      <c r="BU77" t="e">
        <f>AND(Names!X26,"AAAAAGtft0g=")</f>
        <v>#VALUE!</v>
      </c>
      <c r="BV77" t="e">
        <f>AND(Names!Y26,"AAAAAGtft0k=")</f>
        <v>#VALUE!</v>
      </c>
      <c r="BW77" t="e">
        <f>AND(Names!Z26,"AAAAAGtft0o=")</f>
        <v>#VALUE!</v>
      </c>
      <c r="BX77" t="e">
        <f>AND(Names!AA26,"AAAAAGtft0s=")</f>
        <v>#VALUE!</v>
      </c>
      <c r="BY77" t="e">
        <f>AND(Names!AB26,"AAAAAGtft0w=")</f>
        <v>#VALUE!</v>
      </c>
      <c r="BZ77" t="e">
        <f>AND(Names!AC26,"AAAAAGtft00=")</f>
        <v>#VALUE!</v>
      </c>
      <c r="CA77" t="e">
        <f>AND(Names!AD26,"AAAAAGtft04=")</f>
        <v>#VALUE!</v>
      </c>
      <c r="CB77" t="e">
        <f>AND(Names!AE26,"AAAAAGtft08=")</f>
        <v>#VALUE!</v>
      </c>
      <c r="CC77" t="e">
        <f>AND(Names!AF26,"AAAAAGtft1A=")</f>
        <v>#VALUE!</v>
      </c>
      <c r="CD77" t="e">
        <f>AND(Names!AG26,"AAAAAGtft1E=")</f>
        <v>#VALUE!</v>
      </c>
      <c r="CE77" t="e">
        <f>AND(Names!AH26,"AAAAAGtft1I=")</f>
        <v>#VALUE!</v>
      </c>
      <c r="CF77" t="e">
        <f>AND(Names!AI26,"AAAAAGtft1M=")</f>
        <v>#VALUE!</v>
      </c>
      <c r="CG77" t="e">
        <f>AND(Names!AJ26,"AAAAAGtft1Q=")</f>
        <v>#VALUE!</v>
      </c>
      <c r="CH77" t="e">
        <f>AND(Names!AK26,"AAAAAGtft1U=")</f>
        <v>#VALUE!</v>
      </c>
      <c r="CI77" t="e">
        <f>AND(Names!AL26,"AAAAAGtft1Y=")</f>
        <v>#VALUE!</v>
      </c>
      <c r="CJ77" t="e">
        <f>AND(Names!AM26,"AAAAAGtft1c=")</f>
        <v>#VALUE!</v>
      </c>
      <c r="CK77">
        <f>IF(Names!27:27,"AAAAAGtft1g=",0)</f>
        <v>0</v>
      </c>
      <c r="CL77" t="e">
        <f>AND(Names!A27,"AAAAAGtft1k=")</f>
        <v>#VALUE!</v>
      </c>
      <c r="CM77" t="e">
        <f>AND(Names!B27,"AAAAAGtft1o=")</f>
        <v>#VALUE!</v>
      </c>
      <c r="CN77" t="e">
        <f>AND(Names!C27,"AAAAAGtft1s=")</f>
        <v>#VALUE!</v>
      </c>
      <c r="CO77" t="e">
        <f>AND(Names!D27,"AAAAAGtft1w=")</f>
        <v>#VALUE!</v>
      </c>
      <c r="CP77" t="e">
        <f>AND(Names!E27,"AAAAAGtft10=")</f>
        <v>#VALUE!</v>
      </c>
      <c r="CQ77" t="e">
        <f>AND(Names!F27,"AAAAAGtft14=")</f>
        <v>#VALUE!</v>
      </c>
      <c r="CR77" t="e">
        <f>AND(Names!G27,"AAAAAGtft18=")</f>
        <v>#VALUE!</v>
      </c>
      <c r="CS77" t="e">
        <f>AND(Names!H27,"AAAAAGtft2A=")</f>
        <v>#VALUE!</v>
      </c>
      <c r="CT77" t="e">
        <f>AND(Names!I27,"AAAAAGtft2E=")</f>
        <v>#VALUE!</v>
      </c>
      <c r="CU77" t="e">
        <f>AND(Names!J27,"AAAAAGtft2I=")</f>
        <v>#VALUE!</v>
      </c>
      <c r="CV77" t="e">
        <f>AND(Names!K27,"AAAAAGtft2M=")</f>
        <v>#VALUE!</v>
      </c>
      <c r="CW77" t="e">
        <f>AND(Names!L27,"AAAAAGtft2Q=")</f>
        <v>#VALUE!</v>
      </c>
      <c r="CX77" t="e">
        <f>AND(Names!M27,"AAAAAGtft2U=")</f>
        <v>#VALUE!</v>
      </c>
      <c r="CY77" t="e">
        <f>AND(Names!N27,"AAAAAGtft2Y=")</f>
        <v>#VALUE!</v>
      </c>
      <c r="CZ77" t="e">
        <f>AND(Names!O27,"AAAAAGtft2c=")</f>
        <v>#VALUE!</v>
      </c>
      <c r="DA77" t="e">
        <f>AND(Names!P27,"AAAAAGtft2g=")</f>
        <v>#VALUE!</v>
      </c>
      <c r="DB77" t="e">
        <f>AND(Names!Q27,"AAAAAGtft2k=")</f>
        <v>#VALUE!</v>
      </c>
      <c r="DC77" t="e">
        <f>AND(Names!R27,"AAAAAGtft2o=")</f>
        <v>#VALUE!</v>
      </c>
      <c r="DD77" t="e">
        <f>AND(Names!S27,"AAAAAGtft2s=")</f>
        <v>#VALUE!</v>
      </c>
      <c r="DE77" t="e">
        <f>AND(Names!T27,"AAAAAGtft2w=")</f>
        <v>#VALUE!</v>
      </c>
      <c r="DF77" t="e">
        <f>AND(Names!U27,"AAAAAGtft20=")</f>
        <v>#VALUE!</v>
      </c>
      <c r="DG77" t="e">
        <f>AND(Names!V27,"AAAAAGtft24=")</f>
        <v>#VALUE!</v>
      </c>
      <c r="DH77" t="e">
        <f>AND(Names!W27,"AAAAAGtft28=")</f>
        <v>#VALUE!</v>
      </c>
      <c r="DI77" t="e">
        <f>AND(Names!X27,"AAAAAGtft3A=")</f>
        <v>#VALUE!</v>
      </c>
      <c r="DJ77" t="e">
        <f>AND(Names!Y27,"AAAAAGtft3E=")</f>
        <v>#VALUE!</v>
      </c>
      <c r="DK77" t="e">
        <f>AND(Names!Z27,"AAAAAGtft3I=")</f>
        <v>#VALUE!</v>
      </c>
      <c r="DL77" t="e">
        <f>AND(Names!AA27,"AAAAAGtft3M=")</f>
        <v>#VALUE!</v>
      </c>
      <c r="DM77" t="e">
        <f>AND(Names!AB27,"AAAAAGtft3Q=")</f>
        <v>#VALUE!</v>
      </c>
      <c r="DN77" t="e">
        <f>AND(Names!AC27,"AAAAAGtft3U=")</f>
        <v>#VALUE!</v>
      </c>
      <c r="DO77" t="e">
        <f>AND(Names!AD27,"AAAAAGtft3Y=")</f>
        <v>#VALUE!</v>
      </c>
      <c r="DP77" t="e">
        <f>AND(Names!AE27,"AAAAAGtft3c=")</f>
        <v>#VALUE!</v>
      </c>
      <c r="DQ77" t="e">
        <f>AND(Names!AF27,"AAAAAGtft3g=")</f>
        <v>#VALUE!</v>
      </c>
      <c r="DR77" t="e">
        <f>AND(Names!AG27,"AAAAAGtft3k=")</f>
        <v>#VALUE!</v>
      </c>
      <c r="DS77" t="e">
        <f>AND(Names!AH27,"AAAAAGtft3o=")</f>
        <v>#VALUE!</v>
      </c>
      <c r="DT77" t="e">
        <f>AND(Names!AI27,"AAAAAGtft3s=")</f>
        <v>#VALUE!</v>
      </c>
      <c r="DU77" t="e">
        <f>AND(Names!AJ27,"AAAAAGtft3w=")</f>
        <v>#VALUE!</v>
      </c>
      <c r="DV77" t="e">
        <f>AND(Names!AK27,"AAAAAGtft30=")</f>
        <v>#VALUE!</v>
      </c>
      <c r="DW77" t="e">
        <f>AND(Names!AL27,"AAAAAGtft34=")</f>
        <v>#VALUE!</v>
      </c>
      <c r="DX77" t="e">
        <f>AND(Names!AM27,"AAAAAGtft38=")</f>
        <v>#VALUE!</v>
      </c>
      <c r="DY77">
        <f>IF(Names!28:28,"AAAAAGtft4A=",0)</f>
        <v>0</v>
      </c>
      <c r="DZ77" t="e">
        <f>AND(Names!A28,"AAAAAGtft4E=")</f>
        <v>#VALUE!</v>
      </c>
      <c r="EA77" t="e">
        <f>AND(Names!B28,"AAAAAGtft4I=")</f>
        <v>#VALUE!</v>
      </c>
      <c r="EB77" t="e">
        <f>AND(Names!C28,"AAAAAGtft4M=")</f>
        <v>#VALUE!</v>
      </c>
      <c r="EC77" t="e">
        <f>AND(Names!D28,"AAAAAGtft4Q=")</f>
        <v>#VALUE!</v>
      </c>
      <c r="ED77" t="e">
        <f>AND(Names!E28,"AAAAAGtft4U=")</f>
        <v>#VALUE!</v>
      </c>
      <c r="EE77" t="e">
        <f>AND(Names!F28,"AAAAAGtft4Y=")</f>
        <v>#VALUE!</v>
      </c>
      <c r="EF77" t="e">
        <f>AND(Names!G28,"AAAAAGtft4c=")</f>
        <v>#VALUE!</v>
      </c>
      <c r="EG77" t="e">
        <f>AND(Names!H28,"AAAAAGtft4g=")</f>
        <v>#VALUE!</v>
      </c>
      <c r="EH77" t="e">
        <f>AND(Names!I28,"AAAAAGtft4k=")</f>
        <v>#VALUE!</v>
      </c>
      <c r="EI77" t="e">
        <f>AND(Names!J28,"AAAAAGtft4o=")</f>
        <v>#VALUE!</v>
      </c>
      <c r="EJ77" t="e">
        <f>AND(Names!K28,"AAAAAGtft4s=")</f>
        <v>#VALUE!</v>
      </c>
      <c r="EK77" t="e">
        <f>AND(Names!L28,"AAAAAGtft4w=")</f>
        <v>#VALUE!</v>
      </c>
      <c r="EL77" t="e">
        <f>AND(Names!M28,"AAAAAGtft40=")</f>
        <v>#VALUE!</v>
      </c>
      <c r="EM77" t="e">
        <f>AND(Names!N28,"AAAAAGtft44=")</f>
        <v>#VALUE!</v>
      </c>
      <c r="EN77" t="e">
        <f>AND(Names!O28,"AAAAAGtft48=")</f>
        <v>#VALUE!</v>
      </c>
      <c r="EO77" t="e">
        <f>AND(Names!P28,"AAAAAGtft5A=")</f>
        <v>#VALUE!</v>
      </c>
      <c r="EP77" t="e">
        <f>AND(Names!Q28,"AAAAAGtft5E=")</f>
        <v>#VALUE!</v>
      </c>
      <c r="EQ77" t="e">
        <f>AND(Names!R28,"AAAAAGtft5I=")</f>
        <v>#VALUE!</v>
      </c>
      <c r="ER77" t="e">
        <f>AND(Names!S28,"AAAAAGtft5M=")</f>
        <v>#VALUE!</v>
      </c>
      <c r="ES77" t="e">
        <f>AND(Names!T28,"AAAAAGtft5Q=")</f>
        <v>#VALUE!</v>
      </c>
      <c r="ET77" t="e">
        <f>AND(Names!U28,"AAAAAGtft5U=")</f>
        <v>#VALUE!</v>
      </c>
      <c r="EU77" t="e">
        <f>AND(Names!V28,"AAAAAGtft5Y=")</f>
        <v>#VALUE!</v>
      </c>
      <c r="EV77" t="e">
        <f>AND(Names!W28,"AAAAAGtft5c=")</f>
        <v>#VALUE!</v>
      </c>
      <c r="EW77" t="e">
        <f>AND(Names!X28,"AAAAAGtft5g=")</f>
        <v>#VALUE!</v>
      </c>
      <c r="EX77" t="e">
        <f>AND(Names!Y28,"AAAAAGtft5k=")</f>
        <v>#VALUE!</v>
      </c>
      <c r="EY77" t="e">
        <f>AND(Names!Z28,"AAAAAGtft5o=")</f>
        <v>#VALUE!</v>
      </c>
      <c r="EZ77" t="e">
        <f>AND(Names!AA28,"AAAAAGtft5s=")</f>
        <v>#VALUE!</v>
      </c>
      <c r="FA77" t="e">
        <f>AND(Names!AB28,"AAAAAGtft5w=")</f>
        <v>#VALUE!</v>
      </c>
      <c r="FB77" t="e">
        <f>AND(Names!AC28,"AAAAAGtft50=")</f>
        <v>#VALUE!</v>
      </c>
      <c r="FC77" t="e">
        <f>AND(Names!AD28,"AAAAAGtft54=")</f>
        <v>#VALUE!</v>
      </c>
      <c r="FD77" t="e">
        <f>AND(Names!AE28,"AAAAAGtft58=")</f>
        <v>#VALUE!</v>
      </c>
      <c r="FE77" t="e">
        <f>AND(Names!AF28,"AAAAAGtft6A=")</f>
        <v>#VALUE!</v>
      </c>
      <c r="FF77" t="e">
        <f>AND(Names!AG28,"AAAAAGtft6E=")</f>
        <v>#VALUE!</v>
      </c>
      <c r="FG77" t="e">
        <f>AND(Names!AH28,"AAAAAGtft6I=")</f>
        <v>#VALUE!</v>
      </c>
      <c r="FH77" t="e">
        <f>AND(Names!AI28,"AAAAAGtft6M=")</f>
        <v>#VALUE!</v>
      </c>
      <c r="FI77" t="e">
        <f>AND(Names!AJ28,"AAAAAGtft6Q=")</f>
        <v>#VALUE!</v>
      </c>
      <c r="FJ77" t="e">
        <f>AND(Names!AK28,"AAAAAGtft6U=")</f>
        <v>#VALUE!</v>
      </c>
      <c r="FK77" t="e">
        <f>AND(Names!AL28,"AAAAAGtft6Y=")</f>
        <v>#VALUE!</v>
      </c>
      <c r="FL77" t="e">
        <f>AND(Names!AM28,"AAAAAGtft6c=")</f>
        <v>#VALUE!</v>
      </c>
      <c r="FM77">
        <f>IF(Names!29:29,"AAAAAGtft6g=",0)</f>
        <v>0</v>
      </c>
      <c r="FN77" t="e">
        <f>AND(Names!A29,"AAAAAGtft6k=")</f>
        <v>#VALUE!</v>
      </c>
      <c r="FO77" t="e">
        <f>AND(Names!B29,"AAAAAGtft6o=")</f>
        <v>#VALUE!</v>
      </c>
      <c r="FP77" t="e">
        <f>AND(Names!C29,"AAAAAGtft6s=")</f>
        <v>#VALUE!</v>
      </c>
      <c r="FQ77" t="e">
        <f>AND(Names!D29,"AAAAAGtft6w=")</f>
        <v>#VALUE!</v>
      </c>
      <c r="FR77" t="e">
        <f>AND(Names!E29,"AAAAAGtft60=")</f>
        <v>#VALUE!</v>
      </c>
      <c r="FS77" t="e">
        <f>AND(Names!F29,"AAAAAGtft64=")</f>
        <v>#VALUE!</v>
      </c>
      <c r="FT77" t="e">
        <f>AND(Names!G29,"AAAAAGtft68=")</f>
        <v>#VALUE!</v>
      </c>
      <c r="FU77" t="e">
        <f>AND(Names!H29,"AAAAAGtft7A=")</f>
        <v>#VALUE!</v>
      </c>
      <c r="FV77" t="e">
        <f>AND(Names!I29,"AAAAAGtft7E=")</f>
        <v>#VALUE!</v>
      </c>
      <c r="FW77" t="e">
        <f>AND(Names!J29,"AAAAAGtft7I=")</f>
        <v>#VALUE!</v>
      </c>
      <c r="FX77" t="e">
        <f>AND(Names!K29,"AAAAAGtft7M=")</f>
        <v>#VALUE!</v>
      </c>
      <c r="FY77" t="e">
        <f>AND(Names!L29,"AAAAAGtft7Q=")</f>
        <v>#VALUE!</v>
      </c>
      <c r="FZ77" t="e">
        <f>AND(Names!M29,"AAAAAGtft7U=")</f>
        <v>#VALUE!</v>
      </c>
      <c r="GA77" t="e">
        <f>AND(Names!N29,"AAAAAGtft7Y=")</f>
        <v>#VALUE!</v>
      </c>
      <c r="GB77" t="e">
        <f>AND(Names!O29,"AAAAAGtft7c=")</f>
        <v>#VALUE!</v>
      </c>
      <c r="GC77" t="e">
        <f>AND(Names!P29,"AAAAAGtft7g=")</f>
        <v>#VALUE!</v>
      </c>
      <c r="GD77" t="e">
        <f>AND(Names!Q29,"AAAAAGtft7k=")</f>
        <v>#VALUE!</v>
      </c>
      <c r="GE77" t="e">
        <f>AND(Names!R29,"AAAAAGtft7o=")</f>
        <v>#VALUE!</v>
      </c>
      <c r="GF77" t="e">
        <f>AND(Names!S29,"AAAAAGtft7s=")</f>
        <v>#VALUE!</v>
      </c>
      <c r="GG77" t="e">
        <f>AND(Names!T29,"AAAAAGtft7w=")</f>
        <v>#VALUE!</v>
      </c>
      <c r="GH77" t="e">
        <f>AND(Names!U29,"AAAAAGtft70=")</f>
        <v>#VALUE!</v>
      </c>
      <c r="GI77" t="e">
        <f>AND(Names!V29,"AAAAAGtft74=")</f>
        <v>#VALUE!</v>
      </c>
      <c r="GJ77" t="e">
        <f>AND(Names!W29,"AAAAAGtft78=")</f>
        <v>#VALUE!</v>
      </c>
      <c r="GK77" t="e">
        <f>AND(Names!X29,"AAAAAGtft8A=")</f>
        <v>#VALUE!</v>
      </c>
      <c r="GL77" t="e">
        <f>AND(Names!Y29,"AAAAAGtft8E=")</f>
        <v>#VALUE!</v>
      </c>
      <c r="GM77" t="e">
        <f>AND(Names!Z29,"AAAAAGtft8I=")</f>
        <v>#VALUE!</v>
      </c>
      <c r="GN77" t="e">
        <f>AND(Names!AA29,"AAAAAGtft8M=")</f>
        <v>#VALUE!</v>
      </c>
      <c r="GO77" t="e">
        <f>AND(Names!AB29,"AAAAAGtft8Q=")</f>
        <v>#VALUE!</v>
      </c>
      <c r="GP77" t="e">
        <f>AND(Names!AC29,"AAAAAGtft8U=")</f>
        <v>#VALUE!</v>
      </c>
      <c r="GQ77" t="e">
        <f>AND(Names!AD29,"AAAAAGtft8Y=")</f>
        <v>#VALUE!</v>
      </c>
      <c r="GR77" t="e">
        <f>AND(Names!AE29,"AAAAAGtft8c=")</f>
        <v>#VALUE!</v>
      </c>
      <c r="GS77" t="e">
        <f>AND(Names!AF29,"AAAAAGtft8g=")</f>
        <v>#VALUE!</v>
      </c>
      <c r="GT77" t="e">
        <f>AND(Names!AG29,"AAAAAGtft8k=")</f>
        <v>#VALUE!</v>
      </c>
      <c r="GU77" t="e">
        <f>AND(Names!AH29,"AAAAAGtft8o=")</f>
        <v>#VALUE!</v>
      </c>
      <c r="GV77" t="e">
        <f>AND(Names!AI29,"AAAAAGtft8s=")</f>
        <v>#VALUE!</v>
      </c>
      <c r="GW77" t="e">
        <f>AND(Names!AJ29,"AAAAAGtft8w=")</f>
        <v>#VALUE!</v>
      </c>
      <c r="GX77" t="e">
        <f>AND(Names!AK29,"AAAAAGtft80=")</f>
        <v>#VALUE!</v>
      </c>
      <c r="GY77" t="e">
        <f>AND(Names!AL29,"AAAAAGtft84=")</f>
        <v>#VALUE!</v>
      </c>
      <c r="GZ77" t="e">
        <f>AND(Names!AM29,"AAAAAGtft88=")</f>
        <v>#VALUE!</v>
      </c>
      <c r="HA77">
        <f>IF(Names!30:30,"AAAAAGtft9A=",0)</f>
        <v>0</v>
      </c>
      <c r="HB77" t="e">
        <f>AND(Names!A30,"AAAAAGtft9E=")</f>
        <v>#VALUE!</v>
      </c>
      <c r="HC77" t="e">
        <f>AND(Names!B30,"AAAAAGtft9I=")</f>
        <v>#VALUE!</v>
      </c>
      <c r="HD77" t="e">
        <f>AND(Names!C30,"AAAAAGtft9M=")</f>
        <v>#VALUE!</v>
      </c>
      <c r="HE77" t="e">
        <f>AND(Names!D30,"AAAAAGtft9Q=")</f>
        <v>#VALUE!</v>
      </c>
      <c r="HF77" t="e">
        <f>AND(Names!E30,"AAAAAGtft9U=")</f>
        <v>#VALUE!</v>
      </c>
      <c r="HG77" t="e">
        <f>AND(Names!F30,"AAAAAGtft9Y=")</f>
        <v>#VALUE!</v>
      </c>
      <c r="HH77" t="e">
        <f>AND(Names!G30,"AAAAAGtft9c=")</f>
        <v>#VALUE!</v>
      </c>
      <c r="HI77" t="e">
        <f>AND(Names!H30,"AAAAAGtft9g=")</f>
        <v>#VALUE!</v>
      </c>
      <c r="HJ77" t="e">
        <f>AND(Names!I30,"AAAAAGtft9k=")</f>
        <v>#VALUE!</v>
      </c>
      <c r="HK77" t="e">
        <f>AND(Names!J30,"AAAAAGtft9o=")</f>
        <v>#VALUE!</v>
      </c>
      <c r="HL77" t="e">
        <f>AND(Names!K30,"AAAAAGtft9s=")</f>
        <v>#VALUE!</v>
      </c>
      <c r="HM77" t="e">
        <f>AND(Names!L30,"AAAAAGtft9w=")</f>
        <v>#VALUE!</v>
      </c>
      <c r="HN77" t="e">
        <f>AND(Names!M30,"AAAAAGtft90=")</f>
        <v>#VALUE!</v>
      </c>
      <c r="HO77" t="e">
        <f>AND(Names!N30,"AAAAAGtft94=")</f>
        <v>#VALUE!</v>
      </c>
      <c r="HP77" t="e">
        <f>AND(Names!O30,"AAAAAGtft98=")</f>
        <v>#VALUE!</v>
      </c>
      <c r="HQ77" t="e">
        <f>AND(Names!P30,"AAAAAGtft+A=")</f>
        <v>#VALUE!</v>
      </c>
      <c r="HR77" t="e">
        <f>AND(Names!Q30,"AAAAAGtft+E=")</f>
        <v>#VALUE!</v>
      </c>
      <c r="HS77" t="e">
        <f>AND(Names!R30,"AAAAAGtft+I=")</f>
        <v>#VALUE!</v>
      </c>
      <c r="HT77" t="e">
        <f>AND(Names!S30,"AAAAAGtft+M=")</f>
        <v>#VALUE!</v>
      </c>
      <c r="HU77" t="e">
        <f>AND(Names!T30,"AAAAAGtft+Q=")</f>
        <v>#VALUE!</v>
      </c>
      <c r="HV77" t="e">
        <f>AND(Names!U30,"AAAAAGtft+U=")</f>
        <v>#VALUE!</v>
      </c>
      <c r="HW77" t="e">
        <f>AND(Names!V30,"AAAAAGtft+Y=")</f>
        <v>#VALUE!</v>
      </c>
      <c r="HX77" t="e">
        <f>AND(Names!W30,"AAAAAGtft+c=")</f>
        <v>#VALUE!</v>
      </c>
      <c r="HY77" t="e">
        <f>AND(Names!X30,"AAAAAGtft+g=")</f>
        <v>#VALUE!</v>
      </c>
      <c r="HZ77" t="e">
        <f>AND(Names!Y30,"AAAAAGtft+k=")</f>
        <v>#VALUE!</v>
      </c>
      <c r="IA77" t="e">
        <f>AND(Names!Z30,"AAAAAGtft+o=")</f>
        <v>#VALUE!</v>
      </c>
      <c r="IB77" t="e">
        <f>AND(Names!AA30,"AAAAAGtft+s=")</f>
        <v>#VALUE!</v>
      </c>
      <c r="IC77" t="e">
        <f>AND(Names!AB30,"AAAAAGtft+w=")</f>
        <v>#VALUE!</v>
      </c>
      <c r="ID77" t="e">
        <f>AND(Names!AC30,"AAAAAGtft+0=")</f>
        <v>#VALUE!</v>
      </c>
      <c r="IE77" t="e">
        <f>AND(Names!AD30,"AAAAAGtft+4=")</f>
        <v>#VALUE!</v>
      </c>
      <c r="IF77" t="e">
        <f>AND(Names!AE30,"AAAAAGtft+8=")</f>
        <v>#VALUE!</v>
      </c>
      <c r="IG77" t="e">
        <f>AND(Names!AF30,"AAAAAGtft/A=")</f>
        <v>#VALUE!</v>
      </c>
      <c r="IH77" t="e">
        <f>AND(Names!AG30,"AAAAAGtft/E=")</f>
        <v>#VALUE!</v>
      </c>
      <c r="II77" t="e">
        <f>AND(Names!AH30,"AAAAAGtft/I=")</f>
        <v>#VALUE!</v>
      </c>
      <c r="IJ77" t="e">
        <f>AND(Names!AI30,"AAAAAGtft/M=")</f>
        <v>#VALUE!</v>
      </c>
      <c r="IK77" t="e">
        <f>AND(Names!AJ30,"AAAAAGtft/Q=")</f>
        <v>#VALUE!</v>
      </c>
      <c r="IL77" t="e">
        <f>AND(Names!AK30,"AAAAAGtft/U=")</f>
        <v>#VALUE!</v>
      </c>
      <c r="IM77" t="e">
        <f>AND(Names!AL30,"AAAAAGtft/Y=")</f>
        <v>#VALUE!</v>
      </c>
      <c r="IN77" t="e">
        <f>AND(Names!AM30,"AAAAAGtft/c=")</f>
        <v>#VALUE!</v>
      </c>
      <c r="IO77">
        <f>IF(Names!31:31,"AAAAAGtft/g=",0)</f>
        <v>0</v>
      </c>
      <c r="IP77" t="e">
        <f>AND(Names!A31,"AAAAAGtft/k=")</f>
        <v>#VALUE!</v>
      </c>
      <c r="IQ77" t="e">
        <f>AND(Names!B31,"AAAAAGtft/o=")</f>
        <v>#VALUE!</v>
      </c>
      <c r="IR77" t="e">
        <f>AND(Names!C31,"AAAAAGtft/s=")</f>
        <v>#VALUE!</v>
      </c>
      <c r="IS77" t="e">
        <f>AND(Names!D31,"AAAAAGtft/w=")</f>
        <v>#VALUE!</v>
      </c>
      <c r="IT77" t="e">
        <f>AND(Names!E31,"AAAAAGtft/0=")</f>
        <v>#VALUE!</v>
      </c>
      <c r="IU77" t="e">
        <f>AND(Names!F31,"AAAAAGtft/4=")</f>
        <v>#VALUE!</v>
      </c>
      <c r="IV77" t="e">
        <f>AND(Names!G31,"AAAAAGtft/8=")</f>
        <v>#VALUE!</v>
      </c>
    </row>
    <row r="78" spans="1:256" x14ac:dyDescent="0.15">
      <c r="A78" t="e">
        <f>AND(Names!H31,"AAAAAH8d+wA=")</f>
        <v>#VALUE!</v>
      </c>
      <c r="B78" t="e">
        <f>AND(Names!I31,"AAAAAH8d+wE=")</f>
        <v>#VALUE!</v>
      </c>
      <c r="C78" t="e">
        <f>AND(Names!J31,"AAAAAH8d+wI=")</f>
        <v>#VALUE!</v>
      </c>
      <c r="D78" t="e">
        <f>AND(Names!K31,"AAAAAH8d+wM=")</f>
        <v>#VALUE!</v>
      </c>
      <c r="E78" t="e">
        <f>AND(Names!L31,"AAAAAH8d+wQ=")</f>
        <v>#VALUE!</v>
      </c>
      <c r="F78" t="e">
        <f>AND(Names!M31,"AAAAAH8d+wU=")</f>
        <v>#VALUE!</v>
      </c>
      <c r="G78" t="e">
        <f>AND(Names!N31,"AAAAAH8d+wY=")</f>
        <v>#VALUE!</v>
      </c>
      <c r="H78" t="e">
        <f>AND(Names!O31,"AAAAAH8d+wc=")</f>
        <v>#VALUE!</v>
      </c>
      <c r="I78" t="e">
        <f>AND(Names!P31,"AAAAAH8d+wg=")</f>
        <v>#VALUE!</v>
      </c>
      <c r="J78" t="e">
        <f>AND(Names!Q31,"AAAAAH8d+wk=")</f>
        <v>#VALUE!</v>
      </c>
      <c r="K78" t="e">
        <f>AND(Names!R31,"AAAAAH8d+wo=")</f>
        <v>#VALUE!</v>
      </c>
      <c r="L78" t="e">
        <f>AND(Names!S31,"AAAAAH8d+ws=")</f>
        <v>#VALUE!</v>
      </c>
      <c r="M78" t="e">
        <f>AND(Names!T31,"AAAAAH8d+ww=")</f>
        <v>#VALUE!</v>
      </c>
      <c r="N78" t="e">
        <f>AND(Names!U31,"AAAAAH8d+w0=")</f>
        <v>#VALUE!</v>
      </c>
      <c r="O78" t="e">
        <f>AND(Names!V31,"AAAAAH8d+w4=")</f>
        <v>#VALUE!</v>
      </c>
      <c r="P78" t="e">
        <f>AND(Names!W31,"AAAAAH8d+w8=")</f>
        <v>#VALUE!</v>
      </c>
      <c r="Q78" t="e">
        <f>AND(Names!X31,"AAAAAH8d+xA=")</f>
        <v>#VALUE!</v>
      </c>
      <c r="R78" t="e">
        <f>AND(Names!Y31,"AAAAAH8d+xE=")</f>
        <v>#VALUE!</v>
      </c>
      <c r="S78" t="e">
        <f>AND(Names!Z31,"AAAAAH8d+xI=")</f>
        <v>#VALUE!</v>
      </c>
      <c r="T78" t="e">
        <f>AND(Names!AA31,"AAAAAH8d+xM=")</f>
        <v>#VALUE!</v>
      </c>
      <c r="U78" t="e">
        <f>AND(Names!AB31,"AAAAAH8d+xQ=")</f>
        <v>#VALUE!</v>
      </c>
      <c r="V78" t="e">
        <f>AND(Names!AC31,"AAAAAH8d+xU=")</f>
        <v>#VALUE!</v>
      </c>
      <c r="W78" t="e">
        <f>AND(Names!AD31,"AAAAAH8d+xY=")</f>
        <v>#VALUE!</v>
      </c>
      <c r="X78" t="e">
        <f>AND(Names!AE31,"AAAAAH8d+xc=")</f>
        <v>#VALUE!</v>
      </c>
      <c r="Y78" t="e">
        <f>AND(Names!AF31,"AAAAAH8d+xg=")</f>
        <v>#VALUE!</v>
      </c>
      <c r="Z78" t="e">
        <f>AND(Names!AG31,"AAAAAH8d+xk=")</f>
        <v>#VALUE!</v>
      </c>
      <c r="AA78" t="e">
        <f>AND(Names!AH31,"AAAAAH8d+xo=")</f>
        <v>#VALUE!</v>
      </c>
      <c r="AB78" t="e">
        <f>AND(Names!AI31,"AAAAAH8d+xs=")</f>
        <v>#VALUE!</v>
      </c>
      <c r="AC78" t="e">
        <f>AND(Names!AJ31,"AAAAAH8d+xw=")</f>
        <v>#VALUE!</v>
      </c>
      <c r="AD78" t="e">
        <f>AND(Names!AK31,"AAAAAH8d+x0=")</f>
        <v>#VALUE!</v>
      </c>
      <c r="AE78" t="e">
        <f>AND(Names!AL31,"AAAAAH8d+x4=")</f>
        <v>#VALUE!</v>
      </c>
      <c r="AF78" t="e">
        <f>AND(Names!AM31,"AAAAAH8d+x8=")</f>
        <v>#VALUE!</v>
      </c>
      <c r="AG78">
        <f>IF(Names!32:32,"AAAAAH8d+yA=",0)</f>
        <v>0</v>
      </c>
      <c r="AH78" t="e">
        <f>AND(Names!A32,"AAAAAH8d+yE=")</f>
        <v>#VALUE!</v>
      </c>
      <c r="AI78" t="e">
        <f>AND(Names!B32,"AAAAAH8d+yI=")</f>
        <v>#VALUE!</v>
      </c>
      <c r="AJ78" t="e">
        <f>AND(Names!C32,"AAAAAH8d+yM=")</f>
        <v>#VALUE!</v>
      </c>
      <c r="AK78" t="e">
        <f>AND(Names!D32,"AAAAAH8d+yQ=")</f>
        <v>#VALUE!</v>
      </c>
      <c r="AL78" t="e">
        <f>AND(Names!E32,"AAAAAH8d+yU=")</f>
        <v>#VALUE!</v>
      </c>
      <c r="AM78" t="e">
        <f>AND(Names!F32,"AAAAAH8d+yY=")</f>
        <v>#VALUE!</v>
      </c>
      <c r="AN78" t="e">
        <f>AND(Names!G32,"AAAAAH8d+yc=")</f>
        <v>#VALUE!</v>
      </c>
      <c r="AO78" t="e">
        <f>AND(Names!H32,"AAAAAH8d+yg=")</f>
        <v>#VALUE!</v>
      </c>
      <c r="AP78" t="e">
        <f>AND(Names!I32,"AAAAAH8d+yk=")</f>
        <v>#VALUE!</v>
      </c>
      <c r="AQ78" t="e">
        <f>AND(Names!J32,"AAAAAH8d+yo=")</f>
        <v>#VALUE!</v>
      </c>
      <c r="AR78" t="e">
        <f>AND(Names!K32,"AAAAAH8d+ys=")</f>
        <v>#VALUE!</v>
      </c>
      <c r="AS78" t="e">
        <f>AND(Names!L32,"AAAAAH8d+yw=")</f>
        <v>#VALUE!</v>
      </c>
      <c r="AT78" t="e">
        <f>AND(Names!M32,"AAAAAH8d+y0=")</f>
        <v>#VALUE!</v>
      </c>
      <c r="AU78" t="e">
        <f>AND(Names!N32,"AAAAAH8d+y4=")</f>
        <v>#VALUE!</v>
      </c>
      <c r="AV78" t="e">
        <f>AND(Names!O32,"AAAAAH8d+y8=")</f>
        <v>#VALUE!</v>
      </c>
      <c r="AW78" t="e">
        <f>AND(Names!P32,"AAAAAH8d+zA=")</f>
        <v>#VALUE!</v>
      </c>
      <c r="AX78" t="e">
        <f>AND(Names!Q32,"AAAAAH8d+zE=")</f>
        <v>#VALUE!</v>
      </c>
      <c r="AY78" t="e">
        <f>AND(Names!R32,"AAAAAH8d+zI=")</f>
        <v>#VALUE!</v>
      </c>
      <c r="AZ78" t="e">
        <f>AND(Names!S32,"AAAAAH8d+zM=")</f>
        <v>#VALUE!</v>
      </c>
      <c r="BA78" t="e">
        <f>AND(Names!T32,"AAAAAH8d+zQ=")</f>
        <v>#VALUE!</v>
      </c>
      <c r="BB78" t="e">
        <f>AND(Names!U32,"AAAAAH8d+zU=")</f>
        <v>#VALUE!</v>
      </c>
      <c r="BC78" t="e">
        <f>AND(Names!V32,"AAAAAH8d+zY=")</f>
        <v>#VALUE!</v>
      </c>
      <c r="BD78" t="e">
        <f>AND(Names!W32,"AAAAAH8d+zc=")</f>
        <v>#VALUE!</v>
      </c>
      <c r="BE78" t="e">
        <f>AND(Names!X32,"AAAAAH8d+zg=")</f>
        <v>#VALUE!</v>
      </c>
      <c r="BF78" t="e">
        <f>AND(Names!Y32,"AAAAAH8d+zk=")</f>
        <v>#VALUE!</v>
      </c>
      <c r="BG78" t="e">
        <f>AND(Names!Z32,"AAAAAH8d+zo=")</f>
        <v>#VALUE!</v>
      </c>
      <c r="BH78" t="e">
        <f>AND(Names!AA32,"AAAAAH8d+zs=")</f>
        <v>#VALUE!</v>
      </c>
      <c r="BI78" t="e">
        <f>AND(Names!AB32,"AAAAAH8d+zw=")</f>
        <v>#VALUE!</v>
      </c>
      <c r="BJ78" t="e">
        <f>AND(Names!AC32,"AAAAAH8d+z0=")</f>
        <v>#VALUE!</v>
      </c>
      <c r="BK78" t="e">
        <f>AND(Names!AD32,"AAAAAH8d+z4=")</f>
        <v>#VALUE!</v>
      </c>
      <c r="BL78" t="e">
        <f>AND(Names!AE32,"AAAAAH8d+z8=")</f>
        <v>#VALUE!</v>
      </c>
      <c r="BM78" t="e">
        <f>AND(Names!AF32,"AAAAAH8d+0A=")</f>
        <v>#VALUE!</v>
      </c>
      <c r="BN78" t="e">
        <f>AND(Names!AG32,"AAAAAH8d+0E=")</f>
        <v>#VALUE!</v>
      </c>
      <c r="BO78" t="e">
        <f>AND(Names!AH32,"AAAAAH8d+0I=")</f>
        <v>#VALUE!</v>
      </c>
      <c r="BP78" t="e">
        <f>AND(Names!AI32,"AAAAAH8d+0M=")</f>
        <v>#VALUE!</v>
      </c>
      <c r="BQ78" t="e">
        <f>AND(Names!AJ32,"AAAAAH8d+0Q=")</f>
        <v>#VALUE!</v>
      </c>
      <c r="BR78" t="e">
        <f>AND(Names!AK32,"AAAAAH8d+0U=")</f>
        <v>#VALUE!</v>
      </c>
      <c r="BS78" t="e">
        <f>AND(Names!AL32,"AAAAAH8d+0Y=")</f>
        <v>#VALUE!</v>
      </c>
      <c r="BT78" t="e">
        <f>AND(Names!AM32,"AAAAAH8d+0c=")</f>
        <v>#VALUE!</v>
      </c>
      <c r="BU78">
        <f>IF(Names!33:33,"AAAAAH8d+0g=",0)</f>
        <v>0</v>
      </c>
      <c r="BV78" t="e">
        <f>AND(Names!A33,"AAAAAH8d+0k=")</f>
        <v>#VALUE!</v>
      </c>
      <c r="BW78" t="e">
        <f>AND(Names!B33,"AAAAAH8d+0o=")</f>
        <v>#VALUE!</v>
      </c>
      <c r="BX78" t="e">
        <f>AND(Names!C33,"AAAAAH8d+0s=")</f>
        <v>#VALUE!</v>
      </c>
      <c r="BY78" t="e">
        <f>AND(Names!D33,"AAAAAH8d+0w=")</f>
        <v>#VALUE!</v>
      </c>
      <c r="BZ78" t="e">
        <f>AND(Names!E33,"AAAAAH8d+00=")</f>
        <v>#VALUE!</v>
      </c>
      <c r="CA78" t="e">
        <f>AND(Names!F33,"AAAAAH8d+04=")</f>
        <v>#VALUE!</v>
      </c>
      <c r="CB78" t="e">
        <f>AND(Names!G33,"AAAAAH8d+08=")</f>
        <v>#VALUE!</v>
      </c>
      <c r="CC78" t="e">
        <f>AND(Names!H33,"AAAAAH8d+1A=")</f>
        <v>#VALUE!</v>
      </c>
      <c r="CD78" t="e">
        <f>AND(Names!I33,"AAAAAH8d+1E=")</f>
        <v>#VALUE!</v>
      </c>
      <c r="CE78" t="e">
        <f>AND(Names!J33,"AAAAAH8d+1I=")</f>
        <v>#VALUE!</v>
      </c>
      <c r="CF78" t="e">
        <f>AND(Names!K33,"AAAAAH8d+1M=")</f>
        <v>#VALUE!</v>
      </c>
      <c r="CG78" t="e">
        <f>AND(Names!L33,"AAAAAH8d+1Q=")</f>
        <v>#VALUE!</v>
      </c>
      <c r="CH78" t="e">
        <f>AND(Names!M33,"AAAAAH8d+1U=")</f>
        <v>#VALUE!</v>
      </c>
      <c r="CI78" t="e">
        <f>AND(Names!N33,"AAAAAH8d+1Y=")</f>
        <v>#VALUE!</v>
      </c>
      <c r="CJ78" t="e">
        <f>AND(Names!O33,"AAAAAH8d+1c=")</f>
        <v>#VALUE!</v>
      </c>
      <c r="CK78" t="e">
        <f>AND(Names!P33,"AAAAAH8d+1g=")</f>
        <v>#VALUE!</v>
      </c>
      <c r="CL78" t="e">
        <f>AND(Names!Q33,"AAAAAH8d+1k=")</f>
        <v>#VALUE!</v>
      </c>
      <c r="CM78" t="e">
        <f>AND(Names!R33,"AAAAAH8d+1o=")</f>
        <v>#VALUE!</v>
      </c>
      <c r="CN78" t="e">
        <f>AND(Names!S33,"AAAAAH8d+1s=")</f>
        <v>#VALUE!</v>
      </c>
      <c r="CO78" t="e">
        <f>AND(Names!T33,"AAAAAH8d+1w=")</f>
        <v>#VALUE!</v>
      </c>
      <c r="CP78" t="e">
        <f>AND(Names!U33,"AAAAAH8d+10=")</f>
        <v>#VALUE!</v>
      </c>
      <c r="CQ78" t="e">
        <f>AND(Names!V33,"AAAAAH8d+14=")</f>
        <v>#VALUE!</v>
      </c>
      <c r="CR78" t="e">
        <f>AND(Names!W33,"AAAAAH8d+18=")</f>
        <v>#VALUE!</v>
      </c>
      <c r="CS78" t="e">
        <f>AND(Names!X33,"AAAAAH8d+2A=")</f>
        <v>#VALUE!</v>
      </c>
      <c r="CT78" t="e">
        <f>AND(Names!Y33,"AAAAAH8d+2E=")</f>
        <v>#VALUE!</v>
      </c>
      <c r="CU78" t="e">
        <f>AND(Names!Z33,"AAAAAH8d+2I=")</f>
        <v>#VALUE!</v>
      </c>
      <c r="CV78" t="e">
        <f>AND(Names!AA33,"AAAAAH8d+2M=")</f>
        <v>#VALUE!</v>
      </c>
      <c r="CW78" t="e">
        <f>AND(Names!AB33,"AAAAAH8d+2Q=")</f>
        <v>#VALUE!</v>
      </c>
      <c r="CX78" t="e">
        <f>AND(Names!AC33,"AAAAAH8d+2U=")</f>
        <v>#VALUE!</v>
      </c>
      <c r="CY78" t="e">
        <f>AND(Names!AD33,"AAAAAH8d+2Y=")</f>
        <v>#VALUE!</v>
      </c>
      <c r="CZ78" t="e">
        <f>AND(Names!AE33,"AAAAAH8d+2c=")</f>
        <v>#VALUE!</v>
      </c>
      <c r="DA78" t="e">
        <f>AND(Names!AF33,"AAAAAH8d+2g=")</f>
        <v>#VALUE!</v>
      </c>
      <c r="DB78" t="e">
        <f>AND(Names!AG33,"AAAAAH8d+2k=")</f>
        <v>#VALUE!</v>
      </c>
      <c r="DC78" t="e">
        <f>AND(Names!AH33,"AAAAAH8d+2o=")</f>
        <v>#VALUE!</v>
      </c>
      <c r="DD78" t="e">
        <f>AND(Names!AI33,"AAAAAH8d+2s=")</f>
        <v>#VALUE!</v>
      </c>
      <c r="DE78" t="e">
        <f>AND(Names!AJ33,"AAAAAH8d+2w=")</f>
        <v>#VALUE!</v>
      </c>
      <c r="DF78" t="e">
        <f>AND(Names!AK33,"AAAAAH8d+20=")</f>
        <v>#VALUE!</v>
      </c>
      <c r="DG78" t="e">
        <f>AND(Names!AL33,"AAAAAH8d+24=")</f>
        <v>#VALUE!</v>
      </c>
      <c r="DH78" t="e">
        <f>AND(Names!AM33,"AAAAAH8d+28=")</f>
        <v>#VALUE!</v>
      </c>
      <c r="DI78">
        <f>IF(Names!34:34,"AAAAAH8d+3A=",0)</f>
        <v>0</v>
      </c>
      <c r="DJ78" t="e">
        <f>AND(Names!A34,"AAAAAH8d+3E=")</f>
        <v>#VALUE!</v>
      </c>
      <c r="DK78" t="e">
        <f>AND(Names!B34,"AAAAAH8d+3I=")</f>
        <v>#VALUE!</v>
      </c>
      <c r="DL78" t="e">
        <f>AND(Names!C34,"AAAAAH8d+3M=")</f>
        <v>#VALUE!</v>
      </c>
      <c r="DM78" t="e">
        <f>AND(Names!D34,"AAAAAH8d+3Q=")</f>
        <v>#VALUE!</v>
      </c>
      <c r="DN78" t="e">
        <f>AND(Names!E34,"AAAAAH8d+3U=")</f>
        <v>#VALUE!</v>
      </c>
      <c r="DO78" t="e">
        <f>AND(Names!F34,"AAAAAH8d+3Y=")</f>
        <v>#VALUE!</v>
      </c>
      <c r="DP78" t="e">
        <f>AND(Names!G34,"AAAAAH8d+3c=")</f>
        <v>#VALUE!</v>
      </c>
      <c r="DQ78" t="e">
        <f>AND(Names!H34,"AAAAAH8d+3g=")</f>
        <v>#VALUE!</v>
      </c>
      <c r="DR78" t="e">
        <f>AND(Names!I34,"AAAAAH8d+3k=")</f>
        <v>#VALUE!</v>
      </c>
      <c r="DS78" t="e">
        <f>AND(Names!J34,"AAAAAH8d+3o=")</f>
        <v>#VALUE!</v>
      </c>
      <c r="DT78" t="e">
        <f>AND(Names!K34,"AAAAAH8d+3s=")</f>
        <v>#VALUE!</v>
      </c>
      <c r="DU78" t="e">
        <f>AND(Names!L34,"AAAAAH8d+3w=")</f>
        <v>#VALUE!</v>
      </c>
      <c r="DV78" t="e">
        <f>AND(Names!M34,"AAAAAH8d+30=")</f>
        <v>#VALUE!</v>
      </c>
      <c r="DW78" t="e">
        <f>AND(Names!N34,"AAAAAH8d+34=")</f>
        <v>#VALUE!</v>
      </c>
      <c r="DX78" t="e">
        <f>AND(Names!O34,"AAAAAH8d+38=")</f>
        <v>#VALUE!</v>
      </c>
      <c r="DY78" t="e">
        <f>AND(Names!P34,"AAAAAH8d+4A=")</f>
        <v>#VALUE!</v>
      </c>
      <c r="DZ78" t="e">
        <f>AND(Names!Q34,"AAAAAH8d+4E=")</f>
        <v>#VALUE!</v>
      </c>
      <c r="EA78" t="e">
        <f>AND(Names!R34,"AAAAAH8d+4I=")</f>
        <v>#VALUE!</v>
      </c>
      <c r="EB78" t="e">
        <f>AND(Names!S34,"AAAAAH8d+4M=")</f>
        <v>#VALUE!</v>
      </c>
      <c r="EC78" t="e">
        <f>AND(Names!T34,"AAAAAH8d+4Q=")</f>
        <v>#VALUE!</v>
      </c>
      <c r="ED78" t="e">
        <f>AND(Names!U34,"AAAAAH8d+4U=")</f>
        <v>#VALUE!</v>
      </c>
      <c r="EE78" t="e">
        <f>AND(Names!V34,"AAAAAH8d+4Y=")</f>
        <v>#VALUE!</v>
      </c>
      <c r="EF78" t="e">
        <f>AND(Names!W34,"AAAAAH8d+4c=")</f>
        <v>#VALUE!</v>
      </c>
      <c r="EG78" t="e">
        <f>AND(Names!X34,"AAAAAH8d+4g=")</f>
        <v>#VALUE!</v>
      </c>
      <c r="EH78" t="e">
        <f>AND(Names!Y34,"AAAAAH8d+4k=")</f>
        <v>#VALUE!</v>
      </c>
      <c r="EI78" t="e">
        <f>AND(Names!Z34,"AAAAAH8d+4o=")</f>
        <v>#VALUE!</v>
      </c>
      <c r="EJ78" t="e">
        <f>AND(Names!AA34,"AAAAAH8d+4s=")</f>
        <v>#VALUE!</v>
      </c>
      <c r="EK78" t="e">
        <f>AND(Names!AB34,"AAAAAH8d+4w=")</f>
        <v>#VALUE!</v>
      </c>
      <c r="EL78" t="e">
        <f>AND(Names!AC34,"AAAAAH8d+40=")</f>
        <v>#VALUE!</v>
      </c>
      <c r="EM78" t="e">
        <f>AND(Names!AD34,"AAAAAH8d+44=")</f>
        <v>#VALUE!</v>
      </c>
      <c r="EN78" t="e">
        <f>AND(Names!AE34,"AAAAAH8d+48=")</f>
        <v>#VALUE!</v>
      </c>
      <c r="EO78" t="e">
        <f>AND(Names!AF34,"AAAAAH8d+5A=")</f>
        <v>#VALUE!</v>
      </c>
      <c r="EP78" t="e">
        <f>AND(Names!AG34,"AAAAAH8d+5E=")</f>
        <v>#VALUE!</v>
      </c>
      <c r="EQ78" t="e">
        <f>AND(Names!AH34,"AAAAAH8d+5I=")</f>
        <v>#VALUE!</v>
      </c>
      <c r="ER78" t="e">
        <f>AND(Names!AI34,"AAAAAH8d+5M=")</f>
        <v>#VALUE!</v>
      </c>
      <c r="ES78" t="e">
        <f>AND(Names!AJ34,"AAAAAH8d+5Q=")</f>
        <v>#VALUE!</v>
      </c>
      <c r="ET78" t="e">
        <f>AND(Names!AK34,"AAAAAH8d+5U=")</f>
        <v>#VALUE!</v>
      </c>
      <c r="EU78" t="e">
        <f>AND(Names!AL34,"AAAAAH8d+5Y=")</f>
        <v>#VALUE!</v>
      </c>
      <c r="EV78" t="e">
        <f>AND(Names!AM34,"AAAAAH8d+5c=")</f>
        <v>#VALUE!</v>
      </c>
      <c r="EW78">
        <f>IF(Names!35:35,"AAAAAH8d+5g=",0)</f>
        <v>0</v>
      </c>
      <c r="EX78" t="e">
        <f>AND(Names!A35,"AAAAAH8d+5k=")</f>
        <v>#VALUE!</v>
      </c>
      <c r="EY78" t="e">
        <f>AND(Names!B35,"AAAAAH8d+5o=")</f>
        <v>#VALUE!</v>
      </c>
      <c r="EZ78" t="e">
        <f>AND(Names!C35,"AAAAAH8d+5s=")</f>
        <v>#VALUE!</v>
      </c>
      <c r="FA78" t="e">
        <f>AND(Names!D35,"AAAAAH8d+5w=")</f>
        <v>#VALUE!</v>
      </c>
      <c r="FB78" t="e">
        <f>AND(Names!E35,"AAAAAH8d+50=")</f>
        <v>#VALUE!</v>
      </c>
      <c r="FC78" t="e">
        <f>AND(Names!F35,"AAAAAH8d+54=")</f>
        <v>#VALUE!</v>
      </c>
      <c r="FD78" t="e">
        <f>AND(Names!G35,"AAAAAH8d+58=")</f>
        <v>#VALUE!</v>
      </c>
      <c r="FE78" t="e">
        <f>AND(Names!H35,"AAAAAH8d+6A=")</f>
        <v>#VALUE!</v>
      </c>
      <c r="FF78" t="e">
        <f>AND(Names!I35,"AAAAAH8d+6E=")</f>
        <v>#VALUE!</v>
      </c>
      <c r="FG78" t="e">
        <f>AND(Names!J35,"AAAAAH8d+6I=")</f>
        <v>#VALUE!</v>
      </c>
      <c r="FH78" t="e">
        <f>AND(Names!K35,"AAAAAH8d+6M=")</f>
        <v>#VALUE!</v>
      </c>
      <c r="FI78" t="e">
        <f>AND(Names!L35,"AAAAAH8d+6Q=")</f>
        <v>#VALUE!</v>
      </c>
      <c r="FJ78" t="e">
        <f>AND(Names!M35,"AAAAAH8d+6U=")</f>
        <v>#VALUE!</v>
      </c>
      <c r="FK78" t="e">
        <f>AND(Names!N35,"AAAAAH8d+6Y=")</f>
        <v>#VALUE!</v>
      </c>
      <c r="FL78" t="e">
        <f>AND(Names!O35,"AAAAAH8d+6c=")</f>
        <v>#VALUE!</v>
      </c>
      <c r="FM78" t="e">
        <f>AND(Names!P35,"AAAAAH8d+6g=")</f>
        <v>#VALUE!</v>
      </c>
      <c r="FN78" t="e">
        <f>AND(Names!Q35,"AAAAAH8d+6k=")</f>
        <v>#VALUE!</v>
      </c>
      <c r="FO78" t="e">
        <f>AND(Names!R35,"AAAAAH8d+6o=")</f>
        <v>#VALUE!</v>
      </c>
      <c r="FP78" t="e">
        <f>AND(Names!S35,"AAAAAH8d+6s=")</f>
        <v>#VALUE!</v>
      </c>
      <c r="FQ78" t="e">
        <f>AND(Names!T35,"AAAAAH8d+6w=")</f>
        <v>#VALUE!</v>
      </c>
      <c r="FR78" t="e">
        <f>AND(Names!U35,"AAAAAH8d+60=")</f>
        <v>#VALUE!</v>
      </c>
      <c r="FS78" t="e">
        <f>AND(Names!V35,"AAAAAH8d+64=")</f>
        <v>#VALUE!</v>
      </c>
      <c r="FT78" t="e">
        <f>AND(Names!W35,"AAAAAH8d+68=")</f>
        <v>#VALUE!</v>
      </c>
      <c r="FU78" t="e">
        <f>AND(Names!X35,"AAAAAH8d+7A=")</f>
        <v>#VALUE!</v>
      </c>
      <c r="FV78" t="e">
        <f>AND(Names!Y35,"AAAAAH8d+7E=")</f>
        <v>#VALUE!</v>
      </c>
      <c r="FW78" t="e">
        <f>AND(Names!Z35,"AAAAAH8d+7I=")</f>
        <v>#VALUE!</v>
      </c>
      <c r="FX78" t="e">
        <f>AND(Names!AA35,"AAAAAH8d+7M=")</f>
        <v>#VALUE!</v>
      </c>
      <c r="FY78" t="e">
        <f>AND(Names!AB35,"AAAAAH8d+7Q=")</f>
        <v>#VALUE!</v>
      </c>
      <c r="FZ78" t="e">
        <f>AND(Names!AC35,"AAAAAH8d+7U=")</f>
        <v>#VALUE!</v>
      </c>
      <c r="GA78" t="e">
        <f>AND(Names!AD35,"AAAAAH8d+7Y=")</f>
        <v>#VALUE!</v>
      </c>
      <c r="GB78" t="e">
        <f>AND(Names!AE35,"AAAAAH8d+7c=")</f>
        <v>#VALUE!</v>
      </c>
      <c r="GC78" t="e">
        <f>AND(Names!AF35,"AAAAAH8d+7g=")</f>
        <v>#VALUE!</v>
      </c>
      <c r="GD78" t="e">
        <f>AND(Names!AG35,"AAAAAH8d+7k=")</f>
        <v>#VALUE!</v>
      </c>
      <c r="GE78" t="e">
        <f>AND(Names!AH35,"AAAAAH8d+7o=")</f>
        <v>#VALUE!</v>
      </c>
      <c r="GF78" t="e">
        <f>AND(Names!AI35,"AAAAAH8d+7s=")</f>
        <v>#VALUE!</v>
      </c>
      <c r="GG78" t="e">
        <f>AND(Names!AJ35,"AAAAAH8d+7w=")</f>
        <v>#VALUE!</v>
      </c>
      <c r="GH78" t="e">
        <f>AND(Names!AK35,"AAAAAH8d+70=")</f>
        <v>#VALUE!</v>
      </c>
      <c r="GI78" t="e">
        <f>AND(Names!AL35,"AAAAAH8d+74=")</f>
        <v>#VALUE!</v>
      </c>
      <c r="GJ78" t="e">
        <f>AND(Names!AM35,"AAAAAH8d+78=")</f>
        <v>#VALUE!</v>
      </c>
      <c r="GK78">
        <f>IF(Names!36:36,"AAAAAH8d+8A=",0)</f>
        <v>0</v>
      </c>
      <c r="GL78" t="e">
        <f>AND(Names!A36,"AAAAAH8d+8E=")</f>
        <v>#VALUE!</v>
      </c>
      <c r="GM78" t="e">
        <f>AND(Names!B36,"AAAAAH8d+8I=")</f>
        <v>#VALUE!</v>
      </c>
      <c r="GN78" t="e">
        <f>AND(Names!C36,"AAAAAH8d+8M=")</f>
        <v>#VALUE!</v>
      </c>
      <c r="GO78" t="e">
        <f>AND(Names!D36,"AAAAAH8d+8Q=")</f>
        <v>#VALUE!</v>
      </c>
      <c r="GP78" t="e">
        <f>AND(Names!E36,"AAAAAH8d+8U=")</f>
        <v>#VALUE!</v>
      </c>
      <c r="GQ78" t="e">
        <f>AND(Names!F36,"AAAAAH8d+8Y=")</f>
        <v>#VALUE!</v>
      </c>
      <c r="GR78" t="e">
        <f>AND(Names!G36,"AAAAAH8d+8c=")</f>
        <v>#VALUE!</v>
      </c>
      <c r="GS78" t="e">
        <f>AND(Names!H36,"AAAAAH8d+8g=")</f>
        <v>#VALUE!</v>
      </c>
      <c r="GT78" t="e">
        <f>AND(Names!I36,"AAAAAH8d+8k=")</f>
        <v>#VALUE!</v>
      </c>
      <c r="GU78" t="e">
        <f>AND(Names!J36,"AAAAAH8d+8o=")</f>
        <v>#VALUE!</v>
      </c>
      <c r="GV78" t="e">
        <f>AND(Names!K36,"AAAAAH8d+8s=")</f>
        <v>#VALUE!</v>
      </c>
      <c r="GW78" t="e">
        <f>AND(Names!L36,"AAAAAH8d+8w=")</f>
        <v>#VALUE!</v>
      </c>
      <c r="GX78" t="e">
        <f>AND(Names!M36,"AAAAAH8d+80=")</f>
        <v>#VALUE!</v>
      </c>
      <c r="GY78" t="e">
        <f>AND(Names!N36,"AAAAAH8d+84=")</f>
        <v>#VALUE!</v>
      </c>
      <c r="GZ78" t="e">
        <f>AND(Names!O36,"AAAAAH8d+88=")</f>
        <v>#VALUE!</v>
      </c>
      <c r="HA78" t="e">
        <f>AND(Names!P36,"AAAAAH8d+9A=")</f>
        <v>#VALUE!</v>
      </c>
      <c r="HB78" t="e">
        <f>AND(Names!Q36,"AAAAAH8d+9E=")</f>
        <v>#VALUE!</v>
      </c>
      <c r="HC78" t="e">
        <f>AND(Names!R36,"AAAAAH8d+9I=")</f>
        <v>#VALUE!</v>
      </c>
      <c r="HD78" t="e">
        <f>AND(Names!S36,"AAAAAH8d+9M=")</f>
        <v>#VALUE!</v>
      </c>
      <c r="HE78" t="e">
        <f>AND(Names!T36,"AAAAAH8d+9Q=")</f>
        <v>#VALUE!</v>
      </c>
      <c r="HF78" t="e">
        <f>AND(Names!U36,"AAAAAH8d+9U=")</f>
        <v>#VALUE!</v>
      </c>
      <c r="HG78" t="e">
        <f>AND(Names!V36,"AAAAAH8d+9Y=")</f>
        <v>#VALUE!</v>
      </c>
      <c r="HH78" t="e">
        <f>AND(Names!W36,"AAAAAH8d+9c=")</f>
        <v>#VALUE!</v>
      </c>
      <c r="HI78" t="e">
        <f>AND(Names!X36,"AAAAAH8d+9g=")</f>
        <v>#VALUE!</v>
      </c>
      <c r="HJ78" t="e">
        <f>AND(Names!Y36,"AAAAAH8d+9k=")</f>
        <v>#VALUE!</v>
      </c>
      <c r="HK78" t="e">
        <f>AND(Names!Z36,"AAAAAH8d+9o=")</f>
        <v>#VALUE!</v>
      </c>
      <c r="HL78" t="e">
        <f>AND(Names!AA36,"AAAAAH8d+9s=")</f>
        <v>#VALUE!</v>
      </c>
      <c r="HM78" t="e">
        <f>AND(Names!AB36,"AAAAAH8d+9w=")</f>
        <v>#VALUE!</v>
      </c>
      <c r="HN78" t="e">
        <f>AND(Names!AC36,"AAAAAH8d+90=")</f>
        <v>#VALUE!</v>
      </c>
      <c r="HO78" t="e">
        <f>AND(Names!AD36,"AAAAAH8d+94=")</f>
        <v>#VALUE!</v>
      </c>
      <c r="HP78" t="e">
        <f>AND(Names!AE36,"AAAAAH8d+98=")</f>
        <v>#VALUE!</v>
      </c>
      <c r="HQ78" t="e">
        <f>AND(Names!AF36,"AAAAAH8d++A=")</f>
        <v>#VALUE!</v>
      </c>
      <c r="HR78" t="e">
        <f>AND(Names!AG36,"AAAAAH8d++E=")</f>
        <v>#VALUE!</v>
      </c>
      <c r="HS78" t="e">
        <f>AND(Names!AH36,"AAAAAH8d++I=")</f>
        <v>#VALUE!</v>
      </c>
      <c r="HT78" t="e">
        <f>AND(Names!AI36,"AAAAAH8d++M=")</f>
        <v>#VALUE!</v>
      </c>
      <c r="HU78" t="e">
        <f>AND(Names!AJ36,"AAAAAH8d++Q=")</f>
        <v>#VALUE!</v>
      </c>
      <c r="HV78" t="e">
        <f>AND(Names!AK36,"AAAAAH8d++U=")</f>
        <v>#VALUE!</v>
      </c>
      <c r="HW78" t="e">
        <f>AND(Names!AL36,"AAAAAH8d++Y=")</f>
        <v>#VALUE!</v>
      </c>
      <c r="HX78" t="e">
        <f>AND(Names!AM36,"AAAAAH8d++c=")</f>
        <v>#VALUE!</v>
      </c>
      <c r="HY78">
        <f>IF(Names!37:37,"AAAAAH8d++g=",0)</f>
        <v>0</v>
      </c>
      <c r="HZ78" t="e">
        <f>AND(Names!A37,"AAAAAH8d++k=")</f>
        <v>#VALUE!</v>
      </c>
      <c r="IA78" t="e">
        <f>AND(Names!B37,"AAAAAH8d++o=")</f>
        <v>#VALUE!</v>
      </c>
      <c r="IB78" t="e">
        <f>AND(Names!C37,"AAAAAH8d++s=")</f>
        <v>#VALUE!</v>
      </c>
      <c r="IC78" t="e">
        <f>AND(Names!D37,"AAAAAH8d++w=")</f>
        <v>#VALUE!</v>
      </c>
      <c r="ID78" t="e">
        <f>AND(Names!E37,"AAAAAH8d++0=")</f>
        <v>#VALUE!</v>
      </c>
      <c r="IE78" t="e">
        <f>AND(Names!F37,"AAAAAH8d++4=")</f>
        <v>#VALUE!</v>
      </c>
      <c r="IF78" t="e">
        <f>AND(Names!G37,"AAAAAH8d++8=")</f>
        <v>#VALUE!</v>
      </c>
      <c r="IG78" t="e">
        <f>AND(Names!H37,"AAAAAH8d+/A=")</f>
        <v>#VALUE!</v>
      </c>
      <c r="IH78" t="e">
        <f>AND(Names!I37,"AAAAAH8d+/E=")</f>
        <v>#VALUE!</v>
      </c>
      <c r="II78" t="e">
        <f>AND(Names!J37,"AAAAAH8d+/I=")</f>
        <v>#VALUE!</v>
      </c>
      <c r="IJ78" t="e">
        <f>AND(Names!K37,"AAAAAH8d+/M=")</f>
        <v>#VALUE!</v>
      </c>
      <c r="IK78" t="e">
        <f>AND(Names!L37,"AAAAAH8d+/Q=")</f>
        <v>#VALUE!</v>
      </c>
      <c r="IL78" t="e">
        <f>AND(Names!M37,"AAAAAH8d+/U=")</f>
        <v>#VALUE!</v>
      </c>
      <c r="IM78" t="e">
        <f>AND(Names!N37,"AAAAAH8d+/Y=")</f>
        <v>#VALUE!</v>
      </c>
      <c r="IN78" t="e">
        <f>AND(Names!O37,"AAAAAH8d+/c=")</f>
        <v>#VALUE!</v>
      </c>
      <c r="IO78" t="e">
        <f>AND(Names!P37,"AAAAAH8d+/g=")</f>
        <v>#VALUE!</v>
      </c>
      <c r="IP78" t="e">
        <f>AND(Names!Q37,"AAAAAH8d+/k=")</f>
        <v>#VALUE!</v>
      </c>
      <c r="IQ78" t="e">
        <f>AND(Names!R37,"AAAAAH8d+/o=")</f>
        <v>#VALUE!</v>
      </c>
      <c r="IR78" t="e">
        <f>AND(Names!S37,"AAAAAH8d+/s=")</f>
        <v>#VALUE!</v>
      </c>
      <c r="IS78" t="e">
        <f>AND(Names!T37,"AAAAAH8d+/w=")</f>
        <v>#VALUE!</v>
      </c>
      <c r="IT78" t="e">
        <f>AND(Names!U37,"AAAAAH8d+/0=")</f>
        <v>#VALUE!</v>
      </c>
      <c r="IU78" t="e">
        <f>AND(Names!V37,"AAAAAH8d+/4=")</f>
        <v>#VALUE!</v>
      </c>
      <c r="IV78" t="e">
        <f>AND(Names!W37,"AAAAAH8d+/8=")</f>
        <v>#VALUE!</v>
      </c>
    </row>
    <row r="79" spans="1:256" x14ac:dyDescent="0.15">
      <c r="A79" t="e">
        <f>AND(Names!X37,"AAAAAFa/9AA=")</f>
        <v>#VALUE!</v>
      </c>
      <c r="B79" t="e">
        <f>AND(Names!Y37,"AAAAAFa/9AE=")</f>
        <v>#VALUE!</v>
      </c>
      <c r="C79" t="e">
        <f>AND(Names!Z37,"AAAAAFa/9AI=")</f>
        <v>#VALUE!</v>
      </c>
      <c r="D79" t="e">
        <f>AND(Names!AA37,"AAAAAFa/9AM=")</f>
        <v>#VALUE!</v>
      </c>
      <c r="E79" t="e">
        <f>AND(Names!AB37,"AAAAAFa/9AQ=")</f>
        <v>#VALUE!</v>
      </c>
      <c r="F79" t="e">
        <f>AND(Names!AC37,"AAAAAFa/9AU=")</f>
        <v>#VALUE!</v>
      </c>
      <c r="G79" t="e">
        <f>AND(Names!AD37,"AAAAAFa/9AY=")</f>
        <v>#VALUE!</v>
      </c>
      <c r="H79" t="e">
        <f>AND(Names!AE37,"AAAAAFa/9Ac=")</f>
        <v>#VALUE!</v>
      </c>
      <c r="I79" t="e">
        <f>AND(Names!AF37,"AAAAAFa/9Ag=")</f>
        <v>#VALUE!</v>
      </c>
      <c r="J79" t="e">
        <f>AND(Names!AG37,"AAAAAFa/9Ak=")</f>
        <v>#VALUE!</v>
      </c>
      <c r="K79" t="e">
        <f>AND(Names!AH37,"AAAAAFa/9Ao=")</f>
        <v>#VALUE!</v>
      </c>
      <c r="L79" t="e">
        <f>AND(Names!AI37,"AAAAAFa/9As=")</f>
        <v>#VALUE!</v>
      </c>
      <c r="M79" t="e">
        <f>AND(Names!AJ37,"AAAAAFa/9Aw=")</f>
        <v>#VALUE!</v>
      </c>
      <c r="N79" t="e">
        <f>AND(Names!AK37,"AAAAAFa/9A0=")</f>
        <v>#VALUE!</v>
      </c>
      <c r="O79" t="e">
        <f>AND(Names!AL37,"AAAAAFa/9A4=")</f>
        <v>#VALUE!</v>
      </c>
      <c r="P79" t="e">
        <f>AND(Names!AM37,"AAAAAFa/9A8=")</f>
        <v>#VALUE!</v>
      </c>
      <c r="Q79">
        <f>IF(Names!38:38,"AAAAAFa/9BA=",0)</f>
        <v>0</v>
      </c>
      <c r="R79" t="e">
        <f>AND(Names!A38,"AAAAAFa/9BE=")</f>
        <v>#VALUE!</v>
      </c>
      <c r="S79" t="e">
        <f>AND(Names!B38,"AAAAAFa/9BI=")</f>
        <v>#VALUE!</v>
      </c>
      <c r="T79" t="e">
        <f>AND(Names!C38,"AAAAAFa/9BM=")</f>
        <v>#VALUE!</v>
      </c>
      <c r="U79" t="e">
        <f>AND(Names!D38,"AAAAAFa/9BQ=")</f>
        <v>#VALUE!</v>
      </c>
      <c r="V79" t="e">
        <f>AND(Names!E38,"AAAAAFa/9BU=")</f>
        <v>#VALUE!</v>
      </c>
      <c r="W79" t="e">
        <f>AND(Names!F38,"AAAAAFa/9BY=")</f>
        <v>#VALUE!</v>
      </c>
      <c r="X79" t="e">
        <f>AND(Names!G38,"AAAAAFa/9Bc=")</f>
        <v>#VALUE!</v>
      </c>
      <c r="Y79" t="e">
        <f>AND(Names!H38,"AAAAAFa/9Bg=")</f>
        <v>#VALUE!</v>
      </c>
      <c r="Z79" t="e">
        <f>AND(Names!I38,"AAAAAFa/9Bk=")</f>
        <v>#VALUE!</v>
      </c>
      <c r="AA79" t="e">
        <f>AND(Names!J38,"AAAAAFa/9Bo=")</f>
        <v>#VALUE!</v>
      </c>
      <c r="AB79" t="e">
        <f>AND(Names!K38,"AAAAAFa/9Bs=")</f>
        <v>#VALUE!</v>
      </c>
      <c r="AC79" t="e">
        <f>AND(Names!L38,"AAAAAFa/9Bw=")</f>
        <v>#VALUE!</v>
      </c>
      <c r="AD79" t="e">
        <f>AND(Names!M38,"AAAAAFa/9B0=")</f>
        <v>#VALUE!</v>
      </c>
      <c r="AE79" t="e">
        <f>AND(Names!N38,"AAAAAFa/9B4=")</f>
        <v>#VALUE!</v>
      </c>
      <c r="AF79" t="e">
        <f>AND(Names!O38,"AAAAAFa/9B8=")</f>
        <v>#VALUE!</v>
      </c>
      <c r="AG79" t="e">
        <f>AND(Names!P38,"AAAAAFa/9CA=")</f>
        <v>#VALUE!</v>
      </c>
      <c r="AH79" t="e">
        <f>AND(Names!Q38,"AAAAAFa/9CE=")</f>
        <v>#VALUE!</v>
      </c>
      <c r="AI79" t="e">
        <f>AND(Names!R38,"AAAAAFa/9CI=")</f>
        <v>#VALUE!</v>
      </c>
      <c r="AJ79" t="e">
        <f>AND(Names!S38,"AAAAAFa/9CM=")</f>
        <v>#VALUE!</v>
      </c>
      <c r="AK79" t="e">
        <f>AND(Names!T38,"AAAAAFa/9CQ=")</f>
        <v>#VALUE!</v>
      </c>
      <c r="AL79" t="e">
        <f>AND(Names!U38,"AAAAAFa/9CU=")</f>
        <v>#VALUE!</v>
      </c>
      <c r="AM79" t="e">
        <f>AND(Names!V38,"AAAAAFa/9CY=")</f>
        <v>#VALUE!</v>
      </c>
      <c r="AN79" t="e">
        <f>AND(Names!W38,"AAAAAFa/9Cc=")</f>
        <v>#VALUE!</v>
      </c>
      <c r="AO79" t="e">
        <f>AND(Names!X38,"AAAAAFa/9Cg=")</f>
        <v>#VALUE!</v>
      </c>
      <c r="AP79" t="e">
        <f>AND(Names!Y38,"AAAAAFa/9Ck=")</f>
        <v>#VALUE!</v>
      </c>
      <c r="AQ79" t="e">
        <f>AND(Names!Z38,"AAAAAFa/9Co=")</f>
        <v>#VALUE!</v>
      </c>
      <c r="AR79" t="e">
        <f>AND(Names!AA38,"AAAAAFa/9Cs=")</f>
        <v>#VALUE!</v>
      </c>
      <c r="AS79" t="e">
        <f>AND(Names!AB38,"AAAAAFa/9Cw=")</f>
        <v>#VALUE!</v>
      </c>
      <c r="AT79" t="e">
        <f>AND(Names!AC38,"AAAAAFa/9C0=")</f>
        <v>#VALUE!</v>
      </c>
      <c r="AU79" t="e">
        <f>AND(Names!AD38,"AAAAAFa/9C4=")</f>
        <v>#VALUE!</v>
      </c>
      <c r="AV79" t="e">
        <f>AND(Names!AE38,"AAAAAFa/9C8=")</f>
        <v>#VALUE!</v>
      </c>
      <c r="AW79" t="e">
        <f>AND(Names!AF38,"AAAAAFa/9DA=")</f>
        <v>#VALUE!</v>
      </c>
      <c r="AX79" t="e">
        <f>AND(Names!AG38,"AAAAAFa/9DE=")</f>
        <v>#VALUE!</v>
      </c>
      <c r="AY79" t="e">
        <f>AND(Names!AH38,"AAAAAFa/9DI=")</f>
        <v>#VALUE!</v>
      </c>
      <c r="AZ79" t="e">
        <f>AND(Names!AI38,"AAAAAFa/9DM=")</f>
        <v>#VALUE!</v>
      </c>
      <c r="BA79" t="e">
        <f>AND(Names!AJ38,"AAAAAFa/9DQ=")</f>
        <v>#VALUE!</v>
      </c>
      <c r="BB79" t="e">
        <f>AND(Names!AK38,"AAAAAFa/9DU=")</f>
        <v>#VALUE!</v>
      </c>
      <c r="BC79" t="e">
        <f>AND(Names!AL38,"AAAAAFa/9DY=")</f>
        <v>#VALUE!</v>
      </c>
      <c r="BD79" t="e">
        <f>AND(Names!AM38,"AAAAAFa/9Dc=")</f>
        <v>#VALUE!</v>
      </c>
      <c r="BE79">
        <f>IF(Names!39:39,"AAAAAFa/9Dg=",0)</f>
        <v>0</v>
      </c>
      <c r="BF79" t="e">
        <f>AND(Names!A39,"AAAAAFa/9Dk=")</f>
        <v>#VALUE!</v>
      </c>
      <c r="BG79" t="e">
        <f>AND(Names!B39,"AAAAAFa/9Do=")</f>
        <v>#VALUE!</v>
      </c>
      <c r="BH79" t="e">
        <f>AND(Names!C39,"AAAAAFa/9Ds=")</f>
        <v>#VALUE!</v>
      </c>
      <c r="BI79" t="e">
        <f>AND(Names!D39,"AAAAAFa/9Dw=")</f>
        <v>#VALUE!</v>
      </c>
      <c r="BJ79" t="e">
        <f>AND(Names!E39,"AAAAAFa/9D0=")</f>
        <v>#VALUE!</v>
      </c>
      <c r="BK79" t="e">
        <f>AND(Names!F39,"AAAAAFa/9D4=")</f>
        <v>#VALUE!</v>
      </c>
      <c r="BL79" t="e">
        <f>AND(Names!G39,"AAAAAFa/9D8=")</f>
        <v>#VALUE!</v>
      </c>
      <c r="BM79" t="e">
        <f>AND(Names!H39,"AAAAAFa/9EA=")</f>
        <v>#VALUE!</v>
      </c>
      <c r="BN79" t="e">
        <f>AND(Names!I39,"AAAAAFa/9EE=")</f>
        <v>#VALUE!</v>
      </c>
      <c r="BO79" t="e">
        <f>AND(Names!J39,"AAAAAFa/9EI=")</f>
        <v>#VALUE!</v>
      </c>
      <c r="BP79" t="e">
        <f>AND(Names!K39,"AAAAAFa/9EM=")</f>
        <v>#VALUE!</v>
      </c>
      <c r="BQ79" t="e">
        <f>AND(Names!L39,"AAAAAFa/9EQ=")</f>
        <v>#VALUE!</v>
      </c>
      <c r="BR79" t="e">
        <f>AND(Names!M39,"AAAAAFa/9EU=")</f>
        <v>#VALUE!</v>
      </c>
      <c r="BS79" t="e">
        <f>AND(Names!N39,"AAAAAFa/9EY=")</f>
        <v>#VALUE!</v>
      </c>
      <c r="BT79" t="e">
        <f>AND(Names!O39,"AAAAAFa/9Ec=")</f>
        <v>#VALUE!</v>
      </c>
      <c r="BU79" t="e">
        <f>AND(Names!P39,"AAAAAFa/9Eg=")</f>
        <v>#VALUE!</v>
      </c>
      <c r="BV79" t="e">
        <f>AND(Names!Q39,"AAAAAFa/9Ek=")</f>
        <v>#VALUE!</v>
      </c>
      <c r="BW79" t="e">
        <f>AND(Names!R39,"AAAAAFa/9Eo=")</f>
        <v>#VALUE!</v>
      </c>
      <c r="BX79" t="e">
        <f>AND(Names!S39,"AAAAAFa/9Es=")</f>
        <v>#VALUE!</v>
      </c>
      <c r="BY79" t="e">
        <f>AND(Names!T39,"AAAAAFa/9Ew=")</f>
        <v>#VALUE!</v>
      </c>
      <c r="BZ79" t="e">
        <f>AND(Names!U39,"AAAAAFa/9E0=")</f>
        <v>#VALUE!</v>
      </c>
      <c r="CA79" t="e">
        <f>AND(Names!V39,"AAAAAFa/9E4=")</f>
        <v>#VALUE!</v>
      </c>
      <c r="CB79" t="e">
        <f>AND(Names!W39,"AAAAAFa/9E8=")</f>
        <v>#VALUE!</v>
      </c>
      <c r="CC79" t="e">
        <f>AND(Names!X39,"AAAAAFa/9FA=")</f>
        <v>#VALUE!</v>
      </c>
      <c r="CD79" t="e">
        <f>AND(Names!Y39,"AAAAAFa/9FE=")</f>
        <v>#VALUE!</v>
      </c>
      <c r="CE79" t="e">
        <f>AND(Names!Z39,"AAAAAFa/9FI=")</f>
        <v>#VALUE!</v>
      </c>
      <c r="CF79" t="e">
        <f>AND(Names!AA39,"AAAAAFa/9FM=")</f>
        <v>#VALUE!</v>
      </c>
      <c r="CG79" t="e">
        <f>AND(Names!AB39,"AAAAAFa/9FQ=")</f>
        <v>#VALUE!</v>
      </c>
      <c r="CH79" t="e">
        <f>AND(Names!AC39,"AAAAAFa/9FU=")</f>
        <v>#VALUE!</v>
      </c>
      <c r="CI79" t="e">
        <f>AND(Names!AD39,"AAAAAFa/9FY=")</f>
        <v>#VALUE!</v>
      </c>
      <c r="CJ79" t="e">
        <f>AND(Names!AE39,"AAAAAFa/9Fc=")</f>
        <v>#VALUE!</v>
      </c>
      <c r="CK79" t="e">
        <f>AND(Names!AF39,"AAAAAFa/9Fg=")</f>
        <v>#VALUE!</v>
      </c>
      <c r="CL79" t="e">
        <f>AND(Names!AG39,"AAAAAFa/9Fk=")</f>
        <v>#VALUE!</v>
      </c>
      <c r="CM79" t="e">
        <f>AND(Names!AH39,"AAAAAFa/9Fo=")</f>
        <v>#VALUE!</v>
      </c>
      <c r="CN79" t="e">
        <f>AND(Names!AI39,"AAAAAFa/9Fs=")</f>
        <v>#VALUE!</v>
      </c>
      <c r="CO79" t="e">
        <f>AND(Names!AJ39,"AAAAAFa/9Fw=")</f>
        <v>#VALUE!</v>
      </c>
      <c r="CP79" t="e">
        <f>AND(Names!AK39,"AAAAAFa/9F0=")</f>
        <v>#VALUE!</v>
      </c>
      <c r="CQ79" t="e">
        <f>AND(Names!AL39,"AAAAAFa/9F4=")</f>
        <v>#VALUE!</v>
      </c>
      <c r="CR79" t="e">
        <f>AND(Names!AM39,"AAAAAFa/9F8=")</f>
        <v>#VALUE!</v>
      </c>
      <c r="CS79">
        <f>IF(Names!40:40,"AAAAAFa/9GA=",0)</f>
        <v>0</v>
      </c>
      <c r="CT79" t="e">
        <f>AND(Names!A40,"AAAAAFa/9GE=")</f>
        <v>#VALUE!</v>
      </c>
      <c r="CU79" t="e">
        <f>AND(Names!B40,"AAAAAFa/9GI=")</f>
        <v>#VALUE!</v>
      </c>
      <c r="CV79" t="e">
        <f>AND(Names!C40,"AAAAAFa/9GM=")</f>
        <v>#VALUE!</v>
      </c>
      <c r="CW79" t="e">
        <f>AND(Names!D40,"AAAAAFa/9GQ=")</f>
        <v>#VALUE!</v>
      </c>
      <c r="CX79" t="e">
        <f>AND(Names!E40,"AAAAAFa/9GU=")</f>
        <v>#VALUE!</v>
      </c>
      <c r="CY79" t="e">
        <f>AND(Names!F40,"AAAAAFa/9GY=")</f>
        <v>#VALUE!</v>
      </c>
      <c r="CZ79" t="e">
        <f>AND(Names!G40,"AAAAAFa/9Gc=")</f>
        <v>#VALUE!</v>
      </c>
      <c r="DA79" t="e">
        <f>AND(Names!H40,"AAAAAFa/9Gg=")</f>
        <v>#VALUE!</v>
      </c>
      <c r="DB79" t="e">
        <f>AND(Names!I40,"AAAAAFa/9Gk=")</f>
        <v>#VALUE!</v>
      </c>
      <c r="DC79" t="e">
        <f>AND(Names!J40,"AAAAAFa/9Go=")</f>
        <v>#VALUE!</v>
      </c>
      <c r="DD79" t="e">
        <f>AND(Names!K40,"AAAAAFa/9Gs=")</f>
        <v>#VALUE!</v>
      </c>
      <c r="DE79" t="e">
        <f>AND(Names!L40,"AAAAAFa/9Gw=")</f>
        <v>#VALUE!</v>
      </c>
      <c r="DF79" t="e">
        <f>AND(Names!M40,"AAAAAFa/9G0=")</f>
        <v>#VALUE!</v>
      </c>
      <c r="DG79" t="e">
        <f>AND(Names!N40,"AAAAAFa/9G4=")</f>
        <v>#VALUE!</v>
      </c>
      <c r="DH79" t="e">
        <f>AND(Names!O40,"AAAAAFa/9G8=")</f>
        <v>#VALUE!</v>
      </c>
      <c r="DI79" t="e">
        <f>AND(Names!P40,"AAAAAFa/9HA=")</f>
        <v>#VALUE!</v>
      </c>
      <c r="DJ79" t="e">
        <f>AND(Names!Q40,"AAAAAFa/9HE=")</f>
        <v>#VALUE!</v>
      </c>
      <c r="DK79" t="e">
        <f>AND(Names!R40,"AAAAAFa/9HI=")</f>
        <v>#VALUE!</v>
      </c>
      <c r="DL79" t="e">
        <f>AND(Names!S40,"AAAAAFa/9HM=")</f>
        <v>#VALUE!</v>
      </c>
      <c r="DM79" t="e">
        <f>AND(Names!T40,"AAAAAFa/9HQ=")</f>
        <v>#VALUE!</v>
      </c>
      <c r="DN79" t="e">
        <f>AND(Names!U40,"AAAAAFa/9HU=")</f>
        <v>#VALUE!</v>
      </c>
      <c r="DO79" t="e">
        <f>AND(Names!V40,"AAAAAFa/9HY=")</f>
        <v>#VALUE!</v>
      </c>
      <c r="DP79" t="e">
        <f>AND(Names!W40,"AAAAAFa/9Hc=")</f>
        <v>#VALUE!</v>
      </c>
      <c r="DQ79" t="e">
        <f>AND(Names!X40,"AAAAAFa/9Hg=")</f>
        <v>#VALUE!</v>
      </c>
      <c r="DR79" t="e">
        <f>AND(Names!Y40,"AAAAAFa/9Hk=")</f>
        <v>#VALUE!</v>
      </c>
      <c r="DS79" t="e">
        <f>AND(Names!Z40,"AAAAAFa/9Ho=")</f>
        <v>#VALUE!</v>
      </c>
      <c r="DT79" t="e">
        <f>AND(Names!AA40,"AAAAAFa/9Hs=")</f>
        <v>#VALUE!</v>
      </c>
      <c r="DU79" t="e">
        <f>AND(Names!AB40,"AAAAAFa/9Hw=")</f>
        <v>#VALUE!</v>
      </c>
      <c r="DV79" t="e">
        <f>AND(Names!AC40,"AAAAAFa/9H0=")</f>
        <v>#VALUE!</v>
      </c>
      <c r="DW79" t="e">
        <f>AND(Names!AD40,"AAAAAFa/9H4=")</f>
        <v>#VALUE!</v>
      </c>
      <c r="DX79" t="e">
        <f>AND(Names!AE40,"AAAAAFa/9H8=")</f>
        <v>#VALUE!</v>
      </c>
      <c r="DY79" t="e">
        <f>AND(Names!AF40,"AAAAAFa/9IA=")</f>
        <v>#VALUE!</v>
      </c>
      <c r="DZ79" t="e">
        <f>AND(Names!AG40,"AAAAAFa/9IE=")</f>
        <v>#VALUE!</v>
      </c>
      <c r="EA79" t="e">
        <f>AND(Names!AH40,"AAAAAFa/9II=")</f>
        <v>#VALUE!</v>
      </c>
      <c r="EB79" t="e">
        <f>AND(Names!AI40,"AAAAAFa/9IM=")</f>
        <v>#VALUE!</v>
      </c>
      <c r="EC79" t="e">
        <f>AND(Names!AJ40,"AAAAAFa/9IQ=")</f>
        <v>#VALUE!</v>
      </c>
      <c r="ED79" t="e">
        <f>AND(Names!AK40,"AAAAAFa/9IU=")</f>
        <v>#VALUE!</v>
      </c>
      <c r="EE79" t="e">
        <f>AND(Names!AL40,"AAAAAFa/9IY=")</f>
        <v>#VALUE!</v>
      </c>
      <c r="EF79" t="e">
        <f>AND(Names!AM40,"AAAAAFa/9Ic=")</f>
        <v>#VALUE!</v>
      </c>
      <c r="EG79">
        <f>IF(Names!41:41,"AAAAAFa/9Ig=",0)</f>
        <v>0</v>
      </c>
      <c r="EH79" t="e">
        <f>AND(Names!A41,"AAAAAFa/9Ik=")</f>
        <v>#VALUE!</v>
      </c>
      <c r="EI79" t="e">
        <f>AND(Names!B41,"AAAAAFa/9Io=")</f>
        <v>#VALUE!</v>
      </c>
      <c r="EJ79" t="e">
        <f>AND(Names!C41,"AAAAAFa/9Is=")</f>
        <v>#VALUE!</v>
      </c>
      <c r="EK79" t="e">
        <f>AND(Names!D41,"AAAAAFa/9Iw=")</f>
        <v>#VALUE!</v>
      </c>
      <c r="EL79" t="e">
        <f>AND(Names!E41,"AAAAAFa/9I0=")</f>
        <v>#VALUE!</v>
      </c>
      <c r="EM79" t="e">
        <f>AND(Names!F41,"AAAAAFa/9I4=")</f>
        <v>#VALUE!</v>
      </c>
      <c r="EN79" t="e">
        <f>AND(Names!G41,"AAAAAFa/9I8=")</f>
        <v>#VALUE!</v>
      </c>
      <c r="EO79" t="e">
        <f>AND(Names!H41,"AAAAAFa/9JA=")</f>
        <v>#VALUE!</v>
      </c>
      <c r="EP79" t="e">
        <f>AND(Names!I41,"AAAAAFa/9JE=")</f>
        <v>#VALUE!</v>
      </c>
      <c r="EQ79" t="e">
        <f>AND(Names!J41,"AAAAAFa/9JI=")</f>
        <v>#VALUE!</v>
      </c>
      <c r="ER79" t="e">
        <f>AND(Names!K41,"AAAAAFa/9JM=")</f>
        <v>#VALUE!</v>
      </c>
      <c r="ES79" t="e">
        <f>AND(Names!L41,"AAAAAFa/9JQ=")</f>
        <v>#VALUE!</v>
      </c>
      <c r="ET79" t="e">
        <f>AND(Names!M41,"AAAAAFa/9JU=")</f>
        <v>#VALUE!</v>
      </c>
      <c r="EU79" t="e">
        <f>AND(Names!N41,"AAAAAFa/9JY=")</f>
        <v>#VALUE!</v>
      </c>
      <c r="EV79" t="e">
        <f>AND(Names!O41,"AAAAAFa/9Jc=")</f>
        <v>#VALUE!</v>
      </c>
      <c r="EW79" t="e">
        <f>AND(Names!P41,"AAAAAFa/9Jg=")</f>
        <v>#VALUE!</v>
      </c>
      <c r="EX79" t="e">
        <f>AND(Names!Q41,"AAAAAFa/9Jk=")</f>
        <v>#VALUE!</v>
      </c>
      <c r="EY79" t="e">
        <f>AND(Names!R41,"AAAAAFa/9Jo=")</f>
        <v>#VALUE!</v>
      </c>
      <c r="EZ79" t="e">
        <f>AND(Names!S41,"AAAAAFa/9Js=")</f>
        <v>#VALUE!</v>
      </c>
      <c r="FA79" t="e">
        <f>AND(Names!T41,"AAAAAFa/9Jw=")</f>
        <v>#VALUE!</v>
      </c>
      <c r="FB79" t="e">
        <f>AND(Names!U41,"AAAAAFa/9J0=")</f>
        <v>#VALUE!</v>
      </c>
      <c r="FC79" t="e">
        <f>AND(Names!V41,"AAAAAFa/9J4=")</f>
        <v>#VALUE!</v>
      </c>
      <c r="FD79" t="e">
        <f>AND(Names!W41,"AAAAAFa/9J8=")</f>
        <v>#VALUE!</v>
      </c>
      <c r="FE79" t="e">
        <f>AND(Names!X41,"AAAAAFa/9KA=")</f>
        <v>#VALUE!</v>
      </c>
      <c r="FF79" t="e">
        <f>AND(Names!Y41,"AAAAAFa/9KE=")</f>
        <v>#VALUE!</v>
      </c>
      <c r="FG79" t="e">
        <f>AND(Names!Z41,"AAAAAFa/9KI=")</f>
        <v>#VALUE!</v>
      </c>
      <c r="FH79" t="e">
        <f>AND(Names!AA41,"AAAAAFa/9KM=")</f>
        <v>#VALUE!</v>
      </c>
      <c r="FI79" t="e">
        <f>AND(Names!AB41,"AAAAAFa/9KQ=")</f>
        <v>#VALUE!</v>
      </c>
      <c r="FJ79" t="e">
        <f>AND(Names!AC41,"AAAAAFa/9KU=")</f>
        <v>#VALUE!</v>
      </c>
      <c r="FK79" t="e">
        <f>AND(Names!AD41,"AAAAAFa/9KY=")</f>
        <v>#VALUE!</v>
      </c>
      <c r="FL79" t="e">
        <f>AND(Names!AE41,"AAAAAFa/9Kc=")</f>
        <v>#VALUE!</v>
      </c>
      <c r="FM79" t="e">
        <f>AND(Names!AF41,"AAAAAFa/9Kg=")</f>
        <v>#VALUE!</v>
      </c>
      <c r="FN79" t="e">
        <f>AND(Names!AG41,"AAAAAFa/9Kk=")</f>
        <v>#VALUE!</v>
      </c>
      <c r="FO79" t="e">
        <f>AND(Names!AH41,"AAAAAFa/9Ko=")</f>
        <v>#VALUE!</v>
      </c>
      <c r="FP79" t="e">
        <f>AND(Names!AI41,"AAAAAFa/9Ks=")</f>
        <v>#VALUE!</v>
      </c>
      <c r="FQ79" t="e">
        <f>AND(Names!AJ41,"AAAAAFa/9Kw=")</f>
        <v>#VALUE!</v>
      </c>
      <c r="FR79" t="e">
        <f>AND(Names!AK41,"AAAAAFa/9K0=")</f>
        <v>#VALUE!</v>
      </c>
      <c r="FS79" t="e">
        <f>AND(Names!AL41,"AAAAAFa/9K4=")</f>
        <v>#VALUE!</v>
      </c>
      <c r="FT79" t="e">
        <f>AND(Names!AM41,"AAAAAFa/9K8=")</f>
        <v>#VALUE!</v>
      </c>
      <c r="FU79">
        <f>IF(Names!42:42,"AAAAAFa/9LA=",0)</f>
        <v>0</v>
      </c>
      <c r="FV79" t="e">
        <f>AND(Names!A42,"AAAAAFa/9LE=")</f>
        <v>#VALUE!</v>
      </c>
      <c r="FW79" t="e">
        <f>AND(Names!B42,"AAAAAFa/9LI=")</f>
        <v>#VALUE!</v>
      </c>
      <c r="FX79" t="e">
        <f>AND(Names!C42,"AAAAAFa/9LM=")</f>
        <v>#VALUE!</v>
      </c>
      <c r="FY79" t="e">
        <f>AND(Names!D42,"AAAAAFa/9LQ=")</f>
        <v>#VALUE!</v>
      </c>
      <c r="FZ79" t="e">
        <f>AND(Names!E42,"AAAAAFa/9LU=")</f>
        <v>#VALUE!</v>
      </c>
      <c r="GA79" t="e">
        <f>AND(Names!F42,"AAAAAFa/9LY=")</f>
        <v>#VALUE!</v>
      </c>
      <c r="GB79" t="e">
        <f>AND(Names!G42,"AAAAAFa/9Lc=")</f>
        <v>#VALUE!</v>
      </c>
      <c r="GC79" t="e">
        <f>AND(Names!H42,"AAAAAFa/9Lg=")</f>
        <v>#VALUE!</v>
      </c>
      <c r="GD79" t="e">
        <f>AND(Names!I42,"AAAAAFa/9Lk=")</f>
        <v>#VALUE!</v>
      </c>
      <c r="GE79" t="e">
        <f>AND(Names!J42,"AAAAAFa/9Lo=")</f>
        <v>#VALUE!</v>
      </c>
      <c r="GF79" t="e">
        <f>AND(Names!K42,"AAAAAFa/9Ls=")</f>
        <v>#VALUE!</v>
      </c>
      <c r="GG79" t="e">
        <f>AND(Names!L42,"AAAAAFa/9Lw=")</f>
        <v>#VALUE!</v>
      </c>
      <c r="GH79" t="e">
        <f>AND(Names!M42,"AAAAAFa/9L0=")</f>
        <v>#VALUE!</v>
      </c>
      <c r="GI79" t="e">
        <f>AND(Names!N42,"AAAAAFa/9L4=")</f>
        <v>#VALUE!</v>
      </c>
      <c r="GJ79" t="e">
        <f>AND(Names!O42,"AAAAAFa/9L8=")</f>
        <v>#VALUE!</v>
      </c>
      <c r="GK79" t="e">
        <f>AND(Names!P42,"AAAAAFa/9MA=")</f>
        <v>#VALUE!</v>
      </c>
      <c r="GL79" t="e">
        <f>AND(Names!Q42,"AAAAAFa/9ME=")</f>
        <v>#VALUE!</v>
      </c>
      <c r="GM79" t="e">
        <f>AND(Names!R42,"AAAAAFa/9MI=")</f>
        <v>#VALUE!</v>
      </c>
      <c r="GN79" t="e">
        <f>AND(Names!S42,"AAAAAFa/9MM=")</f>
        <v>#VALUE!</v>
      </c>
      <c r="GO79" t="e">
        <f>AND(Names!T42,"AAAAAFa/9MQ=")</f>
        <v>#VALUE!</v>
      </c>
      <c r="GP79" t="e">
        <f>AND(Names!U42,"AAAAAFa/9MU=")</f>
        <v>#VALUE!</v>
      </c>
      <c r="GQ79" t="e">
        <f>AND(Names!V42,"AAAAAFa/9MY=")</f>
        <v>#VALUE!</v>
      </c>
      <c r="GR79" t="e">
        <f>AND(Names!W42,"AAAAAFa/9Mc=")</f>
        <v>#VALUE!</v>
      </c>
      <c r="GS79" t="e">
        <f>AND(Names!X42,"AAAAAFa/9Mg=")</f>
        <v>#VALUE!</v>
      </c>
      <c r="GT79" t="e">
        <f>AND(Names!Y42,"AAAAAFa/9Mk=")</f>
        <v>#VALUE!</v>
      </c>
      <c r="GU79" t="e">
        <f>AND(Names!Z42,"AAAAAFa/9Mo=")</f>
        <v>#VALUE!</v>
      </c>
      <c r="GV79" t="e">
        <f>AND(Names!AA42,"AAAAAFa/9Ms=")</f>
        <v>#VALUE!</v>
      </c>
      <c r="GW79" t="e">
        <f>AND(Names!AB42,"AAAAAFa/9Mw=")</f>
        <v>#VALUE!</v>
      </c>
      <c r="GX79" t="e">
        <f>AND(Names!AC42,"AAAAAFa/9M0=")</f>
        <v>#VALUE!</v>
      </c>
      <c r="GY79" t="e">
        <f>AND(Names!AD42,"AAAAAFa/9M4=")</f>
        <v>#VALUE!</v>
      </c>
      <c r="GZ79" t="e">
        <f>AND(Names!AE42,"AAAAAFa/9M8=")</f>
        <v>#VALUE!</v>
      </c>
      <c r="HA79" t="e">
        <f>AND(Names!AF42,"AAAAAFa/9NA=")</f>
        <v>#VALUE!</v>
      </c>
      <c r="HB79" t="e">
        <f>AND(Names!AG42,"AAAAAFa/9NE=")</f>
        <v>#VALUE!</v>
      </c>
      <c r="HC79" t="e">
        <f>AND(Names!AH42,"AAAAAFa/9NI=")</f>
        <v>#VALUE!</v>
      </c>
      <c r="HD79" t="e">
        <f>AND(Names!AI42,"AAAAAFa/9NM=")</f>
        <v>#VALUE!</v>
      </c>
      <c r="HE79" t="e">
        <f>AND(Names!AJ42,"AAAAAFa/9NQ=")</f>
        <v>#VALUE!</v>
      </c>
      <c r="HF79" t="e">
        <f>AND(Names!AK42,"AAAAAFa/9NU=")</f>
        <v>#VALUE!</v>
      </c>
      <c r="HG79" t="e">
        <f>AND(Names!AL42,"AAAAAFa/9NY=")</f>
        <v>#VALUE!</v>
      </c>
      <c r="HH79" t="e">
        <f>AND(Names!AM42,"AAAAAFa/9Nc=")</f>
        <v>#VALUE!</v>
      </c>
      <c r="HI79">
        <f>IF(Names!43:43,"AAAAAFa/9Ng=",0)</f>
        <v>0</v>
      </c>
      <c r="HJ79" t="e">
        <f>AND(Names!A43,"AAAAAFa/9Nk=")</f>
        <v>#VALUE!</v>
      </c>
      <c r="HK79" t="e">
        <f>AND(Names!B43,"AAAAAFa/9No=")</f>
        <v>#VALUE!</v>
      </c>
      <c r="HL79" t="e">
        <f>AND(Names!C43,"AAAAAFa/9Ns=")</f>
        <v>#VALUE!</v>
      </c>
      <c r="HM79" t="e">
        <f>AND(Names!D43,"AAAAAFa/9Nw=")</f>
        <v>#VALUE!</v>
      </c>
      <c r="HN79" t="e">
        <f>AND(Names!E43,"AAAAAFa/9N0=")</f>
        <v>#VALUE!</v>
      </c>
      <c r="HO79" t="e">
        <f>AND(Names!F43,"AAAAAFa/9N4=")</f>
        <v>#VALUE!</v>
      </c>
      <c r="HP79" t="e">
        <f>AND(Names!G43,"AAAAAFa/9N8=")</f>
        <v>#VALUE!</v>
      </c>
      <c r="HQ79" t="e">
        <f>AND(Names!H43,"AAAAAFa/9OA=")</f>
        <v>#VALUE!</v>
      </c>
      <c r="HR79" t="e">
        <f>AND(Names!I43,"AAAAAFa/9OE=")</f>
        <v>#VALUE!</v>
      </c>
      <c r="HS79" t="e">
        <f>AND(Names!J43,"AAAAAFa/9OI=")</f>
        <v>#VALUE!</v>
      </c>
      <c r="HT79" t="e">
        <f>AND(Names!K43,"AAAAAFa/9OM=")</f>
        <v>#VALUE!</v>
      </c>
      <c r="HU79" t="e">
        <f>AND(Names!L43,"AAAAAFa/9OQ=")</f>
        <v>#VALUE!</v>
      </c>
      <c r="HV79" t="e">
        <f>AND(Names!M43,"AAAAAFa/9OU=")</f>
        <v>#VALUE!</v>
      </c>
      <c r="HW79" t="e">
        <f>AND(Names!N43,"AAAAAFa/9OY=")</f>
        <v>#VALUE!</v>
      </c>
      <c r="HX79" t="e">
        <f>AND(Names!O43,"AAAAAFa/9Oc=")</f>
        <v>#VALUE!</v>
      </c>
      <c r="HY79" t="e">
        <f>AND(Names!P43,"AAAAAFa/9Og=")</f>
        <v>#VALUE!</v>
      </c>
      <c r="HZ79" t="e">
        <f>AND(Names!Q43,"AAAAAFa/9Ok=")</f>
        <v>#VALUE!</v>
      </c>
      <c r="IA79" t="e">
        <f>AND(Names!R43,"AAAAAFa/9Oo=")</f>
        <v>#VALUE!</v>
      </c>
      <c r="IB79" t="e">
        <f>AND(Names!S43,"AAAAAFa/9Os=")</f>
        <v>#VALUE!</v>
      </c>
      <c r="IC79" t="e">
        <f>AND(Names!T43,"AAAAAFa/9Ow=")</f>
        <v>#VALUE!</v>
      </c>
      <c r="ID79" t="e">
        <f>AND(Names!U43,"AAAAAFa/9O0=")</f>
        <v>#VALUE!</v>
      </c>
      <c r="IE79" t="e">
        <f>AND(Names!V43,"AAAAAFa/9O4=")</f>
        <v>#VALUE!</v>
      </c>
      <c r="IF79" t="e">
        <f>AND(Names!W43,"AAAAAFa/9O8=")</f>
        <v>#VALUE!</v>
      </c>
      <c r="IG79" t="e">
        <f>AND(Names!X43,"AAAAAFa/9PA=")</f>
        <v>#VALUE!</v>
      </c>
      <c r="IH79" t="e">
        <f>AND(Names!Y43,"AAAAAFa/9PE=")</f>
        <v>#VALUE!</v>
      </c>
      <c r="II79" t="e">
        <f>AND(Names!Z43,"AAAAAFa/9PI=")</f>
        <v>#VALUE!</v>
      </c>
      <c r="IJ79" t="e">
        <f>AND(Names!AA43,"AAAAAFa/9PM=")</f>
        <v>#VALUE!</v>
      </c>
      <c r="IK79" t="e">
        <f>AND(Names!AB43,"AAAAAFa/9PQ=")</f>
        <v>#VALUE!</v>
      </c>
      <c r="IL79" t="e">
        <f>AND(Names!AC43,"AAAAAFa/9PU=")</f>
        <v>#VALUE!</v>
      </c>
      <c r="IM79" t="e">
        <f>AND(Names!AD43,"AAAAAFa/9PY=")</f>
        <v>#VALUE!</v>
      </c>
      <c r="IN79" t="e">
        <f>AND(Names!AE43,"AAAAAFa/9Pc=")</f>
        <v>#VALUE!</v>
      </c>
      <c r="IO79" t="e">
        <f>AND(Names!AF43,"AAAAAFa/9Pg=")</f>
        <v>#VALUE!</v>
      </c>
      <c r="IP79" t="e">
        <f>AND(Names!AG43,"AAAAAFa/9Pk=")</f>
        <v>#VALUE!</v>
      </c>
      <c r="IQ79" t="e">
        <f>AND(Names!AH43,"AAAAAFa/9Po=")</f>
        <v>#VALUE!</v>
      </c>
      <c r="IR79" t="e">
        <f>AND(Names!AI43,"AAAAAFa/9Ps=")</f>
        <v>#VALUE!</v>
      </c>
      <c r="IS79" t="e">
        <f>AND(Names!AJ43,"AAAAAFa/9Pw=")</f>
        <v>#VALUE!</v>
      </c>
      <c r="IT79" t="e">
        <f>AND(Names!AK43,"AAAAAFa/9P0=")</f>
        <v>#VALUE!</v>
      </c>
      <c r="IU79" t="e">
        <f>AND(Names!AL43,"AAAAAFa/9P4=")</f>
        <v>#VALUE!</v>
      </c>
      <c r="IV79" t="e">
        <f>AND(Names!AM43,"AAAAAFa/9P8=")</f>
        <v>#VALUE!</v>
      </c>
    </row>
    <row r="80" spans="1:256" x14ac:dyDescent="0.15">
      <c r="A80">
        <f>IF(Names!44:44,"AAAAAEt7/wA=",0)</f>
        <v>0</v>
      </c>
      <c r="B80" t="e">
        <f>AND(Names!A44,"AAAAAEt7/wE=")</f>
        <v>#VALUE!</v>
      </c>
      <c r="C80" t="e">
        <f>AND(Names!B44,"AAAAAEt7/wI=")</f>
        <v>#VALUE!</v>
      </c>
      <c r="D80" t="e">
        <f>AND(Names!C44,"AAAAAEt7/wM=")</f>
        <v>#VALUE!</v>
      </c>
      <c r="E80" t="e">
        <f>AND(Names!D44,"AAAAAEt7/wQ=")</f>
        <v>#VALUE!</v>
      </c>
      <c r="F80" t="e">
        <f>AND(Names!E44,"AAAAAEt7/wU=")</f>
        <v>#VALUE!</v>
      </c>
      <c r="G80" t="e">
        <f>AND(Names!F44,"AAAAAEt7/wY=")</f>
        <v>#VALUE!</v>
      </c>
      <c r="H80" t="e">
        <f>AND(Names!G44,"AAAAAEt7/wc=")</f>
        <v>#VALUE!</v>
      </c>
      <c r="I80" t="e">
        <f>AND(Names!H44,"AAAAAEt7/wg=")</f>
        <v>#VALUE!</v>
      </c>
      <c r="J80" t="e">
        <f>AND(Names!I44,"AAAAAEt7/wk=")</f>
        <v>#VALUE!</v>
      </c>
      <c r="K80" t="e">
        <f>AND(Names!J44,"AAAAAEt7/wo=")</f>
        <v>#VALUE!</v>
      </c>
      <c r="L80" t="e">
        <f>AND(Names!K44,"AAAAAEt7/ws=")</f>
        <v>#VALUE!</v>
      </c>
      <c r="M80" t="e">
        <f>AND(Names!L44,"AAAAAEt7/ww=")</f>
        <v>#VALUE!</v>
      </c>
      <c r="N80" t="e">
        <f>AND(Names!M44,"AAAAAEt7/w0=")</f>
        <v>#VALUE!</v>
      </c>
      <c r="O80" t="e">
        <f>AND(Names!N44,"AAAAAEt7/w4=")</f>
        <v>#VALUE!</v>
      </c>
      <c r="P80" t="e">
        <f>AND(Names!O44,"AAAAAEt7/w8=")</f>
        <v>#VALUE!</v>
      </c>
      <c r="Q80" t="e">
        <f>AND(Names!P44,"AAAAAEt7/xA=")</f>
        <v>#VALUE!</v>
      </c>
      <c r="R80" t="e">
        <f>AND(Names!Q44,"AAAAAEt7/xE=")</f>
        <v>#VALUE!</v>
      </c>
      <c r="S80" t="e">
        <f>AND(Names!R44,"AAAAAEt7/xI=")</f>
        <v>#VALUE!</v>
      </c>
      <c r="T80" t="e">
        <f>AND(Names!S44,"AAAAAEt7/xM=")</f>
        <v>#VALUE!</v>
      </c>
      <c r="U80" t="e">
        <f>AND(Names!T44,"AAAAAEt7/xQ=")</f>
        <v>#VALUE!</v>
      </c>
      <c r="V80" t="e">
        <f>AND(Names!U44,"AAAAAEt7/xU=")</f>
        <v>#VALUE!</v>
      </c>
      <c r="W80" t="e">
        <f>AND(Names!V44,"AAAAAEt7/xY=")</f>
        <v>#VALUE!</v>
      </c>
      <c r="X80" t="e">
        <f>AND(Names!W44,"AAAAAEt7/xc=")</f>
        <v>#VALUE!</v>
      </c>
      <c r="Y80" t="e">
        <f>AND(Names!X44,"AAAAAEt7/xg=")</f>
        <v>#VALUE!</v>
      </c>
      <c r="Z80" t="e">
        <f>AND(Names!Y44,"AAAAAEt7/xk=")</f>
        <v>#VALUE!</v>
      </c>
      <c r="AA80" t="e">
        <f>AND(Names!Z44,"AAAAAEt7/xo=")</f>
        <v>#VALUE!</v>
      </c>
      <c r="AB80" t="e">
        <f>AND(Names!AA44,"AAAAAEt7/xs=")</f>
        <v>#VALUE!</v>
      </c>
      <c r="AC80" t="e">
        <f>AND(Names!AB44,"AAAAAEt7/xw=")</f>
        <v>#VALUE!</v>
      </c>
      <c r="AD80" t="e">
        <f>AND(Names!AC44,"AAAAAEt7/x0=")</f>
        <v>#VALUE!</v>
      </c>
      <c r="AE80" t="e">
        <f>AND(Names!AD44,"AAAAAEt7/x4=")</f>
        <v>#VALUE!</v>
      </c>
      <c r="AF80" t="e">
        <f>AND(Names!AE44,"AAAAAEt7/x8=")</f>
        <v>#VALUE!</v>
      </c>
      <c r="AG80" t="e">
        <f>AND(Names!AF44,"AAAAAEt7/yA=")</f>
        <v>#VALUE!</v>
      </c>
      <c r="AH80" t="e">
        <f>AND(Names!AG44,"AAAAAEt7/yE=")</f>
        <v>#VALUE!</v>
      </c>
      <c r="AI80" t="e">
        <f>AND(Names!AH44,"AAAAAEt7/yI=")</f>
        <v>#VALUE!</v>
      </c>
      <c r="AJ80" t="e">
        <f>AND(Names!AI44,"AAAAAEt7/yM=")</f>
        <v>#VALUE!</v>
      </c>
      <c r="AK80" t="e">
        <f>AND(Names!AJ44,"AAAAAEt7/yQ=")</f>
        <v>#VALUE!</v>
      </c>
      <c r="AL80" t="e">
        <f>AND(Names!AK44,"AAAAAEt7/yU=")</f>
        <v>#VALUE!</v>
      </c>
      <c r="AM80" t="e">
        <f>AND(Names!AL44,"AAAAAEt7/yY=")</f>
        <v>#VALUE!</v>
      </c>
      <c r="AN80" t="e">
        <f>AND(Names!AM44,"AAAAAEt7/yc=")</f>
        <v>#VALUE!</v>
      </c>
      <c r="AO80">
        <f>IF(Names!45:45,"AAAAAEt7/yg=",0)</f>
        <v>0</v>
      </c>
      <c r="AP80" t="e">
        <f>AND(Names!A45,"AAAAAEt7/yk=")</f>
        <v>#VALUE!</v>
      </c>
      <c r="AQ80" t="e">
        <f>AND(Names!B45,"AAAAAEt7/yo=")</f>
        <v>#VALUE!</v>
      </c>
      <c r="AR80" t="e">
        <f>AND(Names!C45,"AAAAAEt7/ys=")</f>
        <v>#VALUE!</v>
      </c>
      <c r="AS80" t="e">
        <f>AND(Names!D45,"AAAAAEt7/yw=")</f>
        <v>#VALUE!</v>
      </c>
      <c r="AT80" t="e">
        <f>AND(Names!E45,"AAAAAEt7/y0=")</f>
        <v>#VALUE!</v>
      </c>
      <c r="AU80" t="e">
        <f>AND(Names!F45,"AAAAAEt7/y4=")</f>
        <v>#VALUE!</v>
      </c>
      <c r="AV80" t="e">
        <f>AND(Names!G45,"AAAAAEt7/y8=")</f>
        <v>#VALUE!</v>
      </c>
      <c r="AW80" t="e">
        <f>AND(Names!H45,"AAAAAEt7/zA=")</f>
        <v>#VALUE!</v>
      </c>
      <c r="AX80" t="e">
        <f>AND(Names!I45,"AAAAAEt7/zE=")</f>
        <v>#VALUE!</v>
      </c>
      <c r="AY80" t="e">
        <f>AND(Names!J45,"AAAAAEt7/zI=")</f>
        <v>#VALUE!</v>
      </c>
      <c r="AZ80" t="e">
        <f>AND(Names!K45,"AAAAAEt7/zM=")</f>
        <v>#VALUE!</v>
      </c>
      <c r="BA80" t="e">
        <f>AND(Names!L45,"AAAAAEt7/zQ=")</f>
        <v>#VALUE!</v>
      </c>
      <c r="BB80" t="e">
        <f>AND(Names!M45,"AAAAAEt7/zU=")</f>
        <v>#VALUE!</v>
      </c>
      <c r="BC80" t="e">
        <f>AND(Names!N45,"AAAAAEt7/zY=")</f>
        <v>#VALUE!</v>
      </c>
      <c r="BD80" t="e">
        <f>AND(Names!O45,"AAAAAEt7/zc=")</f>
        <v>#VALUE!</v>
      </c>
      <c r="BE80" t="e">
        <f>AND(Names!P45,"AAAAAEt7/zg=")</f>
        <v>#VALUE!</v>
      </c>
      <c r="BF80" t="e">
        <f>AND(Names!Q45,"AAAAAEt7/zk=")</f>
        <v>#VALUE!</v>
      </c>
      <c r="BG80" t="e">
        <f>AND(Names!R45,"AAAAAEt7/zo=")</f>
        <v>#VALUE!</v>
      </c>
      <c r="BH80" t="e">
        <f>AND(Names!S45,"AAAAAEt7/zs=")</f>
        <v>#VALUE!</v>
      </c>
      <c r="BI80" t="e">
        <f>AND(Names!T45,"AAAAAEt7/zw=")</f>
        <v>#VALUE!</v>
      </c>
      <c r="BJ80" t="e">
        <f>AND(Names!U45,"AAAAAEt7/z0=")</f>
        <v>#VALUE!</v>
      </c>
      <c r="BK80" t="e">
        <f>AND(Names!V45,"AAAAAEt7/z4=")</f>
        <v>#VALUE!</v>
      </c>
      <c r="BL80" t="e">
        <f>AND(Names!W45,"AAAAAEt7/z8=")</f>
        <v>#VALUE!</v>
      </c>
      <c r="BM80" t="e">
        <f>AND(Names!X45,"AAAAAEt7/0A=")</f>
        <v>#VALUE!</v>
      </c>
      <c r="BN80" t="e">
        <f>AND(Names!Y45,"AAAAAEt7/0E=")</f>
        <v>#VALUE!</v>
      </c>
      <c r="BO80" t="e">
        <f>AND(Names!Z45,"AAAAAEt7/0I=")</f>
        <v>#VALUE!</v>
      </c>
      <c r="BP80" t="e">
        <f>AND(Names!AA45,"AAAAAEt7/0M=")</f>
        <v>#VALUE!</v>
      </c>
      <c r="BQ80" t="e">
        <f>AND(Names!AB45,"AAAAAEt7/0Q=")</f>
        <v>#VALUE!</v>
      </c>
      <c r="BR80" t="e">
        <f>AND(Names!AC45,"AAAAAEt7/0U=")</f>
        <v>#VALUE!</v>
      </c>
      <c r="BS80" t="e">
        <f>AND(Names!AD45,"AAAAAEt7/0Y=")</f>
        <v>#VALUE!</v>
      </c>
      <c r="BT80" t="e">
        <f>AND(Names!AE45,"AAAAAEt7/0c=")</f>
        <v>#VALUE!</v>
      </c>
      <c r="BU80" t="e">
        <f>AND(Names!AF45,"AAAAAEt7/0g=")</f>
        <v>#VALUE!</v>
      </c>
      <c r="BV80" t="e">
        <f>AND(Names!AG45,"AAAAAEt7/0k=")</f>
        <v>#VALUE!</v>
      </c>
      <c r="BW80" t="e">
        <f>AND(Names!AH45,"AAAAAEt7/0o=")</f>
        <v>#VALUE!</v>
      </c>
      <c r="BX80" t="e">
        <f>AND(Names!AI45,"AAAAAEt7/0s=")</f>
        <v>#VALUE!</v>
      </c>
      <c r="BY80" t="e">
        <f>AND(Names!AJ45,"AAAAAEt7/0w=")</f>
        <v>#VALUE!</v>
      </c>
      <c r="BZ80" t="e">
        <f>AND(Names!AK45,"AAAAAEt7/00=")</f>
        <v>#VALUE!</v>
      </c>
      <c r="CA80" t="e">
        <f>AND(Names!AL45,"AAAAAEt7/04=")</f>
        <v>#VALUE!</v>
      </c>
      <c r="CB80" t="e">
        <f>AND(Names!AM45,"AAAAAEt7/08=")</f>
        <v>#VALUE!</v>
      </c>
      <c r="CC80">
        <f>IF(Names!46:46,"AAAAAEt7/1A=",0)</f>
        <v>0</v>
      </c>
      <c r="CD80" t="e">
        <f>AND(Names!A46,"AAAAAEt7/1E=")</f>
        <v>#VALUE!</v>
      </c>
      <c r="CE80" t="e">
        <f>AND(Names!B46,"AAAAAEt7/1I=")</f>
        <v>#VALUE!</v>
      </c>
      <c r="CF80" t="e">
        <f>AND(Names!C46,"AAAAAEt7/1M=")</f>
        <v>#VALUE!</v>
      </c>
      <c r="CG80" t="e">
        <f>AND(Names!D46,"AAAAAEt7/1Q=")</f>
        <v>#VALUE!</v>
      </c>
      <c r="CH80" t="e">
        <f>AND(Names!E46,"AAAAAEt7/1U=")</f>
        <v>#VALUE!</v>
      </c>
      <c r="CI80" t="e">
        <f>AND(Names!F46,"AAAAAEt7/1Y=")</f>
        <v>#VALUE!</v>
      </c>
      <c r="CJ80" t="e">
        <f>AND(Names!G46,"AAAAAEt7/1c=")</f>
        <v>#VALUE!</v>
      </c>
      <c r="CK80" t="e">
        <f>AND(Names!H46,"AAAAAEt7/1g=")</f>
        <v>#VALUE!</v>
      </c>
      <c r="CL80" t="e">
        <f>AND(Names!I46,"AAAAAEt7/1k=")</f>
        <v>#VALUE!</v>
      </c>
      <c r="CM80" t="e">
        <f>AND(Names!J46,"AAAAAEt7/1o=")</f>
        <v>#VALUE!</v>
      </c>
      <c r="CN80" t="e">
        <f>AND(Names!K46,"AAAAAEt7/1s=")</f>
        <v>#VALUE!</v>
      </c>
      <c r="CO80" t="e">
        <f>AND(Names!L46,"AAAAAEt7/1w=")</f>
        <v>#VALUE!</v>
      </c>
      <c r="CP80" t="e">
        <f>AND(Names!M46,"AAAAAEt7/10=")</f>
        <v>#VALUE!</v>
      </c>
      <c r="CQ80" t="e">
        <f>AND(Names!N46,"AAAAAEt7/14=")</f>
        <v>#VALUE!</v>
      </c>
      <c r="CR80" t="e">
        <f>AND(Names!O46,"AAAAAEt7/18=")</f>
        <v>#VALUE!</v>
      </c>
      <c r="CS80" t="e">
        <f>AND(Names!P46,"AAAAAEt7/2A=")</f>
        <v>#VALUE!</v>
      </c>
      <c r="CT80" t="e">
        <f>AND(Names!Q46,"AAAAAEt7/2E=")</f>
        <v>#VALUE!</v>
      </c>
      <c r="CU80" t="e">
        <f>AND(Names!R46,"AAAAAEt7/2I=")</f>
        <v>#VALUE!</v>
      </c>
      <c r="CV80" t="e">
        <f>AND(Names!S46,"AAAAAEt7/2M=")</f>
        <v>#VALUE!</v>
      </c>
      <c r="CW80" t="e">
        <f>AND(Names!T46,"AAAAAEt7/2Q=")</f>
        <v>#VALUE!</v>
      </c>
      <c r="CX80" t="e">
        <f>AND(Names!U46,"AAAAAEt7/2U=")</f>
        <v>#VALUE!</v>
      </c>
      <c r="CY80" t="e">
        <f>AND(Names!V46,"AAAAAEt7/2Y=")</f>
        <v>#VALUE!</v>
      </c>
      <c r="CZ80" t="e">
        <f>AND(Names!W46,"AAAAAEt7/2c=")</f>
        <v>#VALUE!</v>
      </c>
      <c r="DA80" t="e">
        <f>AND(Names!X46,"AAAAAEt7/2g=")</f>
        <v>#VALUE!</v>
      </c>
      <c r="DB80" t="e">
        <f>AND(Names!Y46,"AAAAAEt7/2k=")</f>
        <v>#VALUE!</v>
      </c>
      <c r="DC80" t="e">
        <f>AND(Names!Z46,"AAAAAEt7/2o=")</f>
        <v>#VALUE!</v>
      </c>
      <c r="DD80" t="e">
        <f>AND(Names!AA46,"AAAAAEt7/2s=")</f>
        <v>#VALUE!</v>
      </c>
      <c r="DE80" t="e">
        <f>AND(Names!AB46,"AAAAAEt7/2w=")</f>
        <v>#VALUE!</v>
      </c>
      <c r="DF80" t="e">
        <f>AND(Names!AC46,"AAAAAEt7/20=")</f>
        <v>#VALUE!</v>
      </c>
      <c r="DG80" t="e">
        <f>AND(Names!AD46,"AAAAAEt7/24=")</f>
        <v>#VALUE!</v>
      </c>
      <c r="DH80" t="e">
        <f>AND(Names!AE46,"AAAAAEt7/28=")</f>
        <v>#VALUE!</v>
      </c>
      <c r="DI80" t="e">
        <f>AND(Names!AF46,"AAAAAEt7/3A=")</f>
        <v>#VALUE!</v>
      </c>
      <c r="DJ80" t="e">
        <f>AND(Names!AG46,"AAAAAEt7/3E=")</f>
        <v>#VALUE!</v>
      </c>
      <c r="DK80" t="e">
        <f>AND(Names!AH46,"AAAAAEt7/3I=")</f>
        <v>#VALUE!</v>
      </c>
      <c r="DL80" t="e">
        <f>AND(Names!AI46,"AAAAAEt7/3M=")</f>
        <v>#VALUE!</v>
      </c>
      <c r="DM80" t="e">
        <f>AND(Names!AJ46,"AAAAAEt7/3Q=")</f>
        <v>#VALUE!</v>
      </c>
      <c r="DN80" t="e">
        <f>AND(Names!AK46,"AAAAAEt7/3U=")</f>
        <v>#VALUE!</v>
      </c>
      <c r="DO80" t="e">
        <f>AND(Names!AL46,"AAAAAEt7/3Y=")</f>
        <v>#VALUE!</v>
      </c>
      <c r="DP80" t="e">
        <f>AND(Names!AM46,"AAAAAEt7/3c=")</f>
        <v>#VALUE!</v>
      </c>
      <c r="DQ80">
        <f>IF(Names!47:47,"AAAAAEt7/3g=",0)</f>
        <v>0</v>
      </c>
      <c r="DR80" t="e">
        <f>AND(Names!A47,"AAAAAEt7/3k=")</f>
        <v>#VALUE!</v>
      </c>
      <c r="DS80" t="e">
        <f>AND(Names!B47,"AAAAAEt7/3o=")</f>
        <v>#VALUE!</v>
      </c>
      <c r="DT80" t="e">
        <f>AND(Names!C47,"AAAAAEt7/3s=")</f>
        <v>#VALUE!</v>
      </c>
      <c r="DU80" t="e">
        <f>AND(Names!D47,"AAAAAEt7/3w=")</f>
        <v>#VALUE!</v>
      </c>
      <c r="DV80" t="e">
        <f>AND(Names!E47,"AAAAAEt7/30=")</f>
        <v>#VALUE!</v>
      </c>
      <c r="DW80" t="e">
        <f>AND(Names!F47,"AAAAAEt7/34=")</f>
        <v>#VALUE!</v>
      </c>
      <c r="DX80" t="e">
        <f>AND(Names!G47,"AAAAAEt7/38=")</f>
        <v>#VALUE!</v>
      </c>
      <c r="DY80" t="e">
        <f>AND(Names!H47,"AAAAAEt7/4A=")</f>
        <v>#VALUE!</v>
      </c>
      <c r="DZ80" t="e">
        <f>AND(Names!I47,"AAAAAEt7/4E=")</f>
        <v>#VALUE!</v>
      </c>
      <c r="EA80" t="e">
        <f>AND(Names!J47,"AAAAAEt7/4I=")</f>
        <v>#VALUE!</v>
      </c>
      <c r="EB80" t="e">
        <f>AND(Names!K47,"AAAAAEt7/4M=")</f>
        <v>#VALUE!</v>
      </c>
      <c r="EC80" t="e">
        <f>AND(Names!L47,"AAAAAEt7/4Q=")</f>
        <v>#VALUE!</v>
      </c>
      <c r="ED80" t="e">
        <f>AND(Names!M47,"AAAAAEt7/4U=")</f>
        <v>#VALUE!</v>
      </c>
      <c r="EE80" t="e">
        <f>AND(Names!N47,"AAAAAEt7/4Y=")</f>
        <v>#VALUE!</v>
      </c>
      <c r="EF80" t="e">
        <f>AND(Names!O47,"AAAAAEt7/4c=")</f>
        <v>#VALUE!</v>
      </c>
      <c r="EG80" t="e">
        <f>AND(Names!P47,"AAAAAEt7/4g=")</f>
        <v>#VALUE!</v>
      </c>
      <c r="EH80" t="e">
        <f>AND(Names!Q47,"AAAAAEt7/4k=")</f>
        <v>#VALUE!</v>
      </c>
      <c r="EI80" t="e">
        <f>AND(Names!R47,"AAAAAEt7/4o=")</f>
        <v>#VALUE!</v>
      </c>
      <c r="EJ80" t="e">
        <f>AND(Names!S47,"AAAAAEt7/4s=")</f>
        <v>#VALUE!</v>
      </c>
      <c r="EK80" t="e">
        <f>AND(Names!T47,"AAAAAEt7/4w=")</f>
        <v>#VALUE!</v>
      </c>
      <c r="EL80" t="e">
        <f>AND(Names!U47,"AAAAAEt7/40=")</f>
        <v>#VALUE!</v>
      </c>
      <c r="EM80" t="e">
        <f>AND(Names!V47,"AAAAAEt7/44=")</f>
        <v>#VALUE!</v>
      </c>
      <c r="EN80" t="e">
        <f>AND(Names!W47,"AAAAAEt7/48=")</f>
        <v>#VALUE!</v>
      </c>
      <c r="EO80" t="e">
        <f>AND(Names!X47,"AAAAAEt7/5A=")</f>
        <v>#VALUE!</v>
      </c>
      <c r="EP80" t="e">
        <f>AND(Names!Y47,"AAAAAEt7/5E=")</f>
        <v>#VALUE!</v>
      </c>
      <c r="EQ80" t="e">
        <f>AND(Names!Z47,"AAAAAEt7/5I=")</f>
        <v>#VALUE!</v>
      </c>
      <c r="ER80" t="e">
        <f>AND(Names!AA47,"AAAAAEt7/5M=")</f>
        <v>#VALUE!</v>
      </c>
      <c r="ES80" t="e">
        <f>AND(Names!AB47,"AAAAAEt7/5Q=")</f>
        <v>#VALUE!</v>
      </c>
      <c r="ET80" t="e">
        <f>AND(Names!AC47,"AAAAAEt7/5U=")</f>
        <v>#VALUE!</v>
      </c>
      <c r="EU80" t="e">
        <f>AND(Names!AD47,"AAAAAEt7/5Y=")</f>
        <v>#VALUE!</v>
      </c>
      <c r="EV80" t="e">
        <f>AND(Names!AE47,"AAAAAEt7/5c=")</f>
        <v>#VALUE!</v>
      </c>
      <c r="EW80" t="e">
        <f>AND(Names!AF47,"AAAAAEt7/5g=")</f>
        <v>#VALUE!</v>
      </c>
      <c r="EX80" t="e">
        <f>AND(Names!AG47,"AAAAAEt7/5k=")</f>
        <v>#VALUE!</v>
      </c>
      <c r="EY80" t="e">
        <f>AND(Names!AH47,"AAAAAEt7/5o=")</f>
        <v>#VALUE!</v>
      </c>
      <c r="EZ80" t="e">
        <f>AND(Names!AI47,"AAAAAEt7/5s=")</f>
        <v>#VALUE!</v>
      </c>
      <c r="FA80" t="e">
        <f>AND(Names!AJ47,"AAAAAEt7/5w=")</f>
        <v>#VALUE!</v>
      </c>
      <c r="FB80" t="e">
        <f>AND(Names!AK47,"AAAAAEt7/50=")</f>
        <v>#VALUE!</v>
      </c>
      <c r="FC80" t="e">
        <f>AND(Names!AL47,"AAAAAEt7/54=")</f>
        <v>#VALUE!</v>
      </c>
      <c r="FD80" t="e">
        <f>AND(Names!AM47,"AAAAAEt7/58=")</f>
        <v>#VALUE!</v>
      </c>
      <c r="FE80">
        <f>IF(Names!48:48,"AAAAAEt7/6A=",0)</f>
        <v>0</v>
      </c>
      <c r="FF80" t="e">
        <f>AND(Names!A48,"AAAAAEt7/6E=")</f>
        <v>#VALUE!</v>
      </c>
      <c r="FG80" t="e">
        <f>AND(Names!B48,"AAAAAEt7/6I=")</f>
        <v>#VALUE!</v>
      </c>
      <c r="FH80" t="e">
        <f>AND(Names!C48,"AAAAAEt7/6M=")</f>
        <v>#VALUE!</v>
      </c>
      <c r="FI80" t="e">
        <f>AND(Names!D48,"AAAAAEt7/6Q=")</f>
        <v>#VALUE!</v>
      </c>
      <c r="FJ80" t="e">
        <f>AND(Names!E48,"AAAAAEt7/6U=")</f>
        <v>#VALUE!</v>
      </c>
      <c r="FK80" t="e">
        <f>AND(Names!F48,"AAAAAEt7/6Y=")</f>
        <v>#VALUE!</v>
      </c>
      <c r="FL80" t="e">
        <f>AND(Names!G48,"AAAAAEt7/6c=")</f>
        <v>#VALUE!</v>
      </c>
      <c r="FM80" t="e">
        <f>AND(Names!H48,"AAAAAEt7/6g=")</f>
        <v>#VALUE!</v>
      </c>
      <c r="FN80" t="e">
        <f>AND(Names!I48,"AAAAAEt7/6k=")</f>
        <v>#VALUE!</v>
      </c>
      <c r="FO80" t="e">
        <f>AND(Names!J48,"AAAAAEt7/6o=")</f>
        <v>#VALUE!</v>
      </c>
      <c r="FP80" t="e">
        <f>AND(Names!K48,"AAAAAEt7/6s=")</f>
        <v>#VALUE!</v>
      </c>
      <c r="FQ80" t="e">
        <f>AND(Names!L48,"AAAAAEt7/6w=")</f>
        <v>#VALUE!</v>
      </c>
      <c r="FR80" t="e">
        <f>AND(Names!M48,"AAAAAEt7/60=")</f>
        <v>#VALUE!</v>
      </c>
      <c r="FS80" t="e">
        <f>AND(Names!N48,"AAAAAEt7/64=")</f>
        <v>#VALUE!</v>
      </c>
      <c r="FT80" t="e">
        <f>AND(Names!O48,"AAAAAEt7/68=")</f>
        <v>#VALUE!</v>
      </c>
      <c r="FU80" t="e">
        <f>AND(Names!P48,"AAAAAEt7/7A=")</f>
        <v>#VALUE!</v>
      </c>
      <c r="FV80" t="e">
        <f>AND(Names!Q48,"AAAAAEt7/7E=")</f>
        <v>#VALUE!</v>
      </c>
      <c r="FW80" t="e">
        <f>AND(Names!R48,"AAAAAEt7/7I=")</f>
        <v>#VALUE!</v>
      </c>
      <c r="FX80" t="e">
        <f>AND(Names!S48,"AAAAAEt7/7M=")</f>
        <v>#VALUE!</v>
      </c>
      <c r="FY80" t="e">
        <f>AND(Names!T48,"AAAAAEt7/7Q=")</f>
        <v>#VALUE!</v>
      </c>
      <c r="FZ80" t="e">
        <f>AND(Names!U48,"AAAAAEt7/7U=")</f>
        <v>#VALUE!</v>
      </c>
      <c r="GA80" t="e">
        <f>AND(Names!V48,"AAAAAEt7/7Y=")</f>
        <v>#VALUE!</v>
      </c>
      <c r="GB80" t="e">
        <f>AND(Names!W48,"AAAAAEt7/7c=")</f>
        <v>#VALUE!</v>
      </c>
      <c r="GC80" t="e">
        <f>AND(Names!X48,"AAAAAEt7/7g=")</f>
        <v>#VALUE!</v>
      </c>
      <c r="GD80" t="e">
        <f>AND(Names!Y48,"AAAAAEt7/7k=")</f>
        <v>#VALUE!</v>
      </c>
      <c r="GE80" t="e">
        <f>AND(Names!Z48,"AAAAAEt7/7o=")</f>
        <v>#VALUE!</v>
      </c>
      <c r="GF80" t="e">
        <f>AND(Names!AA48,"AAAAAEt7/7s=")</f>
        <v>#VALUE!</v>
      </c>
      <c r="GG80" t="e">
        <f>AND(Names!AB48,"AAAAAEt7/7w=")</f>
        <v>#VALUE!</v>
      </c>
      <c r="GH80" t="e">
        <f>AND(Names!AC48,"AAAAAEt7/70=")</f>
        <v>#VALUE!</v>
      </c>
      <c r="GI80" t="e">
        <f>AND(Names!AD48,"AAAAAEt7/74=")</f>
        <v>#VALUE!</v>
      </c>
      <c r="GJ80" t="e">
        <f>AND(Names!AE48,"AAAAAEt7/78=")</f>
        <v>#VALUE!</v>
      </c>
      <c r="GK80" t="e">
        <f>AND(Names!AF48,"AAAAAEt7/8A=")</f>
        <v>#VALUE!</v>
      </c>
      <c r="GL80" t="e">
        <f>AND(Names!AG48,"AAAAAEt7/8E=")</f>
        <v>#VALUE!</v>
      </c>
      <c r="GM80" t="e">
        <f>AND(Names!AH48,"AAAAAEt7/8I=")</f>
        <v>#VALUE!</v>
      </c>
      <c r="GN80" t="e">
        <f>AND(Names!AI48,"AAAAAEt7/8M=")</f>
        <v>#VALUE!</v>
      </c>
      <c r="GO80" t="e">
        <f>AND(Names!AJ48,"AAAAAEt7/8Q=")</f>
        <v>#VALUE!</v>
      </c>
      <c r="GP80" t="e">
        <f>AND(Names!AK48,"AAAAAEt7/8U=")</f>
        <v>#VALUE!</v>
      </c>
      <c r="GQ80" t="e">
        <f>AND(Names!AL48,"AAAAAEt7/8Y=")</f>
        <v>#VALUE!</v>
      </c>
      <c r="GR80" t="e">
        <f>AND(Names!AM48,"AAAAAEt7/8c=")</f>
        <v>#VALUE!</v>
      </c>
      <c r="GS80">
        <f>IF(Names!49:49,"AAAAAEt7/8g=",0)</f>
        <v>0</v>
      </c>
      <c r="GT80" t="e">
        <f>AND(Names!A49,"AAAAAEt7/8k=")</f>
        <v>#VALUE!</v>
      </c>
      <c r="GU80" t="e">
        <f>AND(Names!B49,"AAAAAEt7/8o=")</f>
        <v>#VALUE!</v>
      </c>
      <c r="GV80" t="e">
        <f>AND(Names!C49,"AAAAAEt7/8s=")</f>
        <v>#VALUE!</v>
      </c>
      <c r="GW80" t="e">
        <f>AND(Names!D49,"AAAAAEt7/8w=")</f>
        <v>#VALUE!</v>
      </c>
      <c r="GX80" t="e">
        <f>AND(Names!E49,"AAAAAEt7/80=")</f>
        <v>#VALUE!</v>
      </c>
      <c r="GY80" t="e">
        <f>AND(Names!F49,"AAAAAEt7/84=")</f>
        <v>#VALUE!</v>
      </c>
      <c r="GZ80" t="e">
        <f>AND(Names!G49,"AAAAAEt7/88=")</f>
        <v>#VALUE!</v>
      </c>
      <c r="HA80" t="e">
        <f>AND(Names!H49,"AAAAAEt7/9A=")</f>
        <v>#VALUE!</v>
      </c>
      <c r="HB80" t="e">
        <f>AND(Names!I49,"AAAAAEt7/9E=")</f>
        <v>#VALUE!</v>
      </c>
      <c r="HC80" t="e">
        <f>AND(Names!J49,"AAAAAEt7/9I=")</f>
        <v>#VALUE!</v>
      </c>
      <c r="HD80" t="e">
        <f>AND(Names!K49,"AAAAAEt7/9M=")</f>
        <v>#VALUE!</v>
      </c>
      <c r="HE80" t="e">
        <f>AND(Names!L49,"AAAAAEt7/9Q=")</f>
        <v>#VALUE!</v>
      </c>
      <c r="HF80" t="e">
        <f>AND(Names!M49,"AAAAAEt7/9U=")</f>
        <v>#VALUE!</v>
      </c>
      <c r="HG80" t="e">
        <f>AND(Names!N49,"AAAAAEt7/9Y=")</f>
        <v>#VALUE!</v>
      </c>
      <c r="HH80" t="e">
        <f>AND(Names!O49,"AAAAAEt7/9c=")</f>
        <v>#VALUE!</v>
      </c>
      <c r="HI80" t="e">
        <f>AND(Names!P49,"AAAAAEt7/9g=")</f>
        <v>#VALUE!</v>
      </c>
      <c r="HJ80" t="e">
        <f>AND(Names!Q49,"AAAAAEt7/9k=")</f>
        <v>#VALUE!</v>
      </c>
      <c r="HK80" t="e">
        <f>AND(Names!R49,"AAAAAEt7/9o=")</f>
        <v>#VALUE!</v>
      </c>
      <c r="HL80" t="e">
        <f>AND(Names!S49,"AAAAAEt7/9s=")</f>
        <v>#VALUE!</v>
      </c>
      <c r="HM80" t="e">
        <f>AND(Names!T49,"AAAAAEt7/9w=")</f>
        <v>#VALUE!</v>
      </c>
      <c r="HN80" t="e">
        <f>AND(Names!U49,"AAAAAEt7/90=")</f>
        <v>#VALUE!</v>
      </c>
      <c r="HO80" t="e">
        <f>AND(Names!V49,"AAAAAEt7/94=")</f>
        <v>#VALUE!</v>
      </c>
      <c r="HP80" t="e">
        <f>AND(Names!W49,"AAAAAEt7/98=")</f>
        <v>#VALUE!</v>
      </c>
      <c r="HQ80" t="e">
        <f>AND(Names!X49,"AAAAAEt7/+A=")</f>
        <v>#VALUE!</v>
      </c>
      <c r="HR80" t="e">
        <f>AND(Names!Y49,"AAAAAEt7/+E=")</f>
        <v>#VALUE!</v>
      </c>
      <c r="HS80" t="e">
        <f>AND(Names!Z49,"AAAAAEt7/+I=")</f>
        <v>#VALUE!</v>
      </c>
      <c r="HT80" t="e">
        <f>AND(Names!AA49,"AAAAAEt7/+M=")</f>
        <v>#VALUE!</v>
      </c>
      <c r="HU80" t="e">
        <f>AND(Names!AB49,"AAAAAEt7/+Q=")</f>
        <v>#VALUE!</v>
      </c>
      <c r="HV80" t="e">
        <f>AND(Names!AC49,"AAAAAEt7/+U=")</f>
        <v>#VALUE!</v>
      </c>
      <c r="HW80" t="e">
        <f>AND(Names!AD49,"AAAAAEt7/+Y=")</f>
        <v>#VALUE!</v>
      </c>
      <c r="HX80" t="e">
        <f>AND(Names!AE49,"AAAAAEt7/+c=")</f>
        <v>#VALUE!</v>
      </c>
      <c r="HY80" t="e">
        <f>AND(Names!AF49,"AAAAAEt7/+g=")</f>
        <v>#VALUE!</v>
      </c>
      <c r="HZ80" t="e">
        <f>AND(Names!AG49,"AAAAAEt7/+k=")</f>
        <v>#VALUE!</v>
      </c>
      <c r="IA80" t="e">
        <f>AND(Names!AH49,"AAAAAEt7/+o=")</f>
        <v>#VALUE!</v>
      </c>
      <c r="IB80" t="e">
        <f>AND(Names!AI49,"AAAAAEt7/+s=")</f>
        <v>#VALUE!</v>
      </c>
      <c r="IC80" t="e">
        <f>AND(Names!AJ49,"AAAAAEt7/+w=")</f>
        <v>#VALUE!</v>
      </c>
      <c r="ID80" t="e">
        <f>AND(Names!AK49,"AAAAAEt7/+0=")</f>
        <v>#VALUE!</v>
      </c>
      <c r="IE80" t="e">
        <f>AND(Names!AL49,"AAAAAEt7/+4=")</f>
        <v>#VALUE!</v>
      </c>
      <c r="IF80" t="e">
        <f>AND(Names!AM49,"AAAAAEt7/+8=")</f>
        <v>#VALUE!</v>
      </c>
      <c r="IG80">
        <f>IF(Names!50:50,"AAAAAEt7//A=",0)</f>
        <v>0</v>
      </c>
      <c r="IH80" t="e">
        <f>AND(Names!A50,"AAAAAEt7//E=")</f>
        <v>#VALUE!</v>
      </c>
      <c r="II80" t="e">
        <f>AND(Names!B50,"AAAAAEt7//I=")</f>
        <v>#VALUE!</v>
      </c>
      <c r="IJ80" t="e">
        <f>AND(Names!C50,"AAAAAEt7//M=")</f>
        <v>#VALUE!</v>
      </c>
      <c r="IK80" t="e">
        <f>AND(Names!D50,"AAAAAEt7//Q=")</f>
        <v>#VALUE!</v>
      </c>
      <c r="IL80" t="e">
        <f>AND(Names!E50,"AAAAAEt7//U=")</f>
        <v>#VALUE!</v>
      </c>
      <c r="IM80" t="e">
        <f>AND(Names!F50,"AAAAAEt7//Y=")</f>
        <v>#VALUE!</v>
      </c>
      <c r="IN80" t="e">
        <f>AND(Names!G50,"AAAAAEt7//c=")</f>
        <v>#VALUE!</v>
      </c>
      <c r="IO80" t="e">
        <f>AND(Names!H50,"AAAAAEt7//g=")</f>
        <v>#VALUE!</v>
      </c>
      <c r="IP80" t="e">
        <f>AND(Names!I50,"AAAAAEt7//k=")</f>
        <v>#VALUE!</v>
      </c>
      <c r="IQ80" t="e">
        <f>AND(Names!J50,"AAAAAEt7//o=")</f>
        <v>#VALUE!</v>
      </c>
      <c r="IR80" t="e">
        <f>AND(Names!K50,"AAAAAEt7//s=")</f>
        <v>#VALUE!</v>
      </c>
      <c r="IS80" t="e">
        <f>AND(Names!L50,"AAAAAEt7//w=")</f>
        <v>#VALUE!</v>
      </c>
      <c r="IT80" t="e">
        <f>AND(Names!M50,"AAAAAEt7//0=")</f>
        <v>#VALUE!</v>
      </c>
      <c r="IU80" t="e">
        <f>AND(Names!N50,"AAAAAEt7//4=")</f>
        <v>#VALUE!</v>
      </c>
      <c r="IV80" t="e">
        <f>AND(Names!O50,"AAAAAEt7//8=")</f>
        <v>#VALUE!</v>
      </c>
    </row>
    <row r="81" spans="1:256" x14ac:dyDescent="0.15">
      <c r="A81" t="e">
        <f>AND(Names!P50,"AAAAAG+f5wA=")</f>
        <v>#VALUE!</v>
      </c>
      <c r="B81" t="e">
        <f>AND(Names!Q50,"AAAAAG+f5wE=")</f>
        <v>#VALUE!</v>
      </c>
      <c r="C81" t="e">
        <f>AND(Names!R50,"AAAAAG+f5wI=")</f>
        <v>#VALUE!</v>
      </c>
      <c r="D81" t="e">
        <f>AND(Names!S50,"AAAAAG+f5wM=")</f>
        <v>#VALUE!</v>
      </c>
      <c r="E81" t="e">
        <f>AND(Names!T50,"AAAAAG+f5wQ=")</f>
        <v>#VALUE!</v>
      </c>
      <c r="F81" t="e">
        <f>AND(Names!U50,"AAAAAG+f5wU=")</f>
        <v>#VALUE!</v>
      </c>
      <c r="G81" t="e">
        <f>AND(Names!V50,"AAAAAG+f5wY=")</f>
        <v>#VALUE!</v>
      </c>
      <c r="H81" t="e">
        <f>AND(Names!W50,"AAAAAG+f5wc=")</f>
        <v>#VALUE!</v>
      </c>
      <c r="I81" t="e">
        <f>AND(Names!X50,"AAAAAG+f5wg=")</f>
        <v>#VALUE!</v>
      </c>
      <c r="J81" t="e">
        <f>AND(Names!Y50,"AAAAAG+f5wk=")</f>
        <v>#VALUE!</v>
      </c>
      <c r="K81" t="e">
        <f>AND(Names!Z50,"AAAAAG+f5wo=")</f>
        <v>#VALUE!</v>
      </c>
      <c r="L81" t="e">
        <f>AND(Names!AA50,"AAAAAG+f5ws=")</f>
        <v>#VALUE!</v>
      </c>
      <c r="M81" t="e">
        <f>AND(Names!AB50,"AAAAAG+f5ww=")</f>
        <v>#VALUE!</v>
      </c>
      <c r="N81" t="e">
        <f>AND(Names!AC50,"AAAAAG+f5w0=")</f>
        <v>#VALUE!</v>
      </c>
      <c r="O81" t="e">
        <f>AND(Names!AD50,"AAAAAG+f5w4=")</f>
        <v>#VALUE!</v>
      </c>
      <c r="P81" t="e">
        <f>AND(Names!AE50,"AAAAAG+f5w8=")</f>
        <v>#VALUE!</v>
      </c>
      <c r="Q81" t="e">
        <f>AND(Names!AF50,"AAAAAG+f5xA=")</f>
        <v>#VALUE!</v>
      </c>
      <c r="R81" t="e">
        <f>AND(Names!AG50,"AAAAAG+f5xE=")</f>
        <v>#VALUE!</v>
      </c>
      <c r="S81" t="e">
        <f>AND(Names!AH50,"AAAAAG+f5xI=")</f>
        <v>#VALUE!</v>
      </c>
      <c r="T81" t="e">
        <f>AND(Names!AI50,"AAAAAG+f5xM=")</f>
        <v>#VALUE!</v>
      </c>
      <c r="U81" t="e">
        <f>AND(Names!AJ50,"AAAAAG+f5xQ=")</f>
        <v>#VALUE!</v>
      </c>
      <c r="V81" t="e">
        <f>AND(Names!AK50,"AAAAAG+f5xU=")</f>
        <v>#VALUE!</v>
      </c>
      <c r="W81" t="e">
        <f>AND(Names!AL50,"AAAAAG+f5xY=")</f>
        <v>#VALUE!</v>
      </c>
      <c r="X81" t="e">
        <f>AND(Names!AM50,"AAAAAG+f5xc=")</f>
        <v>#VALUE!</v>
      </c>
      <c r="Y81">
        <f>IF(Names!51:51,"AAAAAG+f5xg=",0)</f>
        <v>0</v>
      </c>
      <c r="Z81" t="e">
        <f>AND(Names!A51,"AAAAAG+f5xk=")</f>
        <v>#VALUE!</v>
      </c>
      <c r="AA81" t="e">
        <f>AND(Names!B51,"AAAAAG+f5xo=")</f>
        <v>#VALUE!</v>
      </c>
      <c r="AB81" t="e">
        <f>AND(Names!C51,"AAAAAG+f5xs=")</f>
        <v>#VALUE!</v>
      </c>
      <c r="AC81" t="e">
        <f>AND(Names!D51,"AAAAAG+f5xw=")</f>
        <v>#VALUE!</v>
      </c>
      <c r="AD81" t="e">
        <f>AND(Names!E51,"AAAAAG+f5x0=")</f>
        <v>#VALUE!</v>
      </c>
      <c r="AE81" t="e">
        <f>AND(Names!F51,"AAAAAG+f5x4=")</f>
        <v>#VALUE!</v>
      </c>
      <c r="AF81" t="e">
        <f>AND(Names!G51,"AAAAAG+f5x8=")</f>
        <v>#VALUE!</v>
      </c>
      <c r="AG81" t="e">
        <f>AND(Names!H51,"AAAAAG+f5yA=")</f>
        <v>#VALUE!</v>
      </c>
      <c r="AH81" t="e">
        <f>AND(Names!I51,"AAAAAG+f5yE=")</f>
        <v>#VALUE!</v>
      </c>
      <c r="AI81" t="e">
        <f>AND(Names!J51,"AAAAAG+f5yI=")</f>
        <v>#VALUE!</v>
      </c>
      <c r="AJ81" t="e">
        <f>AND(Names!K51,"AAAAAG+f5yM=")</f>
        <v>#VALUE!</v>
      </c>
      <c r="AK81" t="e">
        <f>AND(Names!L51,"AAAAAG+f5yQ=")</f>
        <v>#VALUE!</v>
      </c>
      <c r="AL81" t="e">
        <f>AND(Names!M51,"AAAAAG+f5yU=")</f>
        <v>#VALUE!</v>
      </c>
      <c r="AM81" t="e">
        <f>AND(Names!N51,"AAAAAG+f5yY=")</f>
        <v>#VALUE!</v>
      </c>
      <c r="AN81" t="e">
        <f>AND(Names!O51,"AAAAAG+f5yc=")</f>
        <v>#VALUE!</v>
      </c>
      <c r="AO81" t="e">
        <f>AND(Names!P51,"AAAAAG+f5yg=")</f>
        <v>#VALUE!</v>
      </c>
      <c r="AP81" t="e">
        <f>AND(Names!Q51,"AAAAAG+f5yk=")</f>
        <v>#VALUE!</v>
      </c>
      <c r="AQ81" t="e">
        <f>AND(Names!R51,"AAAAAG+f5yo=")</f>
        <v>#VALUE!</v>
      </c>
      <c r="AR81" t="e">
        <f>AND(Names!S51,"AAAAAG+f5ys=")</f>
        <v>#VALUE!</v>
      </c>
      <c r="AS81" t="e">
        <f>AND(Names!T51,"AAAAAG+f5yw=")</f>
        <v>#VALUE!</v>
      </c>
      <c r="AT81" t="e">
        <f>AND(Names!U51,"AAAAAG+f5y0=")</f>
        <v>#VALUE!</v>
      </c>
      <c r="AU81" t="e">
        <f>AND(Names!V51,"AAAAAG+f5y4=")</f>
        <v>#VALUE!</v>
      </c>
      <c r="AV81" t="e">
        <f>AND(Names!W51,"AAAAAG+f5y8=")</f>
        <v>#VALUE!</v>
      </c>
      <c r="AW81" t="e">
        <f>AND(Names!X51,"AAAAAG+f5zA=")</f>
        <v>#VALUE!</v>
      </c>
      <c r="AX81" t="e">
        <f>AND(Names!Y51,"AAAAAG+f5zE=")</f>
        <v>#VALUE!</v>
      </c>
      <c r="AY81" t="e">
        <f>AND(Names!Z51,"AAAAAG+f5zI=")</f>
        <v>#VALUE!</v>
      </c>
      <c r="AZ81" t="e">
        <f>AND(Names!AA51,"AAAAAG+f5zM=")</f>
        <v>#VALUE!</v>
      </c>
      <c r="BA81" t="e">
        <f>AND(Names!AB51,"AAAAAG+f5zQ=")</f>
        <v>#VALUE!</v>
      </c>
      <c r="BB81" t="e">
        <f>AND(Names!AC51,"AAAAAG+f5zU=")</f>
        <v>#VALUE!</v>
      </c>
      <c r="BC81" t="e">
        <f>AND(Names!AD51,"AAAAAG+f5zY=")</f>
        <v>#VALUE!</v>
      </c>
      <c r="BD81" t="e">
        <f>AND(Names!AE51,"AAAAAG+f5zc=")</f>
        <v>#VALUE!</v>
      </c>
      <c r="BE81" t="e">
        <f>AND(Names!AF51,"AAAAAG+f5zg=")</f>
        <v>#VALUE!</v>
      </c>
      <c r="BF81" t="e">
        <f>AND(Names!AG51,"AAAAAG+f5zk=")</f>
        <v>#VALUE!</v>
      </c>
      <c r="BG81" t="e">
        <f>AND(Names!AH51,"AAAAAG+f5zo=")</f>
        <v>#VALUE!</v>
      </c>
      <c r="BH81" t="e">
        <f>AND(Names!AI51,"AAAAAG+f5zs=")</f>
        <v>#VALUE!</v>
      </c>
      <c r="BI81" t="e">
        <f>AND(Names!AJ51,"AAAAAG+f5zw=")</f>
        <v>#VALUE!</v>
      </c>
      <c r="BJ81" t="e">
        <f>AND(Names!AK51,"AAAAAG+f5z0=")</f>
        <v>#VALUE!</v>
      </c>
      <c r="BK81" t="e">
        <f>AND(Names!AL51,"AAAAAG+f5z4=")</f>
        <v>#VALUE!</v>
      </c>
      <c r="BL81" t="e">
        <f>AND(Names!AM51,"AAAAAG+f5z8=")</f>
        <v>#VALUE!</v>
      </c>
      <c r="BM81">
        <f>IF(Names!52:52,"AAAAAG+f50A=",0)</f>
        <v>0</v>
      </c>
      <c r="BN81" t="e">
        <f>AND(Names!A52,"AAAAAG+f50E=")</f>
        <v>#VALUE!</v>
      </c>
      <c r="BO81" t="e">
        <f>AND(Names!B52,"AAAAAG+f50I=")</f>
        <v>#VALUE!</v>
      </c>
      <c r="BP81" t="e">
        <f>AND(Names!C52,"AAAAAG+f50M=")</f>
        <v>#VALUE!</v>
      </c>
      <c r="BQ81" t="e">
        <f>AND(Names!D52,"AAAAAG+f50Q=")</f>
        <v>#VALUE!</v>
      </c>
      <c r="BR81" t="e">
        <f>AND(Names!E52,"AAAAAG+f50U=")</f>
        <v>#VALUE!</v>
      </c>
      <c r="BS81" t="e">
        <f>AND(Names!F52,"AAAAAG+f50Y=")</f>
        <v>#VALUE!</v>
      </c>
      <c r="BT81" t="e">
        <f>AND(Names!G52,"AAAAAG+f50c=")</f>
        <v>#VALUE!</v>
      </c>
      <c r="BU81" t="e">
        <f>AND(Names!H52,"AAAAAG+f50g=")</f>
        <v>#VALUE!</v>
      </c>
      <c r="BV81" t="e">
        <f>AND(Names!I52,"AAAAAG+f50k=")</f>
        <v>#VALUE!</v>
      </c>
      <c r="BW81" t="e">
        <f>AND(Names!J52,"AAAAAG+f50o=")</f>
        <v>#VALUE!</v>
      </c>
      <c r="BX81" t="e">
        <f>AND(Names!K52,"AAAAAG+f50s=")</f>
        <v>#VALUE!</v>
      </c>
      <c r="BY81" t="e">
        <f>AND(Names!L52,"AAAAAG+f50w=")</f>
        <v>#VALUE!</v>
      </c>
      <c r="BZ81" t="e">
        <f>AND(Names!M52,"AAAAAG+f500=")</f>
        <v>#VALUE!</v>
      </c>
      <c r="CA81" t="e">
        <f>AND(Names!N52,"AAAAAG+f504=")</f>
        <v>#VALUE!</v>
      </c>
      <c r="CB81" t="e">
        <f>AND(Names!O52,"AAAAAG+f508=")</f>
        <v>#VALUE!</v>
      </c>
      <c r="CC81" t="e">
        <f>AND(Names!P52,"AAAAAG+f51A=")</f>
        <v>#VALUE!</v>
      </c>
      <c r="CD81" t="e">
        <f>AND(Names!Q52,"AAAAAG+f51E=")</f>
        <v>#VALUE!</v>
      </c>
      <c r="CE81" t="e">
        <f>AND(Names!R52,"AAAAAG+f51I=")</f>
        <v>#VALUE!</v>
      </c>
      <c r="CF81" t="e">
        <f>AND(Names!S52,"AAAAAG+f51M=")</f>
        <v>#VALUE!</v>
      </c>
      <c r="CG81" t="e">
        <f>AND(Names!T52,"AAAAAG+f51Q=")</f>
        <v>#VALUE!</v>
      </c>
      <c r="CH81" t="e">
        <f>AND(Names!U52,"AAAAAG+f51U=")</f>
        <v>#VALUE!</v>
      </c>
      <c r="CI81" t="e">
        <f>AND(Names!V52,"AAAAAG+f51Y=")</f>
        <v>#VALUE!</v>
      </c>
      <c r="CJ81" t="e">
        <f>AND(Names!W52,"AAAAAG+f51c=")</f>
        <v>#VALUE!</v>
      </c>
      <c r="CK81" t="e">
        <f>AND(Names!X52,"AAAAAG+f51g=")</f>
        <v>#VALUE!</v>
      </c>
      <c r="CL81" t="e">
        <f>AND(Names!Y52,"AAAAAG+f51k=")</f>
        <v>#VALUE!</v>
      </c>
      <c r="CM81" t="e">
        <f>AND(Names!Z52,"AAAAAG+f51o=")</f>
        <v>#VALUE!</v>
      </c>
      <c r="CN81" t="e">
        <f>AND(Names!AA52,"AAAAAG+f51s=")</f>
        <v>#VALUE!</v>
      </c>
      <c r="CO81" t="e">
        <f>AND(Names!AB52,"AAAAAG+f51w=")</f>
        <v>#VALUE!</v>
      </c>
      <c r="CP81" t="e">
        <f>AND(Names!AC52,"AAAAAG+f510=")</f>
        <v>#VALUE!</v>
      </c>
      <c r="CQ81" t="e">
        <f>AND(Names!AD52,"AAAAAG+f514=")</f>
        <v>#VALUE!</v>
      </c>
      <c r="CR81" t="e">
        <f>AND(Names!AE52,"AAAAAG+f518=")</f>
        <v>#VALUE!</v>
      </c>
      <c r="CS81" t="e">
        <f>AND(Names!AF52,"AAAAAG+f52A=")</f>
        <v>#VALUE!</v>
      </c>
      <c r="CT81" t="e">
        <f>AND(Names!AG52,"AAAAAG+f52E=")</f>
        <v>#VALUE!</v>
      </c>
      <c r="CU81" t="e">
        <f>AND(Names!AH52,"AAAAAG+f52I=")</f>
        <v>#VALUE!</v>
      </c>
      <c r="CV81" t="e">
        <f>AND(Names!AI52,"AAAAAG+f52M=")</f>
        <v>#VALUE!</v>
      </c>
      <c r="CW81" t="e">
        <f>AND(Names!AJ52,"AAAAAG+f52Q=")</f>
        <v>#VALUE!</v>
      </c>
      <c r="CX81" t="e">
        <f>AND(Names!AK52,"AAAAAG+f52U=")</f>
        <v>#VALUE!</v>
      </c>
      <c r="CY81" t="e">
        <f>AND(Names!AL52,"AAAAAG+f52Y=")</f>
        <v>#VALUE!</v>
      </c>
      <c r="CZ81" t="e">
        <f>AND(Names!AM52,"AAAAAG+f52c=")</f>
        <v>#VALUE!</v>
      </c>
      <c r="DA81">
        <f>IF(Names!53:53,"AAAAAG+f52g=",0)</f>
        <v>0</v>
      </c>
      <c r="DB81" t="e">
        <f>AND(Names!A53,"AAAAAG+f52k=")</f>
        <v>#VALUE!</v>
      </c>
      <c r="DC81" t="e">
        <f>AND(Names!B53,"AAAAAG+f52o=")</f>
        <v>#VALUE!</v>
      </c>
      <c r="DD81" t="e">
        <f>AND(Names!C53,"AAAAAG+f52s=")</f>
        <v>#VALUE!</v>
      </c>
      <c r="DE81" t="e">
        <f>AND(Names!D53,"AAAAAG+f52w=")</f>
        <v>#VALUE!</v>
      </c>
      <c r="DF81" t="e">
        <f>AND(Names!E53,"AAAAAG+f520=")</f>
        <v>#VALUE!</v>
      </c>
      <c r="DG81" t="e">
        <f>AND(Names!F53,"AAAAAG+f524=")</f>
        <v>#VALUE!</v>
      </c>
      <c r="DH81" t="e">
        <f>AND(Names!G53,"AAAAAG+f528=")</f>
        <v>#VALUE!</v>
      </c>
      <c r="DI81" t="e">
        <f>AND(Names!H53,"AAAAAG+f53A=")</f>
        <v>#VALUE!</v>
      </c>
      <c r="DJ81" t="e">
        <f>AND(Names!I53,"AAAAAG+f53E=")</f>
        <v>#VALUE!</v>
      </c>
      <c r="DK81" t="e">
        <f>AND(Names!J53,"AAAAAG+f53I=")</f>
        <v>#VALUE!</v>
      </c>
      <c r="DL81" t="e">
        <f>AND(Names!K53,"AAAAAG+f53M=")</f>
        <v>#VALUE!</v>
      </c>
      <c r="DM81" t="e">
        <f>AND(Names!L53,"AAAAAG+f53Q=")</f>
        <v>#VALUE!</v>
      </c>
      <c r="DN81" t="e">
        <f>AND(Names!M53,"AAAAAG+f53U=")</f>
        <v>#VALUE!</v>
      </c>
      <c r="DO81" t="e">
        <f>AND(Names!N53,"AAAAAG+f53Y=")</f>
        <v>#VALUE!</v>
      </c>
      <c r="DP81" t="e">
        <f>AND(Names!O53,"AAAAAG+f53c=")</f>
        <v>#VALUE!</v>
      </c>
      <c r="DQ81" t="e">
        <f>AND(Names!P53,"AAAAAG+f53g=")</f>
        <v>#VALUE!</v>
      </c>
      <c r="DR81" t="e">
        <f>AND(Names!Q53,"AAAAAG+f53k=")</f>
        <v>#VALUE!</v>
      </c>
      <c r="DS81" t="e">
        <f>AND(Names!R53,"AAAAAG+f53o=")</f>
        <v>#VALUE!</v>
      </c>
      <c r="DT81" t="e">
        <f>AND(Names!S53,"AAAAAG+f53s=")</f>
        <v>#VALUE!</v>
      </c>
      <c r="DU81" t="e">
        <f>AND(Names!T53,"AAAAAG+f53w=")</f>
        <v>#VALUE!</v>
      </c>
      <c r="DV81" t="e">
        <f>AND(Names!U53,"AAAAAG+f530=")</f>
        <v>#VALUE!</v>
      </c>
      <c r="DW81" t="e">
        <f>AND(Names!V53,"AAAAAG+f534=")</f>
        <v>#VALUE!</v>
      </c>
      <c r="DX81" t="e">
        <f>AND(Names!W53,"AAAAAG+f538=")</f>
        <v>#VALUE!</v>
      </c>
      <c r="DY81" t="e">
        <f>AND(Names!X53,"AAAAAG+f54A=")</f>
        <v>#VALUE!</v>
      </c>
      <c r="DZ81" t="e">
        <f>AND(Names!Y53,"AAAAAG+f54E=")</f>
        <v>#VALUE!</v>
      </c>
      <c r="EA81" t="e">
        <f>AND(Names!Z53,"AAAAAG+f54I=")</f>
        <v>#VALUE!</v>
      </c>
      <c r="EB81" t="e">
        <f>AND(Names!AA53,"AAAAAG+f54M=")</f>
        <v>#VALUE!</v>
      </c>
      <c r="EC81" t="e">
        <f>AND(Names!AB53,"AAAAAG+f54Q=")</f>
        <v>#VALUE!</v>
      </c>
      <c r="ED81" t="e">
        <f>AND(Names!AC53,"AAAAAG+f54U=")</f>
        <v>#VALUE!</v>
      </c>
      <c r="EE81" t="e">
        <f>AND(Names!AD53,"AAAAAG+f54Y=")</f>
        <v>#VALUE!</v>
      </c>
      <c r="EF81" t="e">
        <f>AND(Names!AE53,"AAAAAG+f54c=")</f>
        <v>#VALUE!</v>
      </c>
      <c r="EG81" t="e">
        <f>AND(Names!AF53,"AAAAAG+f54g=")</f>
        <v>#VALUE!</v>
      </c>
      <c r="EH81" t="e">
        <f>AND(Names!AG53,"AAAAAG+f54k=")</f>
        <v>#VALUE!</v>
      </c>
      <c r="EI81" t="e">
        <f>AND(Names!AH53,"AAAAAG+f54o=")</f>
        <v>#VALUE!</v>
      </c>
      <c r="EJ81" t="e">
        <f>AND(Names!AI53,"AAAAAG+f54s=")</f>
        <v>#VALUE!</v>
      </c>
      <c r="EK81" t="e">
        <f>AND(Names!AJ53,"AAAAAG+f54w=")</f>
        <v>#VALUE!</v>
      </c>
      <c r="EL81" t="e">
        <f>AND(Names!AK53,"AAAAAG+f540=")</f>
        <v>#VALUE!</v>
      </c>
      <c r="EM81" t="e">
        <f>AND(Names!AL53,"AAAAAG+f544=")</f>
        <v>#VALUE!</v>
      </c>
      <c r="EN81" t="e">
        <f>AND(Names!AM53,"AAAAAG+f548=")</f>
        <v>#VALUE!</v>
      </c>
      <c r="EO81">
        <f>IF(Names!54:54,"AAAAAG+f55A=",0)</f>
        <v>0</v>
      </c>
      <c r="EP81" t="e">
        <f>AND(Names!A54,"AAAAAG+f55E=")</f>
        <v>#VALUE!</v>
      </c>
      <c r="EQ81" t="e">
        <f>AND(Names!B54,"AAAAAG+f55I=")</f>
        <v>#VALUE!</v>
      </c>
      <c r="ER81" t="e">
        <f>AND(Names!C54,"AAAAAG+f55M=")</f>
        <v>#VALUE!</v>
      </c>
      <c r="ES81" t="e">
        <f>AND(Names!D54,"AAAAAG+f55Q=")</f>
        <v>#VALUE!</v>
      </c>
      <c r="ET81" t="e">
        <f>AND(Names!E54,"AAAAAG+f55U=")</f>
        <v>#VALUE!</v>
      </c>
      <c r="EU81" t="e">
        <f>AND(Names!F54,"AAAAAG+f55Y=")</f>
        <v>#VALUE!</v>
      </c>
      <c r="EV81" t="e">
        <f>AND(Names!G54,"AAAAAG+f55c=")</f>
        <v>#VALUE!</v>
      </c>
      <c r="EW81" t="e">
        <f>AND(Names!H54,"AAAAAG+f55g=")</f>
        <v>#VALUE!</v>
      </c>
      <c r="EX81" t="e">
        <f>AND(Names!I54,"AAAAAG+f55k=")</f>
        <v>#VALUE!</v>
      </c>
      <c r="EY81" t="e">
        <f>AND(Names!J54,"AAAAAG+f55o=")</f>
        <v>#VALUE!</v>
      </c>
      <c r="EZ81" t="e">
        <f>AND(Names!K54,"AAAAAG+f55s=")</f>
        <v>#VALUE!</v>
      </c>
      <c r="FA81" t="e">
        <f>AND(Names!L54,"AAAAAG+f55w=")</f>
        <v>#VALUE!</v>
      </c>
      <c r="FB81" t="e">
        <f>AND(Names!M54,"AAAAAG+f550=")</f>
        <v>#VALUE!</v>
      </c>
      <c r="FC81" t="e">
        <f>AND(Names!N54,"AAAAAG+f554=")</f>
        <v>#VALUE!</v>
      </c>
      <c r="FD81" t="e">
        <f>AND(Names!O54,"AAAAAG+f558=")</f>
        <v>#VALUE!</v>
      </c>
      <c r="FE81" t="e">
        <f>AND(Names!P54,"AAAAAG+f56A=")</f>
        <v>#VALUE!</v>
      </c>
      <c r="FF81" t="e">
        <f>AND(Names!Q54,"AAAAAG+f56E=")</f>
        <v>#VALUE!</v>
      </c>
      <c r="FG81" t="e">
        <f>AND(Names!R54,"AAAAAG+f56I=")</f>
        <v>#VALUE!</v>
      </c>
      <c r="FH81" t="e">
        <f>AND(Names!S54,"AAAAAG+f56M=")</f>
        <v>#VALUE!</v>
      </c>
      <c r="FI81" t="e">
        <f>AND(Names!T54,"AAAAAG+f56Q=")</f>
        <v>#VALUE!</v>
      </c>
      <c r="FJ81" t="e">
        <f>AND(Names!U54,"AAAAAG+f56U=")</f>
        <v>#VALUE!</v>
      </c>
      <c r="FK81" t="e">
        <f>AND(Names!V54,"AAAAAG+f56Y=")</f>
        <v>#VALUE!</v>
      </c>
      <c r="FL81" t="e">
        <f>AND(Names!W54,"AAAAAG+f56c=")</f>
        <v>#VALUE!</v>
      </c>
      <c r="FM81" t="e">
        <f>AND(Names!X54,"AAAAAG+f56g=")</f>
        <v>#VALUE!</v>
      </c>
      <c r="FN81" t="e">
        <f>AND(Names!Y54,"AAAAAG+f56k=")</f>
        <v>#VALUE!</v>
      </c>
      <c r="FO81" t="e">
        <f>AND(Names!Z54,"AAAAAG+f56o=")</f>
        <v>#VALUE!</v>
      </c>
      <c r="FP81" t="e">
        <f>AND(Names!AA54,"AAAAAG+f56s=")</f>
        <v>#VALUE!</v>
      </c>
      <c r="FQ81" t="e">
        <f>AND(Names!AB54,"AAAAAG+f56w=")</f>
        <v>#VALUE!</v>
      </c>
      <c r="FR81" t="e">
        <f>AND(Names!AC54,"AAAAAG+f560=")</f>
        <v>#VALUE!</v>
      </c>
      <c r="FS81" t="e">
        <f>AND(Names!AD54,"AAAAAG+f564=")</f>
        <v>#VALUE!</v>
      </c>
      <c r="FT81" t="e">
        <f>AND(Names!AE54,"AAAAAG+f568=")</f>
        <v>#VALUE!</v>
      </c>
      <c r="FU81" t="e">
        <f>AND(Names!AF54,"AAAAAG+f57A=")</f>
        <v>#VALUE!</v>
      </c>
      <c r="FV81" t="e">
        <f>AND(Names!AG54,"AAAAAG+f57E=")</f>
        <v>#VALUE!</v>
      </c>
      <c r="FW81" t="e">
        <f>AND(Names!AH54,"AAAAAG+f57I=")</f>
        <v>#VALUE!</v>
      </c>
      <c r="FX81" t="e">
        <f>AND(Names!AI54,"AAAAAG+f57M=")</f>
        <v>#VALUE!</v>
      </c>
      <c r="FY81" t="e">
        <f>AND(Names!AJ54,"AAAAAG+f57Q=")</f>
        <v>#VALUE!</v>
      </c>
      <c r="FZ81" t="e">
        <f>AND(Names!AK54,"AAAAAG+f57U=")</f>
        <v>#VALUE!</v>
      </c>
      <c r="GA81" t="e">
        <f>AND(Names!AL54,"AAAAAG+f57Y=")</f>
        <v>#VALUE!</v>
      </c>
      <c r="GB81" t="e">
        <f>AND(Names!AM54,"AAAAAG+f57c=")</f>
        <v>#VALUE!</v>
      </c>
      <c r="GC81">
        <f>IF(Names!55:55,"AAAAAG+f57g=",0)</f>
        <v>0</v>
      </c>
      <c r="GD81" t="e">
        <f>AND(Names!A55,"AAAAAG+f57k=")</f>
        <v>#VALUE!</v>
      </c>
      <c r="GE81" t="e">
        <f>AND(Names!B55,"AAAAAG+f57o=")</f>
        <v>#VALUE!</v>
      </c>
      <c r="GF81" t="e">
        <f>AND(Names!C55,"AAAAAG+f57s=")</f>
        <v>#VALUE!</v>
      </c>
      <c r="GG81" t="e">
        <f>AND(Names!D55,"AAAAAG+f57w=")</f>
        <v>#VALUE!</v>
      </c>
      <c r="GH81" t="e">
        <f>AND(Names!E55,"AAAAAG+f570=")</f>
        <v>#VALUE!</v>
      </c>
      <c r="GI81" t="e">
        <f>AND(Names!F55,"AAAAAG+f574=")</f>
        <v>#VALUE!</v>
      </c>
      <c r="GJ81" t="e">
        <f>AND(Names!G55,"AAAAAG+f578=")</f>
        <v>#VALUE!</v>
      </c>
      <c r="GK81" t="e">
        <f>AND(Names!H55,"AAAAAG+f58A=")</f>
        <v>#VALUE!</v>
      </c>
      <c r="GL81" t="e">
        <f>AND(Names!I55,"AAAAAG+f58E=")</f>
        <v>#VALUE!</v>
      </c>
      <c r="GM81" t="e">
        <f>AND(Names!J55,"AAAAAG+f58I=")</f>
        <v>#VALUE!</v>
      </c>
      <c r="GN81" t="e">
        <f>AND(Names!K55,"AAAAAG+f58M=")</f>
        <v>#VALUE!</v>
      </c>
      <c r="GO81" t="e">
        <f>AND(Names!L55,"AAAAAG+f58Q=")</f>
        <v>#VALUE!</v>
      </c>
      <c r="GP81" t="e">
        <f>AND(Names!M55,"AAAAAG+f58U=")</f>
        <v>#VALUE!</v>
      </c>
      <c r="GQ81" t="e">
        <f>AND(Names!N55,"AAAAAG+f58Y=")</f>
        <v>#VALUE!</v>
      </c>
      <c r="GR81" t="e">
        <f>AND(Names!O55,"AAAAAG+f58c=")</f>
        <v>#VALUE!</v>
      </c>
      <c r="GS81" t="e">
        <f>AND(Names!P55,"AAAAAG+f58g=")</f>
        <v>#VALUE!</v>
      </c>
      <c r="GT81" t="e">
        <f>AND(Names!Q55,"AAAAAG+f58k=")</f>
        <v>#VALUE!</v>
      </c>
      <c r="GU81" t="e">
        <f>AND(Names!R55,"AAAAAG+f58o=")</f>
        <v>#VALUE!</v>
      </c>
      <c r="GV81" t="e">
        <f>AND(Names!S55,"AAAAAG+f58s=")</f>
        <v>#VALUE!</v>
      </c>
      <c r="GW81" t="e">
        <f>AND(Names!T55,"AAAAAG+f58w=")</f>
        <v>#VALUE!</v>
      </c>
      <c r="GX81" t="e">
        <f>AND(Names!U55,"AAAAAG+f580=")</f>
        <v>#VALUE!</v>
      </c>
      <c r="GY81" t="e">
        <f>AND(Names!V55,"AAAAAG+f584=")</f>
        <v>#VALUE!</v>
      </c>
      <c r="GZ81" t="e">
        <f>AND(Names!W55,"AAAAAG+f588=")</f>
        <v>#VALUE!</v>
      </c>
      <c r="HA81" t="e">
        <f>AND(Names!X55,"AAAAAG+f59A=")</f>
        <v>#VALUE!</v>
      </c>
      <c r="HB81" t="e">
        <f>AND(Names!Y55,"AAAAAG+f59E=")</f>
        <v>#VALUE!</v>
      </c>
      <c r="HC81" t="e">
        <f>AND(Names!Z55,"AAAAAG+f59I=")</f>
        <v>#VALUE!</v>
      </c>
      <c r="HD81" t="e">
        <f>AND(Names!AA55,"AAAAAG+f59M=")</f>
        <v>#VALUE!</v>
      </c>
      <c r="HE81" t="e">
        <f>AND(Names!AB55,"AAAAAG+f59Q=")</f>
        <v>#VALUE!</v>
      </c>
      <c r="HF81" t="e">
        <f>AND(Names!AC55,"AAAAAG+f59U=")</f>
        <v>#VALUE!</v>
      </c>
      <c r="HG81" t="e">
        <f>AND(Names!AD55,"AAAAAG+f59Y=")</f>
        <v>#VALUE!</v>
      </c>
      <c r="HH81" t="e">
        <f>AND(Names!AE55,"AAAAAG+f59c=")</f>
        <v>#VALUE!</v>
      </c>
      <c r="HI81" t="e">
        <f>AND(Names!AF55,"AAAAAG+f59g=")</f>
        <v>#VALUE!</v>
      </c>
      <c r="HJ81" t="e">
        <f>AND(Names!AG55,"AAAAAG+f59k=")</f>
        <v>#VALUE!</v>
      </c>
      <c r="HK81" t="e">
        <f>AND(Names!AH55,"AAAAAG+f59o=")</f>
        <v>#VALUE!</v>
      </c>
      <c r="HL81" t="e">
        <f>AND(Names!AI55,"AAAAAG+f59s=")</f>
        <v>#VALUE!</v>
      </c>
      <c r="HM81" t="e">
        <f>AND(Names!AJ55,"AAAAAG+f59w=")</f>
        <v>#VALUE!</v>
      </c>
      <c r="HN81" t="e">
        <f>AND(Names!AK55,"AAAAAG+f590=")</f>
        <v>#VALUE!</v>
      </c>
      <c r="HO81" t="e">
        <f>AND(Names!AL55,"AAAAAG+f594=")</f>
        <v>#VALUE!</v>
      </c>
      <c r="HP81" t="e">
        <f>AND(Names!AM55,"AAAAAG+f598=")</f>
        <v>#VALUE!</v>
      </c>
      <c r="HQ81">
        <f>IF(Names!56:56,"AAAAAG+f5+A=",0)</f>
        <v>0</v>
      </c>
      <c r="HR81" t="e">
        <f>AND(Names!A56,"AAAAAG+f5+E=")</f>
        <v>#VALUE!</v>
      </c>
      <c r="HS81" t="e">
        <f>AND(Names!B56,"AAAAAG+f5+I=")</f>
        <v>#VALUE!</v>
      </c>
      <c r="HT81" t="e">
        <f>AND(Names!C56,"AAAAAG+f5+M=")</f>
        <v>#VALUE!</v>
      </c>
      <c r="HU81" t="e">
        <f>AND(Names!D56,"AAAAAG+f5+Q=")</f>
        <v>#VALUE!</v>
      </c>
      <c r="HV81" t="e">
        <f>AND(Names!E56,"AAAAAG+f5+U=")</f>
        <v>#VALUE!</v>
      </c>
      <c r="HW81" t="e">
        <f>AND(Names!F56,"AAAAAG+f5+Y=")</f>
        <v>#VALUE!</v>
      </c>
      <c r="HX81" t="e">
        <f>AND(Names!G56,"AAAAAG+f5+c=")</f>
        <v>#VALUE!</v>
      </c>
      <c r="HY81" t="e">
        <f>AND(Names!H56,"AAAAAG+f5+g=")</f>
        <v>#VALUE!</v>
      </c>
      <c r="HZ81" t="e">
        <f>AND(Names!I56,"AAAAAG+f5+k=")</f>
        <v>#VALUE!</v>
      </c>
      <c r="IA81" t="e">
        <f>AND(Names!J56,"AAAAAG+f5+o=")</f>
        <v>#VALUE!</v>
      </c>
      <c r="IB81" t="e">
        <f>AND(Names!K56,"AAAAAG+f5+s=")</f>
        <v>#VALUE!</v>
      </c>
      <c r="IC81" t="e">
        <f>AND(Names!L56,"AAAAAG+f5+w=")</f>
        <v>#VALUE!</v>
      </c>
      <c r="ID81" t="e">
        <f>AND(Names!M56,"AAAAAG+f5+0=")</f>
        <v>#VALUE!</v>
      </c>
      <c r="IE81" t="e">
        <f>AND(Names!N56,"AAAAAG+f5+4=")</f>
        <v>#VALUE!</v>
      </c>
      <c r="IF81" t="e">
        <f>AND(Names!O56,"AAAAAG+f5+8=")</f>
        <v>#VALUE!</v>
      </c>
      <c r="IG81" t="e">
        <f>AND(Names!P56,"AAAAAG+f5/A=")</f>
        <v>#VALUE!</v>
      </c>
      <c r="IH81" t="e">
        <f>AND(Names!Q56,"AAAAAG+f5/E=")</f>
        <v>#VALUE!</v>
      </c>
      <c r="II81" t="e">
        <f>AND(Names!R56,"AAAAAG+f5/I=")</f>
        <v>#VALUE!</v>
      </c>
      <c r="IJ81" t="e">
        <f>AND(Names!S56,"AAAAAG+f5/M=")</f>
        <v>#VALUE!</v>
      </c>
      <c r="IK81" t="e">
        <f>AND(Names!T56,"AAAAAG+f5/Q=")</f>
        <v>#VALUE!</v>
      </c>
      <c r="IL81" t="e">
        <f>AND(Names!U56,"AAAAAG+f5/U=")</f>
        <v>#VALUE!</v>
      </c>
      <c r="IM81" t="e">
        <f>AND(Names!V56,"AAAAAG+f5/Y=")</f>
        <v>#VALUE!</v>
      </c>
      <c r="IN81" t="e">
        <f>AND(Names!W56,"AAAAAG+f5/c=")</f>
        <v>#VALUE!</v>
      </c>
      <c r="IO81" t="e">
        <f>AND(Names!X56,"AAAAAG+f5/g=")</f>
        <v>#VALUE!</v>
      </c>
      <c r="IP81" t="e">
        <f>AND(Names!Y56,"AAAAAG+f5/k=")</f>
        <v>#VALUE!</v>
      </c>
      <c r="IQ81" t="e">
        <f>AND(Names!Z56,"AAAAAG+f5/o=")</f>
        <v>#VALUE!</v>
      </c>
      <c r="IR81" t="e">
        <f>AND(Names!AA56,"AAAAAG+f5/s=")</f>
        <v>#VALUE!</v>
      </c>
      <c r="IS81" t="e">
        <f>AND(Names!AB56,"AAAAAG+f5/w=")</f>
        <v>#VALUE!</v>
      </c>
      <c r="IT81" t="e">
        <f>AND(Names!AC56,"AAAAAG+f5/0=")</f>
        <v>#VALUE!</v>
      </c>
      <c r="IU81" t="e">
        <f>AND(Names!AD56,"AAAAAG+f5/4=")</f>
        <v>#VALUE!</v>
      </c>
      <c r="IV81" t="e">
        <f>AND(Names!AE56,"AAAAAG+f5/8=")</f>
        <v>#VALUE!</v>
      </c>
    </row>
    <row r="82" spans="1:256" x14ac:dyDescent="0.15">
      <c r="A82" t="e">
        <f>AND(Names!AF56,"AAAAAGn39QA=")</f>
        <v>#VALUE!</v>
      </c>
      <c r="B82" t="e">
        <f>AND(Names!AG56,"AAAAAGn39QE=")</f>
        <v>#VALUE!</v>
      </c>
      <c r="C82" t="e">
        <f>AND(Names!AH56,"AAAAAGn39QI=")</f>
        <v>#VALUE!</v>
      </c>
      <c r="D82" t="e">
        <f>AND(Names!AI56,"AAAAAGn39QM=")</f>
        <v>#VALUE!</v>
      </c>
      <c r="E82" t="e">
        <f>AND(Names!AJ56,"AAAAAGn39QQ=")</f>
        <v>#VALUE!</v>
      </c>
      <c r="F82" t="e">
        <f>AND(Names!AK56,"AAAAAGn39QU=")</f>
        <v>#VALUE!</v>
      </c>
      <c r="G82" t="e">
        <f>AND(Names!AL56,"AAAAAGn39QY=")</f>
        <v>#VALUE!</v>
      </c>
      <c r="H82" t="e">
        <f>AND(Names!AM56,"AAAAAGn39Qc=")</f>
        <v>#VALUE!</v>
      </c>
      <c r="I82">
        <f>IF(Names!57:57,"AAAAAGn39Qg=",0)</f>
        <v>0</v>
      </c>
      <c r="J82" t="e">
        <f>AND(Names!A57,"AAAAAGn39Qk=")</f>
        <v>#VALUE!</v>
      </c>
      <c r="K82" t="e">
        <f>AND(Names!B57,"AAAAAGn39Qo=")</f>
        <v>#VALUE!</v>
      </c>
      <c r="L82" t="e">
        <f>AND(Names!C57,"AAAAAGn39Qs=")</f>
        <v>#VALUE!</v>
      </c>
      <c r="M82" t="e">
        <f>AND(Names!D57,"AAAAAGn39Qw=")</f>
        <v>#VALUE!</v>
      </c>
      <c r="N82" t="e">
        <f>AND(Names!E57,"AAAAAGn39Q0=")</f>
        <v>#VALUE!</v>
      </c>
      <c r="O82" t="e">
        <f>AND(Names!F57,"AAAAAGn39Q4=")</f>
        <v>#VALUE!</v>
      </c>
      <c r="P82" t="e">
        <f>AND(Names!G57,"AAAAAGn39Q8=")</f>
        <v>#VALUE!</v>
      </c>
      <c r="Q82" t="e">
        <f>AND(Names!H57,"AAAAAGn39RA=")</f>
        <v>#VALUE!</v>
      </c>
      <c r="R82" t="e">
        <f>AND(Names!I57,"AAAAAGn39RE=")</f>
        <v>#VALUE!</v>
      </c>
      <c r="S82" t="e">
        <f>AND(Names!J57,"AAAAAGn39RI=")</f>
        <v>#VALUE!</v>
      </c>
      <c r="T82" t="e">
        <f>AND(Names!K57,"AAAAAGn39RM=")</f>
        <v>#VALUE!</v>
      </c>
      <c r="U82" t="e">
        <f>AND(Names!L57,"AAAAAGn39RQ=")</f>
        <v>#VALUE!</v>
      </c>
      <c r="V82" t="e">
        <f>AND(Names!M57,"AAAAAGn39RU=")</f>
        <v>#VALUE!</v>
      </c>
      <c r="W82" t="e">
        <f>AND(Names!N57,"AAAAAGn39RY=")</f>
        <v>#VALUE!</v>
      </c>
      <c r="X82" t="e">
        <f>AND(Names!O57,"AAAAAGn39Rc=")</f>
        <v>#VALUE!</v>
      </c>
      <c r="Y82" t="e">
        <f>AND(Names!P57,"AAAAAGn39Rg=")</f>
        <v>#VALUE!</v>
      </c>
      <c r="Z82" t="e">
        <f>AND(Names!Q57,"AAAAAGn39Rk=")</f>
        <v>#VALUE!</v>
      </c>
      <c r="AA82" t="e">
        <f>AND(Names!R57,"AAAAAGn39Ro=")</f>
        <v>#VALUE!</v>
      </c>
      <c r="AB82" t="e">
        <f>AND(Names!S57,"AAAAAGn39Rs=")</f>
        <v>#VALUE!</v>
      </c>
      <c r="AC82" t="e">
        <f>AND(Names!T57,"AAAAAGn39Rw=")</f>
        <v>#VALUE!</v>
      </c>
      <c r="AD82" t="e">
        <f>AND(Names!U57,"AAAAAGn39R0=")</f>
        <v>#VALUE!</v>
      </c>
      <c r="AE82" t="e">
        <f>AND(Names!V57,"AAAAAGn39R4=")</f>
        <v>#VALUE!</v>
      </c>
      <c r="AF82" t="e">
        <f>AND(Names!W57,"AAAAAGn39R8=")</f>
        <v>#VALUE!</v>
      </c>
      <c r="AG82" t="e">
        <f>AND(Names!X57,"AAAAAGn39SA=")</f>
        <v>#VALUE!</v>
      </c>
      <c r="AH82" t="e">
        <f>AND(Names!Y57,"AAAAAGn39SE=")</f>
        <v>#VALUE!</v>
      </c>
      <c r="AI82" t="e">
        <f>AND(Names!Z57,"AAAAAGn39SI=")</f>
        <v>#VALUE!</v>
      </c>
      <c r="AJ82" t="e">
        <f>AND(Names!AA57,"AAAAAGn39SM=")</f>
        <v>#VALUE!</v>
      </c>
      <c r="AK82" t="e">
        <f>AND(Names!AB57,"AAAAAGn39SQ=")</f>
        <v>#VALUE!</v>
      </c>
      <c r="AL82" t="e">
        <f>AND(Names!AC57,"AAAAAGn39SU=")</f>
        <v>#VALUE!</v>
      </c>
      <c r="AM82" t="e">
        <f>AND(Names!AD57,"AAAAAGn39SY=")</f>
        <v>#VALUE!</v>
      </c>
      <c r="AN82" t="e">
        <f>AND(Names!AE57,"AAAAAGn39Sc=")</f>
        <v>#VALUE!</v>
      </c>
      <c r="AO82" t="e">
        <f>AND(Names!AF57,"AAAAAGn39Sg=")</f>
        <v>#VALUE!</v>
      </c>
      <c r="AP82" t="e">
        <f>AND(Names!AG57,"AAAAAGn39Sk=")</f>
        <v>#VALUE!</v>
      </c>
      <c r="AQ82" t="e">
        <f>AND(Names!AH57,"AAAAAGn39So=")</f>
        <v>#VALUE!</v>
      </c>
      <c r="AR82" t="e">
        <f>AND(Names!AI57,"AAAAAGn39Ss=")</f>
        <v>#VALUE!</v>
      </c>
      <c r="AS82" t="e">
        <f>AND(Names!AJ57,"AAAAAGn39Sw=")</f>
        <v>#VALUE!</v>
      </c>
      <c r="AT82" t="e">
        <f>AND(Names!AK57,"AAAAAGn39S0=")</f>
        <v>#VALUE!</v>
      </c>
      <c r="AU82" t="e">
        <f>AND(Names!AL57,"AAAAAGn39S4=")</f>
        <v>#VALUE!</v>
      </c>
      <c r="AV82" t="e">
        <f>AND(Names!AM57,"AAAAAGn39S8=")</f>
        <v>#VALUE!</v>
      </c>
      <c r="AW82">
        <f>IF(Names!58:58,"AAAAAGn39TA=",0)</f>
        <v>0</v>
      </c>
      <c r="AX82" t="e">
        <f>AND(Names!A58,"AAAAAGn39TE=")</f>
        <v>#VALUE!</v>
      </c>
      <c r="AY82" t="e">
        <f>AND(Names!B58,"AAAAAGn39TI=")</f>
        <v>#VALUE!</v>
      </c>
      <c r="AZ82" t="e">
        <f>AND(Names!C58,"AAAAAGn39TM=")</f>
        <v>#VALUE!</v>
      </c>
      <c r="BA82" t="e">
        <f>AND(Names!D58,"AAAAAGn39TQ=")</f>
        <v>#VALUE!</v>
      </c>
      <c r="BB82" t="e">
        <f>AND(Names!E58,"AAAAAGn39TU=")</f>
        <v>#VALUE!</v>
      </c>
      <c r="BC82" t="e">
        <f>AND(Names!F58,"AAAAAGn39TY=")</f>
        <v>#VALUE!</v>
      </c>
      <c r="BD82" t="e">
        <f>AND(Names!G58,"AAAAAGn39Tc=")</f>
        <v>#VALUE!</v>
      </c>
      <c r="BE82" t="e">
        <f>AND(Names!H58,"AAAAAGn39Tg=")</f>
        <v>#VALUE!</v>
      </c>
      <c r="BF82" t="e">
        <f>AND(Names!I58,"AAAAAGn39Tk=")</f>
        <v>#VALUE!</v>
      </c>
      <c r="BG82" t="e">
        <f>AND(Names!J58,"AAAAAGn39To=")</f>
        <v>#VALUE!</v>
      </c>
      <c r="BH82" t="e">
        <f>AND(Names!K58,"AAAAAGn39Ts=")</f>
        <v>#VALUE!</v>
      </c>
      <c r="BI82" t="e">
        <f>AND(Names!L58,"AAAAAGn39Tw=")</f>
        <v>#VALUE!</v>
      </c>
      <c r="BJ82" t="e">
        <f>AND(Names!M58,"AAAAAGn39T0=")</f>
        <v>#VALUE!</v>
      </c>
      <c r="BK82" t="e">
        <f>AND(Names!N58,"AAAAAGn39T4=")</f>
        <v>#VALUE!</v>
      </c>
      <c r="BL82" t="e">
        <f>AND(Names!O58,"AAAAAGn39T8=")</f>
        <v>#VALUE!</v>
      </c>
      <c r="BM82" t="e">
        <f>AND(Names!P58,"AAAAAGn39UA=")</f>
        <v>#VALUE!</v>
      </c>
      <c r="BN82" t="e">
        <f>AND(Names!Q58,"AAAAAGn39UE=")</f>
        <v>#VALUE!</v>
      </c>
      <c r="BO82" t="e">
        <f>AND(Names!R58,"AAAAAGn39UI=")</f>
        <v>#VALUE!</v>
      </c>
      <c r="BP82" t="e">
        <f>AND(Names!S58,"AAAAAGn39UM=")</f>
        <v>#VALUE!</v>
      </c>
      <c r="BQ82" t="e">
        <f>AND(Names!T58,"AAAAAGn39UQ=")</f>
        <v>#VALUE!</v>
      </c>
      <c r="BR82" t="e">
        <f>AND(Names!U58,"AAAAAGn39UU=")</f>
        <v>#VALUE!</v>
      </c>
      <c r="BS82" t="e">
        <f>AND(Names!V58,"AAAAAGn39UY=")</f>
        <v>#VALUE!</v>
      </c>
      <c r="BT82" t="e">
        <f>AND(Names!W58,"AAAAAGn39Uc=")</f>
        <v>#VALUE!</v>
      </c>
      <c r="BU82" t="e">
        <f>AND(Names!X58,"AAAAAGn39Ug=")</f>
        <v>#VALUE!</v>
      </c>
      <c r="BV82" t="e">
        <f>AND(Names!Y58,"AAAAAGn39Uk=")</f>
        <v>#VALUE!</v>
      </c>
      <c r="BW82" t="e">
        <f>AND(Names!Z58,"AAAAAGn39Uo=")</f>
        <v>#VALUE!</v>
      </c>
      <c r="BX82" t="e">
        <f>AND(Names!AA58,"AAAAAGn39Us=")</f>
        <v>#VALUE!</v>
      </c>
      <c r="BY82" t="e">
        <f>AND(Names!AB58,"AAAAAGn39Uw=")</f>
        <v>#VALUE!</v>
      </c>
      <c r="BZ82" t="e">
        <f>AND(Names!AC58,"AAAAAGn39U0=")</f>
        <v>#VALUE!</v>
      </c>
      <c r="CA82" t="e">
        <f>AND(Names!AD58,"AAAAAGn39U4=")</f>
        <v>#VALUE!</v>
      </c>
      <c r="CB82" t="e">
        <f>AND(Names!AE58,"AAAAAGn39U8=")</f>
        <v>#VALUE!</v>
      </c>
      <c r="CC82" t="e">
        <f>AND(Names!AF58,"AAAAAGn39VA=")</f>
        <v>#VALUE!</v>
      </c>
      <c r="CD82" t="e">
        <f>AND(Names!AG58,"AAAAAGn39VE=")</f>
        <v>#VALUE!</v>
      </c>
      <c r="CE82" t="e">
        <f>AND(Names!AH58,"AAAAAGn39VI=")</f>
        <v>#VALUE!</v>
      </c>
      <c r="CF82" t="e">
        <f>AND(Names!AI58,"AAAAAGn39VM=")</f>
        <v>#VALUE!</v>
      </c>
      <c r="CG82" t="e">
        <f>AND(Names!AJ58,"AAAAAGn39VQ=")</f>
        <v>#VALUE!</v>
      </c>
      <c r="CH82" t="e">
        <f>AND(Names!AK58,"AAAAAGn39VU=")</f>
        <v>#VALUE!</v>
      </c>
      <c r="CI82" t="e">
        <f>AND(Names!AL58,"AAAAAGn39VY=")</f>
        <v>#VALUE!</v>
      </c>
      <c r="CJ82" t="e">
        <f>AND(Names!AM58,"AAAAAGn39Vc=")</f>
        <v>#VALUE!</v>
      </c>
      <c r="CK82">
        <f>IF(Names!59:59,"AAAAAGn39Vg=",0)</f>
        <v>0</v>
      </c>
      <c r="CL82" t="e">
        <f>AND(Names!A59,"AAAAAGn39Vk=")</f>
        <v>#VALUE!</v>
      </c>
      <c r="CM82" t="e">
        <f>AND(Names!B59,"AAAAAGn39Vo=")</f>
        <v>#VALUE!</v>
      </c>
      <c r="CN82" t="e">
        <f>AND(Names!C59,"AAAAAGn39Vs=")</f>
        <v>#VALUE!</v>
      </c>
      <c r="CO82" t="e">
        <f>AND(Names!D59,"AAAAAGn39Vw=")</f>
        <v>#VALUE!</v>
      </c>
      <c r="CP82" t="e">
        <f>AND(Names!E59,"AAAAAGn39V0=")</f>
        <v>#VALUE!</v>
      </c>
      <c r="CQ82" t="e">
        <f>AND(Names!F59,"AAAAAGn39V4=")</f>
        <v>#VALUE!</v>
      </c>
      <c r="CR82" t="e">
        <f>AND(Names!G59,"AAAAAGn39V8=")</f>
        <v>#VALUE!</v>
      </c>
      <c r="CS82" t="e">
        <f>AND(Names!H59,"AAAAAGn39WA=")</f>
        <v>#VALUE!</v>
      </c>
      <c r="CT82" t="e">
        <f>AND(Names!I59,"AAAAAGn39WE=")</f>
        <v>#VALUE!</v>
      </c>
      <c r="CU82" t="e">
        <f>AND(Names!J59,"AAAAAGn39WI=")</f>
        <v>#VALUE!</v>
      </c>
      <c r="CV82" t="e">
        <f>AND(Names!K59,"AAAAAGn39WM=")</f>
        <v>#VALUE!</v>
      </c>
      <c r="CW82" t="e">
        <f>AND(Names!L59,"AAAAAGn39WQ=")</f>
        <v>#VALUE!</v>
      </c>
      <c r="CX82" t="e">
        <f>AND(Names!M59,"AAAAAGn39WU=")</f>
        <v>#VALUE!</v>
      </c>
      <c r="CY82" t="e">
        <f>AND(Names!N59,"AAAAAGn39WY=")</f>
        <v>#VALUE!</v>
      </c>
      <c r="CZ82" t="e">
        <f>AND(Names!O59,"AAAAAGn39Wc=")</f>
        <v>#VALUE!</v>
      </c>
      <c r="DA82" t="e">
        <f>AND(Names!P59,"AAAAAGn39Wg=")</f>
        <v>#VALUE!</v>
      </c>
      <c r="DB82" t="e">
        <f>AND(Names!Q59,"AAAAAGn39Wk=")</f>
        <v>#VALUE!</v>
      </c>
      <c r="DC82" t="e">
        <f>AND(Names!R59,"AAAAAGn39Wo=")</f>
        <v>#VALUE!</v>
      </c>
      <c r="DD82" t="e">
        <f>AND(Names!S59,"AAAAAGn39Ws=")</f>
        <v>#VALUE!</v>
      </c>
      <c r="DE82" t="e">
        <f>AND(Names!T59,"AAAAAGn39Ww=")</f>
        <v>#VALUE!</v>
      </c>
      <c r="DF82" t="e">
        <f>AND(Names!U59,"AAAAAGn39W0=")</f>
        <v>#VALUE!</v>
      </c>
      <c r="DG82" t="e">
        <f>AND(Names!V59,"AAAAAGn39W4=")</f>
        <v>#VALUE!</v>
      </c>
      <c r="DH82" t="e">
        <f>AND(Names!W59,"AAAAAGn39W8=")</f>
        <v>#VALUE!</v>
      </c>
      <c r="DI82" t="e">
        <f>AND(Names!X59,"AAAAAGn39XA=")</f>
        <v>#VALUE!</v>
      </c>
      <c r="DJ82" t="e">
        <f>AND(Names!Y59,"AAAAAGn39XE=")</f>
        <v>#VALUE!</v>
      </c>
      <c r="DK82" t="e">
        <f>AND(Names!Z59,"AAAAAGn39XI=")</f>
        <v>#VALUE!</v>
      </c>
      <c r="DL82" t="e">
        <f>AND(Names!AA59,"AAAAAGn39XM=")</f>
        <v>#VALUE!</v>
      </c>
      <c r="DM82" t="e">
        <f>AND(Names!AB59,"AAAAAGn39XQ=")</f>
        <v>#VALUE!</v>
      </c>
      <c r="DN82" t="e">
        <f>AND(Names!AC59,"AAAAAGn39XU=")</f>
        <v>#VALUE!</v>
      </c>
      <c r="DO82" t="e">
        <f>AND(Names!AD59,"AAAAAGn39XY=")</f>
        <v>#VALUE!</v>
      </c>
      <c r="DP82" t="e">
        <f>AND(Names!AE59,"AAAAAGn39Xc=")</f>
        <v>#VALUE!</v>
      </c>
      <c r="DQ82" t="e">
        <f>AND(Names!AF59,"AAAAAGn39Xg=")</f>
        <v>#VALUE!</v>
      </c>
      <c r="DR82" t="e">
        <f>AND(Names!AG59,"AAAAAGn39Xk=")</f>
        <v>#VALUE!</v>
      </c>
      <c r="DS82" t="e">
        <f>AND(Names!AH59,"AAAAAGn39Xo=")</f>
        <v>#VALUE!</v>
      </c>
      <c r="DT82" t="e">
        <f>AND(Names!AI59,"AAAAAGn39Xs=")</f>
        <v>#VALUE!</v>
      </c>
      <c r="DU82" t="e">
        <f>AND(Names!AJ59,"AAAAAGn39Xw=")</f>
        <v>#VALUE!</v>
      </c>
      <c r="DV82" t="e">
        <f>AND(Names!AK59,"AAAAAGn39X0=")</f>
        <v>#VALUE!</v>
      </c>
      <c r="DW82" t="e">
        <f>AND(Names!AL59,"AAAAAGn39X4=")</f>
        <v>#VALUE!</v>
      </c>
      <c r="DX82" t="e">
        <f>AND(Names!AM59,"AAAAAGn39X8=")</f>
        <v>#VALUE!</v>
      </c>
      <c r="DY82">
        <f>IF(Names!60:60,"AAAAAGn39YA=",0)</f>
        <v>0</v>
      </c>
      <c r="DZ82" t="e">
        <f>AND(Names!A60,"AAAAAGn39YE=")</f>
        <v>#VALUE!</v>
      </c>
      <c r="EA82" t="e">
        <f>AND(Names!B60,"AAAAAGn39YI=")</f>
        <v>#VALUE!</v>
      </c>
      <c r="EB82" t="e">
        <f>AND(Names!C60,"AAAAAGn39YM=")</f>
        <v>#VALUE!</v>
      </c>
      <c r="EC82" t="e">
        <f>AND(Names!D60,"AAAAAGn39YQ=")</f>
        <v>#VALUE!</v>
      </c>
      <c r="ED82" t="e">
        <f>AND(Names!E60,"AAAAAGn39YU=")</f>
        <v>#VALUE!</v>
      </c>
      <c r="EE82" t="e">
        <f>AND(Names!F60,"AAAAAGn39YY=")</f>
        <v>#VALUE!</v>
      </c>
      <c r="EF82" t="e">
        <f>AND(Names!G60,"AAAAAGn39Yc=")</f>
        <v>#VALUE!</v>
      </c>
      <c r="EG82" t="e">
        <f>AND(Names!H60,"AAAAAGn39Yg=")</f>
        <v>#VALUE!</v>
      </c>
      <c r="EH82" t="e">
        <f>AND(Names!I60,"AAAAAGn39Yk=")</f>
        <v>#VALUE!</v>
      </c>
      <c r="EI82" t="e">
        <f>AND(Names!J60,"AAAAAGn39Yo=")</f>
        <v>#VALUE!</v>
      </c>
      <c r="EJ82" t="e">
        <f>AND(Names!K60,"AAAAAGn39Ys=")</f>
        <v>#VALUE!</v>
      </c>
      <c r="EK82" t="e">
        <f>AND(Names!L60,"AAAAAGn39Yw=")</f>
        <v>#VALUE!</v>
      </c>
      <c r="EL82" t="e">
        <f>AND(Names!M60,"AAAAAGn39Y0=")</f>
        <v>#VALUE!</v>
      </c>
      <c r="EM82" t="e">
        <f>AND(Names!N60,"AAAAAGn39Y4=")</f>
        <v>#VALUE!</v>
      </c>
      <c r="EN82" t="e">
        <f>AND(Names!O60,"AAAAAGn39Y8=")</f>
        <v>#VALUE!</v>
      </c>
      <c r="EO82" t="e">
        <f>AND(Names!P60,"AAAAAGn39ZA=")</f>
        <v>#VALUE!</v>
      </c>
      <c r="EP82" t="e">
        <f>AND(Names!Q60,"AAAAAGn39ZE=")</f>
        <v>#VALUE!</v>
      </c>
      <c r="EQ82" t="e">
        <f>AND(Names!R60,"AAAAAGn39ZI=")</f>
        <v>#VALUE!</v>
      </c>
      <c r="ER82" t="e">
        <f>AND(Names!S60,"AAAAAGn39ZM=")</f>
        <v>#VALUE!</v>
      </c>
      <c r="ES82" t="e">
        <f>AND(Names!T60,"AAAAAGn39ZQ=")</f>
        <v>#VALUE!</v>
      </c>
      <c r="ET82" t="e">
        <f>AND(Names!U60,"AAAAAGn39ZU=")</f>
        <v>#VALUE!</v>
      </c>
      <c r="EU82" t="e">
        <f>AND(Names!V60,"AAAAAGn39ZY=")</f>
        <v>#VALUE!</v>
      </c>
      <c r="EV82" t="e">
        <f>AND(Names!W60,"AAAAAGn39Zc=")</f>
        <v>#VALUE!</v>
      </c>
      <c r="EW82" t="e">
        <f>AND(Names!X60,"AAAAAGn39Zg=")</f>
        <v>#VALUE!</v>
      </c>
      <c r="EX82" t="e">
        <f>AND(Names!Y60,"AAAAAGn39Zk=")</f>
        <v>#VALUE!</v>
      </c>
      <c r="EY82" t="e">
        <f>AND(Names!Z60,"AAAAAGn39Zo=")</f>
        <v>#VALUE!</v>
      </c>
      <c r="EZ82" t="e">
        <f>AND(Names!AA60,"AAAAAGn39Zs=")</f>
        <v>#VALUE!</v>
      </c>
      <c r="FA82" t="e">
        <f>AND(Names!AB60,"AAAAAGn39Zw=")</f>
        <v>#VALUE!</v>
      </c>
      <c r="FB82" t="e">
        <f>AND(Names!AC60,"AAAAAGn39Z0=")</f>
        <v>#VALUE!</v>
      </c>
      <c r="FC82" t="e">
        <f>AND(Names!AD60,"AAAAAGn39Z4=")</f>
        <v>#VALUE!</v>
      </c>
      <c r="FD82" t="e">
        <f>AND(Names!AE60,"AAAAAGn39Z8=")</f>
        <v>#VALUE!</v>
      </c>
      <c r="FE82" t="e">
        <f>AND(Names!AF60,"AAAAAGn39aA=")</f>
        <v>#VALUE!</v>
      </c>
      <c r="FF82" t="e">
        <f>AND(Names!AG60,"AAAAAGn39aE=")</f>
        <v>#VALUE!</v>
      </c>
      <c r="FG82" t="e">
        <f>AND(Names!AH60,"AAAAAGn39aI=")</f>
        <v>#VALUE!</v>
      </c>
      <c r="FH82" t="e">
        <f>AND(Names!AI60,"AAAAAGn39aM=")</f>
        <v>#VALUE!</v>
      </c>
      <c r="FI82" t="e">
        <f>AND(Names!AJ60,"AAAAAGn39aQ=")</f>
        <v>#VALUE!</v>
      </c>
      <c r="FJ82" t="e">
        <f>AND(Names!AK60,"AAAAAGn39aU=")</f>
        <v>#VALUE!</v>
      </c>
      <c r="FK82" t="e">
        <f>AND(Names!AL60,"AAAAAGn39aY=")</f>
        <v>#VALUE!</v>
      </c>
      <c r="FL82" t="e">
        <f>AND(Names!AM60,"AAAAAGn39ac=")</f>
        <v>#VALUE!</v>
      </c>
      <c r="FM82">
        <f>IF(Names!61:61,"AAAAAGn39ag=",0)</f>
        <v>0</v>
      </c>
      <c r="FN82" t="e">
        <f>AND(Names!A61,"AAAAAGn39ak=")</f>
        <v>#VALUE!</v>
      </c>
      <c r="FO82" t="e">
        <f>AND(Names!B61,"AAAAAGn39ao=")</f>
        <v>#VALUE!</v>
      </c>
      <c r="FP82" t="e">
        <f>AND(Names!C61,"AAAAAGn39as=")</f>
        <v>#VALUE!</v>
      </c>
      <c r="FQ82" t="e">
        <f>AND(Names!D61,"AAAAAGn39aw=")</f>
        <v>#VALUE!</v>
      </c>
      <c r="FR82" t="e">
        <f>AND(Names!E61,"AAAAAGn39a0=")</f>
        <v>#VALUE!</v>
      </c>
      <c r="FS82" t="e">
        <f>AND(Names!F61,"AAAAAGn39a4=")</f>
        <v>#VALUE!</v>
      </c>
      <c r="FT82" t="e">
        <f>AND(Names!G61,"AAAAAGn39a8=")</f>
        <v>#VALUE!</v>
      </c>
      <c r="FU82" t="e">
        <f>AND(Names!H61,"AAAAAGn39bA=")</f>
        <v>#VALUE!</v>
      </c>
      <c r="FV82" t="e">
        <f>AND(Names!I61,"AAAAAGn39bE=")</f>
        <v>#VALUE!</v>
      </c>
      <c r="FW82" t="e">
        <f>AND(Names!J61,"AAAAAGn39bI=")</f>
        <v>#VALUE!</v>
      </c>
      <c r="FX82" t="e">
        <f>AND(Names!K61,"AAAAAGn39bM=")</f>
        <v>#VALUE!</v>
      </c>
      <c r="FY82" t="e">
        <f>AND(Names!L61,"AAAAAGn39bQ=")</f>
        <v>#VALUE!</v>
      </c>
      <c r="FZ82" t="e">
        <f>AND(Names!M61,"AAAAAGn39bU=")</f>
        <v>#VALUE!</v>
      </c>
      <c r="GA82" t="e">
        <f>AND(Names!N61,"AAAAAGn39bY=")</f>
        <v>#VALUE!</v>
      </c>
      <c r="GB82" t="e">
        <f>AND(Names!O61,"AAAAAGn39bc=")</f>
        <v>#VALUE!</v>
      </c>
      <c r="GC82" t="e">
        <f>AND(Names!P61,"AAAAAGn39bg=")</f>
        <v>#VALUE!</v>
      </c>
      <c r="GD82" t="e">
        <f>AND(Names!Q61,"AAAAAGn39bk=")</f>
        <v>#VALUE!</v>
      </c>
      <c r="GE82" t="e">
        <f>AND(Names!R61,"AAAAAGn39bo=")</f>
        <v>#VALUE!</v>
      </c>
      <c r="GF82" t="e">
        <f>AND(Names!S61,"AAAAAGn39bs=")</f>
        <v>#VALUE!</v>
      </c>
      <c r="GG82" t="e">
        <f>AND(Names!T61,"AAAAAGn39bw=")</f>
        <v>#VALUE!</v>
      </c>
      <c r="GH82" t="e">
        <f>AND(Names!U61,"AAAAAGn39b0=")</f>
        <v>#VALUE!</v>
      </c>
      <c r="GI82" t="e">
        <f>AND(Names!V61,"AAAAAGn39b4=")</f>
        <v>#VALUE!</v>
      </c>
      <c r="GJ82" t="e">
        <f>AND(Names!W61,"AAAAAGn39b8=")</f>
        <v>#VALUE!</v>
      </c>
      <c r="GK82" t="e">
        <f>AND(Names!X61,"AAAAAGn39cA=")</f>
        <v>#VALUE!</v>
      </c>
      <c r="GL82" t="e">
        <f>AND(Names!Y61,"AAAAAGn39cE=")</f>
        <v>#VALUE!</v>
      </c>
      <c r="GM82" t="e">
        <f>AND(Names!Z61,"AAAAAGn39cI=")</f>
        <v>#VALUE!</v>
      </c>
      <c r="GN82" t="e">
        <f>AND(Names!AA61,"AAAAAGn39cM=")</f>
        <v>#VALUE!</v>
      </c>
      <c r="GO82" t="e">
        <f>AND(Names!AB61,"AAAAAGn39cQ=")</f>
        <v>#VALUE!</v>
      </c>
      <c r="GP82" t="e">
        <f>AND(Names!AC61,"AAAAAGn39cU=")</f>
        <v>#VALUE!</v>
      </c>
      <c r="GQ82" t="e">
        <f>AND(Names!AD61,"AAAAAGn39cY=")</f>
        <v>#VALUE!</v>
      </c>
      <c r="GR82" t="e">
        <f>AND(Names!AE61,"AAAAAGn39cc=")</f>
        <v>#VALUE!</v>
      </c>
      <c r="GS82" t="e">
        <f>AND(Names!AF61,"AAAAAGn39cg=")</f>
        <v>#VALUE!</v>
      </c>
      <c r="GT82" t="e">
        <f>AND(Names!AG61,"AAAAAGn39ck=")</f>
        <v>#VALUE!</v>
      </c>
      <c r="GU82" t="e">
        <f>AND(Names!AH61,"AAAAAGn39co=")</f>
        <v>#VALUE!</v>
      </c>
      <c r="GV82" t="e">
        <f>AND(Names!AI61,"AAAAAGn39cs=")</f>
        <v>#VALUE!</v>
      </c>
      <c r="GW82" t="e">
        <f>AND(Names!AJ61,"AAAAAGn39cw=")</f>
        <v>#VALUE!</v>
      </c>
      <c r="GX82" t="e">
        <f>AND(Names!AK61,"AAAAAGn39c0=")</f>
        <v>#VALUE!</v>
      </c>
      <c r="GY82" t="e">
        <f>AND(Names!AL61,"AAAAAGn39c4=")</f>
        <v>#VALUE!</v>
      </c>
      <c r="GZ82" t="e">
        <f>AND(Names!AM61,"AAAAAGn39c8=")</f>
        <v>#VALUE!</v>
      </c>
      <c r="HA82">
        <f>IF(Names!62:62,"AAAAAGn39dA=",0)</f>
        <v>0</v>
      </c>
      <c r="HB82" t="e">
        <f>AND(Names!A62,"AAAAAGn39dE=")</f>
        <v>#VALUE!</v>
      </c>
      <c r="HC82" t="e">
        <f>AND(Names!B62,"AAAAAGn39dI=")</f>
        <v>#VALUE!</v>
      </c>
      <c r="HD82" t="e">
        <f>AND(Names!C62,"AAAAAGn39dM=")</f>
        <v>#VALUE!</v>
      </c>
      <c r="HE82" t="e">
        <f>AND(Names!D62,"AAAAAGn39dQ=")</f>
        <v>#VALUE!</v>
      </c>
      <c r="HF82" t="e">
        <f>AND(Names!E62,"AAAAAGn39dU=")</f>
        <v>#VALUE!</v>
      </c>
      <c r="HG82" t="e">
        <f>AND(Names!F62,"AAAAAGn39dY=")</f>
        <v>#VALUE!</v>
      </c>
      <c r="HH82" t="e">
        <f>AND(Names!G62,"AAAAAGn39dc=")</f>
        <v>#VALUE!</v>
      </c>
      <c r="HI82" t="e">
        <f>AND(Names!H62,"AAAAAGn39dg=")</f>
        <v>#VALUE!</v>
      </c>
      <c r="HJ82" t="e">
        <f>AND(Names!I62,"AAAAAGn39dk=")</f>
        <v>#VALUE!</v>
      </c>
      <c r="HK82" t="e">
        <f>AND(Names!J62,"AAAAAGn39do=")</f>
        <v>#VALUE!</v>
      </c>
      <c r="HL82" t="e">
        <f>AND(Names!K62,"AAAAAGn39ds=")</f>
        <v>#VALUE!</v>
      </c>
      <c r="HM82" t="e">
        <f>AND(Names!L62,"AAAAAGn39dw=")</f>
        <v>#VALUE!</v>
      </c>
      <c r="HN82" t="e">
        <f>AND(Names!M62,"AAAAAGn39d0=")</f>
        <v>#VALUE!</v>
      </c>
      <c r="HO82" t="e">
        <f>AND(Names!N62,"AAAAAGn39d4=")</f>
        <v>#VALUE!</v>
      </c>
      <c r="HP82" t="e">
        <f>AND(Names!O62,"AAAAAGn39d8=")</f>
        <v>#VALUE!</v>
      </c>
      <c r="HQ82" t="e">
        <f>AND(Names!P62,"AAAAAGn39eA=")</f>
        <v>#VALUE!</v>
      </c>
      <c r="HR82" t="e">
        <f>AND(Names!Q62,"AAAAAGn39eE=")</f>
        <v>#VALUE!</v>
      </c>
      <c r="HS82" t="e">
        <f>AND(Names!R62,"AAAAAGn39eI=")</f>
        <v>#VALUE!</v>
      </c>
      <c r="HT82" t="e">
        <f>AND(Names!S62,"AAAAAGn39eM=")</f>
        <v>#VALUE!</v>
      </c>
      <c r="HU82" t="e">
        <f>AND(Names!T62,"AAAAAGn39eQ=")</f>
        <v>#VALUE!</v>
      </c>
      <c r="HV82" t="e">
        <f>AND(Names!U62,"AAAAAGn39eU=")</f>
        <v>#VALUE!</v>
      </c>
      <c r="HW82" t="e">
        <f>AND(Names!V62,"AAAAAGn39eY=")</f>
        <v>#VALUE!</v>
      </c>
      <c r="HX82" t="e">
        <f>AND(Names!W62,"AAAAAGn39ec=")</f>
        <v>#VALUE!</v>
      </c>
      <c r="HY82" t="e">
        <f>AND(Names!X62,"AAAAAGn39eg=")</f>
        <v>#VALUE!</v>
      </c>
      <c r="HZ82" t="e">
        <f>AND(Names!Y62,"AAAAAGn39ek=")</f>
        <v>#VALUE!</v>
      </c>
      <c r="IA82" t="e">
        <f>AND(Names!Z62,"AAAAAGn39eo=")</f>
        <v>#VALUE!</v>
      </c>
      <c r="IB82" t="e">
        <f>AND(Names!AA62,"AAAAAGn39es=")</f>
        <v>#VALUE!</v>
      </c>
      <c r="IC82" t="e">
        <f>AND(Names!AB62,"AAAAAGn39ew=")</f>
        <v>#VALUE!</v>
      </c>
      <c r="ID82" t="e">
        <f>AND(Names!AC62,"AAAAAGn39e0=")</f>
        <v>#VALUE!</v>
      </c>
      <c r="IE82" t="e">
        <f>AND(Names!AD62,"AAAAAGn39e4=")</f>
        <v>#VALUE!</v>
      </c>
      <c r="IF82" t="e">
        <f>AND(Names!AE62,"AAAAAGn39e8=")</f>
        <v>#VALUE!</v>
      </c>
      <c r="IG82" t="e">
        <f>AND(Names!AF62,"AAAAAGn39fA=")</f>
        <v>#VALUE!</v>
      </c>
      <c r="IH82" t="e">
        <f>AND(Names!AG62,"AAAAAGn39fE=")</f>
        <v>#VALUE!</v>
      </c>
      <c r="II82" t="e">
        <f>AND(Names!AH62,"AAAAAGn39fI=")</f>
        <v>#VALUE!</v>
      </c>
      <c r="IJ82" t="e">
        <f>AND(Names!AI62,"AAAAAGn39fM=")</f>
        <v>#VALUE!</v>
      </c>
      <c r="IK82" t="e">
        <f>AND(Names!AJ62,"AAAAAGn39fQ=")</f>
        <v>#VALUE!</v>
      </c>
      <c r="IL82" t="e">
        <f>AND(Names!AK62,"AAAAAGn39fU=")</f>
        <v>#VALUE!</v>
      </c>
      <c r="IM82" t="e">
        <f>AND(Names!AL62,"AAAAAGn39fY=")</f>
        <v>#VALUE!</v>
      </c>
      <c r="IN82" t="e">
        <f>AND(Names!AM62,"AAAAAGn39fc=")</f>
        <v>#VALUE!</v>
      </c>
      <c r="IO82">
        <f>IF(Names!63:63,"AAAAAGn39fg=",0)</f>
        <v>0</v>
      </c>
      <c r="IP82" t="e">
        <f>AND(Names!A63,"AAAAAGn39fk=")</f>
        <v>#VALUE!</v>
      </c>
      <c r="IQ82" t="e">
        <f>AND(Names!B63,"AAAAAGn39fo=")</f>
        <v>#VALUE!</v>
      </c>
      <c r="IR82" t="e">
        <f>AND(Names!C63,"AAAAAGn39fs=")</f>
        <v>#VALUE!</v>
      </c>
      <c r="IS82" t="e">
        <f>AND(Names!D63,"AAAAAGn39fw=")</f>
        <v>#VALUE!</v>
      </c>
      <c r="IT82" t="e">
        <f>AND(Names!E63,"AAAAAGn39f0=")</f>
        <v>#VALUE!</v>
      </c>
      <c r="IU82" t="e">
        <f>AND(Names!F63,"AAAAAGn39f4=")</f>
        <v>#VALUE!</v>
      </c>
      <c r="IV82" t="e">
        <f>AND(Names!G63,"AAAAAGn39f8=")</f>
        <v>#VALUE!</v>
      </c>
    </row>
    <row r="83" spans="1:256" x14ac:dyDescent="0.15">
      <c r="A83" t="e">
        <f>AND(Names!H63,"AAAAAHfe9QA=")</f>
        <v>#VALUE!</v>
      </c>
      <c r="B83" t="e">
        <f>AND(Names!I63,"AAAAAHfe9QE=")</f>
        <v>#VALUE!</v>
      </c>
      <c r="C83" t="e">
        <f>AND(Names!J63,"AAAAAHfe9QI=")</f>
        <v>#VALUE!</v>
      </c>
      <c r="D83" t="e">
        <f>AND(Names!K63,"AAAAAHfe9QM=")</f>
        <v>#VALUE!</v>
      </c>
      <c r="E83" t="e">
        <f>AND(Names!L63,"AAAAAHfe9QQ=")</f>
        <v>#VALUE!</v>
      </c>
      <c r="F83" t="e">
        <f>AND(Names!M63,"AAAAAHfe9QU=")</f>
        <v>#VALUE!</v>
      </c>
      <c r="G83" t="e">
        <f>AND(Names!N63,"AAAAAHfe9QY=")</f>
        <v>#VALUE!</v>
      </c>
      <c r="H83" t="e">
        <f>AND(Names!O63,"AAAAAHfe9Qc=")</f>
        <v>#VALUE!</v>
      </c>
      <c r="I83" t="e">
        <f>AND(Names!P63,"AAAAAHfe9Qg=")</f>
        <v>#VALUE!</v>
      </c>
      <c r="J83" t="e">
        <f>AND(Names!Q63,"AAAAAHfe9Qk=")</f>
        <v>#VALUE!</v>
      </c>
      <c r="K83" t="e">
        <f>AND(Names!R63,"AAAAAHfe9Qo=")</f>
        <v>#VALUE!</v>
      </c>
      <c r="L83" t="e">
        <f>AND(Names!S63,"AAAAAHfe9Qs=")</f>
        <v>#VALUE!</v>
      </c>
      <c r="M83" t="e">
        <f>AND(Names!T63,"AAAAAHfe9Qw=")</f>
        <v>#VALUE!</v>
      </c>
      <c r="N83" t="e">
        <f>AND(Names!U63,"AAAAAHfe9Q0=")</f>
        <v>#VALUE!</v>
      </c>
      <c r="O83" t="e">
        <f>AND(Names!V63,"AAAAAHfe9Q4=")</f>
        <v>#VALUE!</v>
      </c>
      <c r="P83" t="e">
        <f>AND(Names!W63,"AAAAAHfe9Q8=")</f>
        <v>#VALUE!</v>
      </c>
      <c r="Q83" t="e">
        <f>AND(Names!X63,"AAAAAHfe9RA=")</f>
        <v>#VALUE!</v>
      </c>
      <c r="R83" t="e">
        <f>AND(Names!Y63,"AAAAAHfe9RE=")</f>
        <v>#VALUE!</v>
      </c>
      <c r="S83" t="e">
        <f>AND(Names!Z63,"AAAAAHfe9RI=")</f>
        <v>#VALUE!</v>
      </c>
      <c r="T83" t="e">
        <f>AND(Names!AA63,"AAAAAHfe9RM=")</f>
        <v>#VALUE!</v>
      </c>
      <c r="U83" t="e">
        <f>AND(Names!AB63,"AAAAAHfe9RQ=")</f>
        <v>#VALUE!</v>
      </c>
      <c r="V83" t="e">
        <f>AND(Names!AC63,"AAAAAHfe9RU=")</f>
        <v>#VALUE!</v>
      </c>
      <c r="W83" t="e">
        <f>AND(Names!AD63,"AAAAAHfe9RY=")</f>
        <v>#VALUE!</v>
      </c>
      <c r="X83" t="e">
        <f>AND(Names!AE63,"AAAAAHfe9Rc=")</f>
        <v>#VALUE!</v>
      </c>
      <c r="Y83" t="e">
        <f>AND(Names!AF63,"AAAAAHfe9Rg=")</f>
        <v>#VALUE!</v>
      </c>
      <c r="Z83" t="e">
        <f>AND(Names!AG63,"AAAAAHfe9Rk=")</f>
        <v>#VALUE!</v>
      </c>
      <c r="AA83" t="e">
        <f>AND(Names!AH63,"AAAAAHfe9Ro=")</f>
        <v>#VALUE!</v>
      </c>
      <c r="AB83" t="e">
        <f>AND(Names!AI63,"AAAAAHfe9Rs=")</f>
        <v>#VALUE!</v>
      </c>
      <c r="AC83" t="e">
        <f>AND(Names!AJ63,"AAAAAHfe9Rw=")</f>
        <v>#VALUE!</v>
      </c>
      <c r="AD83" t="e">
        <f>AND(Names!AK63,"AAAAAHfe9R0=")</f>
        <v>#VALUE!</v>
      </c>
      <c r="AE83" t="e">
        <f>AND(Names!AL63,"AAAAAHfe9R4=")</f>
        <v>#VALUE!</v>
      </c>
      <c r="AF83" t="e">
        <f>AND(Names!AM63,"AAAAAHfe9R8=")</f>
        <v>#VALUE!</v>
      </c>
      <c r="AG83">
        <f>IF(Names!64:64,"AAAAAHfe9SA=",0)</f>
        <v>0</v>
      </c>
      <c r="AH83" t="e">
        <f>AND(Names!A64,"AAAAAHfe9SE=")</f>
        <v>#VALUE!</v>
      </c>
      <c r="AI83" t="e">
        <f>AND(Names!B64,"AAAAAHfe9SI=")</f>
        <v>#VALUE!</v>
      </c>
      <c r="AJ83" t="e">
        <f>AND(Names!C64,"AAAAAHfe9SM=")</f>
        <v>#VALUE!</v>
      </c>
      <c r="AK83" t="e">
        <f>AND(Names!D64,"AAAAAHfe9SQ=")</f>
        <v>#VALUE!</v>
      </c>
      <c r="AL83" t="e">
        <f>AND(Names!E64,"AAAAAHfe9SU=")</f>
        <v>#VALUE!</v>
      </c>
      <c r="AM83" t="e">
        <f>AND(Names!F64,"AAAAAHfe9SY=")</f>
        <v>#VALUE!</v>
      </c>
      <c r="AN83" t="e">
        <f>AND(Names!G64,"AAAAAHfe9Sc=")</f>
        <v>#VALUE!</v>
      </c>
      <c r="AO83" t="e">
        <f>AND(Names!H64,"AAAAAHfe9Sg=")</f>
        <v>#VALUE!</v>
      </c>
      <c r="AP83" t="e">
        <f>AND(Names!I64,"AAAAAHfe9Sk=")</f>
        <v>#VALUE!</v>
      </c>
      <c r="AQ83" t="e">
        <f>AND(Names!J64,"AAAAAHfe9So=")</f>
        <v>#VALUE!</v>
      </c>
      <c r="AR83" t="e">
        <f>AND(Names!K64,"AAAAAHfe9Ss=")</f>
        <v>#VALUE!</v>
      </c>
      <c r="AS83" t="e">
        <f>AND(Names!L64,"AAAAAHfe9Sw=")</f>
        <v>#VALUE!</v>
      </c>
      <c r="AT83" t="e">
        <f>AND(Names!M64,"AAAAAHfe9S0=")</f>
        <v>#VALUE!</v>
      </c>
      <c r="AU83" t="e">
        <f>AND(Names!N64,"AAAAAHfe9S4=")</f>
        <v>#VALUE!</v>
      </c>
      <c r="AV83" t="e">
        <f>AND(Names!O64,"AAAAAHfe9S8=")</f>
        <v>#VALUE!</v>
      </c>
      <c r="AW83" t="e">
        <f>AND(Names!P64,"AAAAAHfe9TA=")</f>
        <v>#VALUE!</v>
      </c>
      <c r="AX83" t="e">
        <f>AND(Names!Q64,"AAAAAHfe9TE=")</f>
        <v>#VALUE!</v>
      </c>
      <c r="AY83" t="e">
        <f>AND(Names!R64,"AAAAAHfe9TI=")</f>
        <v>#VALUE!</v>
      </c>
      <c r="AZ83" t="e">
        <f>AND(Names!S64,"AAAAAHfe9TM=")</f>
        <v>#VALUE!</v>
      </c>
      <c r="BA83" t="e">
        <f>AND(Names!T64,"AAAAAHfe9TQ=")</f>
        <v>#VALUE!</v>
      </c>
      <c r="BB83" t="e">
        <f>AND(Names!U64,"AAAAAHfe9TU=")</f>
        <v>#VALUE!</v>
      </c>
      <c r="BC83" t="e">
        <f>AND(Names!V64,"AAAAAHfe9TY=")</f>
        <v>#VALUE!</v>
      </c>
      <c r="BD83" t="e">
        <f>AND(Names!W64,"AAAAAHfe9Tc=")</f>
        <v>#VALUE!</v>
      </c>
      <c r="BE83" t="e">
        <f>AND(Names!X64,"AAAAAHfe9Tg=")</f>
        <v>#VALUE!</v>
      </c>
      <c r="BF83" t="e">
        <f>AND(Names!Y64,"AAAAAHfe9Tk=")</f>
        <v>#VALUE!</v>
      </c>
      <c r="BG83" t="e">
        <f>AND(Names!Z64,"AAAAAHfe9To=")</f>
        <v>#VALUE!</v>
      </c>
      <c r="BH83" t="e">
        <f>AND(Names!AA64,"AAAAAHfe9Ts=")</f>
        <v>#VALUE!</v>
      </c>
      <c r="BI83" t="e">
        <f>AND(Names!AB64,"AAAAAHfe9Tw=")</f>
        <v>#VALUE!</v>
      </c>
      <c r="BJ83" t="e">
        <f>AND(Names!AC64,"AAAAAHfe9T0=")</f>
        <v>#VALUE!</v>
      </c>
      <c r="BK83" t="e">
        <f>AND(Names!AD64,"AAAAAHfe9T4=")</f>
        <v>#VALUE!</v>
      </c>
      <c r="BL83" t="e">
        <f>AND(Names!AE64,"AAAAAHfe9T8=")</f>
        <v>#VALUE!</v>
      </c>
      <c r="BM83" t="e">
        <f>AND(Names!AF64,"AAAAAHfe9UA=")</f>
        <v>#VALUE!</v>
      </c>
      <c r="BN83" t="e">
        <f>AND(Names!AG64,"AAAAAHfe9UE=")</f>
        <v>#VALUE!</v>
      </c>
      <c r="BO83" t="e">
        <f>AND(Names!AH64,"AAAAAHfe9UI=")</f>
        <v>#VALUE!</v>
      </c>
      <c r="BP83" t="e">
        <f>AND(Names!AI64,"AAAAAHfe9UM=")</f>
        <v>#VALUE!</v>
      </c>
      <c r="BQ83" t="e">
        <f>AND(Names!AJ64,"AAAAAHfe9UQ=")</f>
        <v>#VALUE!</v>
      </c>
      <c r="BR83" t="e">
        <f>AND(Names!AK64,"AAAAAHfe9UU=")</f>
        <v>#VALUE!</v>
      </c>
      <c r="BS83" t="e">
        <f>AND(Names!AL64,"AAAAAHfe9UY=")</f>
        <v>#VALUE!</v>
      </c>
      <c r="BT83" t="e">
        <f>AND(Names!AM64,"AAAAAHfe9Uc=")</f>
        <v>#VALUE!</v>
      </c>
      <c r="BU83">
        <f>IF(Names!65:65,"AAAAAHfe9Ug=",0)</f>
        <v>0</v>
      </c>
      <c r="BV83" t="e">
        <f>AND(Names!A65,"AAAAAHfe9Uk=")</f>
        <v>#VALUE!</v>
      </c>
      <c r="BW83" t="e">
        <f>AND(Names!B65,"AAAAAHfe9Uo=")</f>
        <v>#VALUE!</v>
      </c>
      <c r="BX83" t="e">
        <f>AND(Names!C65,"AAAAAHfe9Us=")</f>
        <v>#VALUE!</v>
      </c>
      <c r="BY83" t="e">
        <f>AND(Names!D65,"AAAAAHfe9Uw=")</f>
        <v>#VALUE!</v>
      </c>
      <c r="BZ83" t="e">
        <f>AND(Names!E65,"AAAAAHfe9U0=")</f>
        <v>#VALUE!</v>
      </c>
      <c r="CA83" t="e">
        <f>AND(Names!F65,"AAAAAHfe9U4=")</f>
        <v>#VALUE!</v>
      </c>
      <c r="CB83" t="e">
        <f>AND(Names!G65,"AAAAAHfe9U8=")</f>
        <v>#VALUE!</v>
      </c>
      <c r="CC83" t="e">
        <f>AND(Names!H65,"AAAAAHfe9VA=")</f>
        <v>#VALUE!</v>
      </c>
      <c r="CD83" t="e">
        <f>AND(Names!I65,"AAAAAHfe9VE=")</f>
        <v>#VALUE!</v>
      </c>
      <c r="CE83" t="e">
        <f>AND(Names!J65,"AAAAAHfe9VI=")</f>
        <v>#VALUE!</v>
      </c>
      <c r="CF83" t="e">
        <f>AND(Names!K65,"AAAAAHfe9VM=")</f>
        <v>#VALUE!</v>
      </c>
      <c r="CG83" t="e">
        <f>AND(Names!L65,"AAAAAHfe9VQ=")</f>
        <v>#VALUE!</v>
      </c>
      <c r="CH83" t="e">
        <f>AND(Names!M65,"AAAAAHfe9VU=")</f>
        <v>#VALUE!</v>
      </c>
      <c r="CI83" t="e">
        <f>AND(Names!N65,"AAAAAHfe9VY=")</f>
        <v>#VALUE!</v>
      </c>
      <c r="CJ83" t="e">
        <f>AND(Names!O65,"AAAAAHfe9Vc=")</f>
        <v>#VALUE!</v>
      </c>
      <c r="CK83" t="e">
        <f>AND(Names!P65,"AAAAAHfe9Vg=")</f>
        <v>#VALUE!</v>
      </c>
      <c r="CL83" t="e">
        <f>AND(Names!Q65,"AAAAAHfe9Vk=")</f>
        <v>#VALUE!</v>
      </c>
      <c r="CM83" t="e">
        <f>AND(Names!R65,"AAAAAHfe9Vo=")</f>
        <v>#VALUE!</v>
      </c>
      <c r="CN83" t="e">
        <f>AND(Names!S65,"AAAAAHfe9Vs=")</f>
        <v>#VALUE!</v>
      </c>
      <c r="CO83" t="e">
        <f>AND(Names!T65,"AAAAAHfe9Vw=")</f>
        <v>#VALUE!</v>
      </c>
      <c r="CP83" t="e">
        <f>AND(Names!U65,"AAAAAHfe9V0=")</f>
        <v>#VALUE!</v>
      </c>
      <c r="CQ83" t="e">
        <f>AND(Names!V65,"AAAAAHfe9V4=")</f>
        <v>#VALUE!</v>
      </c>
      <c r="CR83" t="e">
        <f>AND(Names!W65,"AAAAAHfe9V8=")</f>
        <v>#VALUE!</v>
      </c>
      <c r="CS83" t="e">
        <f>AND(Names!X65,"AAAAAHfe9WA=")</f>
        <v>#VALUE!</v>
      </c>
      <c r="CT83" t="e">
        <f>AND(Names!Y65,"AAAAAHfe9WE=")</f>
        <v>#VALUE!</v>
      </c>
      <c r="CU83" t="e">
        <f>AND(Names!Z65,"AAAAAHfe9WI=")</f>
        <v>#VALUE!</v>
      </c>
      <c r="CV83" t="e">
        <f>AND(Names!AA65,"AAAAAHfe9WM=")</f>
        <v>#VALUE!</v>
      </c>
      <c r="CW83" t="e">
        <f>AND(Names!AB65,"AAAAAHfe9WQ=")</f>
        <v>#VALUE!</v>
      </c>
      <c r="CX83" t="e">
        <f>AND(Names!AC65,"AAAAAHfe9WU=")</f>
        <v>#VALUE!</v>
      </c>
      <c r="CY83" t="e">
        <f>AND(Names!AD65,"AAAAAHfe9WY=")</f>
        <v>#VALUE!</v>
      </c>
      <c r="CZ83" t="e">
        <f>AND(Names!AE65,"AAAAAHfe9Wc=")</f>
        <v>#VALUE!</v>
      </c>
      <c r="DA83" t="e">
        <f>AND(Names!AF65,"AAAAAHfe9Wg=")</f>
        <v>#VALUE!</v>
      </c>
      <c r="DB83" t="e">
        <f>AND(Names!AG65,"AAAAAHfe9Wk=")</f>
        <v>#VALUE!</v>
      </c>
      <c r="DC83" t="e">
        <f>AND(Names!AH65,"AAAAAHfe9Wo=")</f>
        <v>#VALUE!</v>
      </c>
      <c r="DD83" t="e">
        <f>AND(Names!AI65,"AAAAAHfe9Ws=")</f>
        <v>#VALUE!</v>
      </c>
      <c r="DE83" t="e">
        <f>AND(Names!AJ65,"AAAAAHfe9Ww=")</f>
        <v>#VALUE!</v>
      </c>
      <c r="DF83" t="e">
        <f>AND(Names!AK65,"AAAAAHfe9W0=")</f>
        <v>#VALUE!</v>
      </c>
      <c r="DG83" t="e">
        <f>AND(Names!AL65,"AAAAAHfe9W4=")</f>
        <v>#VALUE!</v>
      </c>
      <c r="DH83" t="e">
        <f>AND(Names!AM65,"AAAAAHfe9W8=")</f>
        <v>#VALUE!</v>
      </c>
      <c r="DI83">
        <f>IF(Names!66:66,"AAAAAHfe9XA=",0)</f>
        <v>0</v>
      </c>
      <c r="DJ83" t="e">
        <f>AND(Names!A66,"AAAAAHfe9XE=")</f>
        <v>#VALUE!</v>
      </c>
      <c r="DK83" t="e">
        <f>AND(Names!B66,"AAAAAHfe9XI=")</f>
        <v>#VALUE!</v>
      </c>
      <c r="DL83" t="e">
        <f>AND(Names!C66,"AAAAAHfe9XM=")</f>
        <v>#VALUE!</v>
      </c>
      <c r="DM83" t="e">
        <f>AND(Names!D66,"AAAAAHfe9XQ=")</f>
        <v>#VALUE!</v>
      </c>
      <c r="DN83" t="e">
        <f>AND(Names!E66,"AAAAAHfe9XU=")</f>
        <v>#VALUE!</v>
      </c>
      <c r="DO83" t="e">
        <f>AND(Names!F66,"AAAAAHfe9XY=")</f>
        <v>#VALUE!</v>
      </c>
      <c r="DP83" t="e">
        <f>AND(Names!G66,"AAAAAHfe9Xc=")</f>
        <v>#VALUE!</v>
      </c>
      <c r="DQ83" t="e">
        <f>AND(Names!H66,"AAAAAHfe9Xg=")</f>
        <v>#VALUE!</v>
      </c>
      <c r="DR83" t="e">
        <f>AND(Names!I66,"AAAAAHfe9Xk=")</f>
        <v>#VALUE!</v>
      </c>
      <c r="DS83" t="e">
        <f>AND(Names!J66,"AAAAAHfe9Xo=")</f>
        <v>#VALUE!</v>
      </c>
      <c r="DT83" t="e">
        <f>AND(Names!K66,"AAAAAHfe9Xs=")</f>
        <v>#VALUE!</v>
      </c>
      <c r="DU83" t="e">
        <f>AND(Names!L66,"AAAAAHfe9Xw=")</f>
        <v>#VALUE!</v>
      </c>
      <c r="DV83" t="e">
        <f>AND(Names!M66,"AAAAAHfe9X0=")</f>
        <v>#VALUE!</v>
      </c>
      <c r="DW83" t="e">
        <f>AND(Names!N66,"AAAAAHfe9X4=")</f>
        <v>#VALUE!</v>
      </c>
      <c r="DX83" t="e">
        <f>AND(Names!O66,"AAAAAHfe9X8=")</f>
        <v>#VALUE!</v>
      </c>
      <c r="DY83" t="e">
        <f>AND(Names!P66,"AAAAAHfe9YA=")</f>
        <v>#VALUE!</v>
      </c>
      <c r="DZ83" t="e">
        <f>AND(Names!Q66,"AAAAAHfe9YE=")</f>
        <v>#VALUE!</v>
      </c>
      <c r="EA83" t="e">
        <f>AND(Names!R66,"AAAAAHfe9YI=")</f>
        <v>#VALUE!</v>
      </c>
      <c r="EB83" t="e">
        <f>AND(Names!S66,"AAAAAHfe9YM=")</f>
        <v>#VALUE!</v>
      </c>
      <c r="EC83" t="e">
        <f>AND(Names!T66,"AAAAAHfe9YQ=")</f>
        <v>#VALUE!</v>
      </c>
      <c r="ED83" t="e">
        <f>AND(Names!U66,"AAAAAHfe9YU=")</f>
        <v>#VALUE!</v>
      </c>
      <c r="EE83" t="e">
        <f>AND(Names!V66,"AAAAAHfe9YY=")</f>
        <v>#VALUE!</v>
      </c>
      <c r="EF83" t="e">
        <f>AND(Names!W66,"AAAAAHfe9Yc=")</f>
        <v>#VALUE!</v>
      </c>
      <c r="EG83" t="e">
        <f>AND(Names!X66,"AAAAAHfe9Yg=")</f>
        <v>#VALUE!</v>
      </c>
      <c r="EH83" t="e">
        <f>AND(Names!Y66,"AAAAAHfe9Yk=")</f>
        <v>#VALUE!</v>
      </c>
      <c r="EI83" t="e">
        <f>AND(Names!Z66,"AAAAAHfe9Yo=")</f>
        <v>#VALUE!</v>
      </c>
      <c r="EJ83" t="e">
        <f>AND(Names!AA66,"AAAAAHfe9Ys=")</f>
        <v>#VALUE!</v>
      </c>
      <c r="EK83" t="e">
        <f>AND(Names!AB66,"AAAAAHfe9Yw=")</f>
        <v>#VALUE!</v>
      </c>
      <c r="EL83" t="e">
        <f>AND(Names!AC66,"AAAAAHfe9Y0=")</f>
        <v>#VALUE!</v>
      </c>
      <c r="EM83" t="e">
        <f>AND(Names!AD66,"AAAAAHfe9Y4=")</f>
        <v>#VALUE!</v>
      </c>
      <c r="EN83" t="e">
        <f>AND(Names!AE66,"AAAAAHfe9Y8=")</f>
        <v>#VALUE!</v>
      </c>
      <c r="EO83" t="e">
        <f>AND(Names!AF66,"AAAAAHfe9ZA=")</f>
        <v>#VALUE!</v>
      </c>
      <c r="EP83" t="e">
        <f>AND(Names!AG66,"AAAAAHfe9ZE=")</f>
        <v>#VALUE!</v>
      </c>
      <c r="EQ83" t="e">
        <f>AND(Names!AH66,"AAAAAHfe9ZI=")</f>
        <v>#VALUE!</v>
      </c>
      <c r="ER83" t="e">
        <f>AND(Names!AI66,"AAAAAHfe9ZM=")</f>
        <v>#VALUE!</v>
      </c>
      <c r="ES83" t="e">
        <f>AND(Names!AJ66,"AAAAAHfe9ZQ=")</f>
        <v>#VALUE!</v>
      </c>
      <c r="ET83" t="e">
        <f>AND(Names!AK66,"AAAAAHfe9ZU=")</f>
        <v>#VALUE!</v>
      </c>
      <c r="EU83" t="e">
        <f>AND(Names!AL66,"AAAAAHfe9ZY=")</f>
        <v>#VALUE!</v>
      </c>
      <c r="EV83" t="e">
        <f>AND(Names!AM66,"AAAAAHfe9Zc=")</f>
        <v>#VALUE!</v>
      </c>
      <c r="EW83">
        <f>IF(Names!67:67,"AAAAAHfe9Zg=",0)</f>
        <v>0</v>
      </c>
      <c r="EX83" t="e">
        <f>AND(Names!A67,"AAAAAHfe9Zk=")</f>
        <v>#VALUE!</v>
      </c>
      <c r="EY83" t="e">
        <f>AND(Names!B67,"AAAAAHfe9Zo=")</f>
        <v>#VALUE!</v>
      </c>
      <c r="EZ83" t="e">
        <f>AND(Names!C67,"AAAAAHfe9Zs=")</f>
        <v>#VALUE!</v>
      </c>
      <c r="FA83" t="e">
        <f>AND(Names!D67,"AAAAAHfe9Zw=")</f>
        <v>#VALUE!</v>
      </c>
      <c r="FB83" t="e">
        <f>AND(Names!E67,"AAAAAHfe9Z0=")</f>
        <v>#VALUE!</v>
      </c>
      <c r="FC83" t="e">
        <f>AND(Names!F67,"AAAAAHfe9Z4=")</f>
        <v>#VALUE!</v>
      </c>
      <c r="FD83" t="e">
        <f>AND(Names!G67,"AAAAAHfe9Z8=")</f>
        <v>#VALUE!</v>
      </c>
      <c r="FE83" t="e">
        <f>AND(Names!H67,"AAAAAHfe9aA=")</f>
        <v>#VALUE!</v>
      </c>
      <c r="FF83" t="e">
        <f>AND(Names!I67,"AAAAAHfe9aE=")</f>
        <v>#VALUE!</v>
      </c>
      <c r="FG83" t="e">
        <f>AND(Names!J67,"AAAAAHfe9aI=")</f>
        <v>#VALUE!</v>
      </c>
      <c r="FH83" t="e">
        <f>AND(Names!K67,"AAAAAHfe9aM=")</f>
        <v>#VALUE!</v>
      </c>
      <c r="FI83" t="e">
        <f>AND(Names!L67,"AAAAAHfe9aQ=")</f>
        <v>#VALUE!</v>
      </c>
      <c r="FJ83" t="e">
        <f>AND(Names!M67,"AAAAAHfe9aU=")</f>
        <v>#VALUE!</v>
      </c>
      <c r="FK83" t="e">
        <f>AND(Names!N67,"AAAAAHfe9aY=")</f>
        <v>#VALUE!</v>
      </c>
      <c r="FL83" t="e">
        <f>AND(Names!O67,"AAAAAHfe9ac=")</f>
        <v>#VALUE!</v>
      </c>
      <c r="FM83" t="e">
        <f>AND(Names!P67,"AAAAAHfe9ag=")</f>
        <v>#VALUE!</v>
      </c>
      <c r="FN83" t="e">
        <f>AND(Names!Q67,"AAAAAHfe9ak=")</f>
        <v>#VALUE!</v>
      </c>
      <c r="FO83" t="e">
        <f>AND(Names!R67,"AAAAAHfe9ao=")</f>
        <v>#VALUE!</v>
      </c>
      <c r="FP83" t="e">
        <f>AND(Names!S67,"AAAAAHfe9as=")</f>
        <v>#VALUE!</v>
      </c>
      <c r="FQ83" t="e">
        <f>AND(Names!T67,"AAAAAHfe9aw=")</f>
        <v>#VALUE!</v>
      </c>
      <c r="FR83" t="e">
        <f>AND(Names!U67,"AAAAAHfe9a0=")</f>
        <v>#VALUE!</v>
      </c>
      <c r="FS83" t="e">
        <f>AND(Names!V67,"AAAAAHfe9a4=")</f>
        <v>#VALUE!</v>
      </c>
      <c r="FT83" t="e">
        <f>AND(Names!W67,"AAAAAHfe9a8=")</f>
        <v>#VALUE!</v>
      </c>
      <c r="FU83" t="e">
        <f>AND(Names!X67,"AAAAAHfe9bA=")</f>
        <v>#VALUE!</v>
      </c>
      <c r="FV83" t="e">
        <f>AND(Names!Y67,"AAAAAHfe9bE=")</f>
        <v>#VALUE!</v>
      </c>
      <c r="FW83" t="e">
        <f>AND(Names!Z67,"AAAAAHfe9bI=")</f>
        <v>#VALUE!</v>
      </c>
      <c r="FX83" t="e">
        <f>AND(Names!AA67,"AAAAAHfe9bM=")</f>
        <v>#VALUE!</v>
      </c>
      <c r="FY83" t="e">
        <f>AND(Names!AB67,"AAAAAHfe9bQ=")</f>
        <v>#VALUE!</v>
      </c>
      <c r="FZ83" t="e">
        <f>AND(Names!AC67,"AAAAAHfe9bU=")</f>
        <v>#VALUE!</v>
      </c>
      <c r="GA83" t="e">
        <f>AND(Names!AD67,"AAAAAHfe9bY=")</f>
        <v>#VALUE!</v>
      </c>
      <c r="GB83" t="e">
        <f>AND(Names!AE67,"AAAAAHfe9bc=")</f>
        <v>#VALUE!</v>
      </c>
      <c r="GC83" t="e">
        <f>AND(Names!AF67,"AAAAAHfe9bg=")</f>
        <v>#VALUE!</v>
      </c>
      <c r="GD83" t="e">
        <f>AND(Names!AG67,"AAAAAHfe9bk=")</f>
        <v>#VALUE!</v>
      </c>
      <c r="GE83" t="e">
        <f>AND(Names!AH67,"AAAAAHfe9bo=")</f>
        <v>#VALUE!</v>
      </c>
      <c r="GF83" t="e">
        <f>AND(Names!AI67,"AAAAAHfe9bs=")</f>
        <v>#VALUE!</v>
      </c>
      <c r="GG83" t="e">
        <f>AND(Names!AJ67,"AAAAAHfe9bw=")</f>
        <v>#VALUE!</v>
      </c>
      <c r="GH83" t="e">
        <f>AND(Names!AK67,"AAAAAHfe9b0=")</f>
        <v>#VALUE!</v>
      </c>
      <c r="GI83" t="e">
        <f>AND(Names!AL67,"AAAAAHfe9b4=")</f>
        <v>#VALUE!</v>
      </c>
      <c r="GJ83" t="e">
        <f>AND(Names!AM67,"AAAAAHfe9b8=")</f>
        <v>#VALUE!</v>
      </c>
      <c r="GK83">
        <f>IF(Names!68:68,"AAAAAHfe9cA=",0)</f>
        <v>0</v>
      </c>
      <c r="GL83" t="e">
        <f>AND(Names!A68,"AAAAAHfe9cE=")</f>
        <v>#VALUE!</v>
      </c>
      <c r="GM83" t="e">
        <f>AND(Names!B68,"AAAAAHfe9cI=")</f>
        <v>#VALUE!</v>
      </c>
      <c r="GN83" t="e">
        <f>AND(Names!C68,"AAAAAHfe9cM=")</f>
        <v>#VALUE!</v>
      </c>
      <c r="GO83" t="e">
        <f>AND(Names!D68,"AAAAAHfe9cQ=")</f>
        <v>#VALUE!</v>
      </c>
      <c r="GP83" t="e">
        <f>AND(Names!E68,"AAAAAHfe9cU=")</f>
        <v>#VALUE!</v>
      </c>
      <c r="GQ83" t="e">
        <f>AND(Names!F68,"AAAAAHfe9cY=")</f>
        <v>#VALUE!</v>
      </c>
      <c r="GR83" t="e">
        <f>AND(Names!G68,"AAAAAHfe9cc=")</f>
        <v>#VALUE!</v>
      </c>
      <c r="GS83" t="e">
        <f>AND(Names!H68,"AAAAAHfe9cg=")</f>
        <v>#VALUE!</v>
      </c>
      <c r="GT83" t="e">
        <f>AND(Names!I68,"AAAAAHfe9ck=")</f>
        <v>#VALUE!</v>
      </c>
      <c r="GU83" t="e">
        <f>AND(Names!J68,"AAAAAHfe9co=")</f>
        <v>#VALUE!</v>
      </c>
      <c r="GV83" t="e">
        <f>AND(Names!K68,"AAAAAHfe9cs=")</f>
        <v>#VALUE!</v>
      </c>
      <c r="GW83" t="e">
        <f>AND(Names!L68,"AAAAAHfe9cw=")</f>
        <v>#VALUE!</v>
      </c>
      <c r="GX83" t="e">
        <f>AND(Names!M68,"AAAAAHfe9c0=")</f>
        <v>#VALUE!</v>
      </c>
      <c r="GY83" t="e">
        <f>AND(Names!N68,"AAAAAHfe9c4=")</f>
        <v>#VALUE!</v>
      </c>
      <c r="GZ83" t="e">
        <f>AND(Names!O68,"AAAAAHfe9c8=")</f>
        <v>#VALUE!</v>
      </c>
      <c r="HA83" t="e">
        <f>AND(Names!P68,"AAAAAHfe9dA=")</f>
        <v>#VALUE!</v>
      </c>
      <c r="HB83" t="e">
        <f>AND(Names!Q68,"AAAAAHfe9dE=")</f>
        <v>#VALUE!</v>
      </c>
      <c r="HC83" t="e">
        <f>AND(Names!R68,"AAAAAHfe9dI=")</f>
        <v>#VALUE!</v>
      </c>
      <c r="HD83" t="e">
        <f>AND(Names!S68,"AAAAAHfe9dM=")</f>
        <v>#VALUE!</v>
      </c>
      <c r="HE83" t="e">
        <f>AND(Names!T68,"AAAAAHfe9dQ=")</f>
        <v>#VALUE!</v>
      </c>
      <c r="HF83" t="e">
        <f>AND(Names!U68,"AAAAAHfe9dU=")</f>
        <v>#VALUE!</v>
      </c>
      <c r="HG83" t="e">
        <f>AND(Names!V68,"AAAAAHfe9dY=")</f>
        <v>#VALUE!</v>
      </c>
      <c r="HH83" t="e">
        <f>AND(Names!W68,"AAAAAHfe9dc=")</f>
        <v>#VALUE!</v>
      </c>
      <c r="HI83" t="e">
        <f>AND(Names!X68,"AAAAAHfe9dg=")</f>
        <v>#VALUE!</v>
      </c>
      <c r="HJ83" t="e">
        <f>AND(Names!Y68,"AAAAAHfe9dk=")</f>
        <v>#VALUE!</v>
      </c>
      <c r="HK83" t="e">
        <f>AND(Names!Z68,"AAAAAHfe9do=")</f>
        <v>#VALUE!</v>
      </c>
      <c r="HL83" t="e">
        <f>AND(Names!AA68,"AAAAAHfe9ds=")</f>
        <v>#VALUE!</v>
      </c>
      <c r="HM83" t="e">
        <f>AND(Names!AB68,"AAAAAHfe9dw=")</f>
        <v>#VALUE!</v>
      </c>
      <c r="HN83" t="e">
        <f>AND(Names!AC68,"AAAAAHfe9d0=")</f>
        <v>#VALUE!</v>
      </c>
      <c r="HO83" t="e">
        <f>AND(Names!AD68,"AAAAAHfe9d4=")</f>
        <v>#VALUE!</v>
      </c>
      <c r="HP83" t="e">
        <f>AND(Names!AE68,"AAAAAHfe9d8=")</f>
        <v>#VALUE!</v>
      </c>
      <c r="HQ83" t="e">
        <f>AND(Names!AF68,"AAAAAHfe9eA=")</f>
        <v>#VALUE!</v>
      </c>
      <c r="HR83" t="e">
        <f>AND(Names!AG68,"AAAAAHfe9eE=")</f>
        <v>#VALUE!</v>
      </c>
      <c r="HS83" t="e">
        <f>AND(Names!AH68,"AAAAAHfe9eI=")</f>
        <v>#VALUE!</v>
      </c>
      <c r="HT83" t="e">
        <f>AND(Names!AI68,"AAAAAHfe9eM=")</f>
        <v>#VALUE!</v>
      </c>
      <c r="HU83" t="e">
        <f>AND(Names!AJ68,"AAAAAHfe9eQ=")</f>
        <v>#VALUE!</v>
      </c>
      <c r="HV83" t="e">
        <f>AND(Names!AK68,"AAAAAHfe9eU=")</f>
        <v>#VALUE!</v>
      </c>
      <c r="HW83" t="e">
        <f>AND(Names!AL68,"AAAAAHfe9eY=")</f>
        <v>#VALUE!</v>
      </c>
      <c r="HX83" t="e">
        <f>AND(Names!AM68,"AAAAAHfe9ec=")</f>
        <v>#VALUE!</v>
      </c>
      <c r="HY83">
        <f>IF(Names!69:69,"AAAAAHfe9eg=",0)</f>
        <v>0</v>
      </c>
      <c r="HZ83" t="e">
        <f>AND(Names!A69,"AAAAAHfe9ek=")</f>
        <v>#VALUE!</v>
      </c>
      <c r="IA83" t="e">
        <f>AND(Names!B69,"AAAAAHfe9eo=")</f>
        <v>#VALUE!</v>
      </c>
      <c r="IB83" t="e">
        <f>AND(Names!C69,"AAAAAHfe9es=")</f>
        <v>#VALUE!</v>
      </c>
      <c r="IC83" t="e">
        <f>AND(Names!D69,"AAAAAHfe9ew=")</f>
        <v>#VALUE!</v>
      </c>
      <c r="ID83" t="e">
        <f>AND(Names!E69,"AAAAAHfe9e0=")</f>
        <v>#VALUE!</v>
      </c>
      <c r="IE83" t="e">
        <f>AND(Names!F69,"AAAAAHfe9e4=")</f>
        <v>#VALUE!</v>
      </c>
      <c r="IF83" t="e">
        <f>AND(Names!G69,"AAAAAHfe9e8=")</f>
        <v>#VALUE!</v>
      </c>
      <c r="IG83" t="e">
        <f>AND(Names!H69,"AAAAAHfe9fA=")</f>
        <v>#VALUE!</v>
      </c>
      <c r="IH83" t="e">
        <f>AND(Names!I69,"AAAAAHfe9fE=")</f>
        <v>#VALUE!</v>
      </c>
      <c r="II83" t="e">
        <f>AND(Names!J69,"AAAAAHfe9fI=")</f>
        <v>#VALUE!</v>
      </c>
      <c r="IJ83" t="e">
        <f>AND(Names!K69,"AAAAAHfe9fM=")</f>
        <v>#VALUE!</v>
      </c>
      <c r="IK83" t="e">
        <f>AND(Names!L69,"AAAAAHfe9fQ=")</f>
        <v>#VALUE!</v>
      </c>
      <c r="IL83" t="e">
        <f>AND(Names!M69,"AAAAAHfe9fU=")</f>
        <v>#VALUE!</v>
      </c>
      <c r="IM83" t="e">
        <f>AND(Names!N69,"AAAAAHfe9fY=")</f>
        <v>#VALUE!</v>
      </c>
      <c r="IN83" t="e">
        <f>AND(Names!O69,"AAAAAHfe9fc=")</f>
        <v>#VALUE!</v>
      </c>
      <c r="IO83" t="e">
        <f>AND(Names!P69,"AAAAAHfe9fg=")</f>
        <v>#VALUE!</v>
      </c>
      <c r="IP83" t="e">
        <f>AND(Names!Q69,"AAAAAHfe9fk=")</f>
        <v>#VALUE!</v>
      </c>
      <c r="IQ83" t="e">
        <f>AND(Names!R69,"AAAAAHfe9fo=")</f>
        <v>#VALUE!</v>
      </c>
      <c r="IR83" t="e">
        <f>AND(Names!S69,"AAAAAHfe9fs=")</f>
        <v>#VALUE!</v>
      </c>
      <c r="IS83" t="e">
        <f>AND(Names!T69,"AAAAAHfe9fw=")</f>
        <v>#VALUE!</v>
      </c>
      <c r="IT83" t="e">
        <f>AND(Names!U69,"AAAAAHfe9f0=")</f>
        <v>#VALUE!</v>
      </c>
      <c r="IU83" t="e">
        <f>AND(Names!V69,"AAAAAHfe9f4=")</f>
        <v>#VALUE!</v>
      </c>
      <c r="IV83" t="e">
        <f>AND(Names!W69,"AAAAAHfe9f8=")</f>
        <v>#VALUE!</v>
      </c>
    </row>
    <row r="84" spans="1:256" x14ac:dyDescent="0.15">
      <c r="A84" t="e">
        <f>AND(Names!X69,"AAAAAHNyZwA=")</f>
        <v>#VALUE!</v>
      </c>
      <c r="B84" t="e">
        <f>AND(Names!Y69,"AAAAAHNyZwE=")</f>
        <v>#VALUE!</v>
      </c>
      <c r="C84" t="e">
        <f>AND(Names!Z69,"AAAAAHNyZwI=")</f>
        <v>#VALUE!</v>
      </c>
      <c r="D84" t="e">
        <f>AND(Names!AA69,"AAAAAHNyZwM=")</f>
        <v>#VALUE!</v>
      </c>
      <c r="E84" t="e">
        <f>AND(Names!AB69,"AAAAAHNyZwQ=")</f>
        <v>#VALUE!</v>
      </c>
      <c r="F84" t="e">
        <f>AND(Names!AC69,"AAAAAHNyZwU=")</f>
        <v>#VALUE!</v>
      </c>
      <c r="G84" t="e">
        <f>AND(Names!AD69,"AAAAAHNyZwY=")</f>
        <v>#VALUE!</v>
      </c>
      <c r="H84" t="e">
        <f>AND(Names!AE69,"AAAAAHNyZwc=")</f>
        <v>#VALUE!</v>
      </c>
      <c r="I84" t="e">
        <f>AND(Names!AF69,"AAAAAHNyZwg=")</f>
        <v>#VALUE!</v>
      </c>
      <c r="J84" t="e">
        <f>AND(Names!AG69,"AAAAAHNyZwk=")</f>
        <v>#VALUE!</v>
      </c>
      <c r="K84" t="e">
        <f>AND(Names!AH69,"AAAAAHNyZwo=")</f>
        <v>#VALUE!</v>
      </c>
      <c r="L84" t="e">
        <f>AND(Names!AI69,"AAAAAHNyZws=")</f>
        <v>#VALUE!</v>
      </c>
      <c r="M84" t="e">
        <f>AND(Names!AJ69,"AAAAAHNyZww=")</f>
        <v>#VALUE!</v>
      </c>
      <c r="N84" t="e">
        <f>AND(Names!AK69,"AAAAAHNyZw0=")</f>
        <v>#VALUE!</v>
      </c>
      <c r="O84" t="e">
        <f>AND(Names!AL69,"AAAAAHNyZw4=")</f>
        <v>#VALUE!</v>
      </c>
      <c r="P84" t="e">
        <f>AND(Names!AM69,"AAAAAHNyZw8=")</f>
        <v>#VALUE!</v>
      </c>
      <c r="Q84">
        <f>IF(Names!70:70,"AAAAAHNyZxA=",0)</f>
        <v>0</v>
      </c>
      <c r="R84" t="e">
        <f>AND(Names!A70,"AAAAAHNyZxE=")</f>
        <v>#VALUE!</v>
      </c>
      <c r="S84" t="e">
        <f>AND(Names!B70,"AAAAAHNyZxI=")</f>
        <v>#VALUE!</v>
      </c>
      <c r="T84" t="e">
        <f>AND(Names!C70,"AAAAAHNyZxM=")</f>
        <v>#VALUE!</v>
      </c>
      <c r="U84" t="e">
        <f>AND(Names!D70,"AAAAAHNyZxQ=")</f>
        <v>#VALUE!</v>
      </c>
      <c r="V84" t="e">
        <f>AND(Names!E70,"AAAAAHNyZxU=")</f>
        <v>#VALUE!</v>
      </c>
      <c r="W84" t="e">
        <f>AND(Names!F70,"AAAAAHNyZxY=")</f>
        <v>#VALUE!</v>
      </c>
      <c r="X84" t="e">
        <f>AND(Names!G70,"AAAAAHNyZxc=")</f>
        <v>#VALUE!</v>
      </c>
      <c r="Y84" t="e">
        <f>AND(Names!H70,"AAAAAHNyZxg=")</f>
        <v>#VALUE!</v>
      </c>
      <c r="Z84" t="e">
        <f>AND(Names!I70,"AAAAAHNyZxk=")</f>
        <v>#VALUE!</v>
      </c>
      <c r="AA84" t="e">
        <f>AND(Names!J70,"AAAAAHNyZxo=")</f>
        <v>#VALUE!</v>
      </c>
      <c r="AB84" t="e">
        <f>AND(Names!K70,"AAAAAHNyZxs=")</f>
        <v>#VALUE!</v>
      </c>
      <c r="AC84" t="e">
        <f>AND(Names!L70,"AAAAAHNyZxw=")</f>
        <v>#VALUE!</v>
      </c>
      <c r="AD84" t="e">
        <f>AND(Names!M70,"AAAAAHNyZx0=")</f>
        <v>#VALUE!</v>
      </c>
      <c r="AE84" t="e">
        <f>AND(Names!N70,"AAAAAHNyZx4=")</f>
        <v>#VALUE!</v>
      </c>
      <c r="AF84" t="e">
        <f>AND(Names!O70,"AAAAAHNyZx8=")</f>
        <v>#VALUE!</v>
      </c>
      <c r="AG84" t="e">
        <f>AND(Names!P70,"AAAAAHNyZyA=")</f>
        <v>#VALUE!</v>
      </c>
      <c r="AH84" t="e">
        <f>AND(Names!Q70,"AAAAAHNyZyE=")</f>
        <v>#VALUE!</v>
      </c>
      <c r="AI84" t="e">
        <f>AND(Names!R70,"AAAAAHNyZyI=")</f>
        <v>#VALUE!</v>
      </c>
      <c r="AJ84" t="e">
        <f>AND(Names!S70,"AAAAAHNyZyM=")</f>
        <v>#VALUE!</v>
      </c>
      <c r="AK84" t="e">
        <f>AND(Names!T70,"AAAAAHNyZyQ=")</f>
        <v>#VALUE!</v>
      </c>
      <c r="AL84" t="e">
        <f>AND(Names!U70,"AAAAAHNyZyU=")</f>
        <v>#VALUE!</v>
      </c>
      <c r="AM84" t="e">
        <f>AND(Names!V70,"AAAAAHNyZyY=")</f>
        <v>#VALUE!</v>
      </c>
      <c r="AN84" t="e">
        <f>AND(Names!W70,"AAAAAHNyZyc=")</f>
        <v>#VALUE!</v>
      </c>
      <c r="AO84" t="e">
        <f>AND(Names!X70,"AAAAAHNyZyg=")</f>
        <v>#VALUE!</v>
      </c>
      <c r="AP84" t="e">
        <f>AND(Names!Y70,"AAAAAHNyZyk=")</f>
        <v>#VALUE!</v>
      </c>
      <c r="AQ84" t="e">
        <f>AND(Names!Z70,"AAAAAHNyZyo=")</f>
        <v>#VALUE!</v>
      </c>
      <c r="AR84" t="e">
        <f>AND(Names!AA70,"AAAAAHNyZys=")</f>
        <v>#VALUE!</v>
      </c>
      <c r="AS84" t="e">
        <f>AND(Names!AB70,"AAAAAHNyZyw=")</f>
        <v>#VALUE!</v>
      </c>
      <c r="AT84" t="e">
        <f>AND(Names!AC70,"AAAAAHNyZy0=")</f>
        <v>#VALUE!</v>
      </c>
      <c r="AU84" t="e">
        <f>AND(Names!AD70,"AAAAAHNyZy4=")</f>
        <v>#VALUE!</v>
      </c>
      <c r="AV84" t="e">
        <f>AND(Names!AE70,"AAAAAHNyZy8=")</f>
        <v>#VALUE!</v>
      </c>
      <c r="AW84" t="e">
        <f>AND(Names!AF70,"AAAAAHNyZzA=")</f>
        <v>#VALUE!</v>
      </c>
      <c r="AX84" t="e">
        <f>AND(Names!AG70,"AAAAAHNyZzE=")</f>
        <v>#VALUE!</v>
      </c>
      <c r="AY84" t="e">
        <f>AND(Names!AH70,"AAAAAHNyZzI=")</f>
        <v>#VALUE!</v>
      </c>
      <c r="AZ84" t="e">
        <f>AND(Names!AI70,"AAAAAHNyZzM=")</f>
        <v>#VALUE!</v>
      </c>
      <c r="BA84" t="e">
        <f>AND(Names!AJ70,"AAAAAHNyZzQ=")</f>
        <v>#VALUE!</v>
      </c>
      <c r="BB84" t="e">
        <f>AND(Names!AK70,"AAAAAHNyZzU=")</f>
        <v>#VALUE!</v>
      </c>
      <c r="BC84" t="e">
        <f>AND(Names!AL70,"AAAAAHNyZzY=")</f>
        <v>#VALUE!</v>
      </c>
      <c r="BD84" t="e">
        <f>AND(Names!AM70,"AAAAAHNyZzc=")</f>
        <v>#VALUE!</v>
      </c>
      <c r="BE84">
        <f>IF(Names!71:71,"AAAAAHNyZzg=",0)</f>
        <v>0</v>
      </c>
      <c r="BF84" t="e">
        <f>AND(Names!A71,"AAAAAHNyZzk=")</f>
        <v>#VALUE!</v>
      </c>
      <c r="BG84" t="e">
        <f>AND(Names!B71,"AAAAAHNyZzo=")</f>
        <v>#VALUE!</v>
      </c>
      <c r="BH84" t="e">
        <f>AND(Names!C71,"AAAAAHNyZzs=")</f>
        <v>#VALUE!</v>
      </c>
      <c r="BI84" t="e">
        <f>AND(Names!D71,"AAAAAHNyZzw=")</f>
        <v>#VALUE!</v>
      </c>
      <c r="BJ84" t="e">
        <f>AND(Names!E71,"AAAAAHNyZz0=")</f>
        <v>#VALUE!</v>
      </c>
      <c r="BK84" t="e">
        <f>AND(Names!F71,"AAAAAHNyZz4=")</f>
        <v>#VALUE!</v>
      </c>
      <c r="BL84" t="e">
        <f>AND(Names!G71,"AAAAAHNyZz8=")</f>
        <v>#VALUE!</v>
      </c>
      <c r="BM84" t="e">
        <f>AND(Names!H71,"AAAAAHNyZ0A=")</f>
        <v>#VALUE!</v>
      </c>
      <c r="BN84" t="e">
        <f>AND(Names!I71,"AAAAAHNyZ0E=")</f>
        <v>#VALUE!</v>
      </c>
      <c r="BO84" t="e">
        <f>AND(Names!J71,"AAAAAHNyZ0I=")</f>
        <v>#VALUE!</v>
      </c>
      <c r="BP84" t="e">
        <f>AND(Names!K71,"AAAAAHNyZ0M=")</f>
        <v>#VALUE!</v>
      </c>
      <c r="BQ84" t="e">
        <f>AND(Names!L71,"AAAAAHNyZ0Q=")</f>
        <v>#VALUE!</v>
      </c>
      <c r="BR84" t="e">
        <f>AND(Names!M71,"AAAAAHNyZ0U=")</f>
        <v>#VALUE!</v>
      </c>
      <c r="BS84" t="e">
        <f>AND(Names!N71,"AAAAAHNyZ0Y=")</f>
        <v>#VALUE!</v>
      </c>
      <c r="BT84" t="e">
        <f>AND(Names!O71,"AAAAAHNyZ0c=")</f>
        <v>#VALUE!</v>
      </c>
      <c r="BU84" t="e">
        <f>AND(Names!P71,"AAAAAHNyZ0g=")</f>
        <v>#VALUE!</v>
      </c>
      <c r="BV84" t="e">
        <f>AND(Names!Q71,"AAAAAHNyZ0k=")</f>
        <v>#VALUE!</v>
      </c>
      <c r="BW84" t="e">
        <f>AND(Names!R71,"AAAAAHNyZ0o=")</f>
        <v>#VALUE!</v>
      </c>
      <c r="BX84" t="e">
        <f>AND(Names!S71,"AAAAAHNyZ0s=")</f>
        <v>#VALUE!</v>
      </c>
      <c r="BY84" t="e">
        <f>AND(Names!T71,"AAAAAHNyZ0w=")</f>
        <v>#VALUE!</v>
      </c>
      <c r="BZ84" t="e">
        <f>AND(Names!U71,"AAAAAHNyZ00=")</f>
        <v>#VALUE!</v>
      </c>
      <c r="CA84" t="e">
        <f>AND(Names!V71,"AAAAAHNyZ04=")</f>
        <v>#VALUE!</v>
      </c>
      <c r="CB84" t="e">
        <f>AND(Names!W71,"AAAAAHNyZ08=")</f>
        <v>#VALUE!</v>
      </c>
      <c r="CC84" t="e">
        <f>AND(Names!X71,"AAAAAHNyZ1A=")</f>
        <v>#VALUE!</v>
      </c>
      <c r="CD84" t="e">
        <f>AND(Names!Y71,"AAAAAHNyZ1E=")</f>
        <v>#VALUE!</v>
      </c>
      <c r="CE84" t="e">
        <f>AND(Names!Z71,"AAAAAHNyZ1I=")</f>
        <v>#VALUE!</v>
      </c>
      <c r="CF84" t="e">
        <f>AND(Names!AA71,"AAAAAHNyZ1M=")</f>
        <v>#VALUE!</v>
      </c>
      <c r="CG84" t="e">
        <f>AND(Names!AB71,"AAAAAHNyZ1Q=")</f>
        <v>#VALUE!</v>
      </c>
      <c r="CH84" t="e">
        <f>AND(Names!AC71,"AAAAAHNyZ1U=")</f>
        <v>#VALUE!</v>
      </c>
      <c r="CI84" t="e">
        <f>AND(Names!AD71,"AAAAAHNyZ1Y=")</f>
        <v>#VALUE!</v>
      </c>
      <c r="CJ84" t="e">
        <f>AND(Names!AE71,"AAAAAHNyZ1c=")</f>
        <v>#VALUE!</v>
      </c>
      <c r="CK84" t="e">
        <f>AND(Names!AF71,"AAAAAHNyZ1g=")</f>
        <v>#VALUE!</v>
      </c>
      <c r="CL84" t="e">
        <f>AND(Names!AG71,"AAAAAHNyZ1k=")</f>
        <v>#VALUE!</v>
      </c>
      <c r="CM84" t="e">
        <f>AND(Names!AH71,"AAAAAHNyZ1o=")</f>
        <v>#VALUE!</v>
      </c>
      <c r="CN84" t="e">
        <f>AND(Names!AI71,"AAAAAHNyZ1s=")</f>
        <v>#VALUE!</v>
      </c>
      <c r="CO84" t="e">
        <f>AND(Names!AJ71,"AAAAAHNyZ1w=")</f>
        <v>#VALUE!</v>
      </c>
      <c r="CP84" t="e">
        <f>AND(Names!AK71,"AAAAAHNyZ10=")</f>
        <v>#VALUE!</v>
      </c>
      <c r="CQ84" t="e">
        <f>AND(Names!AL71,"AAAAAHNyZ14=")</f>
        <v>#VALUE!</v>
      </c>
      <c r="CR84" t="e">
        <f>AND(Names!AM71,"AAAAAHNyZ18=")</f>
        <v>#VALUE!</v>
      </c>
      <c r="CS84">
        <f>IF(Names!72:72,"AAAAAHNyZ2A=",0)</f>
        <v>0</v>
      </c>
      <c r="CT84" t="e">
        <f>AND(Names!A72,"AAAAAHNyZ2E=")</f>
        <v>#VALUE!</v>
      </c>
      <c r="CU84" t="e">
        <f>AND(Names!B72,"AAAAAHNyZ2I=")</f>
        <v>#VALUE!</v>
      </c>
      <c r="CV84" t="e">
        <f>AND(Names!C72,"AAAAAHNyZ2M=")</f>
        <v>#VALUE!</v>
      </c>
      <c r="CW84" t="e">
        <f>AND(Names!D72,"AAAAAHNyZ2Q=")</f>
        <v>#VALUE!</v>
      </c>
      <c r="CX84" t="e">
        <f>AND(Names!E72,"AAAAAHNyZ2U=")</f>
        <v>#VALUE!</v>
      </c>
      <c r="CY84" t="e">
        <f>AND(Names!F72,"AAAAAHNyZ2Y=")</f>
        <v>#VALUE!</v>
      </c>
      <c r="CZ84" t="e">
        <f>AND(Names!G72,"AAAAAHNyZ2c=")</f>
        <v>#VALUE!</v>
      </c>
      <c r="DA84" t="e">
        <f>AND(Names!H72,"AAAAAHNyZ2g=")</f>
        <v>#VALUE!</v>
      </c>
      <c r="DB84" t="e">
        <f>AND(Names!I72,"AAAAAHNyZ2k=")</f>
        <v>#VALUE!</v>
      </c>
      <c r="DC84" t="e">
        <f>AND(Names!J72,"AAAAAHNyZ2o=")</f>
        <v>#VALUE!</v>
      </c>
      <c r="DD84" t="e">
        <f>AND(Names!K72,"AAAAAHNyZ2s=")</f>
        <v>#VALUE!</v>
      </c>
      <c r="DE84" t="e">
        <f>AND(Names!L72,"AAAAAHNyZ2w=")</f>
        <v>#VALUE!</v>
      </c>
      <c r="DF84" t="e">
        <f>AND(Names!M72,"AAAAAHNyZ20=")</f>
        <v>#VALUE!</v>
      </c>
      <c r="DG84" t="e">
        <f>AND(Names!N72,"AAAAAHNyZ24=")</f>
        <v>#VALUE!</v>
      </c>
      <c r="DH84" t="e">
        <f>AND(Names!O72,"AAAAAHNyZ28=")</f>
        <v>#VALUE!</v>
      </c>
      <c r="DI84" t="e">
        <f>AND(Names!P72,"AAAAAHNyZ3A=")</f>
        <v>#VALUE!</v>
      </c>
      <c r="DJ84" t="e">
        <f>AND(Names!Q72,"AAAAAHNyZ3E=")</f>
        <v>#VALUE!</v>
      </c>
      <c r="DK84" t="e">
        <f>AND(Names!R72,"AAAAAHNyZ3I=")</f>
        <v>#VALUE!</v>
      </c>
      <c r="DL84" t="e">
        <f>AND(Names!S72,"AAAAAHNyZ3M=")</f>
        <v>#VALUE!</v>
      </c>
      <c r="DM84" t="e">
        <f>AND(Names!T72,"AAAAAHNyZ3Q=")</f>
        <v>#VALUE!</v>
      </c>
      <c r="DN84" t="e">
        <f>AND(Names!U72,"AAAAAHNyZ3U=")</f>
        <v>#VALUE!</v>
      </c>
      <c r="DO84" t="e">
        <f>AND(Names!V72,"AAAAAHNyZ3Y=")</f>
        <v>#VALUE!</v>
      </c>
      <c r="DP84" t="e">
        <f>AND(Names!W72,"AAAAAHNyZ3c=")</f>
        <v>#VALUE!</v>
      </c>
      <c r="DQ84" t="e">
        <f>AND(Names!X72,"AAAAAHNyZ3g=")</f>
        <v>#VALUE!</v>
      </c>
      <c r="DR84" t="e">
        <f>AND(Names!Y72,"AAAAAHNyZ3k=")</f>
        <v>#VALUE!</v>
      </c>
      <c r="DS84" t="e">
        <f>AND(Names!Z72,"AAAAAHNyZ3o=")</f>
        <v>#VALUE!</v>
      </c>
      <c r="DT84" t="e">
        <f>AND(Names!AA72,"AAAAAHNyZ3s=")</f>
        <v>#VALUE!</v>
      </c>
      <c r="DU84" t="e">
        <f>AND(Names!AB72,"AAAAAHNyZ3w=")</f>
        <v>#VALUE!</v>
      </c>
      <c r="DV84" t="e">
        <f>AND(Names!AC72,"AAAAAHNyZ30=")</f>
        <v>#VALUE!</v>
      </c>
      <c r="DW84" t="e">
        <f>AND(Names!AD72,"AAAAAHNyZ34=")</f>
        <v>#VALUE!</v>
      </c>
      <c r="DX84" t="e">
        <f>AND(Names!AE72,"AAAAAHNyZ38=")</f>
        <v>#VALUE!</v>
      </c>
      <c r="DY84" t="e">
        <f>AND(Names!AF72,"AAAAAHNyZ4A=")</f>
        <v>#VALUE!</v>
      </c>
      <c r="DZ84" t="e">
        <f>AND(Names!AG72,"AAAAAHNyZ4E=")</f>
        <v>#VALUE!</v>
      </c>
      <c r="EA84" t="e">
        <f>AND(Names!AH72,"AAAAAHNyZ4I=")</f>
        <v>#VALUE!</v>
      </c>
      <c r="EB84" t="e">
        <f>AND(Names!AI72,"AAAAAHNyZ4M=")</f>
        <v>#VALUE!</v>
      </c>
      <c r="EC84" t="e">
        <f>AND(Names!AJ72,"AAAAAHNyZ4Q=")</f>
        <v>#VALUE!</v>
      </c>
      <c r="ED84" t="e">
        <f>AND(Names!AK72,"AAAAAHNyZ4U=")</f>
        <v>#VALUE!</v>
      </c>
      <c r="EE84" t="e">
        <f>AND(Names!AL72,"AAAAAHNyZ4Y=")</f>
        <v>#VALUE!</v>
      </c>
      <c r="EF84" t="e">
        <f>AND(Names!AM72,"AAAAAHNyZ4c=")</f>
        <v>#VALUE!</v>
      </c>
      <c r="EG84">
        <f>IF(Names!73:73,"AAAAAHNyZ4g=",0)</f>
        <v>0</v>
      </c>
      <c r="EH84" t="e">
        <f>AND(Names!A73,"AAAAAHNyZ4k=")</f>
        <v>#VALUE!</v>
      </c>
      <c r="EI84" t="e">
        <f>AND(Names!B73,"AAAAAHNyZ4o=")</f>
        <v>#VALUE!</v>
      </c>
      <c r="EJ84" t="e">
        <f>AND(Names!C73,"AAAAAHNyZ4s=")</f>
        <v>#VALUE!</v>
      </c>
      <c r="EK84" t="e">
        <f>AND(Names!D73,"AAAAAHNyZ4w=")</f>
        <v>#VALUE!</v>
      </c>
      <c r="EL84" t="e">
        <f>AND(Names!E73,"AAAAAHNyZ40=")</f>
        <v>#VALUE!</v>
      </c>
      <c r="EM84" t="e">
        <f>AND(Names!F73,"AAAAAHNyZ44=")</f>
        <v>#VALUE!</v>
      </c>
      <c r="EN84" t="e">
        <f>AND(Names!G73,"AAAAAHNyZ48=")</f>
        <v>#VALUE!</v>
      </c>
      <c r="EO84" t="e">
        <f>AND(Names!H73,"AAAAAHNyZ5A=")</f>
        <v>#VALUE!</v>
      </c>
      <c r="EP84" t="e">
        <f>AND(Names!I73,"AAAAAHNyZ5E=")</f>
        <v>#VALUE!</v>
      </c>
      <c r="EQ84" t="e">
        <f>AND(Names!J73,"AAAAAHNyZ5I=")</f>
        <v>#VALUE!</v>
      </c>
      <c r="ER84" t="e">
        <f>AND(Names!K73,"AAAAAHNyZ5M=")</f>
        <v>#VALUE!</v>
      </c>
      <c r="ES84" t="e">
        <f>AND(Names!L73,"AAAAAHNyZ5Q=")</f>
        <v>#VALUE!</v>
      </c>
      <c r="ET84" t="e">
        <f>AND(Names!M73,"AAAAAHNyZ5U=")</f>
        <v>#VALUE!</v>
      </c>
      <c r="EU84" t="e">
        <f>AND(Names!N73,"AAAAAHNyZ5Y=")</f>
        <v>#VALUE!</v>
      </c>
      <c r="EV84" t="e">
        <f>AND(Names!O73,"AAAAAHNyZ5c=")</f>
        <v>#VALUE!</v>
      </c>
      <c r="EW84" t="e">
        <f>AND(Names!P73,"AAAAAHNyZ5g=")</f>
        <v>#VALUE!</v>
      </c>
      <c r="EX84" t="e">
        <f>AND(Names!Q73,"AAAAAHNyZ5k=")</f>
        <v>#VALUE!</v>
      </c>
      <c r="EY84" t="e">
        <f>AND(Names!R73,"AAAAAHNyZ5o=")</f>
        <v>#VALUE!</v>
      </c>
      <c r="EZ84" t="e">
        <f>AND(Names!S73,"AAAAAHNyZ5s=")</f>
        <v>#VALUE!</v>
      </c>
      <c r="FA84" t="e">
        <f>AND(Names!T73,"AAAAAHNyZ5w=")</f>
        <v>#VALUE!</v>
      </c>
      <c r="FB84" t="e">
        <f>AND(Names!U73,"AAAAAHNyZ50=")</f>
        <v>#VALUE!</v>
      </c>
      <c r="FC84" t="e">
        <f>AND(Names!V73,"AAAAAHNyZ54=")</f>
        <v>#VALUE!</v>
      </c>
      <c r="FD84" t="e">
        <f>AND(Names!W73,"AAAAAHNyZ58=")</f>
        <v>#VALUE!</v>
      </c>
      <c r="FE84" t="e">
        <f>AND(Names!X73,"AAAAAHNyZ6A=")</f>
        <v>#VALUE!</v>
      </c>
      <c r="FF84" t="e">
        <f>AND(Names!Y73,"AAAAAHNyZ6E=")</f>
        <v>#VALUE!</v>
      </c>
      <c r="FG84" t="e">
        <f>AND(Names!Z73,"AAAAAHNyZ6I=")</f>
        <v>#VALUE!</v>
      </c>
      <c r="FH84" t="e">
        <f>AND(Names!AA73,"AAAAAHNyZ6M=")</f>
        <v>#VALUE!</v>
      </c>
      <c r="FI84" t="e">
        <f>AND(Names!AB73,"AAAAAHNyZ6Q=")</f>
        <v>#VALUE!</v>
      </c>
      <c r="FJ84" t="e">
        <f>AND(Names!AC73,"AAAAAHNyZ6U=")</f>
        <v>#VALUE!</v>
      </c>
      <c r="FK84" t="e">
        <f>AND(Names!AD73,"AAAAAHNyZ6Y=")</f>
        <v>#VALUE!</v>
      </c>
      <c r="FL84" t="e">
        <f>AND(Names!AE73,"AAAAAHNyZ6c=")</f>
        <v>#VALUE!</v>
      </c>
      <c r="FM84" t="e">
        <f>AND(Names!AF73,"AAAAAHNyZ6g=")</f>
        <v>#VALUE!</v>
      </c>
      <c r="FN84" t="e">
        <f>AND(Names!AG73,"AAAAAHNyZ6k=")</f>
        <v>#VALUE!</v>
      </c>
      <c r="FO84" t="e">
        <f>AND(Names!AH73,"AAAAAHNyZ6o=")</f>
        <v>#VALUE!</v>
      </c>
      <c r="FP84" t="e">
        <f>AND(Names!AI73,"AAAAAHNyZ6s=")</f>
        <v>#VALUE!</v>
      </c>
      <c r="FQ84" t="e">
        <f>AND(Names!AJ73,"AAAAAHNyZ6w=")</f>
        <v>#VALUE!</v>
      </c>
      <c r="FR84" t="e">
        <f>AND(Names!AK73,"AAAAAHNyZ60=")</f>
        <v>#VALUE!</v>
      </c>
      <c r="FS84" t="e">
        <f>AND(Names!AL73,"AAAAAHNyZ64=")</f>
        <v>#VALUE!</v>
      </c>
      <c r="FT84" t="e">
        <f>AND(Names!AM73,"AAAAAHNyZ68=")</f>
        <v>#VALUE!</v>
      </c>
      <c r="FU84">
        <f>IF(Names!74:74,"AAAAAHNyZ7A=",0)</f>
        <v>0</v>
      </c>
      <c r="FV84" t="e">
        <f>AND(Names!A74,"AAAAAHNyZ7E=")</f>
        <v>#VALUE!</v>
      </c>
      <c r="FW84" t="e">
        <f>AND(Names!B74,"AAAAAHNyZ7I=")</f>
        <v>#VALUE!</v>
      </c>
      <c r="FX84" t="e">
        <f>AND(Names!C74,"AAAAAHNyZ7M=")</f>
        <v>#VALUE!</v>
      </c>
      <c r="FY84" t="e">
        <f>AND(Names!D74,"AAAAAHNyZ7Q=")</f>
        <v>#VALUE!</v>
      </c>
      <c r="FZ84" t="e">
        <f>AND(Names!E74,"AAAAAHNyZ7U=")</f>
        <v>#VALUE!</v>
      </c>
      <c r="GA84" t="e">
        <f>AND(Names!F74,"AAAAAHNyZ7Y=")</f>
        <v>#VALUE!</v>
      </c>
      <c r="GB84" t="e">
        <f>AND(Names!G74,"AAAAAHNyZ7c=")</f>
        <v>#VALUE!</v>
      </c>
      <c r="GC84" t="e">
        <f>AND(Names!H74,"AAAAAHNyZ7g=")</f>
        <v>#VALUE!</v>
      </c>
      <c r="GD84" t="e">
        <f>AND(Names!I74,"AAAAAHNyZ7k=")</f>
        <v>#VALUE!</v>
      </c>
      <c r="GE84" t="e">
        <f>AND(Names!J74,"AAAAAHNyZ7o=")</f>
        <v>#VALUE!</v>
      </c>
      <c r="GF84" t="e">
        <f>AND(Names!K74,"AAAAAHNyZ7s=")</f>
        <v>#VALUE!</v>
      </c>
      <c r="GG84" t="e">
        <f>AND(Names!L74,"AAAAAHNyZ7w=")</f>
        <v>#VALUE!</v>
      </c>
      <c r="GH84" t="e">
        <f>AND(Names!M74,"AAAAAHNyZ70=")</f>
        <v>#VALUE!</v>
      </c>
      <c r="GI84" t="e">
        <f>AND(Names!N74,"AAAAAHNyZ74=")</f>
        <v>#VALUE!</v>
      </c>
      <c r="GJ84" t="e">
        <f>AND(Names!O74,"AAAAAHNyZ78=")</f>
        <v>#VALUE!</v>
      </c>
      <c r="GK84" t="e">
        <f>AND(Names!P74,"AAAAAHNyZ8A=")</f>
        <v>#VALUE!</v>
      </c>
      <c r="GL84" t="e">
        <f>AND(Names!Q74,"AAAAAHNyZ8E=")</f>
        <v>#VALUE!</v>
      </c>
      <c r="GM84" t="e">
        <f>AND(Names!R74,"AAAAAHNyZ8I=")</f>
        <v>#VALUE!</v>
      </c>
      <c r="GN84" t="e">
        <f>AND(Names!S74,"AAAAAHNyZ8M=")</f>
        <v>#VALUE!</v>
      </c>
      <c r="GO84" t="e">
        <f>AND(Names!T74,"AAAAAHNyZ8Q=")</f>
        <v>#VALUE!</v>
      </c>
      <c r="GP84" t="e">
        <f>AND(Names!U74,"AAAAAHNyZ8U=")</f>
        <v>#VALUE!</v>
      </c>
      <c r="GQ84" t="e">
        <f>AND(Names!V74,"AAAAAHNyZ8Y=")</f>
        <v>#VALUE!</v>
      </c>
      <c r="GR84" t="e">
        <f>AND(Names!W74,"AAAAAHNyZ8c=")</f>
        <v>#VALUE!</v>
      </c>
      <c r="GS84" t="e">
        <f>AND(Names!X74,"AAAAAHNyZ8g=")</f>
        <v>#VALUE!</v>
      </c>
      <c r="GT84" t="e">
        <f>AND(Names!Y74,"AAAAAHNyZ8k=")</f>
        <v>#VALUE!</v>
      </c>
      <c r="GU84" t="e">
        <f>AND(Names!Z74,"AAAAAHNyZ8o=")</f>
        <v>#VALUE!</v>
      </c>
      <c r="GV84" t="e">
        <f>AND(Names!AA74,"AAAAAHNyZ8s=")</f>
        <v>#VALUE!</v>
      </c>
      <c r="GW84" t="e">
        <f>AND(Names!AB74,"AAAAAHNyZ8w=")</f>
        <v>#VALUE!</v>
      </c>
      <c r="GX84" t="e">
        <f>AND(Names!AC74,"AAAAAHNyZ80=")</f>
        <v>#VALUE!</v>
      </c>
      <c r="GY84" t="e">
        <f>AND(Names!AD74,"AAAAAHNyZ84=")</f>
        <v>#VALUE!</v>
      </c>
      <c r="GZ84" t="e">
        <f>AND(Names!AE74,"AAAAAHNyZ88=")</f>
        <v>#VALUE!</v>
      </c>
      <c r="HA84" t="e">
        <f>AND(Names!AF74,"AAAAAHNyZ9A=")</f>
        <v>#VALUE!</v>
      </c>
      <c r="HB84" t="e">
        <f>AND(Names!AG74,"AAAAAHNyZ9E=")</f>
        <v>#VALUE!</v>
      </c>
      <c r="HC84" t="e">
        <f>AND(Names!AH74,"AAAAAHNyZ9I=")</f>
        <v>#VALUE!</v>
      </c>
      <c r="HD84" t="e">
        <f>AND(Names!AI74,"AAAAAHNyZ9M=")</f>
        <v>#VALUE!</v>
      </c>
      <c r="HE84" t="e">
        <f>AND(Names!AJ74,"AAAAAHNyZ9Q=")</f>
        <v>#VALUE!</v>
      </c>
      <c r="HF84" t="e">
        <f>AND(Names!AK74,"AAAAAHNyZ9U=")</f>
        <v>#VALUE!</v>
      </c>
      <c r="HG84" t="e">
        <f>AND(Names!AL74,"AAAAAHNyZ9Y=")</f>
        <v>#VALUE!</v>
      </c>
      <c r="HH84" t="e">
        <f>AND(Names!AM74,"AAAAAHNyZ9c=")</f>
        <v>#VALUE!</v>
      </c>
      <c r="HI84">
        <f>IF(Names!75:75,"AAAAAHNyZ9g=",0)</f>
        <v>0</v>
      </c>
      <c r="HJ84" t="e">
        <f>AND(Names!A75,"AAAAAHNyZ9k=")</f>
        <v>#VALUE!</v>
      </c>
      <c r="HK84" t="e">
        <f>AND(Names!B75,"AAAAAHNyZ9o=")</f>
        <v>#VALUE!</v>
      </c>
      <c r="HL84" t="e">
        <f>AND(Names!C75,"AAAAAHNyZ9s=")</f>
        <v>#VALUE!</v>
      </c>
      <c r="HM84" t="e">
        <f>AND(Names!D75,"AAAAAHNyZ9w=")</f>
        <v>#VALUE!</v>
      </c>
      <c r="HN84" t="e">
        <f>AND(Names!E75,"AAAAAHNyZ90=")</f>
        <v>#VALUE!</v>
      </c>
      <c r="HO84" t="e">
        <f>AND(Names!F75,"AAAAAHNyZ94=")</f>
        <v>#VALUE!</v>
      </c>
      <c r="HP84" t="e">
        <f>AND(Names!G75,"AAAAAHNyZ98=")</f>
        <v>#VALUE!</v>
      </c>
      <c r="HQ84" t="e">
        <f>AND(Names!H75,"AAAAAHNyZ+A=")</f>
        <v>#VALUE!</v>
      </c>
      <c r="HR84" t="e">
        <f>AND(Names!I75,"AAAAAHNyZ+E=")</f>
        <v>#VALUE!</v>
      </c>
      <c r="HS84" t="e">
        <f>AND(Names!J75,"AAAAAHNyZ+I=")</f>
        <v>#VALUE!</v>
      </c>
      <c r="HT84" t="e">
        <f>AND(Names!K75,"AAAAAHNyZ+M=")</f>
        <v>#VALUE!</v>
      </c>
      <c r="HU84" t="e">
        <f>AND(Names!L75,"AAAAAHNyZ+Q=")</f>
        <v>#VALUE!</v>
      </c>
      <c r="HV84" t="e">
        <f>AND(Names!M75,"AAAAAHNyZ+U=")</f>
        <v>#VALUE!</v>
      </c>
      <c r="HW84" t="e">
        <f>AND(Names!N75,"AAAAAHNyZ+Y=")</f>
        <v>#VALUE!</v>
      </c>
      <c r="HX84" t="e">
        <f>AND(Names!O75,"AAAAAHNyZ+c=")</f>
        <v>#VALUE!</v>
      </c>
      <c r="HY84" t="e">
        <f>AND(Names!P75,"AAAAAHNyZ+g=")</f>
        <v>#VALUE!</v>
      </c>
      <c r="HZ84" t="e">
        <f>AND(Names!Q75,"AAAAAHNyZ+k=")</f>
        <v>#VALUE!</v>
      </c>
      <c r="IA84" t="e">
        <f>AND(Names!R75,"AAAAAHNyZ+o=")</f>
        <v>#VALUE!</v>
      </c>
      <c r="IB84" t="e">
        <f>AND(Names!S75,"AAAAAHNyZ+s=")</f>
        <v>#VALUE!</v>
      </c>
      <c r="IC84" t="e">
        <f>AND(Names!T75,"AAAAAHNyZ+w=")</f>
        <v>#VALUE!</v>
      </c>
      <c r="ID84" t="e">
        <f>AND(Names!U75,"AAAAAHNyZ+0=")</f>
        <v>#VALUE!</v>
      </c>
      <c r="IE84" t="e">
        <f>AND(Names!V75,"AAAAAHNyZ+4=")</f>
        <v>#VALUE!</v>
      </c>
      <c r="IF84" t="e">
        <f>AND(Names!W75,"AAAAAHNyZ+8=")</f>
        <v>#VALUE!</v>
      </c>
      <c r="IG84" t="e">
        <f>AND(Names!X75,"AAAAAHNyZ/A=")</f>
        <v>#VALUE!</v>
      </c>
      <c r="IH84" t="e">
        <f>AND(Names!Y75,"AAAAAHNyZ/E=")</f>
        <v>#VALUE!</v>
      </c>
      <c r="II84" t="e">
        <f>AND(Names!Z75,"AAAAAHNyZ/I=")</f>
        <v>#VALUE!</v>
      </c>
      <c r="IJ84" t="e">
        <f>AND(Names!AA75,"AAAAAHNyZ/M=")</f>
        <v>#VALUE!</v>
      </c>
      <c r="IK84" t="e">
        <f>AND(Names!AB75,"AAAAAHNyZ/Q=")</f>
        <v>#VALUE!</v>
      </c>
      <c r="IL84" t="e">
        <f>AND(Names!AC75,"AAAAAHNyZ/U=")</f>
        <v>#VALUE!</v>
      </c>
      <c r="IM84" t="e">
        <f>AND(Names!AD75,"AAAAAHNyZ/Y=")</f>
        <v>#VALUE!</v>
      </c>
      <c r="IN84" t="e">
        <f>AND(Names!AE75,"AAAAAHNyZ/c=")</f>
        <v>#VALUE!</v>
      </c>
      <c r="IO84" t="e">
        <f>AND(Names!AF75,"AAAAAHNyZ/g=")</f>
        <v>#VALUE!</v>
      </c>
      <c r="IP84" t="e">
        <f>AND(Names!AG75,"AAAAAHNyZ/k=")</f>
        <v>#VALUE!</v>
      </c>
      <c r="IQ84" t="e">
        <f>AND(Names!AH75,"AAAAAHNyZ/o=")</f>
        <v>#VALUE!</v>
      </c>
      <c r="IR84" t="e">
        <f>AND(Names!AI75,"AAAAAHNyZ/s=")</f>
        <v>#VALUE!</v>
      </c>
      <c r="IS84" t="e">
        <f>AND(Names!AJ75,"AAAAAHNyZ/w=")</f>
        <v>#VALUE!</v>
      </c>
      <c r="IT84" t="e">
        <f>AND(Names!AK75,"AAAAAHNyZ/0=")</f>
        <v>#VALUE!</v>
      </c>
      <c r="IU84" t="e">
        <f>AND(Names!AL75,"AAAAAHNyZ/4=")</f>
        <v>#VALUE!</v>
      </c>
      <c r="IV84" t="e">
        <f>AND(Names!AM75,"AAAAAHNyZ/8=")</f>
        <v>#VALUE!</v>
      </c>
    </row>
    <row r="85" spans="1:256" x14ac:dyDescent="0.15">
      <c r="A85">
        <f>IF(Names!76:76,"AAAAAHZPuwA=",0)</f>
        <v>0</v>
      </c>
      <c r="B85" t="e">
        <f>AND(Names!A76,"AAAAAHZPuwE=")</f>
        <v>#VALUE!</v>
      </c>
      <c r="C85" t="e">
        <f>AND(Names!B76,"AAAAAHZPuwI=")</f>
        <v>#VALUE!</v>
      </c>
      <c r="D85" t="e">
        <f>AND(Names!C76,"AAAAAHZPuwM=")</f>
        <v>#VALUE!</v>
      </c>
      <c r="E85" t="e">
        <f>AND(Names!D76,"AAAAAHZPuwQ=")</f>
        <v>#VALUE!</v>
      </c>
      <c r="F85" t="e">
        <f>AND(Names!E76,"AAAAAHZPuwU=")</f>
        <v>#VALUE!</v>
      </c>
      <c r="G85" t="e">
        <f>AND(Names!F76,"AAAAAHZPuwY=")</f>
        <v>#VALUE!</v>
      </c>
      <c r="H85" t="e">
        <f>AND(Names!G76,"AAAAAHZPuwc=")</f>
        <v>#VALUE!</v>
      </c>
      <c r="I85" t="e">
        <f>AND(Names!H76,"AAAAAHZPuwg=")</f>
        <v>#VALUE!</v>
      </c>
      <c r="J85" t="e">
        <f>AND(Names!I76,"AAAAAHZPuwk=")</f>
        <v>#VALUE!</v>
      </c>
      <c r="K85" t="e">
        <f>AND(Names!J76,"AAAAAHZPuwo=")</f>
        <v>#VALUE!</v>
      </c>
      <c r="L85" t="e">
        <f>AND(Names!K76,"AAAAAHZPuws=")</f>
        <v>#VALUE!</v>
      </c>
      <c r="M85" t="e">
        <f>AND(Names!L76,"AAAAAHZPuww=")</f>
        <v>#VALUE!</v>
      </c>
      <c r="N85" t="e">
        <f>AND(Names!M76,"AAAAAHZPuw0=")</f>
        <v>#VALUE!</v>
      </c>
      <c r="O85" t="e">
        <f>AND(Names!N76,"AAAAAHZPuw4=")</f>
        <v>#VALUE!</v>
      </c>
      <c r="P85" t="e">
        <f>AND(Names!O76,"AAAAAHZPuw8=")</f>
        <v>#VALUE!</v>
      </c>
      <c r="Q85" t="e">
        <f>AND(Names!P76,"AAAAAHZPuxA=")</f>
        <v>#VALUE!</v>
      </c>
      <c r="R85" t="e">
        <f>AND(Names!Q76,"AAAAAHZPuxE=")</f>
        <v>#VALUE!</v>
      </c>
      <c r="S85" t="e">
        <f>AND(Names!R76,"AAAAAHZPuxI=")</f>
        <v>#VALUE!</v>
      </c>
      <c r="T85" t="e">
        <f>AND(Names!S76,"AAAAAHZPuxM=")</f>
        <v>#VALUE!</v>
      </c>
      <c r="U85" t="e">
        <f>AND(Names!T76,"AAAAAHZPuxQ=")</f>
        <v>#VALUE!</v>
      </c>
      <c r="V85" t="e">
        <f>AND(Names!U76,"AAAAAHZPuxU=")</f>
        <v>#VALUE!</v>
      </c>
      <c r="W85" t="e">
        <f>AND(Names!V76,"AAAAAHZPuxY=")</f>
        <v>#VALUE!</v>
      </c>
      <c r="X85" t="e">
        <f>AND(Names!W76,"AAAAAHZPuxc=")</f>
        <v>#VALUE!</v>
      </c>
      <c r="Y85" t="e">
        <f>AND(Names!X76,"AAAAAHZPuxg=")</f>
        <v>#VALUE!</v>
      </c>
      <c r="Z85" t="e">
        <f>AND(Names!Y76,"AAAAAHZPuxk=")</f>
        <v>#VALUE!</v>
      </c>
      <c r="AA85" t="e">
        <f>AND(Names!Z76,"AAAAAHZPuxo=")</f>
        <v>#VALUE!</v>
      </c>
      <c r="AB85" t="e">
        <f>AND(Names!AA76,"AAAAAHZPuxs=")</f>
        <v>#VALUE!</v>
      </c>
      <c r="AC85" t="e">
        <f>AND(Names!AB76,"AAAAAHZPuxw=")</f>
        <v>#VALUE!</v>
      </c>
      <c r="AD85" t="e">
        <f>AND(Names!AC76,"AAAAAHZPux0=")</f>
        <v>#VALUE!</v>
      </c>
      <c r="AE85" t="e">
        <f>AND(Names!AD76,"AAAAAHZPux4=")</f>
        <v>#VALUE!</v>
      </c>
      <c r="AF85" t="e">
        <f>AND(Names!AE76,"AAAAAHZPux8=")</f>
        <v>#VALUE!</v>
      </c>
      <c r="AG85" t="e">
        <f>AND(Names!AF76,"AAAAAHZPuyA=")</f>
        <v>#VALUE!</v>
      </c>
      <c r="AH85" t="e">
        <f>AND(Names!AG76,"AAAAAHZPuyE=")</f>
        <v>#VALUE!</v>
      </c>
      <c r="AI85" t="e">
        <f>AND(Names!AH76,"AAAAAHZPuyI=")</f>
        <v>#VALUE!</v>
      </c>
      <c r="AJ85" t="e">
        <f>AND(Names!AI76,"AAAAAHZPuyM=")</f>
        <v>#VALUE!</v>
      </c>
      <c r="AK85" t="e">
        <f>AND(Names!AJ76,"AAAAAHZPuyQ=")</f>
        <v>#VALUE!</v>
      </c>
      <c r="AL85" t="e">
        <f>AND(Names!AK76,"AAAAAHZPuyU=")</f>
        <v>#VALUE!</v>
      </c>
      <c r="AM85" t="e">
        <f>AND(Names!AL76,"AAAAAHZPuyY=")</f>
        <v>#VALUE!</v>
      </c>
      <c r="AN85" t="e">
        <f>AND(Names!AM76,"AAAAAHZPuyc=")</f>
        <v>#VALUE!</v>
      </c>
      <c r="AO85">
        <f>IF(Names!77:77,"AAAAAHZPuyg=",0)</f>
        <v>0</v>
      </c>
      <c r="AP85" t="e">
        <f>AND(Names!A77,"AAAAAHZPuyk=")</f>
        <v>#VALUE!</v>
      </c>
      <c r="AQ85" t="e">
        <f>AND(Names!B77,"AAAAAHZPuyo=")</f>
        <v>#VALUE!</v>
      </c>
      <c r="AR85" t="e">
        <f>AND(Names!C77,"AAAAAHZPuys=")</f>
        <v>#VALUE!</v>
      </c>
      <c r="AS85" t="e">
        <f>AND(Names!D77,"AAAAAHZPuyw=")</f>
        <v>#VALUE!</v>
      </c>
      <c r="AT85" t="e">
        <f>AND(Names!E77,"AAAAAHZPuy0=")</f>
        <v>#VALUE!</v>
      </c>
      <c r="AU85" t="e">
        <f>AND(Names!F77,"AAAAAHZPuy4=")</f>
        <v>#VALUE!</v>
      </c>
      <c r="AV85" t="e">
        <f>AND(Names!G77,"AAAAAHZPuy8=")</f>
        <v>#VALUE!</v>
      </c>
      <c r="AW85" t="e">
        <f>AND(Names!H77,"AAAAAHZPuzA=")</f>
        <v>#VALUE!</v>
      </c>
      <c r="AX85" t="e">
        <f>AND(Names!I77,"AAAAAHZPuzE=")</f>
        <v>#VALUE!</v>
      </c>
      <c r="AY85" t="e">
        <f>AND(Names!J77,"AAAAAHZPuzI=")</f>
        <v>#VALUE!</v>
      </c>
      <c r="AZ85" t="e">
        <f>AND(Names!K77,"AAAAAHZPuzM=")</f>
        <v>#VALUE!</v>
      </c>
      <c r="BA85" t="e">
        <f>AND(Names!L77,"AAAAAHZPuzQ=")</f>
        <v>#VALUE!</v>
      </c>
      <c r="BB85" t="e">
        <f>AND(Names!M77,"AAAAAHZPuzU=")</f>
        <v>#VALUE!</v>
      </c>
      <c r="BC85" t="e">
        <f>AND(Names!N77,"AAAAAHZPuzY=")</f>
        <v>#VALUE!</v>
      </c>
      <c r="BD85" t="e">
        <f>AND(Names!O77,"AAAAAHZPuzc=")</f>
        <v>#VALUE!</v>
      </c>
      <c r="BE85" t="e">
        <f>AND(Names!P77,"AAAAAHZPuzg=")</f>
        <v>#VALUE!</v>
      </c>
      <c r="BF85" t="e">
        <f>AND(Names!Q77,"AAAAAHZPuzk=")</f>
        <v>#VALUE!</v>
      </c>
      <c r="BG85" t="e">
        <f>AND(Names!R77,"AAAAAHZPuzo=")</f>
        <v>#VALUE!</v>
      </c>
      <c r="BH85" t="e">
        <f>AND(Names!S77,"AAAAAHZPuzs=")</f>
        <v>#VALUE!</v>
      </c>
      <c r="BI85" t="e">
        <f>AND(Names!T77,"AAAAAHZPuzw=")</f>
        <v>#VALUE!</v>
      </c>
      <c r="BJ85" t="e">
        <f>AND(Names!U77,"AAAAAHZPuz0=")</f>
        <v>#VALUE!</v>
      </c>
      <c r="BK85" t="e">
        <f>AND(Names!V77,"AAAAAHZPuz4=")</f>
        <v>#VALUE!</v>
      </c>
      <c r="BL85" t="e">
        <f>AND(Names!W77,"AAAAAHZPuz8=")</f>
        <v>#VALUE!</v>
      </c>
      <c r="BM85" t="e">
        <f>AND(Names!X77,"AAAAAHZPu0A=")</f>
        <v>#VALUE!</v>
      </c>
      <c r="BN85" t="e">
        <f>AND(Names!Y77,"AAAAAHZPu0E=")</f>
        <v>#VALUE!</v>
      </c>
      <c r="BO85" t="e">
        <f>AND(Names!Z77,"AAAAAHZPu0I=")</f>
        <v>#VALUE!</v>
      </c>
      <c r="BP85" t="e">
        <f>AND(Names!AA77,"AAAAAHZPu0M=")</f>
        <v>#VALUE!</v>
      </c>
      <c r="BQ85" t="e">
        <f>AND(Names!AB77,"AAAAAHZPu0Q=")</f>
        <v>#VALUE!</v>
      </c>
      <c r="BR85" t="e">
        <f>AND(Names!AC77,"AAAAAHZPu0U=")</f>
        <v>#VALUE!</v>
      </c>
      <c r="BS85" t="e">
        <f>AND(Names!AD77,"AAAAAHZPu0Y=")</f>
        <v>#VALUE!</v>
      </c>
      <c r="BT85" t="e">
        <f>AND(Names!AE77,"AAAAAHZPu0c=")</f>
        <v>#VALUE!</v>
      </c>
      <c r="BU85" t="e">
        <f>AND(Names!AF77,"AAAAAHZPu0g=")</f>
        <v>#VALUE!</v>
      </c>
      <c r="BV85" t="e">
        <f>AND(Names!AG77,"AAAAAHZPu0k=")</f>
        <v>#VALUE!</v>
      </c>
      <c r="BW85" t="e">
        <f>AND(Names!AH77,"AAAAAHZPu0o=")</f>
        <v>#VALUE!</v>
      </c>
      <c r="BX85" t="e">
        <f>AND(Names!AI77,"AAAAAHZPu0s=")</f>
        <v>#VALUE!</v>
      </c>
      <c r="BY85" t="e">
        <f>AND(Names!AJ77,"AAAAAHZPu0w=")</f>
        <v>#VALUE!</v>
      </c>
      <c r="BZ85" t="e">
        <f>AND(Names!AK77,"AAAAAHZPu00=")</f>
        <v>#VALUE!</v>
      </c>
      <c r="CA85" t="e">
        <f>AND(Names!AL77,"AAAAAHZPu04=")</f>
        <v>#VALUE!</v>
      </c>
      <c r="CB85" t="e">
        <f>AND(Names!AM77,"AAAAAHZPu08=")</f>
        <v>#VALUE!</v>
      </c>
      <c r="CC85">
        <f>IF(Names!78:78,"AAAAAHZPu1A=",0)</f>
        <v>0</v>
      </c>
      <c r="CD85" t="e">
        <f>AND(Names!A78,"AAAAAHZPu1E=")</f>
        <v>#VALUE!</v>
      </c>
      <c r="CE85" t="e">
        <f>AND(Names!B78,"AAAAAHZPu1I=")</f>
        <v>#VALUE!</v>
      </c>
      <c r="CF85" t="e">
        <f>AND(Names!C78,"AAAAAHZPu1M=")</f>
        <v>#VALUE!</v>
      </c>
      <c r="CG85" t="e">
        <f>AND(Names!D78,"AAAAAHZPu1Q=")</f>
        <v>#VALUE!</v>
      </c>
      <c r="CH85" t="e">
        <f>AND(Names!E78,"AAAAAHZPu1U=")</f>
        <v>#VALUE!</v>
      </c>
      <c r="CI85" t="e">
        <f>AND(Names!F78,"AAAAAHZPu1Y=")</f>
        <v>#VALUE!</v>
      </c>
      <c r="CJ85" t="e">
        <f>AND(Names!G78,"AAAAAHZPu1c=")</f>
        <v>#VALUE!</v>
      </c>
      <c r="CK85" t="e">
        <f>AND(Names!H78,"AAAAAHZPu1g=")</f>
        <v>#VALUE!</v>
      </c>
      <c r="CL85" t="e">
        <f>AND(Names!I78,"AAAAAHZPu1k=")</f>
        <v>#VALUE!</v>
      </c>
      <c r="CM85" t="e">
        <f>AND(Names!J78,"AAAAAHZPu1o=")</f>
        <v>#VALUE!</v>
      </c>
      <c r="CN85" t="e">
        <f>AND(Names!K78,"AAAAAHZPu1s=")</f>
        <v>#VALUE!</v>
      </c>
      <c r="CO85" t="e">
        <f>AND(Names!L78,"AAAAAHZPu1w=")</f>
        <v>#VALUE!</v>
      </c>
      <c r="CP85" t="e">
        <f>AND(Names!M78,"AAAAAHZPu10=")</f>
        <v>#VALUE!</v>
      </c>
      <c r="CQ85" t="e">
        <f>AND(Names!N78,"AAAAAHZPu14=")</f>
        <v>#VALUE!</v>
      </c>
      <c r="CR85" t="e">
        <f>AND(Names!O78,"AAAAAHZPu18=")</f>
        <v>#VALUE!</v>
      </c>
      <c r="CS85" t="e">
        <f>AND(Names!P78,"AAAAAHZPu2A=")</f>
        <v>#VALUE!</v>
      </c>
      <c r="CT85" t="e">
        <f>AND(Names!Q78,"AAAAAHZPu2E=")</f>
        <v>#VALUE!</v>
      </c>
      <c r="CU85" t="e">
        <f>AND(Names!R78,"AAAAAHZPu2I=")</f>
        <v>#VALUE!</v>
      </c>
      <c r="CV85" t="e">
        <f>AND(Names!S78,"AAAAAHZPu2M=")</f>
        <v>#VALUE!</v>
      </c>
      <c r="CW85" t="e">
        <f>AND(Names!T78,"AAAAAHZPu2Q=")</f>
        <v>#VALUE!</v>
      </c>
      <c r="CX85" t="e">
        <f>AND(Names!U78,"AAAAAHZPu2U=")</f>
        <v>#VALUE!</v>
      </c>
      <c r="CY85" t="e">
        <f>AND(Names!V78,"AAAAAHZPu2Y=")</f>
        <v>#VALUE!</v>
      </c>
      <c r="CZ85" t="e">
        <f>AND(Names!W78,"AAAAAHZPu2c=")</f>
        <v>#VALUE!</v>
      </c>
      <c r="DA85" t="e">
        <f>AND(Names!X78,"AAAAAHZPu2g=")</f>
        <v>#VALUE!</v>
      </c>
      <c r="DB85" t="e">
        <f>AND(Names!Y78,"AAAAAHZPu2k=")</f>
        <v>#VALUE!</v>
      </c>
      <c r="DC85" t="e">
        <f>AND(Names!Z78,"AAAAAHZPu2o=")</f>
        <v>#VALUE!</v>
      </c>
      <c r="DD85" t="e">
        <f>AND(Names!AA78,"AAAAAHZPu2s=")</f>
        <v>#VALUE!</v>
      </c>
      <c r="DE85" t="e">
        <f>AND(Names!AB78,"AAAAAHZPu2w=")</f>
        <v>#VALUE!</v>
      </c>
      <c r="DF85" t="e">
        <f>AND(Names!AC78,"AAAAAHZPu20=")</f>
        <v>#VALUE!</v>
      </c>
      <c r="DG85" t="e">
        <f>AND(Names!AD78,"AAAAAHZPu24=")</f>
        <v>#VALUE!</v>
      </c>
      <c r="DH85" t="e">
        <f>AND(Names!AE78,"AAAAAHZPu28=")</f>
        <v>#VALUE!</v>
      </c>
      <c r="DI85" t="e">
        <f>AND(Names!AF78,"AAAAAHZPu3A=")</f>
        <v>#VALUE!</v>
      </c>
      <c r="DJ85" t="e">
        <f>AND(Names!AG78,"AAAAAHZPu3E=")</f>
        <v>#VALUE!</v>
      </c>
      <c r="DK85" t="e">
        <f>AND(Names!AH78,"AAAAAHZPu3I=")</f>
        <v>#VALUE!</v>
      </c>
      <c r="DL85" t="e">
        <f>AND(Names!AI78,"AAAAAHZPu3M=")</f>
        <v>#VALUE!</v>
      </c>
      <c r="DM85" t="e">
        <f>AND(Names!AJ78,"AAAAAHZPu3Q=")</f>
        <v>#VALUE!</v>
      </c>
      <c r="DN85" t="e">
        <f>AND(Names!AK78,"AAAAAHZPu3U=")</f>
        <v>#VALUE!</v>
      </c>
      <c r="DO85" t="e">
        <f>AND(Names!AL78,"AAAAAHZPu3Y=")</f>
        <v>#VALUE!</v>
      </c>
      <c r="DP85" t="e">
        <f>AND(Names!AM78,"AAAAAHZPu3c=")</f>
        <v>#VALUE!</v>
      </c>
      <c r="DQ85">
        <f>IF(Names!79:79,"AAAAAHZPu3g=",0)</f>
        <v>0</v>
      </c>
      <c r="DR85" t="e">
        <f>AND(Names!A79,"AAAAAHZPu3k=")</f>
        <v>#VALUE!</v>
      </c>
      <c r="DS85" t="e">
        <f>AND(Names!B79,"AAAAAHZPu3o=")</f>
        <v>#VALUE!</v>
      </c>
      <c r="DT85" t="e">
        <f>AND(Names!C79,"AAAAAHZPu3s=")</f>
        <v>#VALUE!</v>
      </c>
      <c r="DU85" t="e">
        <f>AND(Names!D79,"AAAAAHZPu3w=")</f>
        <v>#VALUE!</v>
      </c>
      <c r="DV85" t="e">
        <f>AND(Names!E79,"AAAAAHZPu30=")</f>
        <v>#VALUE!</v>
      </c>
      <c r="DW85" t="e">
        <f>AND(Names!F79,"AAAAAHZPu34=")</f>
        <v>#VALUE!</v>
      </c>
      <c r="DX85" t="e">
        <f>AND(Names!G79,"AAAAAHZPu38=")</f>
        <v>#VALUE!</v>
      </c>
      <c r="DY85" t="e">
        <f>AND(Names!H79,"AAAAAHZPu4A=")</f>
        <v>#VALUE!</v>
      </c>
      <c r="DZ85" t="e">
        <f>AND(Names!I79,"AAAAAHZPu4E=")</f>
        <v>#VALUE!</v>
      </c>
      <c r="EA85" t="e">
        <f>AND(Names!J79,"AAAAAHZPu4I=")</f>
        <v>#VALUE!</v>
      </c>
      <c r="EB85" t="e">
        <f>AND(Names!K79,"AAAAAHZPu4M=")</f>
        <v>#VALUE!</v>
      </c>
      <c r="EC85" t="e">
        <f>AND(Names!L79,"AAAAAHZPu4Q=")</f>
        <v>#VALUE!</v>
      </c>
      <c r="ED85" t="e">
        <f>AND(Names!M79,"AAAAAHZPu4U=")</f>
        <v>#VALUE!</v>
      </c>
      <c r="EE85" t="e">
        <f>AND(Names!N79,"AAAAAHZPu4Y=")</f>
        <v>#VALUE!</v>
      </c>
      <c r="EF85" t="e">
        <f>AND(Names!O79,"AAAAAHZPu4c=")</f>
        <v>#VALUE!</v>
      </c>
      <c r="EG85" t="e">
        <f>AND(Names!P79,"AAAAAHZPu4g=")</f>
        <v>#VALUE!</v>
      </c>
      <c r="EH85" t="e">
        <f>AND(Names!Q79,"AAAAAHZPu4k=")</f>
        <v>#VALUE!</v>
      </c>
      <c r="EI85" t="e">
        <f>AND(Names!R79,"AAAAAHZPu4o=")</f>
        <v>#VALUE!</v>
      </c>
      <c r="EJ85" t="e">
        <f>AND(Names!S79,"AAAAAHZPu4s=")</f>
        <v>#VALUE!</v>
      </c>
      <c r="EK85" t="e">
        <f>AND(Names!T79,"AAAAAHZPu4w=")</f>
        <v>#VALUE!</v>
      </c>
      <c r="EL85" t="e">
        <f>AND(Names!U79,"AAAAAHZPu40=")</f>
        <v>#VALUE!</v>
      </c>
      <c r="EM85" t="e">
        <f>AND(Names!V79,"AAAAAHZPu44=")</f>
        <v>#VALUE!</v>
      </c>
      <c r="EN85" t="e">
        <f>AND(Names!W79,"AAAAAHZPu48=")</f>
        <v>#VALUE!</v>
      </c>
      <c r="EO85" t="e">
        <f>AND(Names!X79,"AAAAAHZPu5A=")</f>
        <v>#VALUE!</v>
      </c>
      <c r="EP85" t="e">
        <f>AND(Names!Y79,"AAAAAHZPu5E=")</f>
        <v>#VALUE!</v>
      </c>
      <c r="EQ85" t="e">
        <f>AND(Names!Z79,"AAAAAHZPu5I=")</f>
        <v>#VALUE!</v>
      </c>
      <c r="ER85" t="e">
        <f>AND(Names!AA79,"AAAAAHZPu5M=")</f>
        <v>#VALUE!</v>
      </c>
      <c r="ES85" t="e">
        <f>AND(Names!AB79,"AAAAAHZPu5Q=")</f>
        <v>#VALUE!</v>
      </c>
      <c r="ET85" t="e">
        <f>AND(Names!AC79,"AAAAAHZPu5U=")</f>
        <v>#VALUE!</v>
      </c>
      <c r="EU85" t="e">
        <f>AND(Names!AD79,"AAAAAHZPu5Y=")</f>
        <v>#VALUE!</v>
      </c>
      <c r="EV85" t="e">
        <f>AND(Names!AE79,"AAAAAHZPu5c=")</f>
        <v>#VALUE!</v>
      </c>
      <c r="EW85" t="e">
        <f>AND(Names!AF79,"AAAAAHZPu5g=")</f>
        <v>#VALUE!</v>
      </c>
      <c r="EX85" t="e">
        <f>AND(Names!AG79,"AAAAAHZPu5k=")</f>
        <v>#VALUE!</v>
      </c>
      <c r="EY85" t="e">
        <f>AND(Names!AH79,"AAAAAHZPu5o=")</f>
        <v>#VALUE!</v>
      </c>
      <c r="EZ85" t="e">
        <f>AND(Names!AI79,"AAAAAHZPu5s=")</f>
        <v>#VALUE!</v>
      </c>
      <c r="FA85" t="e">
        <f>AND(Names!AJ79,"AAAAAHZPu5w=")</f>
        <v>#VALUE!</v>
      </c>
      <c r="FB85" t="e">
        <f>AND(Names!AK79,"AAAAAHZPu50=")</f>
        <v>#VALUE!</v>
      </c>
      <c r="FC85" t="e">
        <f>AND(Names!AL79,"AAAAAHZPu54=")</f>
        <v>#VALUE!</v>
      </c>
      <c r="FD85" t="e">
        <f>AND(Names!AM79,"AAAAAHZPu58=")</f>
        <v>#VALUE!</v>
      </c>
      <c r="FE85">
        <f>IF(Names!80:80,"AAAAAHZPu6A=",0)</f>
        <v>0</v>
      </c>
      <c r="FF85" t="e">
        <f>AND(Names!A80,"AAAAAHZPu6E=")</f>
        <v>#VALUE!</v>
      </c>
      <c r="FG85" t="e">
        <f>AND(Names!B80,"AAAAAHZPu6I=")</f>
        <v>#VALUE!</v>
      </c>
      <c r="FH85" t="e">
        <f>AND(Names!C80,"AAAAAHZPu6M=")</f>
        <v>#VALUE!</v>
      </c>
      <c r="FI85" t="e">
        <f>AND(Names!D80,"AAAAAHZPu6Q=")</f>
        <v>#VALUE!</v>
      </c>
      <c r="FJ85" t="e">
        <f>AND(Names!E80,"AAAAAHZPu6U=")</f>
        <v>#VALUE!</v>
      </c>
      <c r="FK85" t="e">
        <f>AND(Names!F80,"AAAAAHZPu6Y=")</f>
        <v>#VALUE!</v>
      </c>
      <c r="FL85" t="e">
        <f>AND(Names!G80,"AAAAAHZPu6c=")</f>
        <v>#VALUE!</v>
      </c>
      <c r="FM85" t="e">
        <f>AND(Names!H80,"AAAAAHZPu6g=")</f>
        <v>#VALUE!</v>
      </c>
      <c r="FN85" t="e">
        <f>AND(Names!I80,"AAAAAHZPu6k=")</f>
        <v>#VALUE!</v>
      </c>
      <c r="FO85" t="e">
        <f>AND(Names!J80,"AAAAAHZPu6o=")</f>
        <v>#VALUE!</v>
      </c>
      <c r="FP85" t="e">
        <f>AND(Names!K80,"AAAAAHZPu6s=")</f>
        <v>#VALUE!</v>
      </c>
      <c r="FQ85" t="e">
        <f>AND(Names!L80,"AAAAAHZPu6w=")</f>
        <v>#VALUE!</v>
      </c>
      <c r="FR85" t="e">
        <f>AND(Names!M80,"AAAAAHZPu60=")</f>
        <v>#VALUE!</v>
      </c>
      <c r="FS85" t="e">
        <f>AND(Names!N80,"AAAAAHZPu64=")</f>
        <v>#VALUE!</v>
      </c>
      <c r="FT85" t="e">
        <f>AND(Names!O80,"AAAAAHZPu68=")</f>
        <v>#VALUE!</v>
      </c>
      <c r="FU85" t="e">
        <f>AND(Names!P80,"AAAAAHZPu7A=")</f>
        <v>#VALUE!</v>
      </c>
      <c r="FV85" t="e">
        <f>AND(Names!Q80,"AAAAAHZPu7E=")</f>
        <v>#VALUE!</v>
      </c>
      <c r="FW85" t="e">
        <f>AND(Names!R80,"AAAAAHZPu7I=")</f>
        <v>#VALUE!</v>
      </c>
      <c r="FX85" t="e">
        <f>AND(Names!S80,"AAAAAHZPu7M=")</f>
        <v>#VALUE!</v>
      </c>
      <c r="FY85" t="e">
        <f>AND(Names!T80,"AAAAAHZPu7Q=")</f>
        <v>#VALUE!</v>
      </c>
      <c r="FZ85" t="e">
        <f>AND(Names!U80,"AAAAAHZPu7U=")</f>
        <v>#VALUE!</v>
      </c>
      <c r="GA85" t="e">
        <f>AND(Names!V80,"AAAAAHZPu7Y=")</f>
        <v>#VALUE!</v>
      </c>
      <c r="GB85" t="e">
        <f>AND(Names!W80,"AAAAAHZPu7c=")</f>
        <v>#VALUE!</v>
      </c>
      <c r="GC85" t="e">
        <f>AND(Names!X80,"AAAAAHZPu7g=")</f>
        <v>#VALUE!</v>
      </c>
      <c r="GD85" t="e">
        <f>AND(Names!Y80,"AAAAAHZPu7k=")</f>
        <v>#VALUE!</v>
      </c>
      <c r="GE85" t="e">
        <f>AND(Names!Z80,"AAAAAHZPu7o=")</f>
        <v>#VALUE!</v>
      </c>
      <c r="GF85" t="e">
        <f>AND(Names!AA80,"AAAAAHZPu7s=")</f>
        <v>#VALUE!</v>
      </c>
      <c r="GG85" t="e">
        <f>AND(Names!AB80,"AAAAAHZPu7w=")</f>
        <v>#VALUE!</v>
      </c>
      <c r="GH85" t="e">
        <f>AND(Names!AC80,"AAAAAHZPu70=")</f>
        <v>#VALUE!</v>
      </c>
      <c r="GI85" t="e">
        <f>AND(Names!AD80,"AAAAAHZPu74=")</f>
        <v>#VALUE!</v>
      </c>
      <c r="GJ85" t="e">
        <f>AND(Names!AE80,"AAAAAHZPu78=")</f>
        <v>#VALUE!</v>
      </c>
      <c r="GK85" t="e">
        <f>AND(Names!AF80,"AAAAAHZPu8A=")</f>
        <v>#VALUE!</v>
      </c>
      <c r="GL85" t="e">
        <f>AND(Names!AG80,"AAAAAHZPu8E=")</f>
        <v>#VALUE!</v>
      </c>
      <c r="GM85" t="e">
        <f>AND(Names!AH80,"AAAAAHZPu8I=")</f>
        <v>#VALUE!</v>
      </c>
      <c r="GN85" t="e">
        <f>AND(Names!AI80,"AAAAAHZPu8M=")</f>
        <v>#VALUE!</v>
      </c>
      <c r="GO85" t="e">
        <f>AND(Names!AJ80,"AAAAAHZPu8Q=")</f>
        <v>#VALUE!</v>
      </c>
      <c r="GP85" t="e">
        <f>AND(Names!AK80,"AAAAAHZPu8U=")</f>
        <v>#VALUE!</v>
      </c>
      <c r="GQ85" t="e">
        <f>AND(Names!AL80,"AAAAAHZPu8Y=")</f>
        <v>#VALUE!</v>
      </c>
      <c r="GR85" t="e">
        <f>AND(Names!AM80,"AAAAAHZPu8c=")</f>
        <v>#VALUE!</v>
      </c>
      <c r="GS85">
        <f>IF(Names!81:81,"AAAAAHZPu8g=",0)</f>
        <v>0</v>
      </c>
      <c r="GT85" t="e">
        <f>AND(Names!A81,"AAAAAHZPu8k=")</f>
        <v>#VALUE!</v>
      </c>
      <c r="GU85" t="e">
        <f>AND(Names!B81,"AAAAAHZPu8o=")</f>
        <v>#VALUE!</v>
      </c>
      <c r="GV85" t="e">
        <f>AND(Names!C81,"AAAAAHZPu8s=")</f>
        <v>#VALUE!</v>
      </c>
      <c r="GW85" t="e">
        <f>AND(Names!D81,"AAAAAHZPu8w=")</f>
        <v>#VALUE!</v>
      </c>
      <c r="GX85" t="e">
        <f>AND(Names!E81,"AAAAAHZPu80=")</f>
        <v>#VALUE!</v>
      </c>
      <c r="GY85" t="e">
        <f>AND(Names!F81,"AAAAAHZPu84=")</f>
        <v>#VALUE!</v>
      </c>
      <c r="GZ85" t="e">
        <f>AND(Names!G81,"AAAAAHZPu88=")</f>
        <v>#VALUE!</v>
      </c>
      <c r="HA85" t="e">
        <f>AND(Names!H81,"AAAAAHZPu9A=")</f>
        <v>#VALUE!</v>
      </c>
      <c r="HB85" t="e">
        <f>AND(Names!I81,"AAAAAHZPu9E=")</f>
        <v>#VALUE!</v>
      </c>
      <c r="HC85" t="e">
        <f>AND(Names!J81,"AAAAAHZPu9I=")</f>
        <v>#VALUE!</v>
      </c>
      <c r="HD85" t="e">
        <f>AND(Names!K81,"AAAAAHZPu9M=")</f>
        <v>#VALUE!</v>
      </c>
      <c r="HE85" t="e">
        <f>AND(Names!L81,"AAAAAHZPu9Q=")</f>
        <v>#VALUE!</v>
      </c>
      <c r="HF85" t="e">
        <f>AND(Names!M81,"AAAAAHZPu9U=")</f>
        <v>#VALUE!</v>
      </c>
      <c r="HG85" t="e">
        <f>AND(Names!N81,"AAAAAHZPu9Y=")</f>
        <v>#VALUE!</v>
      </c>
      <c r="HH85" t="e">
        <f>AND(Names!O81,"AAAAAHZPu9c=")</f>
        <v>#VALUE!</v>
      </c>
      <c r="HI85" t="e">
        <f>AND(Names!P81,"AAAAAHZPu9g=")</f>
        <v>#VALUE!</v>
      </c>
      <c r="HJ85" t="e">
        <f>AND(Names!Q81,"AAAAAHZPu9k=")</f>
        <v>#VALUE!</v>
      </c>
      <c r="HK85" t="e">
        <f>AND(Names!R81,"AAAAAHZPu9o=")</f>
        <v>#VALUE!</v>
      </c>
      <c r="HL85" t="e">
        <f>AND(Names!S81,"AAAAAHZPu9s=")</f>
        <v>#VALUE!</v>
      </c>
      <c r="HM85" t="e">
        <f>AND(Names!T81,"AAAAAHZPu9w=")</f>
        <v>#VALUE!</v>
      </c>
      <c r="HN85" t="e">
        <f>AND(Names!U81,"AAAAAHZPu90=")</f>
        <v>#VALUE!</v>
      </c>
      <c r="HO85" t="e">
        <f>AND(Names!V81,"AAAAAHZPu94=")</f>
        <v>#VALUE!</v>
      </c>
      <c r="HP85" t="e">
        <f>AND(Names!W81,"AAAAAHZPu98=")</f>
        <v>#VALUE!</v>
      </c>
      <c r="HQ85" t="e">
        <f>AND(Names!X81,"AAAAAHZPu+A=")</f>
        <v>#VALUE!</v>
      </c>
      <c r="HR85" t="e">
        <f>AND(Names!Y81,"AAAAAHZPu+E=")</f>
        <v>#VALUE!</v>
      </c>
      <c r="HS85" t="e">
        <f>AND(Names!Z81,"AAAAAHZPu+I=")</f>
        <v>#VALUE!</v>
      </c>
      <c r="HT85" t="e">
        <f>AND(Names!AA81,"AAAAAHZPu+M=")</f>
        <v>#VALUE!</v>
      </c>
      <c r="HU85" t="e">
        <f>AND(Names!AB81,"AAAAAHZPu+Q=")</f>
        <v>#VALUE!</v>
      </c>
      <c r="HV85" t="e">
        <f>AND(Names!AC81,"AAAAAHZPu+U=")</f>
        <v>#VALUE!</v>
      </c>
      <c r="HW85" t="e">
        <f>AND(Names!AD81,"AAAAAHZPu+Y=")</f>
        <v>#VALUE!</v>
      </c>
      <c r="HX85" t="e">
        <f>AND(Names!AE81,"AAAAAHZPu+c=")</f>
        <v>#VALUE!</v>
      </c>
      <c r="HY85" t="e">
        <f>AND(Names!AF81,"AAAAAHZPu+g=")</f>
        <v>#VALUE!</v>
      </c>
      <c r="HZ85" t="e">
        <f>AND(Names!AG81,"AAAAAHZPu+k=")</f>
        <v>#VALUE!</v>
      </c>
      <c r="IA85" t="e">
        <f>AND(Names!AH81,"AAAAAHZPu+o=")</f>
        <v>#VALUE!</v>
      </c>
      <c r="IB85" t="e">
        <f>AND(Names!AI81,"AAAAAHZPu+s=")</f>
        <v>#VALUE!</v>
      </c>
      <c r="IC85" t="e">
        <f>AND(Names!AJ81,"AAAAAHZPu+w=")</f>
        <v>#VALUE!</v>
      </c>
      <c r="ID85" t="e">
        <f>AND(Names!AK81,"AAAAAHZPu+0=")</f>
        <v>#VALUE!</v>
      </c>
      <c r="IE85" t="e">
        <f>AND(Names!AL81,"AAAAAHZPu+4=")</f>
        <v>#VALUE!</v>
      </c>
      <c r="IF85" t="e">
        <f>AND(Names!AM81,"AAAAAHZPu+8=")</f>
        <v>#VALUE!</v>
      </c>
      <c r="IG85">
        <f>IF(Names!82:82,"AAAAAHZPu/A=",0)</f>
        <v>0</v>
      </c>
      <c r="IH85" t="e">
        <f>AND(Names!A82,"AAAAAHZPu/E=")</f>
        <v>#VALUE!</v>
      </c>
      <c r="II85" t="e">
        <f>AND(Names!B82,"AAAAAHZPu/I=")</f>
        <v>#VALUE!</v>
      </c>
      <c r="IJ85" t="e">
        <f>AND(Names!C82,"AAAAAHZPu/M=")</f>
        <v>#VALUE!</v>
      </c>
      <c r="IK85" t="e">
        <f>AND(Names!D82,"AAAAAHZPu/Q=")</f>
        <v>#VALUE!</v>
      </c>
      <c r="IL85" t="e">
        <f>AND(Names!E82,"AAAAAHZPu/U=")</f>
        <v>#VALUE!</v>
      </c>
      <c r="IM85" t="e">
        <f>AND(Names!F82,"AAAAAHZPu/Y=")</f>
        <v>#VALUE!</v>
      </c>
      <c r="IN85" t="e">
        <f>AND(Names!G82,"AAAAAHZPu/c=")</f>
        <v>#VALUE!</v>
      </c>
      <c r="IO85" t="e">
        <f>AND(Names!H82,"AAAAAHZPu/g=")</f>
        <v>#VALUE!</v>
      </c>
      <c r="IP85" t="e">
        <f>AND(Names!I82,"AAAAAHZPu/k=")</f>
        <v>#VALUE!</v>
      </c>
      <c r="IQ85" t="e">
        <f>AND(Names!J82,"AAAAAHZPu/o=")</f>
        <v>#VALUE!</v>
      </c>
      <c r="IR85" t="e">
        <f>AND(Names!K82,"AAAAAHZPu/s=")</f>
        <v>#VALUE!</v>
      </c>
      <c r="IS85" t="e">
        <f>AND(Names!L82,"AAAAAHZPu/w=")</f>
        <v>#VALUE!</v>
      </c>
      <c r="IT85" t="e">
        <f>AND(Names!M82,"AAAAAHZPu/0=")</f>
        <v>#VALUE!</v>
      </c>
      <c r="IU85" t="e">
        <f>AND(Names!N82,"AAAAAHZPu/4=")</f>
        <v>#VALUE!</v>
      </c>
      <c r="IV85" t="e">
        <f>AND(Names!O82,"AAAAAHZPu/8=")</f>
        <v>#VALUE!</v>
      </c>
    </row>
    <row r="86" spans="1:256" x14ac:dyDescent="0.15">
      <c r="A86" t="e">
        <f>AND(Names!P82,"AAAAAHzn/gA=")</f>
        <v>#VALUE!</v>
      </c>
      <c r="B86" t="e">
        <f>AND(Names!Q82,"AAAAAHzn/gE=")</f>
        <v>#VALUE!</v>
      </c>
      <c r="C86" t="e">
        <f>AND(Names!R82,"AAAAAHzn/gI=")</f>
        <v>#VALUE!</v>
      </c>
      <c r="D86" t="e">
        <f>AND(Names!S82,"AAAAAHzn/gM=")</f>
        <v>#VALUE!</v>
      </c>
      <c r="E86" t="e">
        <f>AND(Names!T82,"AAAAAHzn/gQ=")</f>
        <v>#VALUE!</v>
      </c>
      <c r="F86" t="e">
        <f>AND(Names!U82,"AAAAAHzn/gU=")</f>
        <v>#VALUE!</v>
      </c>
      <c r="G86" t="e">
        <f>AND(Names!V82,"AAAAAHzn/gY=")</f>
        <v>#VALUE!</v>
      </c>
      <c r="H86" t="e">
        <f>AND(Names!W82,"AAAAAHzn/gc=")</f>
        <v>#VALUE!</v>
      </c>
      <c r="I86" t="e">
        <f>AND(Names!X82,"AAAAAHzn/gg=")</f>
        <v>#VALUE!</v>
      </c>
      <c r="J86" t="e">
        <f>AND(Names!Y82,"AAAAAHzn/gk=")</f>
        <v>#VALUE!</v>
      </c>
      <c r="K86" t="e">
        <f>AND(Names!Z82,"AAAAAHzn/go=")</f>
        <v>#VALUE!</v>
      </c>
      <c r="L86" t="e">
        <f>AND(Names!AA82,"AAAAAHzn/gs=")</f>
        <v>#VALUE!</v>
      </c>
      <c r="M86" t="e">
        <f>AND(Names!AB82,"AAAAAHzn/gw=")</f>
        <v>#VALUE!</v>
      </c>
      <c r="N86" t="e">
        <f>AND(Names!AC82,"AAAAAHzn/g0=")</f>
        <v>#VALUE!</v>
      </c>
      <c r="O86" t="e">
        <f>AND(Names!AD82,"AAAAAHzn/g4=")</f>
        <v>#VALUE!</v>
      </c>
      <c r="P86" t="e">
        <f>AND(Names!AE82,"AAAAAHzn/g8=")</f>
        <v>#VALUE!</v>
      </c>
      <c r="Q86" t="e">
        <f>AND(Names!AF82,"AAAAAHzn/hA=")</f>
        <v>#VALUE!</v>
      </c>
      <c r="R86" t="e">
        <f>AND(Names!AG82,"AAAAAHzn/hE=")</f>
        <v>#VALUE!</v>
      </c>
      <c r="S86" t="e">
        <f>AND(Names!AH82,"AAAAAHzn/hI=")</f>
        <v>#VALUE!</v>
      </c>
      <c r="T86" t="e">
        <f>AND(Names!AI82,"AAAAAHzn/hM=")</f>
        <v>#VALUE!</v>
      </c>
      <c r="U86" t="e">
        <f>AND(Names!AJ82,"AAAAAHzn/hQ=")</f>
        <v>#VALUE!</v>
      </c>
      <c r="V86" t="e">
        <f>AND(Names!AK82,"AAAAAHzn/hU=")</f>
        <v>#VALUE!</v>
      </c>
      <c r="W86" t="e">
        <f>AND(Names!AL82,"AAAAAHzn/hY=")</f>
        <v>#VALUE!</v>
      </c>
      <c r="X86" t="e">
        <f>AND(Names!AM82,"AAAAAHzn/hc=")</f>
        <v>#VALUE!</v>
      </c>
      <c r="Y86">
        <f>IF(Names!83:83,"AAAAAHzn/hg=",0)</f>
        <v>0</v>
      </c>
      <c r="Z86" t="e">
        <f>AND(Names!A83,"AAAAAHzn/hk=")</f>
        <v>#VALUE!</v>
      </c>
      <c r="AA86" t="e">
        <f>AND(Names!B83,"AAAAAHzn/ho=")</f>
        <v>#VALUE!</v>
      </c>
      <c r="AB86" t="e">
        <f>AND(Names!C83,"AAAAAHzn/hs=")</f>
        <v>#VALUE!</v>
      </c>
      <c r="AC86" t="e">
        <f>AND(Names!D83,"AAAAAHzn/hw=")</f>
        <v>#VALUE!</v>
      </c>
      <c r="AD86" t="e">
        <f>AND(Names!E83,"AAAAAHzn/h0=")</f>
        <v>#VALUE!</v>
      </c>
      <c r="AE86" t="e">
        <f>AND(Names!F83,"AAAAAHzn/h4=")</f>
        <v>#VALUE!</v>
      </c>
      <c r="AF86" t="e">
        <f>AND(Names!G83,"AAAAAHzn/h8=")</f>
        <v>#VALUE!</v>
      </c>
      <c r="AG86" t="e">
        <f>AND(Names!H83,"AAAAAHzn/iA=")</f>
        <v>#VALUE!</v>
      </c>
      <c r="AH86" t="e">
        <f>AND(Names!I83,"AAAAAHzn/iE=")</f>
        <v>#VALUE!</v>
      </c>
      <c r="AI86" t="e">
        <f>AND(Names!J83,"AAAAAHzn/iI=")</f>
        <v>#VALUE!</v>
      </c>
      <c r="AJ86" t="e">
        <f>AND(Names!K83,"AAAAAHzn/iM=")</f>
        <v>#VALUE!</v>
      </c>
      <c r="AK86" t="e">
        <f>AND(Names!L83,"AAAAAHzn/iQ=")</f>
        <v>#VALUE!</v>
      </c>
      <c r="AL86" t="e">
        <f>AND(Names!M83,"AAAAAHzn/iU=")</f>
        <v>#VALUE!</v>
      </c>
      <c r="AM86" t="e">
        <f>AND(Names!N83,"AAAAAHzn/iY=")</f>
        <v>#VALUE!</v>
      </c>
      <c r="AN86" t="e">
        <f>AND(Names!O83,"AAAAAHzn/ic=")</f>
        <v>#VALUE!</v>
      </c>
      <c r="AO86" t="e">
        <f>AND(Names!P83,"AAAAAHzn/ig=")</f>
        <v>#VALUE!</v>
      </c>
      <c r="AP86" t="e">
        <f>AND(Names!Q83,"AAAAAHzn/ik=")</f>
        <v>#VALUE!</v>
      </c>
      <c r="AQ86" t="e">
        <f>AND(Names!R83,"AAAAAHzn/io=")</f>
        <v>#VALUE!</v>
      </c>
      <c r="AR86" t="e">
        <f>AND(Names!S83,"AAAAAHzn/is=")</f>
        <v>#VALUE!</v>
      </c>
      <c r="AS86" t="e">
        <f>AND(Names!T83,"AAAAAHzn/iw=")</f>
        <v>#VALUE!</v>
      </c>
      <c r="AT86" t="e">
        <f>AND(Names!U83,"AAAAAHzn/i0=")</f>
        <v>#VALUE!</v>
      </c>
      <c r="AU86" t="e">
        <f>AND(Names!V83,"AAAAAHzn/i4=")</f>
        <v>#VALUE!</v>
      </c>
      <c r="AV86" t="e">
        <f>AND(Names!W83,"AAAAAHzn/i8=")</f>
        <v>#VALUE!</v>
      </c>
      <c r="AW86" t="e">
        <f>AND(Names!X83,"AAAAAHzn/jA=")</f>
        <v>#VALUE!</v>
      </c>
      <c r="AX86" t="e">
        <f>AND(Names!Y83,"AAAAAHzn/jE=")</f>
        <v>#VALUE!</v>
      </c>
      <c r="AY86" t="e">
        <f>AND(Names!Z83,"AAAAAHzn/jI=")</f>
        <v>#VALUE!</v>
      </c>
      <c r="AZ86" t="e">
        <f>AND(Names!AA83,"AAAAAHzn/jM=")</f>
        <v>#VALUE!</v>
      </c>
      <c r="BA86" t="e">
        <f>AND(Names!AB83,"AAAAAHzn/jQ=")</f>
        <v>#VALUE!</v>
      </c>
      <c r="BB86" t="e">
        <f>AND(Names!AC83,"AAAAAHzn/jU=")</f>
        <v>#VALUE!</v>
      </c>
      <c r="BC86" t="e">
        <f>AND(Names!AD83,"AAAAAHzn/jY=")</f>
        <v>#VALUE!</v>
      </c>
      <c r="BD86" t="e">
        <f>AND(Names!AE83,"AAAAAHzn/jc=")</f>
        <v>#VALUE!</v>
      </c>
      <c r="BE86" t="e">
        <f>AND(Names!AF83,"AAAAAHzn/jg=")</f>
        <v>#VALUE!</v>
      </c>
      <c r="BF86" t="e">
        <f>AND(Names!AG83,"AAAAAHzn/jk=")</f>
        <v>#VALUE!</v>
      </c>
      <c r="BG86" t="e">
        <f>AND(Names!AH83,"AAAAAHzn/jo=")</f>
        <v>#VALUE!</v>
      </c>
      <c r="BH86" t="e">
        <f>AND(Names!AI83,"AAAAAHzn/js=")</f>
        <v>#VALUE!</v>
      </c>
      <c r="BI86" t="e">
        <f>AND(Names!AJ83,"AAAAAHzn/jw=")</f>
        <v>#VALUE!</v>
      </c>
      <c r="BJ86" t="e">
        <f>AND(Names!AK83,"AAAAAHzn/j0=")</f>
        <v>#VALUE!</v>
      </c>
      <c r="BK86" t="e">
        <f>AND(Names!AL83,"AAAAAHzn/j4=")</f>
        <v>#VALUE!</v>
      </c>
      <c r="BL86" t="e">
        <f>AND(Names!AM83,"AAAAAHzn/j8=")</f>
        <v>#VALUE!</v>
      </c>
      <c r="BM86">
        <f>IF(Names!84:84,"AAAAAHzn/kA=",0)</f>
        <v>0</v>
      </c>
      <c r="BN86" t="e">
        <f>AND(Names!A84,"AAAAAHzn/kE=")</f>
        <v>#VALUE!</v>
      </c>
      <c r="BO86" t="e">
        <f>AND(Names!B84,"AAAAAHzn/kI=")</f>
        <v>#VALUE!</v>
      </c>
      <c r="BP86" t="e">
        <f>AND(Names!C84,"AAAAAHzn/kM=")</f>
        <v>#VALUE!</v>
      </c>
      <c r="BQ86" t="e">
        <f>AND(Names!D84,"AAAAAHzn/kQ=")</f>
        <v>#VALUE!</v>
      </c>
      <c r="BR86" t="e">
        <f>AND(Names!E84,"AAAAAHzn/kU=")</f>
        <v>#VALUE!</v>
      </c>
      <c r="BS86" t="e">
        <f>AND(Names!F84,"AAAAAHzn/kY=")</f>
        <v>#VALUE!</v>
      </c>
      <c r="BT86" t="e">
        <f>AND(Names!G84,"AAAAAHzn/kc=")</f>
        <v>#VALUE!</v>
      </c>
      <c r="BU86" t="e">
        <f>AND(Names!H84,"AAAAAHzn/kg=")</f>
        <v>#VALUE!</v>
      </c>
      <c r="BV86" t="e">
        <f>AND(Names!I84,"AAAAAHzn/kk=")</f>
        <v>#VALUE!</v>
      </c>
      <c r="BW86" t="e">
        <f>AND(Names!J84,"AAAAAHzn/ko=")</f>
        <v>#VALUE!</v>
      </c>
      <c r="BX86" t="e">
        <f>AND(Names!K84,"AAAAAHzn/ks=")</f>
        <v>#VALUE!</v>
      </c>
      <c r="BY86" t="e">
        <f>AND(Names!L84,"AAAAAHzn/kw=")</f>
        <v>#VALUE!</v>
      </c>
      <c r="BZ86" t="e">
        <f>AND(Names!M84,"AAAAAHzn/k0=")</f>
        <v>#VALUE!</v>
      </c>
      <c r="CA86" t="e">
        <f>AND(Names!N84,"AAAAAHzn/k4=")</f>
        <v>#VALUE!</v>
      </c>
      <c r="CB86" t="e">
        <f>AND(Names!O84,"AAAAAHzn/k8=")</f>
        <v>#VALUE!</v>
      </c>
      <c r="CC86" t="e">
        <f>AND(Names!P84,"AAAAAHzn/lA=")</f>
        <v>#VALUE!</v>
      </c>
      <c r="CD86" t="e">
        <f>AND(Names!Q84,"AAAAAHzn/lE=")</f>
        <v>#VALUE!</v>
      </c>
      <c r="CE86" t="e">
        <f>AND(Names!R84,"AAAAAHzn/lI=")</f>
        <v>#VALUE!</v>
      </c>
      <c r="CF86" t="e">
        <f>AND(Names!S84,"AAAAAHzn/lM=")</f>
        <v>#VALUE!</v>
      </c>
      <c r="CG86" t="e">
        <f>AND(Names!T84,"AAAAAHzn/lQ=")</f>
        <v>#VALUE!</v>
      </c>
      <c r="CH86" t="e">
        <f>AND(Names!U84,"AAAAAHzn/lU=")</f>
        <v>#VALUE!</v>
      </c>
      <c r="CI86" t="e">
        <f>AND(Names!V84,"AAAAAHzn/lY=")</f>
        <v>#VALUE!</v>
      </c>
      <c r="CJ86" t="e">
        <f>AND(Names!W84,"AAAAAHzn/lc=")</f>
        <v>#VALUE!</v>
      </c>
      <c r="CK86" t="e">
        <f>AND(Names!X84,"AAAAAHzn/lg=")</f>
        <v>#VALUE!</v>
      </c>
      <c r="CL86" t="e">
        <f>AND(Names!Y84,"AAAAAHzn/lk=")</f>
        <v>#VALUE!</v>
      </c>
      <c r="CM86" t="e">
        <f>AND(Names!Z84,"AAAAAHzn/lo=")</f>
        <v>#VALUE!</v>
      </c>
      <c r="CN86" t="e">
        <f>AND(Names!AA84,"AAAAAHzn/ls=")</f>
        <v>#VALUE!</v>
      </c>
      <c r="CO86" t="e">
        <f>AND(Names!AB84,"AAAAAHzn/lw=")</f>
        <v>#VALUE!</v>
      </c>
      <c r="CP86" t="e">
        <f>AND(Names!AC84,"AAAAAHzn/l0=")</f>
        <v>#VALUE!</v>
      </c>
      <c r="CQ86" t="e">
        <f>AND(Names!AD84,"AAAAAHzn/l4=")</f>
        <v>#VALUE!</v>
      </c>
      <c r="CR86" t="e">
        <f>AND(Names!AE84,"AAAAAHzn/l8=")</f>
        <v>#VALUE!</v>
      </c>
      <c r="CS86" t="e">
        <f>AND(Names!AF84,"AAAAAHzn/mA=")</f>
        <v>#VALUE!</v>
      </c>
      <c r="CT86" t="e">
        <f>AND(Names!AG84,"AAAAAHzn/mE=")</f>
        <v>#VALUE!</v>
      </c>
      <c r="CU86" t="e">
        <f>AND(Names!AH84,"AAAAAHzn/mI=")</f>
        <v>#VALUE!</v>
      </c>
      <c r="CV86" t="e">
        <f>AND(Names!AI84,"AAAAAHzn/mM=")</f>
        <v>#VALUE!</v>
      </c>
      <c r="CW86" t="e">
        <f>AND(Names!AJ84,"AAAAAHzn/mQ=")</f>
        <v>#VALUE!</v>
      </c>
      <c r="CX86" t="e">
        <f>AND(Names!AK84,"AAAAAHzn/mU=")</f>
        <v>#VALUE!</v>
      </c>
      <c r="CY86" t="e">
        <f>AND(Names!AL84,"AAAAAHzn/mY=")</f>
        <v>#VALUE!</v>
      </c>
      <c r="CZ86" t="e">
        <f>AND(Names!AM84,"AAAAAHzn/mc=")</f>
        <v>#VALUE!</v>
      </c>
      <c r="DA86">
        <f>IF(Names!85:85,"AAAAAHzn/mg=",0)</f>
        <v>0</v>
      </c>
      <c r="DB86" t="e">
        <f>AND(Names!A85,"AAAAAHzn/mk=")</f>
        <v>#VALUE!</v>
      </c>
      <c r="DC86" t="e">
        <f>AND(Names!B85,"AAAAAHzn/mo=")</f>
        <v>#VALUE!</v>
      </c>
      <c r="DD86" t="e">
        <f>AND(Names!C85,"AAAAAHzn/ms=")</f>
        <v>#VALUE!</v>
      </c>
      <c r="DE86" t="e">
        <f>AND(Names!D85,"AAAAAHzn/mw=")</f>
        <v>#VALUE!</v>
      </c>
      <c r="DF86" t="e">
        <f>AND(Names!E85,"AAAAAHzn/m0=")</f>
        <v>#VALUE!</v>
      </c>
      <c r="DG86" t="e">
        <f>AND(Names!F85,"AAAAAHzn/m4=")</f>
        <v>#VALUE!</v>
      </c>
      <c r="DH86" t="e">
        <f>AND(Names!G85,"AAAAAHzn/m8=")</f>
        <v>#VALUE!</v>
      </c>
      <c r="DI86" t="e">
        <f>AND(Names!H85,"AAAAAHzn/nA=")</f>
        <v>#VALUE!</v>
      </c>
      <c r="DJ86" t="e">
        <f>AND(Names!I85,"AAAAAHzn/nE=")</f>
        <v>#VALUE!</v>
      </c>
      <c r="DK86" t="e">
        <f>AND(Names!J85,"AAAAAHzn/nI=")</f>
        <v>#VALUE!</v>
      </c>
      <c r="DL86" t="e">
        <f>AND(Names!K85,"AAAAAHzn/nM=")</f>
        <v>#VALUE!</v>
      </c>
      <c r="DM86" t="e">
        <f>AND(Names!L85,"AAAAAHzn/nQ=")</f>
        <v>#VALUE!</v>
      </c>
      <c r="DN86" t="e">
        <f>AND(Names!M85,"AAAAAHzn/nU=")</f>
        <v>#VALUE!</v>
      </c>
      <c r="DO86" t="e">
        <f>AND(Names!N85,"AAAAAHzn/nY=")</f>
        <v>#VALUE!</v>
      </c>
      <c r="DP86" t="e">
        <f>AND(Names!O85,"AAAAAHzn/nc=")</f>
        <v>#VALUE!</v>
      </c>
      <c r="DQ86" t="e">
        <f>AND(Names!P85,"AAAAAHzn/ng=")</f>
        <v>#VALUE!</v>
      </c>
      <c r="DR86" t="e">
        <f>AND(Names!Q85,"AAAAAHzn/nk=")</f>
        <v>#VALUE!</v>
      </c>
      <c r="DS86" t="e">
        <f>AND(Names!R85,"AAAAAHzn/no=")</f>
        <v>#VALUE!</v>
      </c>
      <c r="DT86" t="e">
        <f>AND(Names!S85,"AAAAAHzn/ns=")</f>
        <v>#VALUE!</v>
      </c>
      <c r="DU86" t="e">
        <f>AND(Names!T85,"AAAAAHzn/nw=")</f>
        <v>#VALUE!</v>
      </c>
      <c r="DV86" t="e">
        <f>AND(Names!U85,"AAAAAHzn/n0=")</f>
        <v>#VALUE!</v>
      </c>
      <c r="DW86" t="e">
        <f>AND(Names!V85,"AAAAAHzn/n4=")</f>
        <v>#VALUE!</v>
      </c>
      <c r="DX86" t="e">
        <f>AND(Names!W85,"AAAAAHzn/n8=")</f>
        <v>#VALUE!</v>
      </c>
      <c r="DY86" t="e">
        <f>AND(Names!X85,"AAAAAHzn/oA=")</f>
        <v>#VALUE!</v>
      </c>
      <c r="DZ86" t="e">
        <f>AND(Names!Y85,"AAAAAHzn/oE=")</f>
        <v>#VALUE!</v>
      </c>
      <c r="EA86" t="e">
        <f>AND(Names!Z85,"AAAAAHzn/oI=")</f>
        <v>#VALUE!</v>
      </c>
      <c r="EB86" t="e">
        <f>AND(Names!AA85,"AAAAAHzn/oM=")</f>
        <v>#VALUE!</v>
      </c>
      <c r="EC86" t="e">
        <f>AND(Names!AB85,"AAAAAHzn/oQ=")</f>
        <v>#VALUE!</v>
      </c>
      <c r="ED86" t="e">
        <f>AND(Names!AC85,"AAAAAHzn/oU=")</f>
        <v>#VALUE!</v>
      </c>
      <c r="EE86" t="e">
        <f>AND(Names!AD85,"AAAAAHzn/oY=")</f>
        <v>#VALUE!</v>
      </c>
      <c r="EF86" t="e">
        <f>AND(Names!AE85,"AAAAAHzn/oc=")</f>
        <v>#VALUE!</v>
      </c>
      <c r="EG86" t="e">
        <f>AND(Names!AF85,"AAAAAHzn/og=")</f>
        <v>#VALUE!</v>
      </c>
      <c r="EH86" t="e">
        <f>AND(Names!AG85,"AAAAAHzn/ok=")</f>
        <v>#VALUE!</v>
      </c>
      <c r="EI86" t="e">
        <f>AND(Names!AH85,"AAAAAHzn/oo=")</f>
        <v>#VALUE!</v>
      </c>
      <c r="EJ86" t="e">
        <f>AND(Names!AI85,"AAAAAHzn/os=")</f>
        <v>#VALUE!</v>
      </c>
      <c r="EK86" t="e">
        <f>AND(Names!AJ85,"AAAAAHzn/ow=")</f>
        <v>#VALUE!</v>
      </c>
      <c r="EL86" t="e">
        <f>AND(Names!AK85,"AAAAAHzn/o0=")</f>
        <v>#VALUE!</v>
      </c>
      <c r="EM86" t="e">
        <f>AND(Names!AL85,"AAAAAHzn/o4=")</f>
        <v>#VALUE!</v>
      </c>
      <c r="EN86" t="e">
        <f>AND(Names!AM85,"AAAAAHzn/o8=")</f>
        <v>#VALUE!</v>
      </c>
      <c r="EO86">
        <f>IF(Names!86:86,"AAAAAHzn/pA=",0)</f>
        <v>0</v>
      </c>
      <c r="EP86" t="e">
        <f>AND(Names!A86,"AAAAAHzn/pE=")</f>
        <v>#VALUE!</v>
      </c>
      <c r="EQ86" t="e">
        <f>AND(Names!B86,"AAAAAHzn/pI=")</f>
        <v>#VALUE!</v>
      </c>
      <c r="ER86" t="e">
        <f>AND(Names!C86,"AAAAAHzn/pM=")</f>
        <v>#VALUE!</v>
      </c>
      <c r="ES86" t="e">
        <f>AND(Names!D86,"AAAAAHzn/pQ=")</f>
        <v>#VALUE!</v>
      </c>
      <c r="ET86" t="e">
        <f>AND(Names!E86,"AAAAAHzn/pU=")</f>
        <v>#VALUE!</v>
      </c>
      <c r="EU86" t="e">
        <f>AND(Names!F86,"AAAAAHzn/pY=")</f>
        <v>#VALUE!</v>
      </c>
      <c r="EV86" t="e">
        <f>AND(Names!G86,"AAAAAHzn/pc=")</f>
        <v>#VALUE!</v>
      </c>
      <c r="EW86" t="e">
        <f>AND(Names!H86,"AAAAAHzn/pg=")</f>
        <v>#VALUE!</v>
      </c>
      <c r="EX86" t="e">
        <f>AND(Names!I86,"AAAAAHzn/pk=")</f>
        <v>#VALUE!</v>
      </c>
      <c r="EY86" t="e">
        <f>AND(Names!J86,"AAAAAHzn/po=")</f>
        <v>#VALUE!</v>
      </c>
      <c r="EZ86" t="e">
        <f>AND(Names!K86,"AAAAAHzn/ps=")</f>
        <v>#VALUE!</v>
      </c>
      <c r="FA86" t="e">
        <f>AND(Names!L86,"AAAAAHzn/pw=")</f>
        <v>#VALUE!</v>
      </c>
      <c r="FB86" t="e">
        <f>AND(Names!M86,"AAAAAHzn/p0=")</f>
        <v>#VALUE!</v>
      </c>
      <c r="FC86" t="e">
        <f>AND(Names!N86,"AAAAAHzn/p4=")</f>
        <v>#VALUE!</v>
      </c>
      <c r="FD86" t="e">
        <f>AND(Names!O86,"AAAAAHzn/p8=")</f>
        <v>#VALUE!</v>
      </c>
      <c r="FE86" t="e">
        <f>AND(Names!P86,"AAAAAHzn/qA=")</f>
        <v>#VALUE!</v>
      </c>
      <c r="FF86" t="e">
        <f>AND(Names!Q86,"AAAAAHzn/qE=")</f>
        <v>#VALUE!</v>
      </c>
      <c r="FG86" t="e">
        <f>AND(Names!R86,"AAAAAHzn/qI=")</f>
        <v>#VALUE!</v>
      </c>
      <c r="FH86" t="e">
        <f>AND(Names!S86,"AAAAAHzn/qM=")</f>
        <v>#VALUE!</v>
      </c>
      <c r="FI86" t="e">
        <f>AND(Names!T86,"AAAAAHzn/qQ=")</f>
        <v>#VALUE!</v>
      </c>
      <c r="FJ86" t="e">
        <f>AND(Names!U86,"AAAAAHzn/qU=")</f>
        <v>#VALUE!</v>
      </c>
      <c r="FK86" t="e">
        <f>AND(Names!V86,"AAAAAHzn/qY=")</f>
        <v>#VALUE!</v>
      </c>
      <c r="FL86" t="e">
        <f>AND(Names!W86,"AAAAAHzn/qc=")</f>
        <v>#VALUE!</v>
      </c>
      <c r="FM86" t="e">
        <f>AND(Names!X86,"AAAAAHzn/qg=")</f>
        <v>#VALUE!</v>
      </c>
      <c r="FN86" t="e">
        <f>AND(Names!Y86,"AAAAAHzn/qk=")</f>
        <v>#VALUE!</v>
      </c>
      <c r="FO86" t="e">
        <f>AND(Names!Z86,"AAAAAHzn/qo=")</f>
        <v>#VALUE!</v>
      </c>
      <c r="FP86" t="e">
        <f>AND(Names!AA86,"AAAAAHzn/qs=")</f>
        <v>#VALUE!</v>
      </c>
      <c r="FQ86" t="e">
        <f>AND(Names!AB86,"AAAAAHzn/qw=")</f>
        <v>#VALUE!</v>
      </c>
      <c r="FR86" t="e">
        <f>AND(Names!AC86,"AAAAAHzn/q0=")</f>
        <v>#VALUE!</v>
      </c>
      <c r="FS86" t="e">
        <f>AND(Names!AD86,"AAAAAHzn/q4=")</f>
        <v>#VALUE!</v>
      </c>
      <c r="FT86" t="e">
        <f>AND(Names!AE86,"AAAAAHzn/q8=")</f>
        <v>#VALUE!</v>
      </c>
      <c r="FU86" t="e">
        <f>AND(Names!AF86,"AAAAAHzn/rA=")</f>
        <v>#VALUE!</v>
      </c>
      <c r="FV86" t="e">
        <f>AND(Names!AG86,"AAAAAHzn/rE=")</f>
        <v>#VALUE!</v>
      </c>
      <c r="FW86" t="e">
        <f>AND(Names!AH86,"AAAAAHzn/rI=")</f>
        <v>#VALUE!</v>
      </c>
      <c r="FX86" t="e">
        <f>AND(Names!AI86,"AAAAAHzn/rM=")</f>
        <v>#VALUE!</v>
      </c>
      <c r="FY86" t="e">
        <f>AND(Names!AJ86,"AAAAAHzn/rQ=")</f>
        <v>#VALUE!</v>
      </c>
      <c r="FZ86" t="e">
        <f>AND(Names!AK86,"AAAAAHzn/rU=")</f>
        <v>#VALUE!</v>
      </c>
      <c r="GA86" t="e">
        <f>AND(Names!AL86,"AAAAAHzn/rY=")</f>
        <v>#VALUE!</v>
      </c>
      <c r="GB86" t="e">
        <f>AND(Names!AM86,"AAAAAHzn/rc=")</f>
        <v>#VALUE!</v>
      </c>
      <c r="GC86">
        <f>IF(Names!87:87,"AAAAAHzn/rg=",0)</f>
        <v>0</v>
      </c>
      <c r="GD86" t="e">
        <f>AND(Names!A87,"AAAAAHzn/rk=")</f>
        <v>#VALUE!</v>
      </c>
      <c r="GE86" t="e">
        <f>AND(Names!B87,"AAAAAHzn/ro=")</f>
        <v>#VALUE!</v>
      </c>
      <c r="GF86" t="e">
        <f>AND(Names!C87,"AAAAAHzn/rs=")</f>
        <v>#VALUE!</v>
      </c>
      <c r="GG86" t="e">
        <f>AND(Names!D87,"AAAAAHzn/rw=")</f>
        <v>#VALUE!</v>
      </c>
      <c r="GH86" t="e">
        <f>AND(Names!E87,"AAAAAHzn/r0=")</f>
        <v>#VALUE!</v>
      </c>
      <c r="GI86" t="e">
        <f>AND(Names!F87,"AAAAAHzn/r4=")</f>
        <v>#VALUE!</v>
      </c>
      <c r="GJ86" t="e">
        <f>AND(Names!G87,"AAAAAHzn/r8=")</f>
        <v>#VALUE!</v>
      </c>
      <c r="GK86" t="e">
        <f>AND(Names!H87,"AAAAAHzn/sA=")</f>
        <v>#VALUE!</v>
      </c>
      <c r="GL86" t="e">
        <f>AND(Names!I87,"AAAAAHzn/sE=")</f>
        <v>#VALUE!</v>
      </c>
      <c r="GM86" t="e">
        <f>AND(Names!J87,"AAAAAHzn/sI=")</f>
        <v>#VALUE!</v>
      </c>
      <c r="GN86" t="e">
        <f>AND(Names!K87,"AAAAAHzn/sM=")</f>
        <v>#VALUE!</v>
      </c>
      <c r="GO86" t="e">
        <f>AND(Names!L87,"AAAAAHzn/sQ=")</f>
        <v>#VALUE!</v>
      </c>
      <c r="GP86" t="e">
        <f>AND(Names!M87,"AAAAAHzn/sU=")</f>
        <v>#VALUE!</v>
      </c>
      <c r="GQ86" t="e">
        <f>AND(Names!N87,"AAAAAHzn/sY=")</f>
        <v>#VALUE!</v>
      </c>
      <c r="GR86" t="e">
        <f>AND(Names!O87,"AAAAAHzn/sc=")</f>
        <v>#VALUE!</v>
      </c>
      <c r="GS86" t="e">
        <f>AND(Names!P87,"AAAAAHzn/sg=")</f>
        <v>#VALUE!</v>
      </c>
      <c r="GT86" t="e">
        <f>AND(Names!Q87,"AAAAAHzn/sk=")</f>
        <v>#VALUE!</v>
      </c>
      <c r="GU86" t="e">
        <f>AND(Names!R87,"AAAAAHzn/so=")</f>
        <v>#VALUE!</v>
      </c>
      <c r="GV86" t="e">
        <f>AND(Names!S87,"AAAAAHzn/ss=")</f>
        <v>#VALUE!</v>
      </c>
      <c r="GW86" t="e">
        <f>AND(Names!T87,"AAAAAHzn/sw=")</f>
        <v>#VALUE!</v>
      </c>
      <c r="GX86" t="e">
        <f>AND(Names!U87,"AAAAAHzn/s0=")</f>
        <v>#VALUE!</v>
      </c>
      <c r="GY86" t="e">
        <f>AND(Names!V87,"AAAAAHzn/s4=")</f>
        <v>#VALUE!</v>
      </c>
      <c r="GZ86" t="e">
        <f>AND(Names!W87,"AAAAAHzn/s8=")</f>
        <v>#VALUE!</v>
      </c>
      <c r="HA86" t="e">
        <f>AND(Names!X87,"AAAAAHzn/tA=")</f>
        <v>#VALUE!</v>
      </c>
      <c r="HB86" t="e">
        <f>AND(Names!Y87,"AAAAAHzn/tE=")</f>
        <v>#VALUE!</v>
      </c>
      <c r="HC86" t="e">
        <f>AND(Names!Z87,"AAAAAHzn/tI=")</f>
        <v>#VALUE!</v>
      </c>
      <c r="HD86" t="e">
        <f>AND(Names!AA87,"AAAAAHzn/tM=")</f>
        <v>#VALUE!</v>
      </c>
      <c r="HE86" t="e">
        <f>AND(Names!AB87,"AAAAAHzn/tQ=")</f>
        <v>#VALUE!</v>
      </c>
      <c r="HF86" t="e">
        <f>AND(Names!AC87,"AAAAAHzn/tU=")</f>
        <v>#VALUE!</v>
      </c>
      <c r="HG86" t="e">
        <f>AND(Names!AD87,"AAAAAHzn/tY=")</f>
        <v>#VALUE!</v>
      </c>
      <c r="HH86" t="e">
        <f>AND(Names!AE87,"AAAAAHzn/tc=")</f>
        <v>#VALUE!</v>
      </c>
      <c r="HI86" t="e">
        <f>AND(Names!AF87,"AAAAAHzn/tg=")</f>
        <v>#VALUE!</v>
      </c>
      <c r="HJ86" t="e">
        <f>AND(Names!AG87,"AAAAAHzn/tk=")</f>
        <v>#VALUE!</v>
      </c>
      <c r="HK86" t="e">
        <f>AND(Names!AH87,"AAAAAHzn/to=")</f>
        <v>#VALUE!</v>
      </c>
      <c r="HL86" t="e">
        <f>AND(Names!AI87,"AAAAAHzn/ts=")</f>
        <v>#VALUE!</v>
      </c>
      <c r="HM86" t="e">
        <f>AND(Names!AJ87,"AAAAAHzn/tw=")</f>
        <v>#VALUE!</v>
      </c>
      <c r="HN86" t="e">
        <f>AND(Names!AK87,"AAAAAHzn/t0=")</f>
        <v>#VALUE!</v>
      </c>
      <c r="HO86" t="e">
        <f>AND(Names!AL87,"AAAAAHzn/t4=")</f>
        <v>#VALUE!</v>
      </c>
      <c r="HP86" t="e">
        <f>AND(Names!AM87,"AAAAAHzn/t8=")</f>
        <v>#VALUE!</v>
      </c>
      <c r="HQ86">
        <f>IF(Names!88:88,"AAAAAHzn/uA=",0)</f>
        <v>0</v>
      </c>
      <c r="HR86" t="e">
        <f>AND(Names!A88,"AAAAAHzn/uE=")</f>
        <v>#VALUE!</v>
      </c>
      <c r="HS86" t="e">
        <f>AND(Names!B88,"AAAAAHzn/uI=")</f>
        <v>#VALUE!</v>
      </c>
      <c r="HT86" t="e">
        <f>AND(Names!C88,"AAAAAHzn/uM=")</f>
        <v>#VALUE!</v>
      </c>
      <c r="HU86" t="e">
        <f>AND(Names!D88,"AAAAAHzn/uQ=")</f>
        <v>#VALUE!</v>
      </c>
      <c r="HV86" t="e">
        <f>AND(Names!E88,"AAAAAHzn/uU=")</f>
        <v>#VALUE!</v>
      </c>
      <c r="HW86" t="e">
        <f>AND(Names!F88,"AAAAAHzn/uY=")</f>
        <v>#VALUE!</v>
      </c>
      <c r="HX86" t="e">
        <f>AND(Names!G88,"AAAAAHzn/uc=")</f>
        <v>#VALUE!</v>
      </c>
      <c r="HY86" t="e">
        <f>AND(Names!H88,"AAAAAHzn/ug=")</f>
        <v>#VALUE!</v>
      </c>
      <c r="HZ86" t="e">
        <f>AND(Names!I88,"AAAAAHzn/uk=")</f>
        <v>#VALUE!</v>
      </c>
      <c r="IA86" t="e">
        <f>AND(Names!J88,"AAAAAHzn/uo=")</f>
        <v>#VALUE!</v>
      </c>
      <c r="IB86" t="e">
        <f>AND(Names!K88,"AAAAAHzn/us=")</f>
        <v>#VALUE!</v>
      </c>
      <c r="IC86" t="e">
        <f>AND(Names!L88,"AAAAAHzn/uw=")</f>
        <v>#VALUE!</v>
      </c>
      <c r="ID86" t="e">
        <f>AND(Names!M88,"AAAAAHzn/u0=")</f>
        <v>#VALUE!</v>
      </c>
      <c r="IE86" t="e">
        <f>AND(Names!N88,"AAAAAHzn/u4=")</f>
        <v>#VALUE!</v>
      </c>
      <c r="IF86" t="e">
        <f>AND(Names!O88,"AAAAAHzn/u8=")</f>
        <v>#VALUE!</v>
      </c>
      <c r="IG86" t="e">
        <f>AND(Names!P88,"AAAAAHzn/vA=")</f>
        <v>#VALUE!</v>
      </c>
      <c r="IH86" t="e">
        <f>AND(Names!Q88,"AAAAAHzn/vE=")</f>
        <v>#VALUE!</v>
      </c>
      <c r="II86" t="e">
        <f>AND(Names!R88,"AAAAAHzn/vI=")</f>
        <v>#VALUE!</v>
      </c>
      <c r="IJ86" t="e">
        <f>AND(Names!S88,"AAAAAHzn/vM=")</f>
        <v>#VALUE!</v>
      </c>
      <c r="IK86" t="e">
        <f>AND(Names!T88,"AAAAAHzn/vQ=")</f>
        <v>#VALUE!</v>
      </c>
      <c r="IL86" t="e">
        <f>AND(Names!U88,"AAAAAHzn/vU=")</f>
        <v>#VALUE!</v>
      </c>
      <c r="IM86" t="e">
        <f>AND(Names!V88,"AAAAAHzn/vY=")</f>
        <v>#VALUE!</v>
      </c>
      <c r="IN86" t="e">
        <f>AND(Names!W88,"AAAAAHzn/vc=")</f>
        <v>#VALUE!</v>
      </c>
      <c r="IO86" t="e">
        <f>AND(Names!X88,"AAAAAHzn/vg=")</f>
        <v>#VALUE!</v>
      </c>
      <c r="IP86" t="e">
        <f>AND(Names!Y88,"AAAAAHzn/vk=")</f>
        <v>#VALUE!</v>
      </c>
      <c r="IQ86" t="e">
        <f>AND(Names!Z88,"AAAAAHzn/vo=")</f>
        <v>#VALUE!</v>
      </c>
      <c r="IR86" t="e">
        <f>AND(Names!AA88,"AAAAAHzn/vs=")</f>
        <v>#VALUE!</v>
      </c>
      <c r="IS86" t="e">
        <f>AND(Names!AB88,"AAAAAHzn/vw=")</f>
        <v>#VALUE!</v>
      </c>
      <c r="IT86" t="e">
        <f>AND(Names!AC88,"AAAAAHzn/v0=")</f>
        <v>#VALUE!</v>
      </c>
      <c r="IU86" t="e">
        <f>AND(Names!AD88,"AAAAAHzn/v4=")</f>
        <v>#VALUE!</v>
      </c>
      <c r="IV86" t="e">
        <f>AND(Names!AE88,"AAAAAHzn/v8=")</f>
        <v>#VALUE!</v>
      </c>
    </row>
    <row r="87" spans="1:256" x14ac:dyDescent="0.15">
      <c r="A87" t="e">
        <f>AND(Names!AF88,"AAAAAEV7fwA=")</f>
        <v>#VALUE!</v>
      </c>
      <c r="B87" t="e">
        <f>AND(Names!AG88,"AAAAAEV7fwE=")</f>
        <v>#VALUE!</v>
      </c>
      <c r="C87" t="e">
        <f>AND(Names!AH88,"AAAAAEV7fwI=")</f>
        <v>#VALUE!</v>
      </c>
      <c r="D87" t="e">
        <f>AND(Names!AI88,"AAAAAEV7fwM=")</f>
        <v>#VALUE!</v>
      </c>
      <c r="E87" t="e">
        <f>AND(Names!AJ88,"AAAAAEV7fwQ=")</f>
        <v>#VALUE!</v>
      </c>
      <c r="F87" t="e">
        <f>AND(Names!AK88,"AAAAAEV7fwU=")</f>
        <v>#VALUE!</v>
      </c>
      <c r="G87" t="e">
        <f>AND(Names!AL88,"AAAAAEV7fwY=")</f>
        <v>#VALUE!</v>
      </c>
      <c r="H87" t="e">
        <f>AND(Names!AM88,"AAAAAEV7fwc=")</f>
        <v>#VALUE!</v>
      </c>
      <c r="I87">
        <f>IF(Names!89:89,"AAAAAEV7fwg=",0)</f>
        <v>0</v>
      </c>
      <c r="J87" t="e">
        <f>AND(Names!A89,"AAAAAEV7fwk=")</f>
        <v>#VALUE!</v>
      </c>
      <c r="K87" t="e">
        <f>AND(Names!B89,"AAAAAEV7fwo=")</f>
        <v>#VALUE!</v>
      </c>
      <c r="L87" t="e">
        <f>AND(Names!C89,"AAAAAEV7fws=")</f>
        <v>#VALUE!</v>
      </c>
      <c r="M87" t="e">
        <f>AND(Names!D89,"AAAAAEV7fww=")</f>
        <v>#VALUE!</v>
      </c>
      <c r="N87" t="e">
        <f>AND(Names!E89,"AAAAAEV7fw0=")</f>
        <v>#VALUE!</v>
      </c>
      <c r="O87" t="e">
        <f>AND(Names!F89,"AAAAAEV7fw4=")</f>
        <v>#VALUE!</v>
      </c>
      <c r="P87" t="e">
        <f>AND(Names!G89,"AAAAAEV7fw8=")</f>
        <v>#VALUE!</v>
      </c>
      <c r="Q87" t="e">
        <f>AND(Names!H89,"AAAAAEV7fxA=")</f>
        <v>#VALUE!</v>
      </c>
      <c r="R87" t="e">
        <f>AND(Names!I89,"AAAAAEV7fxE=")</f>
        <v>#VALUE!</v>
      </c>
      <c r="S87" t="e">
        <f>AND(Names!J89,"AAAAAEV7fxI=")</f>
        <v>#VALUE!</v>
      </c>
      <c r="T87" t="e">
        <f>AND(Names!K89,"AAAAAEV7fxM=")</f>
        <v>#VALUE!</v>
      </c>
      <c r="U87" t="e">
        <f>AND(Names!L89,"AAAAAEV7fxQ=")</f>
        <v>#VALUE!</v>
      </c>
      <c r="V87" t="e">
        <f>AND(Names!M89,"AAAAAEV7fxU=")</f>
        <v>#VALUE!</v>
      </c>
      <c r="W87" t="e">
        <f>AND(Names!N89,"AAAAAEV7fxY=")</f>
        <v>#VALUE!</v>
      </c>
      <c r="X87" t="e">
        <f>AND(Names!O89,"AAAAAEV7fxc=")</f>
        <v>#VALUE!</v>
      </c>
      <c r="Y87" t="e">
        <f>AND(Names!P89,"AAAAAEV7fxg=")</f>
        <v>#VALUE!</v>
      </c>
      <c r="Z87" t="e">
        <f>AND(Names!Q89,"AAAAAEV7fxk=")</f>
        <v>#VALUE!</v>
      </c>
      <c r="AA87" t="e">
        <f>AND(Names!R89,"AAAAAEV7fxo=")</f>
        <v>#VALUE!</v>
      </c>
      <c r="AB87" t="e">
        <f>AND(Names!S89,"AAAAAEV7fxs=")</f>
        <v>#VALUE!</v>
      </c>
      <c r="AC87" t="e">
        <f>AND(Names!T89,"AAAAAEV7fxw=")</f>
        <v>#VALUE!</v>
      </c>
      <c r="AD87" t="e">
        <f>AND(Names!U89,"AAAAAEV7fx0=")</f>
        <v>#VALUE!</v>
      </c>
      <c r="AE87" t="e">
        <f>AND(Names!V89,"AAAAAEV7fx4=")</f>
        <v>#VALUE!</v>
      </c>
      <c r="AF87" t="e">
        <f>AND(Names!W89,"AAAAAEV7fx8=")</f>
        <v>#VALUE!</v>
      </c>
      <c r="AG87" t="e">
        <f>AND(Names!X89,"AAAAAEV7fyA=")</f>
        <v>#VALUE!</v>
      </c>
      <c r="AH87" t="e">
        <f>AND(Names!Y89,"AAAAAEV7fyE=")</f>
        <v>#VALUE!</v>
      </c>
      <c r="AI87" t="e">
        <f>AND(Names!Z89,"AAAAAEV7fyI=")</f>
        <v>#VALUE!</v>
      </c>
      <c r="AJ87" t="e">
        <f>AND(Names!AA89,"AAAAAEV7fyM=")</f>
        <v>#VALUE!</v>
      </c>
      <c r="AK87" t="e">
        <f>AND(Names!AB89,"AAAAAEV7fyQ=")</f>
        <v>#VALUE!</v>
      </c>
      <c r="AL87" t="e">
        <f>AND(Names!AC89,"AAAAAEV7fyU=")</f>
        <v>#VALUE!</v>
      </c>
      <c r="AM87" t="e">
        <f>AND(Names!AD89,"AAAAAEV7fyY=")</f>
        <v>#VALUE!</v>
      </c>
      <c r="AN87" t="e">
        <f>AND(Names!AE89,"AAAAAEV7fyc=")</f>
        <v>#VALUE!</v>
      </c>
      <c r="AO87" t="e">
        <f>AND(Names!AF89,"AAAAAEV7fyg=")</f>
        <v>#VALUE!</v>
      </c>
      <c r="AP87" t="e">
        <f>AND(Names!AG89,"AAAAAEV7fyk=")</f>
        <v>#VALUE!</v>
      </c>
      <c r="AQ87" t="e">
        <f>AND(Names!AH89,"AAAAAEV7fyo=")</f>
        <v>#VALUE!</v>
      </c>
      <c r="AR87" t="e">
        <f>AND(Names!AI89,"AAAAAEV7fys=")</f>
        <v>#VALUE!</v>
      </c>
      <c r="AS87" t="e">
        <f>AND(Names!AJ89,"AAAAAEV7fyw=")</f>
        <v>#VALUE!</v>
      </c>
      <c r="AT87" t="e">
        <f>AND(Names!AK89,"AAAAAEV7fy0=")</f>
        <v>#VALUE!</v>
      </c>
      <c r="AU87" t="e">
        <f>AND(Names!AL89,"AAAAAEV7fy4=")</f>
        <v>#VALUE!</v>
      </c>
      <c r="AV87" t="e">
        <f>AND(Names!AM89,"AAAAAEV7fy8=")</f>
        <v>#VALUE!</v>
      </c>
      <c r="AW87">
        <f>IF(Names!90:90,"AAAAAEV7fzA=",0)</f>
        <v>0</v>
      </c>
      <c r="AX87" t="e">
        <f>AND(Names!A90,"AAAAAEV7fzE=")</f>
        <v>#VALUE!</v>
      </c>
      <c r="AY87" t="e">
        <f>AND(Names!B90,"AAAAAEV7fzI=")</f>
        <v>#VALUE!</v>
      </c>
      <c r="AZ87" t="e">
        <f>AND(Names!C90,"AAAAAEV7fzM=")</f>
        <v>#VALUE!</v>
      </c>
      <c r="BA87" t="e">
        <f>AND(Names!D90,"AAAAAEV7fzQ=")</f>
        <v>#VALUE!</v>
      </c>
      <c r="BB87" t="e">
        <f>AND(Names!E90,"AAAAAEV7fzU=")</f>
        <v>#VALUE!</v>
      </c>
      <c r="BC87" t="e">
        <f>AND(Names!F90,"AAAAAEV7fzY=")</f>
        <v>#VALUE!</v>
      </c>
      <c r="BD87" t="e">
        <f>AND(Names!G90,"AAAAAEV7fzc=")</f>
        <v>#VALUE!</v>
      </c>
      <c r="BE87" t="e">
        <f>AND(Names!H90,"AAAAAEV7fzg=")</f>
        <v>#VALUE!</v>
      </c>
      <c r="BF87" t="e">
        <f>AND(Names!I90,"AAAAAEV7fzk=")</f>
        <v>#VALUE!</v>
      </c>
      <c r="BG87" t="e">
        <f>AND(Names!J90,"AAAAAEV7fzo=")</f>
        <v>#VALUE!</v>
      </c>
      <c r="BH87" t="e">
        <f>AND(Names!K90,"AAAAAEV7fzs=")</f>
        <v>#VALUE!</v>
      </c>
      <c r="BI87" t="e">
        <f>AND(Names!L90,"AAAAAEV7fzw=")</f>
        <v>#VALUE!</v>
      </c>
      <c r="BJ87" t="e">
        <f>AND(Names!M90,"AAAAAEV7fz0=")</f>
        <v>#VALUE!</v>
      </c>
      <c r="BK87" t="e">
        <f>AND(Names!N90,"AAAAAEV7fz4=")</f>
        <v>#VALUE!</v>
      </c>
      <c r="BL87" t="e">
        <f>AND(Names!O90,"AAAAAEV7fz8=")</f>
        <v>#VALUE!</v>
      </c>
      <c r="BM87" t="e">
        <f>AND(Names!P90,"AAAAAEV7f0A=")</f>
        <v>#VALUE!</v>
      </c>
      <c r="BN87" t="e">
        <f>AND(Names!Q90,"AAAAAEV7f0E=")</f>
        <v>#VALUE!</v>
      </c>
      <c r="BO87" t="e">
        <f>AND(Names!R90,"AAAAAEV7f0I=")</f>
        <v>#VALUE!</v>
      </c>
      <c r="BP87" t="e">
        <f>AND(Names!S90,"AAAAAEV7f0M=")</f>
        <v>#VALUE!</v>
      </c>
      <c r="BQ87" t="e">
        <f>AND(Names!T90,"AAAAAEV7f0Q=")</f>
        <v>#VALUE!</v>
      </c>
      <c r="BR87" t="e">
        <f>AND(Names!U90,"AAAAAEV7f0U=")</f>
        <v>#VALUE!</v>
      </c>
      <c r="BS87" t="e">
        <f>AND(Names!V90,"AAAAAEV7f0Y=")</f>
        <v>#VALUE!</v>
      </c>
      <c r="BT87" t="e">
        <f>AND(Names!W90,"AAAAAEV7f0c=")</f>
        <v>#VALUE!</v>
      </c>
      <c r="BU87" t="e">
        <f>AND(Names!X90,"AAAAAEV7f0g=")</f>
        <v>#VALUE!</v>
      </c>
      <c r="BV87" t="e">
        <f>AND(Names!Y90,"AAAAAEV7f0k=")</f>
        <v>#VALUE!</v>
      </c>
      <c r="BW87" t="e">
        <f>AND(Names!Z90,"AAAAAEV7f0o=")</f>
        <v>#VALUE!</v>
      </c>
      <c r="BX87" t="e">
        <f>AND(Names!AA90,"AAAAAEV7f0s=")</f>
        <v>#VALUE!</v>
      </c>
      <c r="BY87" t="e">
        <f>AND(Names!AB90,"AAAAAEV7f0w=")</f>
        <v>#VALUE!</v>
      </c>
      <c r="BZ87" t="e">
        <f>AND(Names!AC90,"AAAAAEV7f00=")</f>
        <v>#VALUE!</v>
      </c>
      <c r="CA87" t="e">
        <f>AND(Names!AD90,"AAAAAEV7f04=")</f>
        <v>#VALUE!</v>
      </c>
      <c r="CB87" t="e">
        <f>AND(Names!AE90,"AAAAAEV7f08=")</f>
        <v>#VALUE!</v>
      </c>
      <c r="CC87" t="e">
        <f>AND(Names!AF90,"AAAAAEV7f1A=")</f>
        <v>#VALUE!</v>
      </c>
      <c r="CD87" t="e">
        <f>AND(Names!AG90,"AAAAAEV7f1E=")</f>
        <v>#VALUE!</v>
      </c>
      <c r="CE87" t="e">
        <f>AND(Names!AH90,"AAAAAEV7f1I=")</f>
        <v>#VALUE!</v>
      </c>
      <c r="CF87" t="e">
        <f>AND(Names!AI90,"AAAAAEV7f1M=")</f>
        <v>#VALUE!</v>
      </c>
      <c r="CG87" t="e">
        <f>AND(Names!AJ90,"AAAAAEV7f1Q=")</f>
        <v>#VALUE!</v>
      </c>
      <c r="CH87" t="e">
        <f>AND(Names!AK90,"AAAAAEV7f1U=")</f>
        <v>#VALUE!</v>
      </c>
      <c r="CI87" t="e">
        <f>AND(Names!AL90,"AAAAAEV7f1Y=")</f>
        <v>#VALUE!</v>
      </c>
      <c r="CJ87" t="e">
        <f>AND(Names!AM90,"AAAAAEV7f1c=")</f>
        <v>#VALUE!</v>
      </c>
      <c r="CK87">
        <f>IF(Names!91:91,"AAAAAEV7f1g=",0)</f>
        <v>0</v>
      </c>
      <c r="CL87" t="e">
        <f>AND(Names!A91,"AAAAAEV7f1k=")</f>
        <v>#VALUE!</v>
      </c>
      <c r="CM87" t="e">
        <f>AND(Names!B91,"AAAAAEV7f1o=")</f>
        <v>#VALUE!</v>
      </c>
      <c r="CN87" t="e">
        <f>AND(Names!C91,"AAAAAEV7f1s=")</f>
        <v>#VALUE!</v>
      </c>
      <c r="CO87" t="e">
        <f>AND(Names!D91,"AAAAAEV7f1w=")</f>
        <v>#VALUE!</v>
      </c>
      <c r="CP87" t="e">
        <f>AND(Names!E91,"AAAAAEV7f10=")</f>
        <v>#VALUE!</v>
      </c>
      <c r="CQ87" t="e">
        <f>AND(Names!F91,"AAAAAEV7f14=")</f>
        <v>#VALUE!</v>
      </c>
      <c r="CR87" t="e">
        <f>AND(Names!G91,"AAAAAEV7f18=")</f>
        <v>#VALUE!</v>
      </c>
      <c r="CS87" t="e">
        <f>AND(Names!H91,"AAAAAEV7f2A=")</f>
        <v>#VALUE!</v>
      </c>
      <c r="CT87" t="e">
        <f>AND(Names!I91,"AAAAAEV7f2E=")</f>
        <v>#VALUE!</v>
      </c>
      <c r="CU87" t="e">
        <f>AND(Names!J91,"AAAAAEV7f2I=")</f>
        <v>#VALUE!</v>
      </c>
      <c r="CV87" t="e">
        <f>AND(Names!K91,"AAAAAEV7f2M=")</f>
        <v>#VALUE!</v>
      </c>
      <c r="CW87" t="e">
        <f>AND(Names!L91,"AAAAAEV7f2Q=")</f>
        <v>#VALUE!</v>
      </c>
      <c r="CX87" t="e">
        <f>AND(Names!M91,"AAAAAEV7f2U=")</f>
        <v>#VALUE!</v>
      </c>
      <c r="CY87" t="e">
        <f>AND(Names!N91,"AAAAAEV7f2Y=")</f>
        <v>#VALUE!</v>
      </c>
      <c r="CZ87" t="e">
        <f>AND(Names!O91,"AAAAAEV7f2c=")</f>
        <v>#VALUE!</v>
      </c>
      <c r="DA87" t="e">
        <f>AND(Names!P91,"AAAAAEV7f2g=")</f>
        <v>#VALUE!</v>
      </c>
      <c r="DB87" t="e">
        <f>AND(Names!Q91,"AAAAAEV7f2k=")</f>
        <v>#VALUE!</v>
      </c>
      <c r="DC87" t="e">
        <f>AND(Names!R91,"AAAAAEV7f2o=")</f>
        <v>#VALUE!</v>
      </c>
      <c r="DD87" t="e">
        <f>AND(Names!S91,"AAAAAEV7f2s=")</f>
        <v>#VALUE!</v>
      </c>
      <c r="DE87" t="e">
        <f>AND(Names!T91,"AAAAAEV7f2w=")</f>
        <v>#VALUE!</v>
      </c>
      <c r="DF87" t="e">
        <f>AND(Names!U91,"AAAAAEV7f20=")</f>
        <v>#VALUE!</v>
      </c>
      <c r="DG87" t="e">
        <f>AND(Names!V91,"AAAAAEV7f24=")</f>
        <v>#VALUE!</v>
      </c>
      <c r="DH87" t="e">
        <f>AND(Names!W91,"AAAAAEV7f28=")</f>
        <v>#VALUE!</v>
      </c>
      <c r="DI87" t="e">
        <f>AND(Names!X91,"AAAAAEV7f3A=")</f>
        <v>#VALUE!</v>
      </c>
      <c r="DJ87" t="e">
        <f>AND(Names!Y91,"AAAAAEV7f3E=")</f>
        <v>#VALUE!</v>
      </c>
      <c r="DK87" t="e">
        <f>AND(Names!Z91,"AAAAAEV7f3I=")</f>
        <v>#VALUE!</v>
      </c>
      <c r="DL87" t="e">
        <f>AND(Names!AA91,"AAAAAEV7f3M=")</f>
        <v>#VALUE!</v>
      </c>
      <c r="DM87" t="e">
        <f>AND(Names!AB91,"AAAAAEV7f3Q=")</f>
        <v>#VALUE!</v>
      </c>
      <c r="DN87" t="e">
        <f>AND(Names!AC91,"AAAAAEV7f3U=")</f>
        <v>#VALUE!</v>
      </c>
      <c r="DO87" t="e">
        <f>AND(Names!AD91,"AAAAAEV7f3Y=")</f>
        <v>#VALUE!</v>
      </c>
      <c r="DP87" t="e">
        <f>AND(Names!AE91,"AAAAAEV7f3c=")</f>
        <v>#VALUE!</v>
      </c>
      <c r="DQ87" t="e">
        <f>AND(Names!AF91,"AAAAAEV7f3g=")</f>
        <v>#VALUE!</v>
      </c>
      <c r="DR87" t="e">
        <f>AND(Names!AG91,"AAAAAEV7f3k=")</f>
        <v>#VALUE!</v>
      </c>
      <c r="DS87" t="e">
        <f>AND(Names!AH91,"AAAAAEV7f3o=")</f>
        <v>#VALUE!</v>
      </c>
      <c r="DT87" t="e">
        <f>AND(Names!AI91,"AAAAAEV7f3s=")</f>
        <v>#VALUE!</v>
      </c>
      <c r="DU87" t="e">
        <f>AND(Names!AJ91,"AAAAAEV7f3w=")</f>
        <v>#VALUE!</v>
      </c>
      <c r="DV87" t="e">
        <f>AND(Names!AK91,"AAAAAEV7f30=")</f>
        <v>#VALUE!</v>
      </c>
      <c r="DW87" t="e">
        <f>AND(Names!AL91,"AAAAAEV7f34=")</f>
        <v>#VALUE!</v>
      </c>
      <c r="DX87" t="e">
        <f>AND(Names!AM91,"AAAAAEV7f38=")</f>
        <v>#VALUE!</v>
      </c>
      <c r="DY87">
        <f>IF(Names!92:92,"AAAAAEV7f4A=",0)</f>
        <v>0</v>
      </c>
      <c r="DZ87" t="e">
        <f>AND(Names!A92,"AAAAAEV7f4E=")</f>
        <v>#VALUE!</v>
      </c>
      <c r="EA87" t="e">
        <f>AND(Names!B92,"AAAAAEV7f4I=")</f>
        <v>#VALUE!</v>
      </c>
      <c r="EB87" t="e">
        <f>AND(Names!C92,"AAAAAEV7f4M=")</f>
        <v>#VALUE!</v>
      </c>
      <c r="EC87" t="e">
        <f>AND(Names!D92,"AAAAAEV7f4Q=")</f>
        <v>#VALUE!</v>
      </c>
      <c r="ED87" t="e">
        <f>AND(Names!E92,"AAAAAEV7f4U=")</f>
        <v>#VALUE!</v>
      </c>
      <c r="EE87" t="e">
        <f>AND(Names!F92,"AAAAAEV7f4Y=")</f>
        <v>#VALUE!</v>
      </c>
      <c r="EF87" t="e">
        <f>AND(Names!G92,"AAAAAEV7f4c=")</f>
        <v>#VALUE!</v>
      </c>
      <c r="EG87" t="e">
        <f>AND(Names!H92,"AAAAAEV7f4g=")</f>
        <v>#VALUE!</v>
      </c>
      <c r="EH87" t="e">
        <f>AND(Names!I92,"AAAAAEV7f4k=")</f>
        <v>#VALUE!</v>
      </c>
      <c r="EI87" t="e">
        <f>AND(Names!J92,"AAAAAEV7f4o=")</f>
        <v>#VALUE!</v>
      </c>
      <c r="EJ87" t="e">
        <f>AND(Names!K92,"AAAAAEV7f4s=")</f>
        <v>#VALUE!</v>
      </c>
      <c r="EK87" t="e">
        <f>AND(Names!L92,"AAAAAEV7f4w=")</f>
        <v>#VALUE!</v>
      </c>
      <c r="EL87" t="e">
        <f>AND(Names!M92,"AAAAAEV7f40=")</f>
        <v>#VALUE!</v>
      </c>
      <c r="EM87" t="e">
        <f>AND(Names!N92,"AAAAAEV7f44=")</f>
        <v>#VALUE!</v>
      </c>
      <c r="EN87" t="e">
        <f>AND(Names!O92,"AAAAAEV7f48=")</f>
        <v>#VALUE!</v>
      </c>
      <c r="EO87" t="e">
        <f>AND(Names!P92,"AAAAAEV7f5A=")</f>
        <v>#VALUE!</v>
      </c>
      <c r="EP87" t="e">
        <f>AND(Names!Q92,"AAAAAEV7f5E=")</f>
        <v>#VALUE!</v>
      </c>
      <c r="EQ87" t="e">
        <f>AND(Names!R92,"AAAAAEV7f5I=")</f>
        <v>#VALUE!</v>
      </c>
      <c r="ER87" t="e">
        <f>AND(Names!S92,"AAAAAEV7f5M=")</f>
        <v>#VALUE!</v>
      </c>
      <c r="ES87" t="e">
        <f>AND(Names!T92,"AAAAAEV7f5Q=")</f>
        <v>#VALUE!</v>
      </c>
      <c r="ET87" t="e">
        <f>AND(Names!U92,"AAAAAEV7f5U=")</f>
        <v>#VALUE!</v>
      </c>
      <c r="EU87" t="e">
        <f>AND(Names!V92,"AAAAAEV7f5Y=")</f>
        <v>#VALUE!</v>
      </c>
      <c r="EV87" t="e">
        <f>AND(Names!W92,"AAAAAEV7f5c=")</f>
        <v>#VALUE!</v>
      </c>
      <c r="EW87" t="e">
        <f>AND(Names!X92,"AAAAAEV7f5g=")</f>
        <v>#VALUE!</v>
      </c>
      <c r="EX87" t="e">
        <f>AND(Names!Y92,"AAAAAEV7f5k=")</f>
        <v>#VALUE!</v>
      </c>
      <c r="EY87" t="e">
        <f>AND(Names!Z92,"AAAAAEV7f5o=")</f>
        <v>#VALUE!</v>
      </c>
      <c r="EZ87" t="e">
        <f>AND(Names!AA92,"AAAAAEV7f5s=")</f>
        <v>#VALUE!</v>
      </c>
      <c r="FA87" t="e">
        <f>AND(Names!AB92,"AAAAAEV7f5w=")</f>
        <v>#VALUE!</v>
      </c>
      <c r="FB87" t="e">
        <f>AND(Names!AC92,"AAAAAEV7f50=")</f>
        <v>#VALUE!</v>
      </c>
      <c r="FC87" t="e">
        <f>AND(Names!AD92,"AAAAAEV7f54=")</f>
        <v>#VALUE!</v>
      </c>
      <c r="FD87" t="e">
        <f>AND(Names!AE92,"AAAAAEV7f58=")</f>
        <v>#VALUE!</v>
      </c>
      <c r="FE87" t="e">
        <f>AND(Names!AF92,"AAAAAEV7f6A=")</f>
        <v>#VALUE!</v>
      </c>
      <c r="FF87" t="e">
        <f>AND(Names!AG92,"AAAAAEV7f6E=")</f>
        <v>#VALUE!</v>
      </c>
      <c r="FG87" t="e">
        <f>AND(Names!AH92,"AAAAAEV7f6I=")</f>
        <v>#VALUE!</v>
      </c>
      <c r="FH87" t="e">
        <f>AND(Names!AI92,"AAAAAEV7f6M=")</f>
        <v>#VALUE!</v>
      </c>
      <c r="FI87" t="e">
        <f>AND(Names!AJ92,"AAAAAEV7f6Q=")</f>
        <v>#VALUE!</v>
      </c>
      <c r="FJ87" t="e">
        <f>AND(Names!AK92,"AAAAAEV7f6U=")</f>
        <v>#VALUE!</v>
      </c>
      <c r="FK87" t="e">
        <f>AND(Names!AL92,"AAAAAEV7f6Y=")</f>
        <v>#VALUE!</v>
      </c>
      <c r="FL87" t="e">
        <f>AND(Names!AM92,"AAAAAEV7f6c=")</f>
        <v>#VALUE!</v>
      </c>
      <c r="FM87">
        <f>IF(Names!93:93,"AAAAAEV7f6g=",0)</f>
        <v>0</v>
      </c>
      <c r="FN87" t="e">
        <f>AND(Names!A93,"AAAAAEV7f6k=")</f>
        <v>#VALUE!</v>
      </c>
      <c r="FO87" t="e">
        <f>AND(Names!B93,"AAAAAEV7f6o=")</f>
        <v>#VALUE!</v>
      </c>
      <c r="FP87" t="e">
        <f>AND(Names!C93,"AAAAAEV7f6s=")</f>
        <v>#VALUE!</v>
      </c>
      <c r="FQ87" t="e">
        <f>AND(Names!D93,"AAAAAEV7f6w=")</f>
        <v>#VALUE!</v>
      </c>
      <c r="FR87" t="e">
        <f>AND(Names!E93,"AAAAAEV7f60=")</f>
        <v>#VALUE!</v>
      </c>
      <c r="FS87" t="e">
        <f>AND(Names!F93,"AAAAAEV7f64=")</f>
        <v>#VALUE!</v>
      </c>
      <c r="FT87" t="e">
        <f>AND(Names!G93,"AAAAAEV7f68=")</f>
        <v>#VALUE!</v>
      </c>
      <c r="FU87" t="e">
        <f>AND(Names!H93,"AAAAAEV7f7A=")</f>
        <v>#VALUE!</v>
      </c>
      <c r="FV87" t="e">
        <f>AND(Names!I93,"AAAAAEV7f7E=")</f>
        <v>#VALUE!</v>
      </c>
      <c r="FW87" t="e">
        <f>AND(Names!J93,"AAAAAEV7f7I=")</f>
        <v>#VALUE!</v>
      </c>
      <c r="FX87" t="e">
        <f>AND(Names!K93,"AAAAAEV7f7M=")</f>
        <v>#VALUE!</v>
      </c>
      <c r="FY87" t="e">
        <f>AND(Names!L93,"AAAAAEV7f7Q=")</f>
        <v>#VALUE!</v>
      </c>
      <c r="FZ87" t="e">
        <f>AND(Names!M93,"AAAAAEV7f7U=")</f>
        <v>#VALUE!</v>
      </c>
      <c r="GA87" t="e">
        <f>AND(Names!N93,"AAAAAEV7f7Y=")</f>
        <v>#VALUE!</v>
      </c>
      <c r="GB87" t="e">
        <f>AND(Names!O93,"AAAAAEV7f7c=")</f>
        <v>#VALUE!</v>
      </c>
      <c r="GC87" t="e">
        <f>AND(Names!P93,"AAAAAEV7f7g=")</f>
        <v>#VALUE!</v>
      </c>
      <c r="GD87" t="e">
        <f>AND(Names!Q93,"AAAAAEV7f7k=")</f>
        <v>#VALUE!</v>
      </c>
      <c r="GE87" t="e">
        <f>AND(Names!R93,"AAAAAEV7f7o=")</f>
        <v>#VALUE!</v>
      </c>
      <c r="GF87" t="e">
        <f>AND(Names!S93,"AAAAAEV7f7s=")</f>
        <v>#VALUE!</v>
      </c>
      <c r="GG87" t="e">
        <f>AND(Names!T93,"AAAAAEV7f7w=")</f>
        <v>#VALUE!</v>
      </c>
      <c r="GH87" t="e">
        <f>AND(Names!U93,"AAAAAEV7f70=")</f>
        <v>#VALUE!</v>
      </c>
      <c r="GI87" t="e">
        <f>AND(Names!V93,"AAAAAEV7f74=")</f>
        <v>#VALUE!</v>
      </c>
      <c r="GJ87" t="e">
        <f>AND(Names!W93,"AAAAAEV7f78=")</f>
        <v>#VALUE!</v>
      </c>
      <c r="GK87" t="e">
        <f>AND(Names!X93,"AAAAAEV7f8A=")</f>
        <v>#VALUE!</v>
      </c>
      <c r="GL87" t="e">
        <f>AND(Names!Y93,"AAAAAEV7f8E=")</f>
        <v>#VALUE!</v>
      </c>
      <c r="GM87" t="e">
        <f>AND(Names!Z93,"AAAAAEV7f8I=")</f>
        <v>#VALUE!</v>
      </c>
      <c r="GN87" t="e">
        <f>AND(Names!AA93,"AAAAAEV7f8M=")</f>
        <v>#VALUE!</v>
      </c>
      <c r="GO87" t="e">
        <f>AND(Names!AB93,"AAAAAEV7f8Q=")</f>
        <v>#VALUE!</v>
      </c>
      <c r="GP87" t="e">
        <f>AND(Names!AC93,"AAAAAEV7f8U=")</f>
        <v>#VALUE!</v>
      </c>
      <c r="GQ87" t="e">
        <f>AND(Names!AD93,"AAAAAEV7f8Y=")</f>
        <v>#VALUE!</v>
      </c>
      <c r="GR87" t="e">
        <f>AND(Names!AE93,"AAAAAEV7f8c=")</f>
        <v>#VALUE!</v>
      </c>
      <c r="GS87" t="e">
        <f>AND(Names!AF93,"AAAAAEV7f8g=")</f>
        <v>#VALUE!</v>
      </c>
      <c r="GT87" t="e">
        <f>AND(Names!AG93,"AAAAAEV7f8k=")</f>
        <v>#VALUE!</v>
      </c>
      <c r="GU87" t="e">
        <f>AND(Names!AH93,"AAAAAEV7f8o=")</f>
        <v>#VALUE!</v>
      </c>
      <c r="GV87" t="e">
        <f>AND(Names!AI93,"AAAAAEV7f8s=")</f>
        <v>#VALUE!</v>
      </c>
      <c r="GW87" t="e">
        <f>AND(Names!AJ93,"AAAAAEV7f8w=")</f>
        <v>#VALUE!</v>
      </c>
      <c r="GX87" t="e">
        <f>AND(Names!AK93,"AAAAAEV7f80=")</f>
        <v>#VALUE!</v>
      </c>
      <c r="GY87" t="e">
        <f>AND(Names!AL93,"AAAAAEV7f84=")</f>
        <v>#VALUE!</v>
      </c>
      <c r="GZ87" t="e">
        <f>AND(Names!AM93,"AAAAAEV7f88=")</f>
        <v>#VALUE!</v>
      </c>
      <c r="HA87">
        <f>IF(Names!94:94,"AAAAAEV7f9A=",0)</f>
        <v>0</v>
      </c>
      <c r="HB87" t="e">
        <f>AND(Names!A94,"AAAAAEV7f9E=")</f>
        <v>#VALUE!</v>
      </c>
      <c r="HC87" t="e">
        <f>AND(Names!B94,"AAAAAEV7f9I=")</f>
        <v>#VALUE!</v>
      </c>
      <c r="HD87" t="e">
        <f>AND(Names!C94,"AAAAAEV7f9M=")</f>
        <v>#VALUE!</v>
      </c>
      <c r="HE87" t="e">
        <f>AND(Names!D94,"AAAAAEV7f9Q=")</f>
        <v>#VALUE!</v>
      </c>
      <c r="HF87" t="e">
        <f>AND(Names!E94,"AAAAAEV7f9U=")</f>
        <v>#VALUE!</v>
      </c>
      <c r="HG87" t="e">
        <f>AND(Names!F94,"AAAAAEV7f9Y=")</f>
        <v>#VALUE!</v>
      </c>
      <c r="HH87" t="e">
        <f>AND(Names!G94,"AAAAAEV7f9c=")</f>
        <v>#VALUE!</v>
      </c>
      <c r="HI87" t="e">
        <f>AND(Names!H94,"AAAAAEV7f9g=")</f>
        <v>#VALUE!</v>
      </c>
      <c r="HJ87" t="e">
        <f>AND(Names!I94,"AAAAAEV7f9k=")</f>
        <v>#VALUE!</v>
      </c>
      <c r="HK87" t="e">
        <f>AND(Names!J94,"AAAAAEV7f9o=")</f>
        <v>#VALUE!</v>
      </c>
      <c r="HL87" t="e">
        <f>AND(Names!K94,"AAAAAEV7f9s=")</f>
        <v>#VALUE!</v>
      </c>
      <c r="HM87" t="e">
        <f>AND(Names!L94,"AAAAAEV7f9w=")</f>
        <v>#VALUE!</v>
      </c>
      <c r="HN87" t="e">
        <f>AND(Names!M94,"AAAAAEV7f90=")</f>
        <v>#VALUE!</v>
      </c>
      <c r="HO87" t="e">
        <f>AND(Names!N94,"AAAAAEV7f94=")</f>
        <v>#VALUE!</v>
      </c>
      <c r="HP87" t="e">
        <f>AND(Names!O94,"AAAAAEV7f98=")</f>
        <v>#VALUE!</v>
      </c>
      <c r="HQ87" t="e">
        <f>AND(Names!P94,"AAAAAEV7f+A=")</f>
        <v>#VALUE!</v>
      </c>
      <c r="HR87" t="e">
        <f>AND(Names!Q94,"AAAAAEV7f+E=")</f>
        <v>#VALUE!</v>
      </c>
      <c r="HS87" t="e">
        <f>AND(Names!R94,"AAAAAEV7f+I=")</f>
        <v>#VALUE!</v>
      </c>
      <c r="HT87" t="e">
        <f>AND(Names!S94,"AAAAAEV7f+M=")</f>
        <v>#VALUE!</v>
      </c>
      <c r="HU87" t="e">
        <f>AND(Names!T94,"AAAAAEV7f+Q=")</f>
        <v>#VALUE!</v>
      </c>
      <c r="HV87" t="e">
        <f>AND(Names!U94,"AAAAAEV7f+U=")</f>
        <v>#VALUE!</v>
      </c>
      <c r="HW87" t="e">
        <f>AND(Names!V94,"AAAAAEV7f+Y=")</f>
        <v>#VALUE!</v>
      </c>
      <c r="HX87" t="e">
        <f>AND(Names!W94,"AAAAAEV7f+c=")</f>
        <v>#VALUE!</v>
      </c>
      <c r="HY87" t="e">
        <f>AND(Names!X94,"AAAAAEV7f+g=")</f>
        <v>#VALUE!</v>
      </c>
      <c r="HZ87" t="e">
        <f>AND(Names!Y94,"AAAAAEV7f+k=")</f>
        <v>#VALUE!</v>
      </c>
      <c r="IA87" t="e">
        <f>AND(Names!Z94,"AAAAAEV7f+o=")</f>
        <v>#VALUE!</v>
      </c>
      <c r="IB87" t="e">
        <f>AND(Names!AA94,"AAAAAEV7f+s=")</f>
        <v>#VALUE!</v>
      </c>
      <c r="IC87" t="e">
        <f>AND(Names!AB94,"AAAAAEV7f+w=")</f>
        <v>#VALUE!</v>
      </c>
      <c r="ID87" t="e">
        <f>AND(Names!AC94,"AAAAAEV7f+0=")</f>
        <v>#VALUE!</v>
      </c>
      <c r="IE87" t="e">
        <f>AND(Names!AD94,"AAAAAEV7f+4=")</f>
        <v>#VALUE!</v>
      </c>
      <c r="IF87" t="e">
        <f>AND(Names!AE94,"AAAAAEV7f+8=")</f>
        <v>#VALUE!</v>
      </c>
      <c r="IG87" t="e">
        <f>AND(Names!AF94,"AAAAAEV7f/A=")</f>
        <v>#VALUE!</v>
      </c>
      <c r="IH87" t="e">
        <f>AND(Names!AG94,"AAAAAEV7f/E=")</f>
        <v>#VALUE!</v>
      </c>
      <c r="II87" t="e">
        <f>AND(Names!AH94,"AAAAAEV7f/I=")</f>
        <v>#VALUE!</v>
      </c>
      <c r="IJ87" t="e">
        <f>AND(Names!AI94,"AAAAAEV7f/M=")</f>
        <v>#VALUE!</v>
      </c>
      <c r="IK87" t="e">
        <f>AND(Names!AJ94,"AAAAAEV7f/Q=")</f>
        <v>#VALUE!</v>
      </c>
      <c r="IL87" t="e">
        <f>AND(Names!AK94,"AAAAAEV7f/U=")</f>
        <v>#VALUE!</v>
      </c>
      <c r="IM87" t="e">
        <f>AND(Names!AL94,"AAAAAEV7f/Y=")</f>
        <v>#VALUE!</v>
      </c>
      <c r="IN87" t="e">
        <f>AND(Names!AM94,"AAAAAEV7f/c=")</f>
        <v>#VALUE!</v>
      </c>
      <c r="IO87">
        <f>IF(Names!95:95,"AAAAAEV7f/g=",0)</f>
        <v>0</v>
      </c>
      <c r="IP87" t="e">
        <f>AND(Names!A95,"AAAAAEV7f/k=")</f>
        <v>#VALUE!</v>
      </c>
      <c r="IQ87" t="e">
        <f>AND(Names!B95,"AAAAAEV7f/o=")</f>
        <v>#VALUE!</v>
      </c>
      <c r="IR87" t="e">
        <f>AND(Names!C95,"AAAAAEV7f/s=")</f>
        <v>#VALUE!</v>
      </c>
      <c r="IS87" t="e">
        <f>AND(Names!D95,"AAAAAEV7f/w=")</f>
        <v>#VALUE!</v>
      </c>
      <c r="IT87" t="e">
        <f>AND(Names!E95,"AAAAAEV7f/0=")</f>
        <v>#VALUE!</v>
      </c>
      <c r="IU87" t="e">
        <f>AND(Names!F95,"AAAAAEV7f/4=")</f>
        <v>#VALUE!</v>
      </c>
      <c r="IV87" t="e">
        <f>AND(Names!G95,"AAAAAEV7f/8=")</f>
        <v>#VALUE!</v>
      </c>
    </row>
    <row r="88" spans="1:256" x14ac:dyDescent="0.15">
      <c r="A88" t="e">
        <f>AND(Names!H95,"AAAAAH9q/wA=")</f>
        <v>#VALUE!</v>
      </c>
      <c r="B88" t="e">
        <f>AND(Names!I95,"AAAAAH9q/wE=")</f>
        <v>#VALUE!</v>
      </c>
      <c r="C88" t="e">
        <f>AND(Names!J95,"AAAAAH9q/wI=")</f>
        <v>#VALUE!</v>
      </c>
      <c r="D88" t="e">
        <f>AND(Names!K95,"AAAAAH9q/wM=")</f>
        <v>#VALUE!</v>
      </c>
      <c r="E88" t="e">
        <f>AND(Names!L95,"AAAAAH9q/wQ=")</f>
        <v>#VALUE!</v>
      </c>
      <c r="F88" t="e">
        <f>AND(Names!M95,"AAAAAH9q/wU=")</f>
        <v>#VALUE!</v>
      </c>
      <c r="G88" t="e">
        <f>AND(Names!N95,"AAAAAH9q/wY=")</f>
        <v>#VALUE!</v>
      </c>
      <c r="H88" t="e">
        <f>AND(Names!O95,"AAAAAH9q/wc=")</f>
        <v>#VALUE!</v>
      </c>
      <c r="I88" t="e">
        <f>AND(Names!P95,"AAAAAH9q/wg=")</f>
        <v>#VALUE!</v>
      </c>
      <c r="J88" t="e">
        <f>AND(Names!Q95,"AAAAAH9q/wk=")</f>
        <v>#VALUE!</v>
      </c>
      <c r="K88" t="e">
        <f>AND(Names!R95,"AAAAAH9q/wo=")</f>
        <v>#VALUE!</v>
      </c>
      <c r="L88" t="e">
        <f>AND(Names!S95,"AAAAAH9q/ws=")</f>
        <v>#VALUE!</v>
      </c>
      <c r="M88" t="e">
        <f>AND(Names!T95,"AAAAAH9q/ww=")</f>
        <v>#VALUE!</v>
      </c>
      <c r="N88" t="e">
        <f>AND(Names!U95,"AAAAAH9q/w0=")</f>
        <v>#VALUE!</v>
      </c>
      <c r="O88" t="e">
        <f>AND(Names!V95,"AAAAAH9q/w4=")</f>
        <v>#VALUE!</v>
      </c>
      <c r="P88" t="e">
        <f>AND(Names!W95,"AAAAAH9q/w8=")</f>
        <v>#VALUE!</v>
      </c>
      <c r="Q88" t="e">
        <f>AND(Names!X95,"AAAAAH9q/xA=")</f>
        <v>#VALUE!</v>
      </c>
      <c r="R88" t="e">
        <f>AND(Names!Y95,"AAAAAH9q/xE=")</f>
        <v>#VALUE!</v>
      </c>
      <c r="S88" t="e">
        <f>AND(Names!Z95,"AAAAAH9q/xI=")</f>
        <v>#VALUE!</v>
      </c>
      <c r="T88" t="e">
        <f>AND(Names!AA95,"AAAAAH9q/xM=")</f>
        <v>#VALUE!</v>
      </c>
      <c r="U88" t="e">
        <f>AND(Names!AB95,"AAAAAH9q/xQ=")</f>
        <v>#VALUE!</v>
      </c>
      <c r="V88" t="e">
        <f>AND(Names!AC95,"AAAAAH9q/xU=")</f>
        <v>#VALUE!</v>
      </c>
      <c r="W88" t="e">
        <f>AND(Names!AD95,"AAAAAH9q/xY=")</f>
        <v>#VALUE!</v>
      </c>
      <c r="X88" t="e">
        <f>AND(Names!AE95,"AAAAAH9q/xc=")</f>
        <v>#VALUE!</v>
      </c>
      <c r="Y88" t="e">
        <f>AND(Names!AF95,"AAAAAH9q/xg=")</f>
        <v>#VALUE!</v>
      </c>
      <c r="Z88" t="e">
        <f>AND(Names!AG95,"AAAAAH9q/xk=")</f>
        <v>#VALUE!</v>
      </c>
      <c r="AA88" t="e">
        <f>AND(Names!AH95,"AAAAAH9q/xo=")</f>
        <v>#VALUE!</v>
      </c>
      <c r="AB88" t="e">
        <f>AND(Names!AI95,"AAAAAH9q/xs=")</f>
        <v>#VALUE!</v>
      </c>
      <c r="AC88" t="e">
        <f>AND(Names!AJ95,"AAAAAH9q/xw=")</f>
        <v>#VALUE!</v>
      </c>
      <c r="AD88" t="e">
        <f>AND(Names!AK95,"AAAAAH9q/x0=")</f>
        <v>#VALUE!</v>
      </c>
      <c r="AE88" t="e">
        <f>AND(Names!AL95,"AAAAAH9q/x4=")</f>
        <v>#VALUE!</v>
      </c>
      <c r="AF88" t="e">
        <f>AND(Names!AM95,"AAAAAH9q/x8=")</f>
        <v>#VALUE!</v>
      </c>
      <c r="AG88">
        <f>IF(Names!96:96,"AAAAAH9q/yA=",0)</f>
        <v>0</v>
      </c>
      <c r="AH88" t="e">
        <f>AND(Names!A96,"AAAAAH9q/yE=")</f>
        <v>#VALUE!</v>
      </c>
      <c r="AI88" t="e">
        <f>AND(Names!B96,"AAAAAH9q/yI=")</f>
        <v>#VALUE!</v>
      </c>
      <c r="AJ88" t="e">
        <f>AND(Names!C96,"AAAAAH9q/yM=")</f>
        <v>#VALUE!</v>
      </c>
      <c r="AK88" t="e">
        <f>AND(Names!D96,"AAAAAH9q/yQ=")</f>
        <v>#VALUE!</v>
      </c>
      <c r="AL88" t="e">
        <f>AND(Names!E96,"AAAAAH9q/yU=")</f>
        <v>#VALUE!</v>
      </c>
      <c r="AM88" t="e">
        <f>AND(Names!F96,"AAAAAH9q/yY=")</f>
        <v>#VALUE!</v>
      </c>
      <c r="AN88" t="e">
        <f>AND(Names!G96,"AAAAAH9q/yc=")</f>
        <v>#VALUE!</v>
      </c>
      <c r="AO88" t="e">
        <f>AND(Names!H96,"AAAAAH9q/yg=")</f>
        <v>#VALUE!</v>
      </c>
      <c r="AP88" t="e">
        <f>AND(Names!I96,"AAAAAH9q/yk=")</f>
        <v>#VALUE!</v>
      </c>
      <c r="AQ88" t="e">
        <f>AND(Names!J96,"AAAAAH9q/yo=")</f>
        <v>#VALUE!</v>
      </c>
      <c r="AR88" t="e">
        <f>AND(Names!K96,"AAAAAH9q/ys=")</f>
        <v>#VALUE!</v>
      </c>
      <c r="AS88" t="e">
        <f>AND(Names!L96,"AAAAAH9q/yw=")</f>
        <v>#VALUE!</v>
      </c>
      <c r="AT88" t="e">
        <f>AND(Names!M96,"AAAAAH9q/y0=")</f>
        <v>#VALUE!</v>
      </c>
      <c r="AU88" t="e">
        <f>AND(Names!N96,"AAAAAH9q/y4=")</f>
        <v>#VALUE!</v>
      </c>
      <c r="AV88" t="e">
        <f>AND(Names!O96,"AAAAAH9q/y8=")</f>
        <v>#VALUE!</v>
      </c>
      <c r="AW88" t="e">
        <f>AND(Names!P96,"AAAAAH9q/zA=")</f>
        <v>#VALUE!</v>
      </c>
      <c r="AX88" t="e">
        <f>AND(Names!Q96,"AAAAAH9q/zE=")</f>
        <v>#VALUE!</v>
      </c>
      <c r="AY88" t="e">
        <f>AND(Names!R96,"AAAAAH9q/zI=")</f>
        <v>#VALUE!</v>
      </c>
      <c r="AZ88" t="e">
        <f>AND(Names!S96,"AAAAAH9q/zM=")</f>
        <v>#VALUE!</v>
      </c>
      <c r="BA88" t="e">
        <f>AND(Names!T96,"AAAAAH9q/zQ=")</f>
        <v>#VALUE!</v>
      </c>
      <c r="BB88" t="e">
        <f>AND(Names!U96,"AAAAAH9q/zU=")</f>
        <v>#VALUE!</v>
      </c>
      <c r="BC88" t="e">
        <f>AND(Names!V96,"AAAAAH9q/zY=")</f>
        <v>#VALUE!</v>
      </c>
      <c r="BD88" t="e">
        <f>AND(Names!W96,"AAAAAH9q/zc=")</f>
        <v>#VALUE!</v>
      </c>
      <c r="BE88" t="e">
        <f>AND(Names!X96,"AAAAAH9q/zg=")</f>
        <v>#VALUE!</v>
      </c>
      <c r="BF88" t="e">
        <f>AND(Names!Y96,"AAAAAH9q/zk=")</f>
        <v>#VALUE!</v>
      </c>
      <c r="BG88" t="e">
        <f>AND(Names!Z96,"AAAAAH9q/zo=")</f>
        <v>#VALUE!</v>
      </c>
      <c r="BH88" t="e">
        <f>AND(Names!AA96,"AAAAAH9q/zs=")</f>
        <v>#VALUE!</v>
      </c>
      <c r="BI88" t="e">
        <f>AND(Names!AB96,"AAAAAH9q/zw=")</f>
        <v>#VALUE!</v>
      </c>
      <c r="BJ88" t="e">
        <f>AND(Names!AC96,"AAAAAH9q/z0=")</f>
        <v>#VALUE!</v>
      </c>
      <c r="BK88" t="e">
        <f>AND(Names!AD96,"AAAAAH9q/z4=")</f>
        <v>#VALUE!</v>
      </c>
      <c r="BL88" t="e">
        <f>AND(Names!AE96,"AAAAAH9q/z8=")</f>
        <v>#VALUE!</v>
      </c>
      <c r="BM88" t="e">
        <f>AND(Names!AF96,"AAAAAH9q/0A=")</f>
        <v>#VALUE!</v>
      </c>
      <c r="BN88" t="e">
        <f>AND(Names!AG96,"AAAAAH9q/0E=")</f>
        <v>#VALUE!</v>
      </c>
      <c r="BO88" t="e">
        <f>AND(Names!AH96,"AAAAAH9q/0I=")</f>
        <v>#VALUE!</v>
      </c>
      <c r="BP88" t="e">
        <f>AND(Names!AI96,"AAAAAH9q/0M=")</f>
        <v>#VALUE!</v>
      </c>
      <c r="BQ88" t="e">
        <f>AND(Names!AJ96,"AAAAAH9q/0Q=")</f>
        <v>#VALUE!</v>
      </c>
      <c r="BR88" t="e">
        <f>AND(Names!AK96,"AAAAAH9q/0U=")</f>
        <v>#VALUE!</v>
      </c>
      <c r="BS88" t="e">
        <f>AND(Names!AL96,"AAAAAH9q/0Y=")</f>
        <v>#VALUE!</v>
      </c>
      <c r="BT88" t="e">
        <f>AND(Names!AM96,"AAAAAH9q/0c=")</f>
        <v>#VALUE!</v>
      </c>
      <c r="BU88">
        <f>IF(Names!97:97,"AAAAAH9q/0g=",0)</f>
        <v>0</v>
      </c>
      <c r="BV88" t="e">
        <f>AND(Names!A97,"AAAAAH9q/0k=")</f>
        <v>#VALUE!</v>
      </c>
      <c r="BW88" t="e">
        <f>AND(Names!B97,"AAAAAH9q/0o=")</f>
        <v>#VALUE!</v>
      </c>
      <c r="BX88" t="e">
        <f>AND(Names!C97,"AAAAAH9q/0s=")</f>
        <v>#VALUE!</v>
      </c>
      <c r="BY88" t="e">
        <f>AND(Names!D97,"AAAAAH9q/0w=")</f>
        <v>#VALUE!</v>
      </c>
      <c r="BZ88" t="e">
        <f>AND(Names!E97,"AAAAAH9q/00=")</f>
        <v>#VALUE!</v>
      </c>
      <c r="CA88" t="e">
        <f>AND(Names!F97,"AAAAAH9q/04=")</f>
        <v>#VALUE!</v>
      </c>
      <c r="CB88" t="e">
        <f>AND(Names!G97,"AAAAAH9q/08=")</f>
        <v>#VALUE!</v>
      </c>
      <c r="CC88" t="e">
        <f>AND(Names!H97,"AAAAAH9q/1A=")</f>
        <v>#VALUE!</v>
      </c>
      <c r="CD88" t="e">
        <f>AND(Names!I97,"AAAAAH9q/1E=")</f>
        <v>#VALUE!</v>
      </c>
      <c r="CE88" t="e">
        <f>AND(Names!J97,"AAAAAH9q/1I=")</f>
        <v>#VALUE!</v>
      </c>
      <c r="CF88" t="e">
        <f>AND(Names!K97,"AAAAAH9q/1M=")</f>
        <v>#VALUE!</v>
      </c>
      <c r="CG88" t="e">
        <f>AND(Names!L97,"AAAAAH9q/1Q=")</f>
        <v>#VALUE!</v>
      </c>
      <c r="CH88" t="e">
        <f>AND(Names!M97,"AAAAAH9q/1U=")</f>
        <v>#VALUE!</v>
      </c>
      <c r="CI88" t="e">
        <f>AND(Names!N97,"AAAAAH9q/1Y=")</f>
        <v>#VALUE!</v>
      </c>
      <c r="CJ88" t="e">
        <f>AND(Names!O97,"AAAAAH9q/1c=")</f>
        <v>#VALUE!</v>
      </c>
      <c r="CK88" t="e">
        <f>AND(Names!P97,"AAAAAH9q/1g=")</f>
        <v>#VALUE!</v>
      </c>
      <c r="CL88" t="e">
        <f>AND(Names!Q97,"AAAAAH9q/1k=")</f>
        <v>#VALUE!</v>
      </c>
      <c r="CM88" t="e">
        <f>AND(Names!R97,"AAAAAH9q/1o=")</f>
        <v>#VALUE!</v>
      </c>
      <c r="CN88" t="e">
        <f>AND(Names!S97,"AAAAAH9q/1s=")</f>
        <v>#VALUE!</v>
      </c>
      <c r="CO88" t="e">
        <f>AND(Names!T97,"AAAAAH9q/1w=")</f>
        <v>#VALUE!</v>
      </c>
      <c r="CP88" t="e">
        <f>AND(Names!U97,"AAAAAH9q/10=")</f>
        <v>#VALUE!</v>
      </c>
      <c r="CQ88" t="e">
        <f>AND(Names!V97,"AAAAAH9q/14=")</f>
        <v>#VALUE!</v>
      </c>
      <c r="CR88" t="e">
        <f>AND(Names!W97,"AAAAAH9q/18=")</f>
        <v>#VALUE!</v>
      </c>
      <c r="CS88" t="e">
        <f>AND(Names!X97,"AAAAAH9q/2A=")</f>
        <v>#VALUE!</v>
      </c>
      <c r="CT88" t="e">
        <f>AND(Names!Y97,"AAAAAH9q/2E=")</f>
        <v>#VALUE!</v>
      </c>
      <c r="CU88" t="e">
        <f>AND(Names!Z97,"AAAAAH9q/2I=")</f>
        <v>#VALUE!</v>
      </c>
      <c r="CV88" t="e">
        <f>AND(Names!AA97,"AAAAAH9q/2M=")</f>
        <v>#VALUE!</v>
      </c>
      <c r="CW88" t="e">
        <f>AND(Names!AB97,"AAAAAH9q/2Q=")</f>
        <v>#VALUE!</v>
      </c>
      <c r="CX88" t="e">
        <f>AND(Names!AC97,"AAAAAH9q/2U=")</f>
        <v>#VALUE!</v>
      </c>
      <c r="CY88" t="e">
        <f>AND(Names!AD97,"AAAAAH9q/2Y=")</f>
        <v>#VALUE!</v>
      </c>
      <c r="CZ88" t="e">
        <f>AND(Names!AE97,"AAAAAH9q/2c=")</f>
        <v>#VALUE!</v>
      </c>
      <c r="DA88" t="e">
        <f>AND(Names!AF97,"AAAAAH9q/2g=")</f>
        <v>#VALUE!</v>
      </c>
      <c r="DB88" t="e">
        <f>AND(Names!AG97,"AAAAAH9q/2k=")</f>
        <v>#VALUE!</v>
      </c>
      <c r="DC88" t="e">
        <f>AND(Names!AH97,"AAAAAH9q/2o=")</f>
        <v>#VALUE!</v>
      </c>
      <c r="DD88" t="e">
        <f>AND(Names!AI97,"AAAAAH9q/2s=")</f>
        <v>#VALUE!</v>
      </c>
      <c r="DE88" t="e">
        <f>AND(Names!AJ97,"AAAAAH9q/2w=")</f>
        <v>#VALUE!</v>
      </c>
      <c r="DF88" t="e">
        <f>AND(Names!AK97,"AAAAAH9q/20=")</f>
        <v>#VALUE!</v>
      </c>
      <c r="DG88" t="e">
        <f>AND(Names!AL97,"AAAAAH9q/24=")</f>
        <v>#VALUE!</v>
      </c>
      <c r="DH88" t="e">
        <f>AND(Names!AM97,"AAAAAH9q/28=")</f>
        <v>#VALUE!</v>
      </c>
      <c r="DI88">
        <f>IF(Names!98:98,"AAAAAH9q/3A=",0)</f>
        <v>0</v>
      </c>
      <c r="DJ88" t="e">
        <f>AND(Names!A98,"AAAAAH9q/3E=")</f>
        <v>#VALUE!</v>
      </c>
      <c r="DK88" t="e">
        <f>AND(Names!B98,"AAAAAH9q/3I=")</f>
        <v>#VALUE!</v>
      </c>
      <c r="DL88" t="e">
        <f>AND(Names!C98,"AAAAAH9q/3M=")</f>
        <v>#VALUE!</v>
      </c>
      <c r="DM88" t="e">
        <f>AND(Names!D98,"AAAAAH9q/3Q=")</f>
        <v>#VALUE!</v>
      </c>
      <c r="DN88" t="e">
        <f>AND(Names!E98,"AAAAAH9q/3U=")</f>
        <v>#VALUE!</v>
      </c>
      <c r="DO88" t="e">
        <f>AND(Names!F98,"AAAAAH9q/3Y=")</f>
        <v>#VALUE!</v>
      </c>
      <c r="DP88" t="e">
        <f>AND(Names!G98,"AAAAAH9q/3c=")</f>
        <v>#VALUE!</v>
      </c>
      <c r="DQ88" t="e">
        <f>AND(Names!H98,"AAAAAH9q/3g=")</f>
        <v>#VALUE!</v>
      </c>
      <c r="DR88" t="e">
        <f>AND(Names!I98,"AAAAAH9q/3k=")</f>
        <v>#VALUE!</v>
      </c>
      <c r="DS88" t="e">
        <f>AND(Names!J98,"AAAAAH9q/3o=")</f>
        <v>#VALUE!</v>
      </c>
      <c r="DT88" t="e">
        <f>AND(Names!K98,"AAAAAH9q/3s=")</f>
        <v>#VALUE!</v>
      </c>
      <c r="DU88" t="e">
        <f>AND(Names!L98,"AAAAAH9q/3w=")</f>
        <v>#VALUE!</v>
      </c>
      <c r="DV88" t="e">
        <f>AND(Names!M98,"AAAAAH9q/30=")</f>
        <v>#VALUE!</v>
      </c>
      <c r="DW88" t="e">
        <f>AND(Names!N98,"AAAAAH9q/34=")</f>
        <v>#VALUE!</v>
      </c>
      <c r="DX88" t="e">
        <f>AND(Names!O98,"AAAAAH9q/38=")</f>
        <v>#VALUE!</v>
      </c>
      <c r="DY88" t="e">
        <f>AND(Names!P98,"AAAAAH9q/4A=")</f>
        <v>#VALUE!</v>
      </c>
      <c r="DZ88" t="e">
        <f>AND(Names!Q98,"AAAAAH9q/4E=")</f>
        <v>#VALUE!</v>
      </c>
      <c r="EA88" t="e">
        <f>AND(Names!R98,"AAAAAH9q/4I=")</f>
        <v>#VALUE!</v>
      </c>
      <c r="EB88" t="e">
        <f>AND(Names!S98,"AAAAAH9q/4M=")</f>
        <v>#VALUE!</v>
      </c>
      <c r="EC88" t="e">
        <f>AND(Names!T98,"AAAAAH9q/4Q=")</f>
        <v>#VALUE!</v>
      </c>
      <c r="ED88" t="e">
        <f>AND(Names!U98,"AAAAAH9q/4U=")</f>
        <v>#VALUE!</v>
      </c>
      <c r="EE88" t="e">
        <f>AND(Names!V98,"AAAAAH9q/4Y=")</f>
        <v>#VALUE!</v>
      </c>
      <c r="EF88" t="e">
        <f>AND(Names!W98,"AAAAAH9q/4c=")</f>
        <v>#VALUE!</v>
      </c>
      <c r="EG88" t="e">
        <f>AND(Names!X98,"AAAAAH9q/4g=")</f>
        <v>#VALUE!</v>
      </c>
      <c r="EH88" t="e">
        <f>AND(Names!Y98,"AAAAAH9q/4k=")</f>
        <v>#VALUE!</v>
      </c>
      <c r="EI88" t="e">
        <f>AND(Names!Z98,"AAAAAH9q/4o=")</f>
        <v>#VALUE!</v>
      </c>
      <c r="EJ88" t="e">
        <f>AND(Names!AA98,"AAAAAH9q/4s=")</f>
        <v>#VALUE!</v>
      </c>
      <c r="EK88" t="e">
        <f>AND(Names!AB98,"AAAAAH9q/4w=")</f>
        <v>#VALUE!</v>
      </c>
      <c r="EL88" t="e">
        <f>AND(Names!AC98,"AAAAAH9q/40=")</f>
        <v>#VALUE!</v>
      </c>
      <c r="EM88" t="e">
        <f>AND(Names!AD98,"AAAAAH9q/44=")</f>
        <v>#VALUE!</v>
      </c>
      <c r="EN88" t="e">
        <f>AND(Names!AE98,"AAAAAH9q/48=")</f>
        <v>#VALUE!</v>
      </c>
      <c r="EO88" t="e">
        <f>AND(Names!AF98,"AAAAAH9q/5A=")</f>
        <v>#VALUE!</v>
      </c>
      <c r="EP88" t="e">
        <f>AND(Names!AG98,"AAAAAH9q/5E=")</f>
        <v>#VALUE!</v>
      </c>
      <c r="EQ88" t="e">
        <f>AND(Names!AH98,"AAAAAH9q/5I=")</f>
        <v>#VALUE!</v>
      </c>
      <c r="ER88" t="e">
        <f>AND(Names!AI98,"AAAAAH9q/5M=")</f>
        <v>#VALUE!</v>
      </c>
      <c r="ES88" t="e">
        <f>AND(Names!AJ98,"AAAAAH9q/5Q=")</f>
        <v>#VALUE!</v>
      </c>
      <c r="ET88" t="e">
        <f>AND(Names!AK98,"AAAAAH9q/5U=")</f>
        <v>#VALUE!</v>
      </c>
      <c r="EU88" t="e">
        <f>AND(Names!AL98,"AAAAAH9q/5Y=")</f>
        <v>#VALUE!</v>
      </c>
      <c r="EV88" t="e">
        <f>AND(Names!AM98,"AAAAAH9q/5c=")</f>
        <v>#VALUE!</v>
      </c>
      <c r="EW88">
        <f>IF(Names!99:99,"AAAAAH9q/5g=",0)</f>
        <v>0</v>
      </c>
      <c r="EX88" t="e">
        <f>AND(Names!A99,"AAAAAH9q/5k=")</f>
        <v>#VALUE!</v>
      </c>
      <c r="EY88" t="e">
        <f>AND(Names!B99,"AAAAAH9q/5o=")</f>
        <v>#VALUE!</v>
      </c>
      <c r="EZ88" t="e">
        <f>AND(Names!C99,"AAAAAH9q/5s=")</f>
        <v>#VALUE!</v>
      </c>
      <c r="FA88" t="e">
        <f>AND(Names!D99,"AAAAAH9q/5w=")</f>
        <v>#VALUE!</v>
      </c>
      <c r="FB88" t="e">
        <f>AND(Names!E99,"AAAAAH9q/50=")</f>
        <v>#VALUE!</v>
      </c>
      <c r="FC88" t="e">
        <f>AND(Names!F99,"AAAAAH9q/54=")</f>
        <v>#VALUE!</v>
      </c>
      <c r="FD88" t="e">
        <f>AND(Names!G99,"AAAAAH9q/58=")</f>
        <v>#VALUE!</v>
      </c>
      <c r="FE88" t="e">
        <f>AND(Names!H99,"AAAAAH9q/6A=")</f>
        <v>#VALUE!</v>
      </c>
      <c r="FF88" t="e">
        <f>AND(Names!I99,"AAAAAH9q/6E=")</f>
        <v>#VALUE!</v>
      </c>
      <c r="FG88" t="e">
        <f>AND(Names!J99,"AAAAAH9q/6I=")</f>
        <v>#VALUE!</v>
      </c>
      <c r="FH88" t="e">
        <f>AND(Names!K99,"AAAAAH9q/6M=")</f>
        <v>#VALUE!</v>
      </c>
      <c r="FI88" t="e">
        <f>AND(Names!L99,"AAAAAH9q/6Q=")</f>
        <v>#VALUE!</v>
      </c>
      <c r="FJ88" t="e">
        <f>AND(Names!M99,"AAAAAH9q/6U=")</f>
        <v>#VALUE!</v>
      </c>
      <c r="FK88" t="e">
        <f>AND(Names!N99,"AAAAAH9q/6Y=")</f>
        <v>#VALUE!</v>
      </c>
      <c r="FL88" t="e">
        <f>AND(Names!O99,"AAAAAH9q/6c=")</f>
        <v>#VALUE!</v>
      </c>
      <c r="FM88" t="e">
        <f>AND(Names!P99,"AAAAAH9q/6g=")</f>
        <v>#VALUE!</v>
      </c>
      <c r="FN88" t="e">
        <f>AND(Names!Q99,"AAAAAH9q/6k=")</f>
        <v>#VALUE!</v>
      </c>
      <c r="FO88" t="e">
        <f>AND(Names!R99,"AAAAAH9q/6o=")</f>
        <v>#VALUE!</v>
      </c>
      <c r="FP88" t="e">
        <f>AND(Names!S99,"AAAAAH9q/6s=")</f>
        <v>#VALUE!</v>
      </c>
      <c r="FQ88" t="e">
        <f>AND(Names!T99,"AAAAAH9q/6w=")</f>
        <v>#VALUE!</v>
      </c>
      <c r="FR88" t="e">
        <f>AND(Names!U99,"AAAAAH9q/60=")</f>
        <v>#VALUE!</v>
      </c>
      <c r="FS88" t="e">
        <f>AND(Names!V99,"AAAAAH9q/64=")</f>
        <v>#VALUE!</v>
      </c>
      <c r="FT88" t="e">
        <f>AND(Names!W99,"AAAAAH9q/68=")</f>
        <v>#VALUE!</v>
      </c>
      <c r="FU88" t="e">
        <f>AND(Names!X99,"AAAAAH9q/7A=")</f>
        <v>#VALUE!</v>
      </c>
      <c r="FV88" t="e">
        <f>AND(Names!Y99,"AAAAAH9q/7E=")</f>
        <v>#VALUE!</v>
      </c>
      <c r="FW88" t="e">
        <f>AND(Names!Z99,"AAAAAH9q/7I=")</f>
        <v>#VALUE!</v>
      </c>
      <c r="FX88" t="e">
        <f>AND(Names!AA99,"AAAAAH9q/7M=")</f>
        <v>#VALUE!</v>
      </c>
      <c r="FY88" t="e">
        <f>AND(Names!AB99,"AAAAAH9q/7Q=")</f>
        <v>#VALUE!</v>
      </c>
      <c r="FZ88" t="e">
        <f>AND(Names!AC99,"AAAAAH9q/7U=")</f>
        <v>#VALUE!</v>
      </c>
      <c r="GA88" t="e">
        <f>AND(Names!AD99,"AAAAAH9q/7Y=")</f>
        <v>#VALUE!</v>
      </c>
      <c r="GB88" t="e">
        <f>AND(Names!AE99,"AAAAAH9q/7c=")</f>
        <v>#VALUE!</v>
      </c>
      <c r="GC88" t="e">
        <f>AND(Names!AF99,"AAAAAH9q/7g=")</f>
        <v>#VALUE!</v>
      </c>
      <c r="GD88" t="e">
        <f>AND(Names!AG99,"AAAAAH9q/7k=")</f>
        <v>#VALUE!</v>
      </c>
      <c r="GE88" t="e">
        <f>AND(Names!AH99,"AAAAAH9q/7o=")</f>
        <v>#VALUE!</v>
      </c>
      <c r="GF88" t="e">
        <f>AND(Names!AI99,"AAAAAH9q/7s=")</f>
        <v>#VALUE!</v>
      </c>
      <c r="GG88" t="e">
        <f>AND(Names!AJ99,"AAAAAH9q/7w=")</f>
        <v>#VALUE!</v>
      </c>
      <c r="GH88" t="e">
        <f>AND(Names!AK99,"AAAAAH9q/70=")</f>
        <v>#VALUE!</v>
      </c>
      <c r="GI88" t="e">
        <f>AND(Names!AL99,"AAAAAH9q/74=")</f>
        <v>#VALUE!</v>
      </c>
      <c r="GJ88" t="e">
        <f>AND(Names!AM99,"AAAAAH9q/78=")</f>
        <v>#VALUE!</v>
      </c>
      <c r="GK88">
        <f>IF(Names!100:100,"AAAAAH9q/8A=",0)</f>
        <v>0</v>
      </c>
      <c r="GL88" t="e">
        <f>AND(Names!A100,"AAAAAH9q/8E=")</f>
        <v>#VALUE!</v>
      </c>
      <c r="GM88" t="e">
        <f>AND(Names!B100,"AAAAAH9q/8I=")</f>
        <v>#VALUE!</v>
      </c>
      <c r="GN88" t="e">
        <f>AND(Names!C100,"AAAAAH9q/8M=")</f>
        <v>#VALUE!</v>
      </c>
      <c r="GO88" t="e">
        <f>AND(Names!D100,"AAAAAH9q/8Q=")</f>
        <v>#VALUE!</v>
      </c>
      <c r="GP88" t="e">
        <f>AND(Names!E100,"AAAAAH9q/8U=")</f>
        <v>#VALUE!</v>
      </c>
      <c r="GQ88" t="e">
        <f>AND(Names!F100,"AAAAAH9q/8Y=")</f>
        <v>#VALUE!</v>
      </c>
      <c r="GR88" t="e">
        <f>AND(Names!G100,"AAAAAH9q/8c=")</f>
        <v>#VALUE!</v>
      </c>
      <c r="GS88" t="e">
        <f>AND(Names!H100,"AAAAAH9q/8g=")</f>
        <v>#VALUE!</v>
      </c>
      <c r="GT88" t="e">
        <f>AND(Names!I100,"AAAAAH9q/8k=")</f>
        <v>#VALUE!</v>
      </c>
      <c r="GU88" t="e">
        <f>AND(Names!J100,"AAAAAH9q/8o=")</f>
        <v>#VALUE!</v>
      </c>
      <c r="GV88" t="e">
        <f>AND(Names!K100,"AAAAAH9q/8s=")</f>
        <v>#VALUE!</v>
      </c>
      <c r="GW88" t="e">
        <f>AND(Names!L100,"AAAAAH9q/8w=")</f>
        <v>#VALUE!</v>
      </c>
      <c r="GX88" t="e">
        <f>AND(Names!M100,"AAAAAH9q/80=")</f>
        <v>#VALUE!</v>
      </c>
      <c r="GY88" t="e">
        <f>AND(Names!N100,"AAAAAH9q/84=")</f>
        <v>#VALUE!</v>
      </c>
      <c r="GZ88" t="e">
        <f>AND(Names!O100,"AAAAAH9q/88=")</f>
        <v>#VALUE!</v>
      </c>
      <c r="HA88" t="e">
        <f>AND(Names!P100,"AAAAAH9q/9A=")</f>
        <v>#VALUE!</v>
      </c>
      <c r="HB88" t="e">
        <f>AND(Names!Q100,"AAAAAH9q/9E=")</f>
        <v>#VALUE!</v>
      </c>
      <c r="HC88" t="e">
        <f>AND(Names!R100,"AAAAAH9q/9I=")</f>
        <v>#VALUE!</v>
      </c>
      <c r="HD88" t="e">
        <f>AND(Names!S100,"AAAAAH9q/9M=")</f>
        <v>#VALUE!</v>
      </c>
      <c r="HE88" t="e">
        <f>AND(Names!T100,"AAAAAH9q/9Q=")</f>
        <v>#VALUE!</v>
      </c>
      <c r="HF88" t="e">
        <f>AND(Names!U100,"AAAAAH9q/9U=")</f>
        <v>#VALUE!</v>
      </c>
      <c r="HG88" t="e">
        <f>AND(Names!V100,"AAAAAH9q/9Y=")</f>
        <v>#VALUE!</v>
      </c>
      <c r="HH88" t="e">
        <f>AND(Names!W100,"AAAAAH9q/9c=")</f>
        <v>#VALUE!</v>
      </c>
      <c r="HI88" t="e">
        <f>AND(Names!X100,"AAAAAH9q/9g=")</f>
        <v>#VALUE!</v>
      </c>
      <c r="HJ88" t="e">
        <f>AND(Names!Y100,"AAAAAH9q/9k=")</f>
        <v>#VALUE!</v>
      </c>
      <c r="HK88" t="e">
        <f>AND(Names!Z100,"AAAAAH9q/9o=")</f>
        <v>#VALUE!</v>
      </c>
      <c r="HL88" t="e">
        <f>AND(Names!AA100,"AAAAAH9q/9s=")</f>
        <v>#VALUE!</v>
      </c>
      <c r="HM88" t="e">
        <f>AND(Names!AB100,"AAAAAH9q/9w=")</f>
        <v>#VALUE!</v>
      </c>
      <c r="HN88" t="e">
        <f>AND(Names!AC100,"AAAAAH9q/90=")</f>
        <v>#VALUE!</v>
      </c>
      <c r="HO88" t="e">
        <f>AND(Names!AD100,"AAAAAH9q/94=")</f>
        <v>#VALUE!</v>
      </c>
      <c r="HP88" t="e">
        <f>AND(Names!AE100,"AAAAAH9q/98=")</f>
        <v>#VALUE!</v>
      </c>
      <c r="HQ88" t="e">
        <f>AND(Names!AF100,"AAAAAH9q/+A=")</f>
        <v>#VALUE!</v>
      </c>
      <c r="HR88" t="e">
        <f>AND(Names!AG100,"AAAAAH9q/+E=")</f>
        <v>#VALUE!</v>
      </c>
      <c r="HS88" t="e">
        <f>AND(Names!AH100,"AAAAAH9q/+I=")</f>
        <v>#VALUE!</v>
      </c>
      <c r="HT88" t="e">
        <f>AND(Names!AI100,"AAAAAH9q/+M=")</f>
        <v>#VALUE!</v>
      </c>
      <c r="HU88" t="e">
        <f>AND(Names!AJ100,"AAAAAH9q/+Q=")</f>
        <v>#VALUE!</v>
      </c>
      <c r="HV88" t="e">
        <f>AND(Names!AK100,"AAAAAH9q/+U=")</f>
        <v>#VALUE!</v>
      </c>
      <c r="HW88" t="e">
        <f>AND(Names!AL100,"AAAAAH9q/+Y=")</f>
        <v>#VALUE!</v>
      </c>
      <c r="HX88" t="e">
        <f>AND(Names!AM100,"AAAAAH9q/+c=")</f>
        <v>#VALUE!</v>
      </c>
      <c r="HY88">
        <f>IF(Names!101:101,"AAAAAH9q/+g=",0)</f>
        <v>0</v>
      </c>
      <c r="HZ88" t="e">
        <f>AND(Names!A101,"AAAAAH9q/+k=")</f>
        <v>#VALUE!</v>
      </c>
      <c r="IA88" t="e">
        <f>AND(Names!B101,"AAAAAH9q/+o=")</f>
        <v>#VALUE!</v>
      </c>
      <c r="IB88" t="e">
        <f>AND(Names!C101,"AAAAAH9q/+s=")</f>
        <v>#VALUE!</v>
      </c>
      <c r="IC88" t="e">
        <f>AND(Names!D101,"AAAAAH9q/+w=")</f>
        <v>#VALUE!</v>
      </c>
      <c r="ID88" t="e">
        <f>AND(Names!E101,"AAAAAH9q/+0=")</f>
        <v>#VALUE!</v>
      </c>
      <c r="IE88" t="e">
        <f>AND(Names!F101,"AAAAAH9q/+4=")</f>
        <v>#VALUE!</v>
      </c>
      <c r="IF88" t="e">
        <f>AND(Names!G101,"AAAAAH9q/+8=")</f>
        <v>#VALUE!</v>
      </c>
      <c r="IG88" t="e">
        <f>AND(Names!H101,"AAAAAH9q//A=")</f>
        <v>#VALUE!</v>
      </c>
      <c r="IH88" t="e">
        <f>AND(Names!I101,"AAAAAH9q//E=")</f>
        <v>#VALUE!</v>
      </c>
      <c r="II88" t="e">
        <f>AND(Names!J101,"AAAAAH9q//I=")</f>
        <v>#VALUE!</v>
      </c>
      <c r="IJ88" t="e">
        <f>AND(Names!K101,"AAAAAH9q//M=")</f>
        <v>#VALUE!</v>
      </c>
      <c r="IK88" t="e">
        <f>AND(Names!L101,"AAAAAH9q//Q=")</f>
        <v>#VALUE!</v>
      </c>
      <c r="IL88" t="e">
        <f>AND(Names!M101,"AAAAAH9q//U=")</f>
        <v>#VALUE!</v>
      </c>
      <c r="IM88" t="e">
        <f>AND(Names!N101,"AAAAAH9q//Y=")</f>
        <v>#VALUE!</v>
      </c>
      <c r="IN88" t="e">
        <f>AND(Names!O101,"AAAAAH9q//c=")</f>
        <v>#VALUE!</v>
      </c>
      <c r="IO88" t="e">
        <f>AND(Names!P101,"AAAAAH9q//g=")</f>
        <v>#VALUE!</v>
      </c>
      <c r="IP88" t="e">
        <f>AND(Names!Q101,"AAAAAH9q//k=")</f>
        <v>#VALUE!</v>
      </c>
      <c r="IQ88" t="e">
        <f>AND(Names!R101,"AAAAAH9q//o=")</f>
        <v>#VALUE!</v>
      </c>
      <c r="IR88" t="e">
        <f>AND(Names!S101,"AAAAAH9q//s=")</f>
        <v>#VALUE!</v>
      </c>
      <c r="IS88" t="e">
        <f>AND(Names!T101,"AAAAAH9q//w=")</f>
        <v>#VALUE!</v>
      </c>
      <c r="IT88" t="e">
        <f>AND(Names!U101,"AAAAAH9q//0=")</f>
        <v>#VALUE!</v>
      </c>
      <c r="IU88" t="e">
        <f>AND(Names!V101,"AAAAAH9q//4=")</f>
        <v>#VALUE!</v>
      </c>
      <c r="IV88" t="e">
        <f>AND(Names!W101,"AAAAAH9q//8=")</f>
        <v>#VALUE!</v>
      </c>
    </row>
    <row r="89" spans="1:256" x14ac:dyDescent="0.15">
      <c r="A89" t="e">
        <f>AND(Names!X101,"AAAAAFT3qgA=")</f>
        <v>#VALUE!</v>
      </c>
      <c r="B89" t="e">
        <f>AND(Names!Y101,"AAAAAFT3qgE=")</f>
        <v>#VALUE!</v>
      </c>
      <c r="C89" t="e">
        <f>AND(Names!Z101,"AAAAAFT3qgI=")</f>
        <v>#VALUE!</v>
      </c>
      <c r="D89" t="e">
        <f>AND(Names!AA101,"AAAAAFT3qgM=")</f>
        <v>#VALUE!</v>
      </c>
      <c r="E89" t="e">
        <f>AND(Names!AB101,"AAAAAFT3qgQ=")</f>
        <v>#VALUE!</v>
      </c>
      <c r="F89" t="e">
        <f>AND(Names!AC101,"AAAAAFT3qgU=")</f>
        <v>#VALUE!</v>
      </c>
      <c r="G89" t="e">
        <f>AND(Names!AD101,"AAAAAFT3qgY=")</f>
        <v>#VALUE!</v>
      </c>
      <c r="H89" t="e">
        <f>AND(Names!AE101,"AAAAAFT3qgc=")</f>
        <v>#VALUE!</v>
      </c>
      <c r="I89" t="e">
        <f>AND(Names!AF101,"AAAAAFT3qgg=")</f>
        <v>#VALUE!</v>
      </c>
      <c r="J89" t="e">
        <f>AND(Names!AG101,"AAAAAFT3qgk=")</f>
        <v>#VALUE!</v>
      </c>
      <c r="K89" t="e">
        <f>AND(Names!AH101,"AAAAAFT3qgo=")</f>
        <v>#VALUE!</v>
      </c>
      <c r="L89" t="e">
        <f>AND(Names!AI101,"AAAAAFT3qgs=")</f>
        <v>#VALUE!</v>
      </c>
      <c r="M89" t="e">
        <f>AND(Names!AJ101,"AAAAAFT3qgw=")</f>
        <v>#VALUE!</v>
      </c>
      <c r="N89" t="e">
        <f>AND(Names!AK101,"AAAAAFT3qg0=")</f>
        <v>#VALUE!</v>
      </c>
      <c r="O89" t="e">
        <f>AND(Names!AL101,"AAAAAFT3qg4=")</f>
        <v>#VALUE!</v>
      </c>
      <c r="P89" t="e">
        <f>AND(Names!AM101,"AAAAAFT3qg8=")</f>
        <v>#VALUE!</v>
      </c>
      <c r="Q89">
        <f>IF(Names!102:102,"AAAAAFT3qhA=",0)</f>
        <v>0</v>
      </c>
      <c r="R89" t="e">
        <f>AND(Names!A102,"AAAAAFT3qhE=")</f>
        <v>#VALUE!</v>
      </c>
      <c r="S89" t="e">
        <f>AND(Names!B102,"AAAAAFT3qhI=")</f>
        <v>#VALUE!</v>
      </c>
      <c r="T89" t="e">
        <f>AND(Names!C102,"AAAAAFT3qhM=")</f>
        <v>#VALUE!</v>
      </c>
      <c r="U89" t="e">
        <f>AND(Names!D102,"AAAAAFT3qhQ=")</f>
        <v>#VALUE!</v>
      </c>
      <c r="V89" t="e">
        <f>AND(Names!E102,"AAAAAFT3qhU=")</f>
        <v>#VALUE!</v>
      </c>
      <c r="W89" t="e">
        <f>AND(Names!F102,"AAAAAFT3qhY=")</f>
        <v>#VALUE!</v>
      </c>
      <c r="X89" t="e">
        <f>AND(Names!G102,"AAAAAFT3qhc=")</f>
        <v>#VALUE!</v>
      </c>
      <c r="Y89" t="e">
        <f>AND(Names!H102,"AAAAAFT3qhg=")</f>
        <v>#VALUE!</v>
      </c>
      <c r="Z89" t="e">
        <f>AND(Names!I102,"AAAAAFT3qhk=")</f>
        <v>#VALUE!</v>
      </c>
      <c r="AA89" t="e">
        <f>AND(Names!J102,"AAAAAFT3qho=")</f>
        <v>#VALUE!</v>
      </c>
      <c r="AB89" t="e">
        <f>AND(Names!K102,"AAAAAFT3qhs=")</f>
        <v>#VALUE!</v>
      </c>
      <c r="AC89" t="e">
        <f>AND(Names!L102,"AAAAAFT3qhw=")</f>
        <v>#VALUE!</v>
      </c>
      <c r="AD89" t="e">
        <f>AND(Names!M102,"AAAAAFT3qh0=")</f>
        <v>#VALUE!</v>
      </c>
      <c r="AE89" t="e">
        <f>AND(Names!N102,"AAAAAFT3qh4=")</f>
        <v>#VALUE!</v>
      </c>
      <c r="AF89" t="e">
        <f>AND(Names!O102,"AAAAAFT3qh8=")</f>
        <v>#VALUE!</v>
      </c>
      <c r="AG89" t="e">
        <f>AND(Names!P102,"AAAAAFT3qiA=")</f>
        <v>#VALUE!</v>
      </c>
      <c r="AH89" t="e">
        <f>AND(Names!Q102,"AAAAAFT3qiE=")</f>
        <v>#VALUE!</v>
      </c>
      <c r="AI89" t="e">
        <f>AND(Names!R102,"AAAAAFT3qiI=")</f>
        <v>#VALUE!</v>
      </c>
      <c r="AJ89" t="e">
        <f>AND(Names!S102,"AAAAAFT3qiM=")</f>
        <v>#VALUE!</v>
      </c>
      <c r="AK89" t="e">
        <f>AND(Names!T102,"AAAAAFT3qiQ=")</f>
        <v>#VALUE!</v>
      </c>
      <c r="AL89" t="e">
        <f>AND(Names!U102,"AAAAAFT3qiU=")</f>
        <v>#VALUE!</v>
      </c>
      <c r="AM89" t="e">
        <f>AND(Names!V102,"AAAAAFT3qiY=")</f>
        <v>#VALUE!</v>
      </c>
      <c r="AN89" t="e">
        <f>AND(Names!W102,"AAAAAFT3qic=")</f>
        <v>#VALUE!</v>
      </c>
      <c r="AO89" t="e">
        <f>AND(Names!X102,"AAAAAFT3qig=")</f>
        <v>#VALUE!</v>
      </c>
      <c r="AP89" t="e">
        <f>AND(Names!Y102,"AAAAAFT3qik=")</f>
        <v>#VALUE!</v>
      </c>
      <c r="AQ89" t="e">
        <f>AND(Names!Z102,"AAAAAFT3qio=")</f>
        <v>#VALUE!</v>
      </c>
      <c r="AR89" t="e">
        <f>AND(Names!AA102,"AAAAAFT3qis=")</f>
        <v>#VALUE!</v>
      </c>
      <c r="AS89" t="e">
        <f>AND(Names!AB102,"AAAAAFT3qiw=")</f>
        <v>#VALUE!</v>
      </c>
      <c r="AT89" t="e">
        <f>AND(Names!AC102,"AAAAAFT3qi0=")</f>
        <v>#VALUE!</v>
      </c>
      <c r="AU89" t="e">
        <f>AND(Names!AD102,"AAAAAFT3qi4=")</f>
        <v>#VALUE!</v>
      </c>
      <c r="AV89" t="e">
        <f>AND(Names!AE102,"AAAAAFT3qi8=")</f>
        <v>#VALUE!</v>
      </c>
      <c r="AW89" t="e">
        <f>AND(Names!AF102,"AAAAAFT3qjA=")</f>
        <v>#VALUE!</v>
      </c>
      <c r="AX89" t="e">
        <f>AND(Names!AG102,"AAAAAFT3qjE=")</f>
        <v>#VALUE!</v>
      </c>
      <c r="AY89" t="e">
        <f>AND(Names!AH102,"AAAAAFT3qjI=")</f>
        <v>#VALUE!</v>
      </c>
      <c r="AZ89" t="e">
        <f>AND(Names!AI102,"AAAAAFT3qjM=")</f>
        <v>#VALUE!</v>
      </c>
      <c r="BA89" t="e">
        <f>AND(Names!AJ102,"AAAAAFT3qjQ=")</f>
        <v>#VALUE!</v>
      </c>
      <c r="BB89" t="e">
        <f>AND(Names!AK102,"AAAAAFT3qjU=")</f>
        <v>#VALUE!</v>
      </c>
      <c r="BC89" t="e">
        <f>AND(Names!AL102,"AAAAAFT3qjY=")</f>
        <v>#VALUE!</v>
      </c>
      <c r="BD89" t="e">
        <f>AND(Names!AM102,"AAAAAFT3qjc=")</f>
        <v>#VALUE!</v>
      </c>
      <c r="BE89">
        <f>IF(Names!103:103,"AAAAAFT3qjg=",0)</f>
        <v>0</v>
      </c>
      <c r="BF89" t="e">
        <f>AND(Names!A103,"AAAAAFT3qjk=")</f>
        <v>#VALUE!</v>
      </c>
      <c r="BG89" t="e">
        <f>AND(Names!B103,"AAAAAFT3qjo=")</f>
        <v>#VALUE!</v>
      </c>
      <c r="BH89" t="e">
        <f>AND(Names!C103,"AAAAAFT3qjs=")</f>
        <v>#VALUE!</v>
      </c>
      <c r="BI89" t="e">
        <f>AND(Names!D103,"AAAAAFT3qjw=")</f>
        <v>#VALUE!</v>
      </c>
      <c r="BJ89" t="e">
        <f>AND(Names!E103,"AAAAAFT3qj0=")</f>
        <v>#VALUE!</v>
      </c>
      <c r="BK89" t="e">
        <f>AND(Names!F103,"AAAAAFT3qj4=")</f>
        <v>#VALUE!</v>
      </c>
      <c r="BL89" t="e">
        <f>AND(Names!G103,"AAAAAFT3qj8=")</f>
        <v>#VALUE!</v>
      </c>
      <c r="BM89" t="e">
        <f>AND(Names!H103,"AAAAAFT3qkA=")</f>
        <v>#VALUE!</v>
      </c>
      <c r="BN89" t="e">
        <f>AND(Names!I103,"AAAAAFT3qkE=")</f>
        <v>#VALUE!</v>
      </c>
      <c r="BO89" t="e">
        <f>AND(Names!J103,"AAAAAFT3qkI=")</f>
        <v>#VALUE!</v>
      </c>
      <c r="BP89" t="e">
        <f>AND(Names!K103,"AAAAAFT3qkM=")</f>
        <v>#VALUE!</v>
      </c>
      <c r="BQ89" t="e">
        <f>AND(Names!L103,"AAAAAFT3qkQ=")</f>
        <v>#VALUE!</v>
      </c>
      <c r="BR89" t="e">
        <f>AND(Names!M103,"AAAAAFT3qkU=")</f>
        <v>#VALUE!</v>
      </c>
      <c r="BS89" t="e">
        <f>AND(Names!N103,"AAAAAFT3qkY=")</f>
        <v>#VALUE!</v>
      </c>
      <c r="BT89" t="e">
        <f>AND(Names!O103,"AAAAAFT3qkc=")</f>
        <v>#VALUE!</v>
      </c>
      <c r="BU89" t="e">
        <f>AND(Names!P103,"AAAAAFT3qkg=")</f>
        <v>#VALUE!</v>
      </c>
      <c r="BV89" t="e">
        <f>AND(Names!Q103,"AAAAAFT3qkk=")</f>
        <v>#VALUE!</v>
      </c>
      <c r="BW89" t="e">
        <f>AND(Names!R103,"AAAAAFT3qko=")</f>
        <v>#VALUE!</v>
      </c>
      <c r="BX89" t="e">
        <f>AND(Names!S103,"AAAAAFT3qks=")</f>
        <v>#VALUE!</v>
      </c>
      <c r="BY89" t="e">
        <f>AND(Names!T103,"AAAAAFT3qkw=")</f>
        <v>#VALUE!</v>
      </c>
      <c r="BZ89" t="e">
        <f>AND(Names!U103,"AAAAAFT3qk0=")</f>
        <v>#VALUE!</v>
      </c>
      <c r="CA89" t="e">
        <f>AND(Names!V103,"AAAAAFT3qk4=")</f>
        <v>#VALUE!</v>
      </c>
      <c r="CB89" t="e">
        <f>AND(Names!W103,"AAAAAFT3qk8=")</f>
        <v>#VALUE!</v>
      </c>
      <c r="CC89" t="e">
        <f>AND(Names!X103,"AAAAAFT3qlA=")</f>
        <v>#VALUE!</v>
      </c>
      <c r="CD89" t="e">
        <f>AND(Names!Y103,"AAAAAFT3qlE=")</f>
        <v>#VALUE!</v>
      </c>
      <c r="CE89" t="e">
        <f>AND(Names!Z103,"AAAAAFT3qlI=")</f>
        <v>#VALUE!</v>
      </c>
      <c r="CF89" t="e">
        <f>AND(Names!AA103,"AAAAAFT3qlM=")</f>
        <v>#VALUE!</v>
      </c>
      <c r="CG89" t="e">
        <f>AND(Names!AB103,"AAAAAFT3qlQ=")</f>
        <v>#VALUE!</v>
      </c>
      <c r="CH89" t="e">
        <f>AND(Names!AC103,"AAAAAFT3qlU=")</f>
        <v>#VALUE!</v>
      </c>
      <c r="CI89" t="e">
        <f>AND(Names!AD103,"AAAAAFT3qlY=")</f>
        <v>#VALUE!</v>
      </c>
      <c r="CJ89" t="e">
        <f>AND(Names!AE103,"AAAAAFT3qlc=")</f>
        <v>#VALUE!</v>
      </c>
      <c r="CK89" t="e">
        <f>AND(Names!AF103,"AAAAAFT3qlg=")</f>
        <v>#VALUE!</v>
      </c>
      <c r="CL89" t="e">
        <f>AND(Names!AG103,"AAAAAFT3qlk=")</f>
        <v>#VALUE!</v>
      </c>
      <c r="CM89" t="e">
        <f>AND(Names!AH103,"AAAAAFT3qlo=")</f>
        <v>#VALUE!</v>
      </c>
      <c r="CN89" t="e">
        <f>AND(Names!AI103,"AAAAAFT3qls=")</f>
        <v>#VALUE!</v>
      </c>
      <c r="CO89" t="e">
        <f>AND(Names!AJ103,"AAAAAFT3qlw=")</f>
        <v>#VALUE!</v>
      </c>
      <c r="CP89" t="e">
        <f>AND(Names!AK103,"AAAAAFT3ql0=")</f>
        <v>#VALUE!</v>
      </c>
      <c r="CQ89" t="e">
        <f>AND(Names!AL103,"AAAAAFT3ql4=")</f>
        <v>#VALUE!</v>
      </c>
      <c r="CR89" t="e">
        <f>AND(Names!AM103,"AAAAAFT3ql8=")</f>
        <v>#VALUE!</v>
      </c>
      <c r="CS89">
        <f>IF(Names!104:104,"AAAAAFT3qmA=",0)</f>
        <v>0</v>
      </c>
      <c r="CT89" t="e">
        <f>AND(Names!A104,"AAAAAFT3qmE=")</f>
        <v>#VALUE!</v>
      </c>
      <c r="CU89" t="e">
        <f>AND(Names!B104,"AAAAAFT3qmI=")</f>
        <v>#VALUE!</v>
      </c>
      <c r="CV89" t="e">
        <f>AND(Names!C104,"AAAAAFT3qmM=")</f>
        <v>#VALUE!</v>
      </c>
      <c r="CW89" t="e">
        <f>AND(Names!D104,"AAAAAFT3qmQ=")</f>
        <v>#VALUE!</v>
      </c>
      <c r="CX89" t="e">
        <f>AND(Names!E104,"AAAAAFT3qmU=")</f>
        <v>#VALUE!</v>
      </c>
      <c r="CY89" t="e">
        <f>AND(Names!F104,"AAAAAFT3qmY=")</f>
        <v>#VALUE!</v>
      </c>
      <c r="CZ89" t="e">
        <f>AND(Names!G104,"AAAAAFT3qmc=")</f>
        <v>#VALUE!</v>
      </c>
      <c r="DA89" t="e">
        <f>AND(Names!H104,"AAAAAFT3qmg=")</f>
        <v>#VALUE!</v>
      </c>
      <c r="DB89" t="e">
        <f>AND(Names!I104,"AAAAAFT3qmk=")</f>
        <v>#VALUE!</v>
      </c>
      <c r="DC89" t="e">
        <f>AND(Names!J104,"AAAAAFT3qmo=")</f>
        <v>#VALUE!</v>
      </c>
      <c r="DD89" t="e">
        <f>AND(Names!K104,"AAAAAFT3qms=")</f>
        <v>#VALUE!</v>
      </c>
      <c r="DE89" t="e">
        <f>AND(Names!L104,"AAAAAFT3qmw=")</f>
        <v>#VALUE!</v>
      </c>
      <c r="DF89" t="e">
        <f>AND(Names!M104,"AAAAAFT3qm0=")</f>
        <v>#VALUE!</v>
      </c>
      <c r="DG89" t="e">
        <f>AND(Names!N104,"AAAAAFT3qm4=")</f>
        <v>#VALUE!</v>
      </c>
      <c r="DH89" t="e">
        <f>AND(Names!O104,"AAAAAFT3qm8=")</f>
        <v>#VALUE!</v>
      </c>
      <c r="DI89" t="e">
        <f>AND(Names!P104,"AAAAAFT3qnA=")</f>
        <v>#VALUE!</v>
      </c>
      <c r="DJ89" t="e">
        <f>AND(Names!Q104,"AAAAAFT3qnE=")</f>
        <v>#VALUE!</v>
      </c>
      <c r="DK89" t="e">
        <f>AND(Names!R104,"AAAAAFT3qnI=")</f>
        <v>#VALUE!</v>
      </c>
      <c r="DL89" t="e">
        <f>AND(Names!S104,"AAAAAFT3qnM=")</f>
        <v>#VALUE!</v>
      </c>
      <c r="DM89" t="e">
        <f>AND(Names!T104,"AAAAAFT3qnQ=")</f>
        <v>#VALUE!</v>
      </c>
      <c r="DN89" t="e">
        <f>AND(Names!U104,"AAAAAFT3qnU=")</f>
        <v>#VALUE!</v>
      </c>
      <c r="DO89" t="e">
        <f>AND(Names!V104,"AAAAAFT3qnY=")</f>
        <v>#VALUE!</v>
      </c>
      <c r="DP89" t="e">
        <f>AND(Names!W104,"AAAAAFT3qnc=")</f>
        <v>#VALUE!</v>
      </c>
      <c r="DQ89" t="e">
        <f>AND(Names!X104,"AAAAAFT3qng=")</f>
        <v>#VALUE!</v>
      </c>
      <c r="DR89" t="e">
        <f>AND(Names!Y104,"AAAAAFT3qnk=")</f>
        <v>#VALUE!</v>
      </c>
      <c r="DS89" t="e">
        <f>AND(Names!Z104,"AAAAAFT3qno=")</f>
        <v>#VALUE!</v>
      </c>
      <c r="DT89" t="e">
        <f>AND(Names!AA104,"AAAAAFT3qns=")</f>
        <v>#VALUE!</v>
      </c>
      <c r="DU89" t="e">
        <f>AND(Names!AB104,"AAAAAFT3qnw=")</f>
        <v>#VALUE!</v>
      </c>
      <c r="DV89" t="e">
        <f>AND(Names!AC104,"AAAAAFT3qn0=")</f>
        <v>#VALUE!</v>
      </c>
      <c r="DW89" t="e">
        <f>AND(Names!AD104,"AAAAAFT3qn4=")</f>
        <v>#VALUE!</v>
      </c>
      <c r="DX89" t="e">
        <f>AND(Names!AE104,"AAAAAFT3qn8=")</f>
        <v>#VALUE!</v>
      </c>
      <c r="DY89" t="e">
        <f>AND(Names!AF104,"AAAAAFT3qoA=")</f>
        <v>#VALUE!</v>
      </c>
      <c r="DZ89" t="e">
        <f>AND(Names!AG104,"AAAAAFT3qoE=")</f>
        <v>#VALUE!</v>
      </c>
      <c r="EA89" t="e">
        <f>AND(Names!AH104,"AAAAAFT3qoI=")</f>
        <v>#VALUE!</v>
      </c>
      <c r="EB89" t="e">
        <f>AND(Names!AI104,"AAAAAFT3qoM=")</f>
        <v>#VALUE!</v>
      </c>
      <c r="EC89" t="e">
        <f>AND(Names!AJ104,"AAAAAFT3qoQ=")</f>
        <v>#VALUE!</v>
      </c>
      <c r="ED89" t="e">
        <f>AND(Names!AK104,"AAAAAFT3qoU=")</f>
        <v>#VALUE!</v>
      </c>
      <c r="EE89" t="e">
        <f>AND(Names!AL104,"AAAAAFT3qoY=")</f>
        <v>#VALUE!</v>
      </c>
      <c r="EF89" t="e">
        <f>AND(Names!AM104,"AAAAAFT3qoc=")</f>
        <v>#VALUE!</v>
      </c>
      <c r="EG89">
        <f>IF(Names!105:105,"AAAAAFT3qog=",0)</f>
        <v>0</v>
      </c>
      <c r="EH89" t="e">
        <f>AND(Names!A105,"AAAAAFT3qok=")</f>
        <v>#VALUE!</v>
      </c>
      <c r="EI89" t="e">
        <f>AND(Names!B105,"AAAAAFT3qoo=")</f>
        <v>#VALUE!</v>
      </c>
      <c r="EJ89" t="e">
        <f>AND(Names!C105,"AAAAAFT3qos=")</f>
        <v>#VALUE!</v>
      </c>
      <c r="EK89" t="e">
        <f>AND(Names!D105,"AAAAAFT3qow=")</f>
        <v>#VALUE!</v>
      </c>
      <c r="EL89" t="e">
        <f>AND(Names!E105,"AAAAAFT3qo0=")</f>
        <v>#VALUE!</v>
      </c>
      <c r="EM89" t="e">
        <f>AND(Names!F105,"AAAAAFT3qo4=")</f>
        <v>#VALUE!</v>
      </c>
      <c r="EN89" t="e">
        <f>AND(Names!G105,"AAAAAFT3qo8=")</f>
        <v>#VALUE!</v>
      </c>
      <c r="EO89" t="e">
        <f>AND(Names!H105,"AAAAAFT3qpA=")</f>
        <v>#VALUE!</v>
      </c>
      <c r="EP89" t="e">
        <f>AND(Names!I105,"AAAAAFT3qpE=")</f>
        <v>#VALUE!</v>
      </c>
      <c r="EQ89" t="e">
        <f>AND(Names!J105,"AAAAAFT3qpI=")</f>
        <v>#VALUE!</v>
      </c>
      <c r="ER89" t="e">
        <f>AND(Names!K105,"AAAAAFT3qpM=")</f>
        <v>#VALUE!</v>
      </c>
      <c r="ES89" t="e">
        <f>AND(Names!L105,"AAAAAFT3qpQ=")</f>
        <v>#VALUE!</v>
      </c>
      <c r="ET89" t="e">
        <f>AND(Names!M105,"AAAAAFT3qpU=")</f>
        <v>#VALUE!</v>
      </c>
      <c r="EU89" t="e">
        <f>AND(Names!N105,"AAAAAFT3qpY=")</f>
        <v>#VALUE!</v>
      </c>
      <c r="EV89" t="e">
        <f>AND(Names!O105,"AAAAAFT3qpc=")</f>
        <v>#VALUE!</v>
      </c>
      <c r="EW89" t="e">
        <f>AND(Names!P105,"AAAAAFT3qpg=")</f>
        <v>#VALUE!</v>
      </c>
      <c r="EX89" t="e">
        <f>AND(Names!Q105,"AAAAAFT3qpk=")</f>
        <v>#VALUE!</v>
      </c>
      <c r="EY89" t="e">
        <f>AND(Names!R105,"AAAAAFT3qpo=")</f>
        <v>#VALUE!</v>
      </c>
      <c r="EZ89" t="e">
        <f>AND(Names!S105,"AAAAAFT3qps=")</f>
        <v>#VALUE!</v>
      </c>
      <c r="FA89" t="e">
        <f>AND(Names!T105,"AAAAAFT3qpw=")</f>
        <v>#VALUE!</v>
      </c>
      <c r="FB89" t="e">
        <f>AND(Names!U105,"AAAAAFT3qp0=")</f>
        <v>#VALUE!</v>
      </c>
      <c r="FC89" t="e">
        <f>AND(Names!V105,"AAAAAFT3qp4=")</f>
        <v>#VALUE!</v>
      </c>
      <c r="FD89" t="e">
        <f>AND(Names!W105,"AAAAAFT3qp8=")</f>
        <v>#VALUE!</v>
      </c>
      <c r="FE89" t="e">
        <f>AND(Names!X105,"AAAAAFT3qqA=")</f>
        <v>#VALUE!</v>
      </c>
      <c r="FF89" t="e">
        <f>AND(Names!Y105,"AAAAAFT3qqE=")</f>
        <v>#VALUE!</v>
      </c>
      <c r="FG89" t="e">
        <f>AND(Names!Z105,"AAAAAFT3qqI=")</f>
        <v>#VALUE!</v>
      </c>
      <c r="FH89" t="e">
        <f>AND(Names!AA105,"AAAAAFT3qqM=")</f>
        <v>#VALUE!</v>
      </c>
      <c r="FI89" t="e">
        <f>AND(Names!AB105,"AAAAAFT3qqQ=")</f>
        <v>#VALUE!</v>
      </c>
      <c r="FJ89" t="e">
        <f>AND(Names!AC105,"AAAAAFT3qqU=")</f>
        <v>#VALUE!</v>
      </c>
      <c r="FK89" t="e">
        <f>AND(Names!AD105,"AAAAAFT3qqY=")</f>
        <v>#VALUE!</v>
      </c>
      <c r="FL89" t="e">
        <f>AND(Names!AE105,"AAAAAFT3qqc=")</f>
        <v>#VALUE!</v>
      </c>
      <c r="FM89" t="e">
        <f>AND(Names!AF105,"AAAAAFT3qqg=")</f>
        <v>#VALUE!</v>
      </c>
      <c r="FN89" t="e">
        <f>AND(Names!AG105,"AAAAAFT3qqk=")</f>
        <v>#VALUE!</v>
      </c>
      <c r="FO89" t="e">
        <f>AND(Names!AH105,"AAAAAFT3qqo=")</f>
        <v>#VALUE!</v>
      </c>
      <c r="FP89" t="e">
        <f>AND(Names!AI105,"AAAAAFT3qqs=")</f>
        <v>#VALUE!</v>
      </c>
      <c r="FQ89" t="e">
        <f>AND(Names!AJ105,"AAAAAFT3qqw=")</f>
        <v>#VALUE!</v>
      </c>
      <c r="FR89" t="e">
        <f>AND(Names!AK105,"AAAAAFT3qq0=")</f>
        <v>#VALUE!</v>
      </c>
      <c r="FS89" t="e">
        <f>AND(Names!AL105,"AAAAAFT3qq4=")</f>
        <v>#VALUE!</v>
      </c>
      <c r="FT89" t="e">
        <f>AND(Names!AM105,"AAAAAFT3qq8=")</f>
        <v>#VALUE!</v>
      </c>
      <c r="FU89">
        <f>IF(Names!106:106,"AAAAAFT3qrA=",0)</f>
        <v>0</v>
      </c>
      <c r="FV89" t="e">
        <f>AND(Names!A106,"AAAAAFT3qrE=")</f>
        <v>#VALUE!</v>
      </c>
      <c r="FW89" t="e">
        <f>AND(Names!B106,"AAAAAFT3qrI=")</f>
        <v>#VALUE!</v>
      </c>
      <c r="FX89" t="e">
        <f>AND(Names!C106,"AAAAAFT3qrM=")</f>
        <v>#VALUE!</v>
      </c>
      <c r="FY89" t="e">
        <f>AND(Names!D106,"AAAAAFT3qrQ=")</f>
        <v>#VALUE!</v>
      </c>
      <c r="FZ89" t="e">
        <f>AND(Names!E106,"AAAAAFT3qrU=")</f>
        <v>#VALUE!</v>
      </c>
      <c r="GA89" t="e">
        <f>AND(Names!F106,"AAAAAFT3qrY=")</f>
        <v>#VALUE!</v>
      </c>
      <c r="GB89" t="e">
        <f>AND(Names!G106,"AAAAAFT3qrc=")</f>
        <v>#VALUE!</v>
      </c>
      <c r="GC89" t="e">
        <f>AND(Names!H106,"AAAAAFT3qrg=")</f>
        <v>#VALUE!</v>
      </c>
      <c r="GD89" t="e">
        <f>AND(Names!I106,"AAAAAFT3qrk=")</f>
        <v>#VALUE!</v>
      </c>
      <c r="GE89" t="e">
        <f>AND(Names!J106,"AAAAAFT3qro=")</f>
        <v>#VALUE!</v>
      </c>
      <c r="GF89" t="e">
        <f>AND(Names!K106,"AAAAAFT3qrs=")</f>
        <v>#VALUE!</v>
      </c>
      <c r="GG89" t="e">
        <f>AND(Names!L106,"AAAAAFT3qrw=")</f>
        <v>#VALUE!</v>
      </c>
      <c r="GH89" t="e">
        <f>AND(Names!M106,"AAAAAFT3qr0=")</f>
        <v>#VALUE!</v>
      </c>
      <c r="GI89" t="e">
        <f>AND(Names!N106,"AAAAAFT3qr4=")</f>
        <v>#VALUE!</v>
      </c>
      <c r="GJ89" t="e">
        <f>AND(Names!O106,"AAAAAFT3qr8=")</f>
        <v>#VALUE!</v>
      </c>
      <c r="GK89" t="e">
        <f>AND(Names!P106,"AAAAAFT3qsA=")</f>
        <v>#VALUE!</v>
      </c>
      <c r="GL89" t="e">
        <f>AND(Names!Q106,"AAAAAFT3qsE=")</f>
        <v>#VALUE!</v>
      </c>
      <c r="GM89" t="e">
        <f>AND(Names!R106,"AAAAAFT3qsI=")</f>
        <v>#VALUE!</v>
      </c>
      <c r="GN89" t="e">
        <f>AND(Names!S106,"AAAAAFT3qsM=")</f>
        <v>#VALUE!</v>
      </c>
      <c r="GO89" t="e">
        <f>AND(Names!T106,"AAAAAFT3qsQ=")</f>
        <v>#VALUE!</v>
      </c>
      <c r="GP89" t="e">
        <f>AND(Names!U106,"AAAAAFT3qsU=")</f>
        <v>#VALUE!</v>
      </c>
      <c r="GQ89" t="e">
        <f>AND(Names!V106,"AAAAAFT3qsY=")</f>
        <v>#VALUE!</v>
      </c>
      <c r="GR89" t="e">
        <f>AND(Names!W106,"AAAAAFT3qsc=")</f>
        <v>#VALUE!</v>
      </c>
      <c r="GS89" t="e">
        <f>AND(Names!X106,"AAAAAFT3qsg=")</f>
        <v>#VALUE!</v>
      </c>
      <c r="GT89" t="e">
        <f>AND(Names!Y106,"AAAAAFT3qsk=")</f>
        <v>#VALUE!</v>
      </c>
      <c r="GU89" t="e">
        <f>AND(Names!Z106,"AAAAAFT3qso=")</f>
        <v>#VALUE!</v>
      </c>
      <c r="GV89" t="e">
        <f>AND(Names!AA106,"AAAAAFT3qss=")</f>
        <v>#VALUE!</v>
      </c>
      <c r="GW89" t="e">
        <f>AND(Names!AB106,"AAAAAFT3qsw=")</f>
        <v>#VALUE!</v>
      </c>
      <c r="GX89" t="e">
        <f>AND(Names!AC106,"AAAAAFT3qs0=")</f>
        <v>#VALUE!</v>
      </c>
      <c r="GY89" t="e">
        <f>AND(Names!AD106,"AAAAAFT3qs4=")</f>
        <v>#VALUE!</v>
      </c>
      <c r="GZ89" t="e">
        <f>AND(Names!AE106,"AAAAAFT3qs8=")</f>
        <v>#VALUE!</v>
      </c>
      <c r="HA89" t="e">
        <f>AND(Names!AF106,"AAAAAFT3qtA=")</f>
        <v>#VALUE!</v>
      </c>
      <c r="HB89" t="e">
        <f>AND(Names!AG106,"AAAAAFT3qtE=")</f>
        <v>#VALUE!</v>
      </c>
      <c r="HC89" t="e">
        <f>AND(Names!AH106,"AAAAAFT3qtI=")</f>
        <v>#VALUE!</v>
      </c>
      <c r="HD89" t="e">
        <f>AND(Names!AI106,"AAAAAFT3qtM=")</f>
        <v>#VALUE!</v>
      </c>
      <c r="HE89" t="e">
        <f>AND(Names!AJ106,"AAAAAFT3qtQ=")</f>
        <v>#VALUE!</v>
      </c>
      <c r="HF89" t="e">
        <f>AND(Names!AK106,"AAAAAFT3qtU=")</f>
        <v>#VALUE!</v>
      </c>
      <c r="HG89" t="e">
        <f>AND(Names!AL106,"AAAAAFT3qtY=")</f>
        <v>#VALUE!</v>
      </c>
      <c r="HH89" t="e">
        <f>AND(Names!AM106,"AAAAAFT3qtc=")</f>
        <v>#VALUE!</v>
      </c>
      <c r="HI89">
        <f>IF(Names!107:107,"AAAAAFT3qtg=",0)</f>
        <v>0</v>
      </c>
      <c r="HJ89" t="e">
        <f>AND(Names!A107,"AAAAAFT3qtk=")</f>
        <v>#VALUE!</v>
      </c>
      <c r="HK89" t="e">
        <f>AND(Names!B107,"AAAAAFT3qto=")</f>
        <v>#VALUE!</v>
      </c>
      <c r="HL89" t="e">
        <f>AND(Names!C107,"AAAAAFT3qts=")</f>
        <v>#VALUE!</v>
      </c>
      <c r="HM89" t="e">
        <f>AND(Names!D107,"AAAAAFT3qtw=")</f>
        <v>#VALUE!</v>
      </c>
      <c r="HN89" t="e">
        <f>AND(Names!E107,"AAAAAFT3qt0=")</f>
        <v>#VALUE!</v>
      </c>
      <c r="HO89" t="e">
        <f>AND(Names!F107,"AAAAAFT3qt4=")</f>
        <v>#VALUE!</v>
      </c>
      <c r="HP89" t="e">
        <f>AND(Names!G107,"AAAAAFT3qt8=")</f>
        <v>#VALUE!</v>
      </c>
      <c r="HQ89" t="e">
        <f>AND(Names!H107,"AAAAAFT3quA=")</f>
        <v>#VALUE!</v>
      </c>
      <c r="HR89" t="e">
        <f>AND(Names!I107,"AAAAAFT3quE=")</f>
        <v>#VALUE!</v>
      </c>
      <c r="HS89" t="e">
        <f>AND(Names!J107,"AAAAAFT3quI=")</f>
        <v>#VALUE!</v>
      </c>
      <c r="HT89" t="e">
        <f>AND(Names!K107,"AAAAAFT3quM=")</f>
        <v>#VALUE!</v>
      </c>
      <c r="HU89" t="e">
        <f>AND(Names!L107,"AAAAAFT3quQ=")</f>
        <v>#VALUE!</v>
      </c>
      <c r="HV89" t="e">
        <f>AND(Names!M107,"AAAAAFT3quU=")</f>
        <v>#VALUE!</v>
      </c>
      <c r="HW89" t="e">
        <f>AND(Names!N107,"AAAAAFT3quY=")</f>
        <v>#VALUE!</v>
      </c>
      <c r="HX89" t="e">
        <f>AND(Names!O107,"AAAAAFT3quc=")</f>
        <v>#VALUE!</v>
      </c>
      <c r="HY89" t="e">
        <f>AND(Names!P107,"AAAAAFT3qug=")</f>
        <v>#VALUE!</v>
      </c>
      <c r="HZ89" t="e">
        <f>AND(Names!Q107,"AAAAAFT3quk=")</f>
        <v>#VALUE!</v>
      </c>
      <c r="IA89" t="e">
        <f>AND(Names!R107,"AAAAAFT3quo=")</f>
        <v>#VALUE!</v>
      </c>
      <c r="IB89" t="e">
        <f>AND(Names!S107,"AAAAAFT3qus=")</f>
        <v>#VALUE!</v>
      </c>
      <c r="IC89" t="e">
        <f>AND(Names!T107,"AAAAAFT3quw=")</f>
        <v>#VALUE!</v>
      </c>
      <c r="ID89" t="e">
        <f>AND(Names!U107,"AAAAAFT3qu0=")</f>
        <v>#VALUE!</v>
      </c>
      <c r="IE89" t="e">
        <f>AND(Names!V107,"AAAAAFT3qu4=")</f>
        <v>#VALUE!</v>
      </c>
      <c r="IF89" t="e">
        <f>AND(Names!W107,"AAAAAFT3qu8=")</f>
        <v>#VALUE!</v>
      </c>
      <c r="IG89" t="e">
        <f>AND(Names!X107,"AAAAAFT3qvA=")</f>
        <v>#VALUE!</v>
      </c>
      <c r="IH89" t="e">
        <f>AND(Names!Y107,"AAAAAFT3qvE=")</f>
        <v>#VALUE!</v>
      </c>
      <c r="II89" t="e">
        <f>AND(Names!Z107,"AAAAAFT3qvI=")</f>
        <v>#VALUE!</v>
      </c>
      <c r="IJ89" t="e">
        <f>AND(Names!AA107,"AAAAAFT3qvM=")</f>
        <v>#VALUE!</v>
      </c>
      <c r="IK89" t="e">
        <f>AND(Names!AB107,"AAAAAFT3qvQ=")</f>
        <v>#VALUE!</v>
      </c>
      <c r="IL89" t="e">
        <f>AND(Names!AC107,"AAAAAFT3qvU=")</f>
        <v>#VALUE!</v>
      </c>
      <c r="IM89" t="e">
        <f>AND(Names!AD107,"AAAAAFT3qvY=")</f>
        <v>#VALUE!</v>
      </c>
      <c r="IN89" t="e">
        <f>AND(Names!AE107,"AAAAAFT3qvc=")</f>
        <v>#VALUE!</v>
      </c>
      <c r="IO89" t="e">
        <f>AND(Names!AF107,"AAAAAFT3qvg=")</f>
        <v>#VALUE!</v>
      </c>
      <c r="IP89" t="e">
        <f>AND(Names!AG107,"AAAAAFT3qvk=")</f>
        <v>#VALUE!</v>
      </c>
      <c r="IQ89" t="e">
        <f>AND(Names!AH107,"AAAAAFT3qvo=")</f>
        <v>#VALUE!</v>
      </c>
      <c r="IR89" t="e">
        <f>AND(Names!AI107,"AAAAAFT3qvs=")</f>
        <v>#VALUE!</v>
      </c>
      <c r="IS89" t="e">
        <f>AND(Names!AJ107,"AAAAAFT3qvw=")</f>
        <v>#VALUE!</v>
      </c>
      <c r="IT89" t="e">
        <f>AND(Names!AK107,"AAAAAFT3qv0=")</f>
        <v>#VALUE!</v>
      </c>
      <c r="IU89" t="e">
        <f>AND(Names!AL107,"AAAAAFT3qv4=")</f>
        <v>#VALUE!</v>
      </c>
      <c r="IV89" t="e">
        <f>AND(Names!AM107,"AAAAAFT3qv8=")</f>
        <v>#VALUE!</v>
      </c>
    </row>
    <row r="90" spans="1:256" x14ac:dyDescent="0.15">
      <c r="A90">
        <f>IF(Names!108:108,"AAAAADzlvQA=",0)</f>
        <v>0</v>
      </c>
      <c r="B90" t="e">
        <f>AND(Names!A108,"AAAAADzlvQE=")</f>
        <v>#VALUE!</v>
      </c>
      <c r="C90" t="e">
        <f>AND(Names!B108,"AAAAADzlvQI=")</f>
        <v>#VALUE!</v>
      </c>
      <c r="D90" t="e">
        <f>AND(Names!C108,"AAAAADzlvQM=")</f>
        <v>#VALUE!</v>
      </c>
      <c r="E90" t="e">
        <f>AND(Names!D108,"AAAAADzlvQQ=")</f>
        <v>#VALUE!</v>
      </c>
      <c r="F90" t="e">
        <f>AND(Names!E108,"AAAAADzlvQU=")</f>
        <v>#VALUE!</v>
      </c>
      <c r="G90" t="e">
        <f>AND(Names!F108,"AAAAADzlvQY=")</f>
        <v>#VALUE!</v>
      </c>
      <c r="H90" t="e">
        <f>AND(Names!G108,"AAAAADzlvQc=")</f>
        <v>#VALUE!</v>
      </c>
      <c r="I90" t="e">
        <f>AND(Names!H108,"AAAAADzlvQg=")</f>
        <v>#VALUE!</v>
      </c>
      <c r="J90" t="e">
        <f>AND(Names!I108,"AAAAADzlvQk=")</f>
        <v>#VALUE!</v>
      </c>
      <c r="K90" t="e">
        <f>AND(Names!J108,"AAAAADzlvQo=")</f>
        <v>#VALUE!</v>
      </c>
      <c r="L90" t="e">
        <f>AND(Names!K108,"AAAAADzlvQs=")</f>
        <v>#VALUE!</v>
      </c>
      <c r="M90" t="e">
        <f>AND(Names!L108,"AAAAADzlvQw=")</f>
        <v>#VALUE!</v>
      </c>
      <c r="N90" t="e">
        <f>AND(Names!M108,"AAAAADzlvQ0=")</f>
        <v>#VALUE!</v>
      </c>
      <c r="O90" t="e">
        <f>AND(Names!N108,"AAAAADzlvQ4=")</f>
        <v>#VALUE!</v>
      </c>
      <c r="P90" t="e">
        <f>AND(Names!O108,"AAAAADzlvQ8=")</f>
        <v>#VALUE!</v>
      </c>
      <c r="Q90" t="e">
        <f>AND(Names!P108,"AAAAADzlvRA=")</f>
        <v>#VALUE!</v>
      </c>
      <c r="R90" t="e">
        <f>AND(Names!Q108,"AAAAADzlvRE=")</f>
        <v>#VALUE!</v>
      </c>
      <c r="S90" t="e">
        <f>AND(Names!R108,"AAAAADzlvRI=")</f>
        <v>#VALUE!</v>
      </c>
      <c r="T90" t="e">
        <f>AND(Names!S108,"AAAAADzlvRM=")</f>
        <v>#VALUE!</v>
      </c>
      <c r="U90" t="e">
        <f>AND(Names!T108,"AAAAADzlvRQ=")</f>
        <v>#VALUE!</v>
      </c>
      <c r="V90" t="e">
        <f>AND(Names!U108,"AAAAADzlvRU=")</f>
        <v>#VALUE!</v>
      </c>
      <c r="W90" t="e">
        <f>AND(Names!V108,"AAAAADzlvRY=")</f>
        <v>#VALUE!</v>
      </c>
      <c r="X90" t="e">
        <f>AND(Names!W108,"AAAAADzlvRc=")</f>
        <v>#VALUE!</v>
      </c>
      <c r="Y90" t="e">
        <f>AND(Names!X108,"AAAAADzlvRg=")</f>
        <v>#VALUE!</v>
      </c>
      <c r="Z90" t="e">
        <f>AND(Names!Y108,"AAAAADzlvRk=")</f>
        <v>#VALUE!</v>
      </c>
      <c r="AA90" t="e">
        <f>AND(Names!Z108,"AAAAADzlvRo=")</f>
        <v>#VALUE!</v>
      </c>
      <c r="AB90" t="e">
        <f>AND(Names!AA108,"AAAAADzlvRs=")</f>
        <v>#VALUE!</v>
      </c>
      <c r="AC90" t="e">
        <f>AND(Names!AB108,"AAAAADzlvRw=")</f>
        <v>#VALUE!</v>
      </c>
      <c r="AD90" t="e">
        <f>AND(Names!AC108,"AAAAADzlvR0=")</f>
        <v>#VALUE!</v>
      </c>
      <c r="AE90" t="e">
        <f>AND(Names!AD108,"AAAAADzlvR4=")</f>
        <v>#VALUE!</v>
      </c>
      <c r="AF90" t="e">
        <f>AND(Names!AE108,"AAAAADzlvR8=")</f>
        <v>#VALUE!</v>
      </c>
      <c r="AG90" t="e">
        <f>AND(Names!AF108,"AAAAADzlvSA=")</f>
        <v>#VALUE!</v>
      </c>
      <c r="AH90" t="e">
        <f>AND(Names!AG108,"AAAAADzlvSE=")</f>
        <v>#VALUE!</v>
      </c>
      <c r="AI90" t="e">
        <f>AND(Names!AH108,"AAAAADzlvSI=")</f>
        <v>#VALUE!</v>
      </c>
      <c r="AJ90" t="e">
        <f>AND(Names!AI108,"AAAAADzlvSM=")</f>
        <v>#VALUE!</v>
      </c>
      <c r="AK90" t="e">
        <f>AND(Names!AJ108,"AAAAADzlvSQ=")</f>
        <v>#VALUE!</v>
      </c>
      <c r="AL90" t="e">
        <f>AND(Names!AK108,"AAAAADzlvSU=")</f>
        <v>#VALUE!</v>
      </c>
      <c r="AM90" t="e">
        <f>AND(Names!AL108,"AAAAADzlvSY=")</f>
        <v>#VALUE!</v>
      </c>
      <c r="AN90" t="e">
        <f>AND(Names!AM108,"AAAAADzlvSc=")</f>
        <v>#VALUE!</v>
      </c>
      <c r="AO90">
        <f>IF(Names!109:109,"AAAAADzlvSg=",0)</f>
        <v>0</v>
      </c>
      <c r="AP90" t="e">
        <f>AND(Names!A109,"AAAAADzlvSk=")</f>
        <v>#VALUE!</v>
      </c>
      <c r="AQ90" t="e">
        <f>AND(Names!B109,"AAAAADzlvSo=")</f>
        <v>#VALUE!</v>
      </c>
      <c r="AR90" t="e">
        <f>AND(Names!C109,"AAAAADzlvSs=")</f>
        <v>#VALUE!</v>
      </c>
      <c r="AS90" t="e">
        <f>AND(Names!D109,"AAAAADzlvSw=")</f>
        <v>#VALUE!</v>
      </c>
      <c r="AT90" t="e">
        <f>AND(Names!E109,"AAAAADzlvS0=")</f>
        <v>#VALUE!</v>
      </c>
      <c r="AU90" t="e">
        <f>AND(Names!F109,"AAAAADzlvS4=")</f>
        <v>#VALUE!</v>
      </c>
      <c r="AV90" t="e">
        <f>AND(Names!G109,"AAAAADzlvS8=")</f>
        <v>#VALUE!</v>
      </c>
      <c r="AW90" t="e">
        <f>AND(Names!H109,"AAAAADzlvTA=")</f>
        <v>#VALUE!</v>
      </c>
      <c r="AX90" t="e">
        <f>AND(Names!I109,"AAAAADzlvTE=")</f>
        <v>#VALUE!</v>
      </c>
      <c r="AY90" t="e">
        <f>AND(Names!J109,"AAAAADzlvTI=")</f>
        <v>#VALUE!</v>
      </c>
      <c r="AZ90" t="e">
        <f>AND(Names!K109,"AAAAADzlvTM=")</f>
        <v>#VALUE!</v>
      </c>
      <c r="BA90" t="e">
        <f>AND(Names!L109,"AAAAADzlvTQ=")</f>
        <v>#VALUE!</v>
      </c>
      <c r="BB90" t="e">
        <f>AND(Names!M109,"AAAAADzlvTU=")</f>
        <v>#VALUE!</v>
      </c>
      <c r="BC90" t="e">
        <f>AND(Names!N109,"AAAAADzlvTY=")</f>
        <v>#VALUE!</v>
      </c>
      <c r="BD90" t="e">
        <f>AND(Names!O109,"AAAAADzlvTc=")</f>
        <v>#VALUE!</v>
      </c>
      <c r="BE90" t="e">
        <f>AND(Names!P109,"AAAAADzlvTg=")</f>
        <v>#VALUE!</v>
      </c>
      <c r="BF90" t="e">
        <f>AND(Names!Q109,"AAAAADzlvTk=")</f>
        <v>#VALUE!</v>
      </c>
      <c r="BG90" t="e">
        <f>AND(Names!R109,"AAAAADzlvTo=")</f>
        <v>#VALUE!</v>
      </c>
      <c r="BH90" t="e">
        <f>AND(Names!S109,"AAAAADzlvTs=")</f>
        <v>#VALUE!</v>
      </c>
      <c r="BI90" t="e">
        <f>AND(Names!T109,"AAAAADzlvTw=")</f>
        <v>#VALUE!</v>
      </c>
      <c r="BJ90" t="e">
        <f>AND(Names!U109,"AAAAADzlvT0=")</f>
        <v>#VALUE!</v>
      </c>
      <c r="BK90" t="e">
        <f>AND(Names!V109,"AAAAADzlvT4=")</f>
        <v>#VALUE!</v>
      </c>
      <c r="BL90" t="e">
        <f>AND(Names!W109,"AAAAADzlvT8=")</f>
        <v>#VALUE!</v>
      </c>
      <c r="BM90" t="e">
        <f>AND(Names!X109,"AAAAADzlvUA=")</f>
        <v>#VALUE!</v>
      </c>
      <c r="BN90" t="e">
        <f>AND(Names!Y109,"AAAAADzlvUE=")</f>
        <v>#VALUE!</v>
      </c>
      <c r="BO90" t="e">
        <f>AND(Names!Z109,"AAAAADzlvUI=")</f>
        <v>#VALUE!</v>
      </c>
      <c r="BP90" t="e">
        <f>AND(Names!AA109,"AAAAADzlvUM=")</f>
        <v>#VALUE!</v>
      </c>
      <c r="BQ90" t="e">
        <f>AND(Names!AB109,"AAAAADzlvUQ=")</f>
        <v>#VALUE!</v>
      </c>
      <c r="BR90" t="e">
        <f>AND(Names!AC109,"AAAAADzlvUU=")</f>
        <v>#VALUE!</v>
      </c>
      <c r="BS90" t="e">
        <f>AND(Names!AD109,"AAAAADzlvUY=")</f>
        <v>#VALUE!</v>
      </c>
      <c r="BT90" t="e">
        <f>AND(Names!AE109,"AAAAADzlvUc=")</f>
        <v>#VALUE!</v>
      </c>
      <c r="BU90" t="e">
        <f>AND(Names!AF109,"AAAAADzlvUg=")</f>
        <v>#VALUE!</v>
      </c>
      <c r="BV90" t="e">
        <f>AND(Names!AG109,"AAAAADzlvUk=")</f>
        <v>#VALUE!</v>
      </c>
      <c r="BW90" t="e">
        <f>AND(Names!AH109,"AAAAADzlvUo=")</f>
        <v>#VALUE!</v>
      </c>
      <c r="BX90" t="e">
        <f>AND(Names!AI109,"AAAAADzlvUs=")</f>
        <v>#VALUE!</v>
      </c>
      <c r="BY90" t="e">
        <f>AND(Names!AJ109,"AAAAADzlvUw=")</f>
        <v>#VALUE!</v>
      </c>
      <c r="BZ90" t="e">
        <f>AND(Names!AK109,"AAAAADzlvU0=")</f>
        <v>#VALUE!</v>
      </c>
      <c r="CA90" t="e">
        <f>AND(Names!AL109,"AAAAADzlvU4=")</f>
        <v>#VALUE!</v>
      </c>
      <c r="CB90" t="e">
        <f>AND(Names!AM109,"AAAAADzlvU8=")</f>
        <v>#VALUE!</v>
      </c>
      <c r="CC90">
        <f>IF(Names!110:110,"AAAAADzlvVA=",0)</f>
        <v>0</v>
      </c>
      <c r="CD90" t="e">
        <f>AND(Names!A110,"AAAAADzlvVE=")</f>
        <v>#VALUE!</v>
      </c>
      <c r="CE90" t="e">
        <f>AND(Names!B110,"AAAAADzlvVI=")</f>
        <v>#VALUE!</v>
      </c>
      <c r="CF90" t="e">
        <f>AND(Names!C110,"AAAAADzlvVM=")</f>
        <v>#VALUE!</v>
      </c>
      <c r="CG90" t="e">
        <f>AND(Names!D110,"AAAAADzlvVQ=")</f>
        <v>#VALUE!</v>
      </c>
      <c r="CH90" t="e">
        <f>AND(Names!E110,"AAAAADzlvVU=")</f>
        <v>#VALUE!</v>
      </c>
      <c r="CI90" t="e">
        <f>AND(Names!F110,"AAAAADzlvVY=")</f>
        <v>#VALUE!</v>
      </c>
      <c r="CJ90" t="e">
        <f>AND(Names!G110,"AAAAADzlvVc=")</f>
        <v>#VALUE!</v>
      </c>
      <c r="CK90" t="e">
        <f>AND(Names!H110,"AAAAADzlvVg=")</f>
        <v>#VALUE!</v>
      </c>
      <c r="CL90" t="e">
        <f>AND(Names!I110,"AAAAADzlvVk=")</f>
        <v>#VALUE!</v>
      </c>
      <c r="CM90" t="e">
        <f>AND(Names!J110,"AAAAADzlvVo=")</f>
        <v>#VALUE!</v>
      </c>
      <c r="CN90" t="e">
        <f>AND(Names!K110,"AAAAADzlvVs=")</f>
        <v>#VALUE!</v>
      </c>
      <c r="CO90" t="e">
        <f>AND(Names!L110,"AAAAADzlvVw=")</f>
        <v>#VALUE!</v>
      </c>
      <c r="CP90" t="e">
        <f>AND(Names!M110,"AAAAADzlvV0=")</f>
        <v>#VALUE!</v>
      </c>
      <c r="CQ90" t="e">
        <f>AND(Names!N110,"AAAAADzlvV4=")</f>
        <v>#VALUE!</v>
      </c>
      <c r="CR90" t="e">
        <f>AND(Names!O110,"AAAAADzlvV8=")</f>
        <v>#VALUE!</v>
      </c>
      <c r="CS90" t="e">
        <f>AND(Names!P110,"AAAAADzlvWA=")</f>
        <v>#VALUE!</v>
      </c>
      <c r="CT90" t="e">
        <f>AND(Names!Q110,"AAAAADzlvWE=")</f>
        <v>#VALUE!</v>
      </c>
      <c r="CU90" t="e">
        <f>AND(Names!R110,"AAAAADzlvWI=")</f>
        <v>#VALUE!</v>
      </c>
      <c r="CV90" t="e">
        <f>AND(Names!S110,"AAAAADzlvWM=")</f>
        <v>#VALUE!</v>
      </c>
      <c r="CW90" t="e">
        <f>AND(Names!T110,"AAAAADzlvWQ=")</f>
        <v>#VALUE!</v>
      </c>
      <c r="CX90" t="e">
        <f>AND(Names!U110,"AAAAADzlvWU=")</f>
        <v>#VALUE!</v>
      </c>
      <c r="CY90" t="e">
        <f>AND(Names!V110,"AAAAADzlvWY=")</f>
        <v>#VALUE!</v>
      </c>
      <c r="CZ90" t="e">
        <f>AND(Names!W110,"AAAAADzlvWc=")</f>
        <v>#VALUE!</v>
      </c>
      <c r="DA90" t="e">
        <f>AND(Names!X110,"AAAAADzlvWg=")</f>
        <v>#VALUE!</v>
      </c>
      <c r="DB90" t="e">
        <f>AND(Names!Y110,"AAAAADzlvWk=")</f>
        <v>#VALUE!</v>
      </c>
      <c r="DC90" t="e">
        <f>AND(Names!Z110,"AAAAADzlvWo=")</f>
        <v>#VALUE!</v>
      </c>
      <c r="DD90" t="e">
        <f>AND(Names!AA110,"AAAAADzlvWs=")</f>
        <v>#VALUE!</v>
      </c>
      <c r="DE90" t="e">
        <f>AND(Names!AB110,"AAAAADzlvWw=")</f>
        <v>#VALUE!</v>
      </c>
      <c r="DF90" t="e">
        <f>AND(Names!AC110,"AAAAADzlvW0=")</f>
        <v>#VALUE!</v>
      </c>
      <c r="DG90" t="e">
        <f>AND(Names!AD110,"AAAAADzlvW4=")</f>
        <v>#VALUE!</v>
      </c>
      <c r="DH90" t="e">
        <f>AND(Names!AE110,"AAAAADzlvW8=")</f>
        <v>#VALUE!</v>
      </c>
      <c r="DI90" t="e">
        <f>AND(Names!AF110,"AAAAADzlvXA=")</f>
        <v>#VALUE!</v>
      </c>
      <c r="DJ90" t="e">
        <f>AND(Names!AG110,"AAAAADzlvXE=")</f>
        <v>#VALUE!</v>
      </c>
      <c r="DK90" t="e">
        <f>AND(Names!AH110,"AAAAADzlvXI=")</f>
        <v>#VALUE!</v>
      </c>
      <c r="DL90" t="e">
        <f>AND(Names!AI110,"AAAAADzlvXM=")</f>
        <v>#VALUE!</v>
      </c>
      <c r="DM90" t="e">
        <f>AND(Names!AJ110,"AAAAADzlvXQ=")</f>
        <v>#VALUE!</v>
      </c>
      <c r="DN90" t="e">
        <f>AND(Names!AK110,"AAAAADzlvXU=")</f>
        <v>#VALUE!</v>
      </c>
      <c r="DO90" t="e">
        <f>AND(Names!AL110,"AAAAADzlvXY=")</f>
        <v>#VALUE!</v>
      </c>
      <c r="DP90" t="e">
        <f>AND(Names!AM110,"AAAAADzlvXc=")</f>
        <v>#VALUE!</v>
      </c>
      <c r="DQ90">
        <f>IF(Names!111:111,"AAAAADzlvXg=",0)</f>
        <v>0</v>
      </c>
      <c r="DR90" t="e">
        <f>AND(Names!A111,"AAAAADzlvXk=")</f>
        <v>#VALUE!</v>
      </c>
      <c r="DS90" t="e">
        <f>AND(Names!B111,"AAAAADzlvXo=")</f>
        <v>#VALUE!</v>
      </c>
      <c r="DT90" t="e">
        <f>AND(Names!C111,"AAAAADzlvXs=")</f>
        <v>#VALUE!</v>
      </c>
      <c r="DU90" t="e">
        <f>AND(Names!D111,"AAAAADzlvXw=")</f>
        <v>#VALUE!</v>
      </c>
      <c r="DV90" t="e">
        <f>AND(Names!E111,"AAAAADzlvX0=")</f>
        <v>#VALUE!</v>
      </c>
      <c r="DW90" t="e">
        <f>AND(Names!F111,"AAAAADzlvX4=")</f>
        <v>#VALUE!</v>
      </c>
      <c r="DX90" t="e">
        <f>AND(Names!G111,"AAAAADzlvX8=")</f>
        <v>#VALUE!</v>
      </c>
      <c r="DY90" t="e">
        <f>AND(Names!H111,"AAAAADzlvYA=")</f>
        <v>#VALUE!</v>
      </c>
      <c r="DZ90" t="e">
        <f>AND(Names!I111,"AAAAADzlvYE=")</f>
        <v>#VALUE!</v>
      </c>
      <c r="EA90" t="e">
        <f>AND(Names!J111,"AAAAADzlvYI=")</f>
        <v>#VALUE!</v>
      </c>
      <c r="EB90" t="e">
        <f>AND(Names!K111,"AAAAADzlvYM=")</f>
        <v>#VALUE!</v>
      </c>
      <c r="EC90" t="e">
        <f>AND(Names!L111,"AAAAADzlvYQ=")</f>
        <v>#VALUE!</v>
      </c>
      <c r="ED90" t="e">
        <f>AND(Names!M111,"AAAAADzlvYU=")</f>
        <v>#VALUE!</v>
      </c>
      <c r="EE90" t="e">
        <f>AND(Names!N111,"AAAAADzlvYY=")</f>
        <v>#VALUE!</v>
      </c>
      <c r="EF90" t="e">
        <f>AND(Names!O111,"AAAAADzlvYc=")</f>
        <v>#VALUE!</v>
      </c>
      <c r="EG90" t="e">
        <f>AND(Names!P111,"AAAAADzlvYg=")</f>
        <v>#VALUE!</v>
      </c>
      <c r="EH90" t="e">
        <f>AND(Names!Q111,"AAAAADzlvYk=")</f>
        <v>#VALUE!</v>
      </c>
      <c r="EI90" t="e">
        <f>AND(Names!R111,"AAAAADzlvYo=")</f>
        <v>#VALUE!</v>
      </c>
      <c r="EJ90" t="e">
        <f>AND(Names!S111,"AAAAADzlvYs=")</f>
        <v>#VALUE!</v>
      </c>
      <c r="EK90" t="e">
        <f>AND(Names!T111,"AAAAADzlvYw=")</f>
        <v>#VALUE!</v>
      </c>
      <c r="EL90" t="e">
        <f>AND(Names!U111,"AAAAADzlvY0=")</f>
        <v>#VALUE!</v>
      </c>
      <c r="EM90" t="e">
        <f>AND(Names!V111,"AAAAADzlvY4=")</f>
        <v>#VALUE!</v>
      </c>
      <c r="EN90" t="e">
        <f>AND(Names!W111,"AAAAADzlvY8=")</f>
        <v>#VALUE!</v>
      </c>
      <c r="EO90" t="e">
        <f>AND(Names!X111,"AAAAADzlvZA=")</f>
        <v>#VALUE!</v>
      </c>
      <c r="EP90" t="e">
        <f>AND(Names!Y111,"AAAAADzlvZE=")</f>
        <v>#VALUE!</v>
      </c>
      <c r="EQ90" t="e">
        <f>AND(Names!Z111,"AAAAADzlvZI=")</f>
        <v>#VALUE!</v>
      </c>
      <c r="ER90" t="e">
        <f>AND(Names!AA111,"AAAAADzlvZM=")</f>
        <v>#VALUE!</v>
      </c>
      <c r="ES90" t="e">
        <f>AND(Names!AB111,"AAAAADzlvZQ=")</f>
        <v>#VALUE!</v>
      </c>
      <c r="ET90" t="e">
        <f>AND(Names!AC111,"AAAAADzlvZU=")</f>
        <v>#VALUE!</v>
      </c>
      <c r="EU90" t="e">
        <f>AND(Names!AD111,"AAAAADzlvZY=")</f>
        <v>#VALUE!</v>
      </c>
      <c r="EV90" t="e">
        <f>AND(Names!AE111,"AAAAADzlvZc=")</f>
        <v>#VALUE!</v>
      </c>
      <c r="EW90" t="e">
        <f>AND(Names!AF111,"AAAAADzlvZg=")</f>
        <v>#VALUE!</v>
      </c>
      <c r="EX90" t="e">
        <f>AND(Names!AG111,"AAAAADzlvZk=")</f>
        <v>#VALUE!</v>
      </c>
      <c r="EY90" t="e">
        <f>AND(Names!AH111,"AAAAADzlvZo=")</f>
        <v>#VALUE!</v>
      </c>
      <c r="EZ90" t="e">
        <f>AND(Names!AI111,"AAAAADzlvZs=")</f>
        <v>#VALUE!</v>
      </c>
      <c r="FA90" t="e">
        <f>AND(Names!AJ111,"AAAAADzlvZw=")</f>
        <v>#VALUE!</v>
      </c>
      <c r="FB90" t="e">
        <f>AND(Names!AK111,"AAAAADzlvZ0=")</f>
        <v>#VALUE!</v>
      </c>
      <c r="FC90" t="e">
        <f>AND(Names!AL111,"AAAAADzlvZ4=")</f>
        <v>#VALUE!</v>
      </c>
      <c r="FD90" t="e">
        <f>AND(Names!AM111,"AAAAADzlvZ8=")</f>
        <v>#VALUE!</v>
      </c>
      <c r="FE90">
        <f>IF(Names!112:112,"AAAAADzlvaA=",0)</f>
        <v>0</v>
      </c>
      <c r="FF90" t="e">
        <f>AND(Names!A112,"AAAAADzlvaE=")</f>
        <v>#VALUE!</v>
      </c>
      <c r="FG90" t="e">
        <f>AND(Names!B112,"AAAAADzlvaI=")</f>
        <v>#VALUE!</v>
      </c>
      <c r="FH90" t="e">
        <f>AND(Names!C112,"AAAAADzlvaM=")</f>
        <v>#VALUE!</v>
      </c>
      <c r="FI90" t="e">
        <f>AND(Names!D112,"AAAAADzlvaQ=")</f>
        <v>#VALUE!</v>
      </c>
      <c r="FJ90" t="e">
        <f>AND(Names!E112,"AAAAADzlvaU=")</f>
        <v>#VALUE!</v>
      </c>
      <c r="FK90" t="e">
        <f>AND(Names!F112,"AAAAADzlvaY=")</f>
        <v>#VALUE!</v>
      </c>
      <c r="FL90" t="e">
        <f>AND(Names!G112,"AAAAADzlvac=")</f>
        <v>#VALUE!</v>
      </c>
      <c r="FM90" t="e">
        <f>AND(Names!H112,"AAAAADzlvag=")</f>
        <v>#VALUE!</v>
      </c>
      <c r="FN90" t="e">
        <f>AND(Names!I112,"AAAAADzlvak=")</f>
        <v>#VALUE!</v>
      </c>
      <c r="FO90" t="e">
        <f>AND(Names!J112,"AAAAADzlvao=")</f>
        <v>#VALUE!</v>
      </c>
      <c r="FP90" t="e">
        <f>AND(Names!K112,"AAAAADzlvas=")</f>
        <v>#VALUE!</v>
      </c>
      <c r="FQ90" t="e">
        <f>AND(Names!L112,"AAAAADzlvaw=")</f>
        <v>#VALUE!</v>
      </c>
      <c r="FR90" t="e">
        <f>AND(Names!M112,"AAAAADzlva0=")</f>
        <v>#VALUE!</v>
      </c>
      <c r="FS90" t="e">
        <f>AND(Names!N112,"AAAAADzlva4=")</f>
        <v>#VALUE!</v>
      </c>
      <c r="FT90" t="e">
        <f>AND(Names!O112,"AAAAADzlva8=")</f>
        <v>#VALUE!</v>
      </c>
      <c r="FU90" t="e">
        <f>AND(Names!P112,"AAAAADzlvbA=")</f>
        <v>#VALUE!</v>
      </c>
      <c r="FV90" t="e">
        <f>AND(Names!Q112,"AAAAADzlvbE=")</f>
        <v>#VALUE!</v>
      </c>
      <c r="FW90" t="e">
        <f>AND(Names!R112,"AAAAADzlvbI=")</f>
        <v>#VALUE!</v>
      </c>
      <c r="FX90" t="e">
        <f>AND(Names!S112,"AAAAADzlvbM=")</f>
        <v>#VALUE!</v>
      </c>
      <c r="FY90" t="e">
        <f>AND(Names!T112,"AAAAADzlvbQ=")</f>
        <v>#VALUE!</v>
      </c>
      <c r="FZ90" t="e">
        <f>AND(Names!U112,"AAAAADzlvbU=")</f>
        <v>#VALUE!</v>
      </c>
      <c r="GA90" t="e">
        <f>AND(Names!V112,"AAAAADzlvbY=")</f>
        <v>#VALUE!</v>
      </c>
      <c r="GB90" t="e">
        <f>AND(Names!W112,"AAAAADzlvbc=")</f>
        <v>#VALUE!</v>
      </c>
      <c r="GC90" t="e">
        <f>AND(Names!X112,"AAAAADzlvbg=")</f>
        <v>#VALUE!</v>
      </c>
      <c r="GD90" t="e">
        <f>AND(Names!Y112,"AAAAADzlvbk=")</f>
        <v>#VALUE!</v>
      </c>
      <c r="GE90" t="e">
        <f>AND(Names!Z112,"AAAAADzlvbo=")</f>
        <v>#VALUE!</v>
      </c>
      <c r="GF90" t="e">
        <f>AND(Names!AA112,"AAAAADzlvbs=")</f>
        <v>#VALUE!</v>
      </c>
      <c r="GG90" t="e">
        <f>AND(Names!AB112,"AAAAADzlvbw=")</f>
        <v>#VALUE!</v>
      </c>
      <c r="GH90" t="e">
        <f>AND(Names!AC112,"AAAAADzlvb0=")</f>
        <v>#VALUE!</v>
      </c>
      <c r="GI90" t="e">
        <f>AND(Names!AD112,"AAAAADzlvb4=")</f>
        <v>#VALUE!</v>
      </c>
      <c r="GJ90" t="e">
        <f>AND(Names!AE112,"AAAAADzlvb8=")</f>
        <v>#VALUE!</v>
      </c>
      <c r="GK90" t="e">
        <f>AND(Names!AF112,"AAAAADzlvcA=")</f>
        <v>#VALUE!</v>
      </c>
      <c r="GL90" t="e">
        <f>AND(Names!AG112,"AAAAADzlvcE=")</f>
        <v>#VALUE!</v>
      </c>
      <c r="GM90" t="e">
        <f>AND(Names!AH112,"AAAAADzlvcI=")</f>
        <v>#VALUE!</v>
      </c>
      <c r="GN90" t="e">
        <f>AND(Names!AI112,"AAAAADzlvcM=")</f>
        <v>#VALUE!</v>
      </c>
      <c r="GO90" t="e">
        <f>AND(Names!AJ112,"AAAAADzlvcQ=")</f>
        <v>#VALUE!</v>
      </c>
      <c r="GP90" t="e">
        <f>AND(Names!AK112,"AAAAADzlvcU=")</f>
        <v>#VALUE!</v>
      </c>
      <c r="GQ90" t="e">
        <f>AND(Names!AL112,"AAAAADzlvcY=")</f>
        <v>#VALUE!</v>
      </c>
      <c r="GR90" t="e">
        <f>AND(Names!AM112,"AAAAADzlvcc=")</f>
        <v>#VALUE!</v>
      </c>
      <c r="GS90">
        <f>IF(Names!113:113,"AAAAADzlvcg=",0)</f>
        <v>0</v>
      </c>
      <c r="GT90" t="e">
        <f>AND(Names!A113,"AAAAADzlvck=")</f>
        <v>#VALUE!</v>
      </c>
      <c r="GU90" t="e">
        <f>AND(Names!B113,"AAAAADzlvco=")</f>
        <v>#VALUE!</v>
      </c>
      <c r="GV90" t="e">
        <f>AND(Names!C113,"AAAAADzlvcs=")</f>
        <v>#VALUE!</v>
      </c>
      <c r="GW90" t="e">
        <f>AND(Names!D113,"AAAAADzlvcw=")</f>
        <v>#VALUE!</v>
      </c>
      <c r="GX90" t="e">
        <f>AND(Names!E113,"AAAAADzlvc0=")</f>
        <v>#VALUE!</v>
      </c>
      <c r="GY90" t="e">
        <f>AND(Names!F113,"AAAAADzlvc4=")</f>
        <v>#VALUE!</v>
      </c>
      <c r="GZ90" t="e">
        <f>AND(Names!G113,"AAAAADzlvc8=")</f>
        <v>#VALUE!</v>
      </c>
      <c r="HA90" t="e">
        <f>AND(Names!H113,"AAAAADzlvdA=")</f>
        <v>#VALUE!</v>
      </c>
      <c r="HB90" t="e">
        <f>AND(Names!I113,"AAAAADzlvdE=")</f>
        <v>#VALUE!</v>
      </c>
      <c r="HC90" t="e">
        <f>AND(Names!J113,"AAAAADzlvdI=")</f>
        <v>#VALUE!</v>
      </c>
      <c r="HD90" t="e">
        <f>AND(Names!K113,"AAAAADzlvdM=")</f>
        <v>#VALUE!</v>
      </c>
      <c r="HE90" t="e">
        <f>AND(Names!L113,"AAAAADzlvdQ=")</f>
        <v>#VALUE!</v>
      </c>
      <c r="HF90" t="e">
        <f>AND(Names!M113,"AAAAADzlvdU=")</f>
        <v>#VALUE!</v>
      </c>
      <c r="HG90" t="e">
        <f>AND(Names!N113,"AAAAADzlvdY=")</f>
        <v>#VALUE!</v>
      </c>
      <c r="HH90" t="e">
        <f>AND(Names!O113,"AAAAADzlvdc=")</f>
        <v>#VALUE!</v>
      </c>
      <c r="HI90" t="e">
        <f>AND(Names!P113,"AAAAADzlvdg=")</f>
        <v>#VALUE!</v>
      </c>
      <c r="HJ90" t="e">
        <f>AND(Names!Q113,"AAAAADzlvdk=")</f>
        <v>#VALUE!</v>
      </c>
      <c r="HK90" t="e">
        <f>AND(Names!R113,"AAAAADzlvdo=")</f>
        <v>#VALUE!</v>
      </c>
      <c r="HL90" t="e">
        <f>AND(Names!S113,"AAAAADzlvds=")</f>
        <v>#VALUE!</v>
      </c>
      <c r="HM90" t="e">
        <f>AND(Names!T113,"AAAAADzlvdw=")</f>
        <v>#VALUE!</v>
      </c>
      <c r="HN90" t="e">
        <f>AND(Names!U113,"AAAAADzlvd0=")</f>
        <v>#VALUE!</v>
      </c>
      <c r="HO90" t="e">
        <f>AND(Names!V113,"AAAAADzlvd4=")</f>
        <v>#VALUE!</v>
      </c>
      <c r="HP90" t="e">
        <f>AND(Names!W113,"AAAAADzlvd8=")</f>
        <v>#VALUE!</v>
      </c>
      <c r="HQ90" t="e">
        <f>AND(Names!X113,"AAAAADzlveA=")</f>
        <v>#VALUE!</v>
      </c>
      <c r="HR90" t="e">
        <f>AND(Names!Y113,"AAAAADzlveE=")</f>
        <v>#VALUE!</v>
      </c>
      <c r="HS90" t="e">
        <f>AND(Names!Z113,"AAAAADzlveI=")</f>
        <v>#VALUE!</v>
      </c>
      <c r="HT90" t="e">
        <f>AND(Names!AA113,"AAAAADzlveM=")</f>
        <v>#VALUE!</v>
      </c>
      <c r="HU90" t="e">
        <f>AND(Names!AB113,"AAAAADzlveQ=")</f>
        <v>#VALUE!</v>
      </c>
      <c r="HV90" t="e">
        <f>AND(Names!AC113,"AAAAADzlveU=")</f>
        <v>#VALUE!</v>
      </c>
      <c r="HW90" t="e">
        <f>AND(Names!AD113,"AAAAADzlveY=")</f>
        <v>#VALUE!</v>
      </c>
      <c r="HX90" t="e">
        <f>AND(Names!AE113,"AAAAADzlvec=")</f>
        <v>#VALUE!</v>
      </c>
      <c r="HY90" t="e">
        <f>AND(Names!AF113,"AAAAADzlveg=")</f>
        <v>#VALUE!</v>
      </c>
      <c r="HZ90" t="e">
        <f>AND(Names!AG113,"AAAAADzlvek=")</f>
        <v>#VALUE!</v>
      </c>
      <c r="IA90" t="e">
        <f>AND(Names!AH113,"AAAAADzlveo=")</f>
        <v>#VALUE!</v>
      </c>
      <c r="IB90" t="e">
        <f>AND(Names!AI113,"AAAAADzlves=")</f>
        <v>#VALUE!</v>
      </c>
      <c r="IC90" t="e">
        <f>AND(Names!AJ113,"AAAAADzlvew=")</f>
        <v>#VALUE!</v>
      </c>
      <c r="ID90" t="e">
        <f>AND(Names!AK113,"AAAAADzlve0=")</f>
        <v>#VALUE!</v>
      </c>
      <c r="IE90" t="e">
        <f>AND(Names!AL113,"AAAAADzlve4=")</f>
        <v>#VALUE!</v>
      </c>
      <c r="IF90" t="e">
        <f>AND(Names!AM113,"AAAAADzlve8=")</f>
        <v>#VALUE!</v>
      </c>
      <c r="IG90">
        <f>IF(Names!114:114,"AAAAADzlvfA=",0)</f>
        <v>0</v>
      </c>
      <c r="IH90" t="e">
        <f>AND(Names!A114,"AAAAADzlvfE=")</f>
        <v>#VALUE!</v>
      </c>
      <c r="II90" t="e">
        <f>AND(Names!B114,"AAAAADzlvfI=")</f>
        <v>#VALUE!</v>
      </c>
      <c r="IJ90" t="e">
        <f>AND(Names!C114,"AAAAADzlvfM=")</f>
        <v>#VALUE!</v>
      </c>
      <c r="IK90" t="e">
        <f>AND(Names!D114,"AAAAADzlvfQ=")</f>
        <v>#VALUE!</v>
      </c>
      <c r="IL90" t="e">
        <f>AND(Names!E114,"AAAAADzlvfU=")</f>
        <v>#VALUE!</v>
      </c>
      <c r="IM90" t="e">
        <f>AND(Names!F114,"AAAAADzlvfY=")</f>
        <v>#VALUE!</v>
      </c>
      <c r="IN90" t="e">
        <f>AND(Names!G114,"AAAAADzlvfc=")</f>
        <v>#VALUE!</v>
      </c>
      <c r="IO90" t="e">
        <f>AND(Names!H114,"AAAAADzlvfg=")</f>
        <v>#VALUE!</v>
      </c>
      <c r="IP90" t="e">
        <f>AND(Names!I114,"AAAAADzlvfk=")</f>
        <v>#VALUE!</v>
      </c>
      <c r="IQ90" t="e">
        <f>AND(Names!J114,"AAAAADzlvfo=")</f>
        <v>#VALUE!</v>
      </c>
      <c r="IR90" t="e">
        <f>AND(Names!K114,"AAAAADzlvfs=")</f>
        <v>#VALUE!</v>
      </c>
      <c r="IS90" t="e">
        <f>AND(Names!L114,"AAAAADzlvfw=")</f>
        <v>#VALUE!</v>
      </c>
      <c r="IT90" t="e">
        <f>AND(Names!M114,"AAAAADzlvf0=")</f>
        <v>#VALUE!</v>
      </c>
      <c r="IU90" t="e">
        <f>AND(Names!N114,"AAAAADzlvf4=")</f>
        <v>#VALUE!</v>
      </c>
      <c r="IV90" t="e">
        <f>AND(Names!O114,"AAAAADzlvf8=")</f>
        <v>#VALUE!</v>
      </c>
    </row>
    <row r="91" spans="1:256" x14ac:dyDescent="0.15">
      <c r="A91" t="e">
        <f>AND(Names!P114,"AAAAAGO/9gA=")</f>
        <v>#VALUE!</v>
      </c>
      <c r="B91" t="e">
        <f>AND(Names!Q114,"AAAAAGO/9gE=")</f>
        <v>#VALUE!</v>
      </c>
      <c r="C91" t="e">
        <f>AND(Names!R114,"AAAAAGO/9gI=")</f>
        <v>#VALUE!</v>
      </c>
      <c r="D91" t="e">
        <f>AND(Names!S114,"AAAAAGO/9gM=")</f>
        <v>#VALUE!</v>
      </c>
      <c r="E91" t="e">
        <f>AND(Names!T114,"AAAAAGO/9gQ=")</f>
        <v>#VALUE!</v>
      </c>
      <c r="F91" t="e">
        <f>AND(Names!U114,"AAAAAGO/9gU=")</f>
        <v>#VALUE!</v>
      </c>
      <c r="G91" t="e">
        <f>AND(Names!V114,"AAAAAGO/9gY=")</f>
        <v>#VALUE!</v>
      </c>
      <c r="H91" t="e">
        <f>AND(Names!W114,"AAAAAGO/9gc=")</f>
        <v>#VALUE!</v>
      </c>
      <c r="I91" t="e">
        <f>AND(Names!X114,"AAAAAGO/9gg=")</f>
        <v>#VALUE!</v>
      </c>
      <c r="J91" t="e">
        <f>AND(Names!Y114,"AAAAAGO/9gk=")</f>
        <v>#VALUE!</v>
      </c>
      <c r="K91" t="e">
        <f>AND(Names!Z114,"AAAAAGO/9go=")</f>
        <v>#VALUE!</v>
      </c>
      <c r="L91" t="e">
        <f>AND(Names!AA114,"AAAAAGO/9gs=")</f>
        <v>#VALUE!</v>
      </c>
      <c r="M91" t="e">
        <f>AND(Names!AB114,"AAAAAGO/9gw=")</f>
        <v>#VALUE!</v>
      </c>
      <c r="N91" t="e">
        <f>AND(Names!AC114,"AAAAAGO/9g0=")</f>
        <v>#VALUE!</v>
      </c>
      <c r="O91" t="e">
        <f>AND(Names!AD114,"AAAAAGO/9g4=")</f>
        <v>#VALUE!</v>
      </c>
      <c r="P91" t="e">
        <f>AND(Names!AE114,"AAAAAGO/9g8=")</f>
        <v>#VALUE!</v>
      </c>
      <c r="Q91" t="e">
        <f>AND(Names!AF114,"AAAAAGO/9hA=")</f>
        <v>#VALUE!</v>
      </c>
      <c r="R91" t="e">
        <f>AND(Names!AG114,"AAAAAGO/9hE=")</f>
        <v>#VALUE!</v>
      </c>
      <c r="S91" t="e">
        <f>AND(Names!AH114,"AAAAAGO/9hI=")</f>
        <v>#VALUE!</v>
      </c>
      <c r="T91" t="e">
        <f>AND(Names!AI114,"AAAAAGO/9hM=")</f>
        <v>#VALUE!</v>
      </c>
      <c r="U91" t="e">
        <f>AND(Names!AJ114,"AAAAAGO/9hQ=")</f>
        <v>#VALUE!</v>
      </c>
      <c r="V91" t="e">
        <f>AND(Names!AK114,"AAAAAGO/9hU=")</f>
        <v>#VALUE!</v>
      </c>
      <c r="W91" t="e">
        <f>AND(Names!AL114,"AAAAAGO/9hY=")</f>
        <v>#VALUE!</v>
      </c>
      <c r="X91" t="e">
        <f>AND(Names!AM114,"AAAAAGO/9hc=")</f>
        <v>#VALUE!</v>
      </c>
      <c r="Y91">
        <f>IF(Names!115:115,"AAAAAGO/9hg=",0)</f>
        <v>0</v>
      </c>
      <c r="Z91" t="e">
        <f>AND(Names!A115,"AAAAAGO/9hk=")</f>
        <v>#VALUE!</v>
      </c>
      <c r="AA91" t="e">
        <f>AND(Names!B115,"AAAAAGO/9ho=")</f>
        <v>#VALUE!</v>
      </c>
      <c r="AB91" t="e">
        <f>AND(Names!C115,"AAAAAGO/9hs=")</f>
        <v>#VALUE!</v>
      </c>
      <c r="AC91" t="e">
        <f>AND(Names!D115,"AAAAAGO/9hw=")</f>
        <v>#VALUE!</v>
      </c>
      <c r="AD91" t="e">
        <f>AND(Names!E115,"AAAAAGO/9h0=")</f>
        <v>#VALUE!</v>
      </c>
      <c r="AE91" t="e">
        <f>AND(Names!F115,"AAAAAGO/9h4=")</f>
        <v>#VALUE!</v>
      </c>
      <c r="AF91" t="e">
        <f>AND(Names!G115,"AAAAAGO/9h8=")</f>
        <v>#VALUE!</v>
      </c>
      <c r="AG91" t="e">
        <f>AND(Names!H115,"AAAAAGO/9iA=")</f>
        <v>#VALUE!</v>
      </c>
      <c r="AH91" t="e">
        <f>AND(Names!I115,"AAAAAGO/9iE=")</f>
        <v>#VALUE!</v>
      </c>
      <c r="AI91" t="e">
        <f>AND(Names!J115,"AAAAAGO/9iI=")</f>
        <v>#VALUE!</v>
      </c>
      <c r="AJ91" t="e">
        <f>AND(Names!K115,"AAAAAGO/9iM=")</f>
        <v>#VALUE!</v>
      </c>
      <c r="AK91" t="e">
        <f>AND(Names!L115,"AAAAAGO/9iQ=")</f>
        <v>#VALUE!</v>
      </c>
      <c r="AL91" t="e">
        <f>AND(Names!M115,"AAAAAGO/9iU=")</f>
        <v>#VALUE!</v>
      </c>
      <c r="AM91" t="e">
        <f>AND(Names!N115,"AAAAAGO/9iY=")</f>
        <v>#VALUE!</v>
      </c>
      <c r="AN91" t="e">
        <f>AND(Names!O115,"AAAAAGO/9ic=")</f>
        <v>#VALUE!</v>
      </c>
      <c r="AO91" t="e">
        <f>AND(Names!P115,"AAAAAGO/9ig=")</f>
        <v>#VALUE!</v>
      </c>
      <c r="AP91" t="e">
        <f>AND(Names!Q115,"AAAAAGO/9ik=")</f>
        <v>#VALUE!</v>
      </c>
      <c r="AQ91" t="e">
        <f>AND(Names!R115,"AAAAAGO/9io=")</f>
        <v>#VALUE!</v>
      </c>
      <c r="AR91" t="e">
        <f>AND(Names!S115,"AAAAAGO/9is=")</f>
        <v>#VALUE!</v>
      </c>
      <c r="AS91" t="e">
        <f>AND(Names!T115,"AAAAAGO/9iw=")</f>
        <v>#VALUE!</v>
      </c>
      <c r="AT91" t="e">
        <f>AND(Names!U115,"AAAAAGO/9i0=")</f>
        <v>#VALUE!</v>
      </c>
      <c r="AU91" t="e">
        <f>AND(Names!V115,"AAAAAGO/9i4=")</f>
        <v>#VALUE!</v>
      </c>
      <c r="AV91" t="e">
        <f>AND(Names!W115,"AAAAAGO/9i8=")</f>
        <v>#VALUE!</v>
      </c>
      <c r="AW91" t="e">
        <f>AND(Names!X115,"AAAAAGO/9jA=")</f>
        <v>#VALUE!</v>
      </c>
      <c r="AX91" t="e">
        <f>AND(Names!Y115,"AAAAAGO/9jE=")</f>
        <v>#VALUE!</v>
      </c>
      <c r="AY91" t="e">
        <f>AND(Names!Z115,"AAAAAGO/9jI=")</f>
        <v>#VALUE!</v>
      </c>
      <c r="AZ91" t="e">
        <f>AND(Names!AA115,"AAAAAGO/9jM=")</f>
        <v>#VALUE!</v>
      </c>
      <c r="BA91" t="e">
        <f>AND(Names!AB115,"AAAAAGO/9jQ=")</f>
        <v>#VALUE!</v>
      </c>
      <c r="BB91" t="e">
        <f>AND(Names!AC115,"AAAAAGO/9jU=")</f>
        <v>#VALUE!</v>
      </c>
      <c r="BC91" t="e">
        <f>AND(Names!AD115,"AAAAAGO/9jY=")</f>
        <v>#VALUE!</v>
      </c>
      <c r="BD91" t="e">
        <f>AND(Names!AE115,"AAAAAGO/9jc=")</f>
        <v>#VALUE!</v>
      </c>
      <c r="BE91" t="e">
        <f>AND(Names!AF115,"AAAAAGO/9jg=")</f>
        <v>#VALUE!</v>
      </c>
      <c r="BF91" t="e">
        <f>AND(Names!AG115,"AAAAAGO/9jk=")</f>
        <v>#VALUE!</v>
      </c>
      <c r="BG91" t="e">
        <f>AND(Names!AH115,"AAAAAGO/9jo=")</f>
        <v>#VALUE!</v>
      </c>
      <c r="BH91" t="e">
        <f>AND(Names!AI115,"AAAAAGO/9js=")</f>
        <v>#VALUE!</v>
      </c>
      <c r="BI91" t="e">
        <f>AND(Names!AJ115,"AAAAAGO/9jw=")</f>
        <v>#VALUE!</v>
      </c>
      <c r="BJ91" t="e">
        <f>AND(Names!AK115,"AAAAAGO/9j0=")</f>
        <v>#VALUE!</v>
      </c>
      <c r="BK91" t="e">
        <f>AND(Names!AL115,"AAAAAGO/9j4=")</f>
        <v>#VALUE!</v>
      </c>
      <c r="BL91" t="e">
        <f>AND(Names!AM115,"AAAAAGO/9j8=")</f>
        <v>#VALUE!</v>
      </c>
      <c r="BM91">
        <f>IF(Names!116:116,"AAAAAGO/9kA=",0)</f>
        <v>0</v>
      </c>
      <c r="BN91" t="e">
        <f>AND(Names!A116,"AAAAAGO/9kE=")</f>
        <v>#VALUE!</v>
      </c>
      <c r="BO91" t="e">
        <f>AND(Names!B116,"AAAAAGO/9kI=")</f>
        <v>#VALUE!</v>
      </c>
      <c r="BP91" t="e">
        <f>AND(Names!C116,"AAAAAGO/9kM=")</f>
        <v>#VALUE!</v>
      </c>
      <c r="BQ91" t="e">
        <f>AND(Names!D116,"AAAAAGO/9kQ=")</f>
        <v>#VALUE!</v>
      </c>
      <c r="BR91" t="e">
        <f>AND(Names!E116,"AAAAAGO/9kU=")</f>
        <v>#VALUE!</v>
      </c>
      <c r="BS91" t="e">
        <f>AND(Names!F116,"AAAAAGO/9kY=")</f>
        <v>#VALUE!</v>
      </c>
      <c r="BT91" t="e">
        <f>AND(Names!G116,"AAAAAGO/9kc=")</f>
        <v>#VALUE!</v>
      </c>
      <c r="BU91" t="e">
        <f>AND(Names!H116,"AAAAAGO/9kg=")</f>
        <v>#VALUE!</v>
      </c>
      <c r="BV91" t="e">
        <f>AND(Names!I116,"AAAAAGO/9kk=")</f>
        <v>#VALUE!</v>
      </c>
      <c r="BW91" t="e">
        <f>AND(Names!J116,"AAAAAGO/9ko=")</f>
        <v>#VALUE!</v>
      </c>
      <c r="BX91" t="e">
        <f>AND(Names!K116,"AAAAAGO/9ks=")</f>
        <v>#VALUE!</v>
      </c>
      <c r="BY91" t="e">
        <f>AND(Names!L116,"AAAAAGO/9kw=")</f>
        <v>#VALUE!</v>
      </c>
      <c r="BZ91" t="e">
        <f>AND(Names!M116,"AAAAAGO/9k0=")</f>
        <v>#VALUE!</v>
      </c>
      <c r="CA91" t="e">
        <f>AND(Names!N116,"AAAAAGO/9k4=")</f>
        <v>#VALUE!</v>
      </c>
      <c r="CB91" t="e">
        <f>AND(Names!O116,"AAAAAGO/9k8=")</f>
        <v>#VALUE!</v>
      </c>
      <c r="CC91" t="e">
        <f>AND(Names!P116,"AAAAAGO/9lA=")</f>
        <v>#VALUE!</v>
      </c>
      <c r="CD91" t="e">
        <f>AND(Names!Q116,"AAAAAGO/9lE=")</f>
        <v>#VALUE!</v>
      </c>
      <c r="CE91" t="e">
        <f>AND(Names!R116,"AAAAAGO/9lI=")</f>
        <v>#VALUE!</v>
      </c>
      <c r="CF91" t="e">
        <f>AND(Names!S116,"AAAAAGO/9lM=")</f>
        <v>#VALUE!</v>
      </c>
      <c r="CG91" t="e">
        <f>AND(Names!T116,"AAAAAGO/9lQ=")</f>
        <v>#VALUE!</v>
      </c>
      <c r="CH91" t="e">
        <f>AND(Names!U116,"AAAAAGO/9lU=")</f>
        <v>#VALUE!</v>
      </c>
      <c r="CI91" t="e">
        <f>AND(Names!V116,"AAAAAGO/9lY=")</f>
        <v>#VALUE!</v>
      </c>
      <c r="CJ91" t="e">
        <f>AND(Names!W116,"AAAAAGO/9lc=")</f>
        <v>#VALUE!</v>
      </c>
      <c r="CK91" t="e">
        <f>AND(Names!X116,"AAAAAGO/9lg=")</f>
        <v>#VALUE!</v>
      </c>
      <c r="CL91" t="e">
        <f>AND(Names!Y116,"AAAAAGO/9lk=")</f>
        <v>#VALUE!</v>
      </c>
      <c r="CM91" t="e">
        <f>AND(Names!Z116,"AAAAAGO/9lo=")</f>
        <v>#VALUE!</v>
      </c>
      <c r="CN91" t="e">
        <f>AND(Names!AA116,"AAAAAGO/9ls=")</f>
        <v>#VALUE!</v>
      </c>
      <c r="CO91" t="e">
        <f>AND(Names!AB116,"AAAAAGO/9lw=")</f>
        <v>#VALUE!</v>
      </c>
      <c r="CP91" t="e">
        <f>AND(Names!AC116,"AAAAAGO/9l0=")</f>
        <v>#VALUE!</v>
      </c>
      <c r="CQ91" t="e">
        <f>AND(Names!AD116,"AAAAAGO/9l4=")</f>
        <v>#VALUE!</v>
      </c>
      <c r="CR91" t="e">
        <f>AND(Names!AE116,"AAAAAGO/9l8=")</f>
        <v>#VALUE!</v>
      </c>
      <c r="CS91" t="e">
        <f>AND(Names!AF116,"AAAAAGO/9mA=")</f>
        <v>#VALUE!</v>
      </c>
      <c r="CT91" t="e">
        <f>AND(Names!AG116,"AAAAAGO/9mE=")</f>
        <v>#VALUE!</v>
      </c>
      <c r="CU91" t="e">
        <f>AND(Names!AH116,"AAAAAGO/9mI=")</f>
        <v>#VALUE!</v>
      </c>
      <c r="CV91" t="e">
        <f>AND(Names!AI116,"AAAAAGO/9mM=")</f>
        <v>#VALUE!</v>
      </c>
      <c r="CW91" t="e">
        <f>AND(Names!AJ116,"AAAAAGO/9mQ=")</f>
        <v>#VALUE!</v>
      </c>
      <c r="CX91" t="e">
        <f>AND(Names!AK116,"AAAAAGO/9mU=")</f>
        <v>#VALUE!</v>
      </c>
      <c r="CY91" t="e">
        <f>AND(Names!AL116,"AAAAAGO/9mY=")</f>
        <v>#VALUE!</v>
      </c>
      <c r="CZ91" t="e">
        <f>AND(Names!AM116,"AAAAAGO/9mc=")</f>
        <v>#VALUE!</v>
      </c>
      <c r="DA91">
        <f>IF(Names!117:117,"AAAAAGO/9mg=",0)</f>
        <v>0</v>
      </c>
      <c r="DB91" t="e">
        <f>AND(Names!A117,"AAAAAGO/9mk=")</f>
        <v>#VALUE!</v>
      </c>
      <c r="DC91" t="e">
        <f>AND(Names!B117,"AAAAAGO/9mo=")</f>
        <v>#VALUE!</v>
      </c>
      <c r="DD91" t="e">
        <f>AND(Names!C117,"AAAAAGO/9ms=")</f>
        <v>#VALUE!</v>
      </c>
      <c r="DE91" t="e">
        <f>AND(Names!D117,"AAAAAGO/9mw=")</f>
        <v>#VALUE!</v>
      </c>
      <c r="DF91" t="e">
        <f>AND(Names!E117,"AAAAAGO/9m0=")</f>
        <v>#VALUE!</v>
      </c>
      <c r="DG91" t="e">
        <f>AND(Names!F117,"AAAAAGO/9m4=")</f>
        <v>#VALUE!</v>
      </c>
      <c r="DH91" t="e">
        <f>AND(Names!G117,"AAAAAGO/9m8=")</f>
        <v>#VALUE!</v>
      </c>
      <c r="DI91" t="e">
        <f>AND(Names!H117,"AAAAAGO/9nA=")</f>
        <v>#VALUE!</v>
      </c>
      <c r="DJ91" t="e">
        <f>AND(Names!I117,"AAAAAGO/9nE=")</f>
        <v>#VALUE!</v>
      </c>
      <c r="DK91" t="e">
        <f>AND(Names!J117,"AAAAAGO/9nI=")</f>
        <v>#VALUE!</v>
      </c>
      <c r="DL91" t="e">
        <f>AND(Names!K117,"AAAAAGO/9nM=")</f>
        <v>#VALUE!</v>
      </c>
      <c r="DM91" t="e">
        <f>AND(Names!L117,"AAAAAGO/9nQ=")</f>
        <v>#VALUE!</v>
      </c>
      <c r="DN91" t="e">
        <f>AND(Names!M117,"AAAAAGO/9nU=")</f>
        <v>#VALUE!</v>
      </c>
      <c r="DO91" t="e">
        <f>AND(Names!N117,"AAAAAGO/9nY=")</f>
        <v>#VALUE!</v>
      </c>
      <c r="DP91" t="e">
        <f>AND(Names!O117,"AAAAAGO/9nc=")</f>
        <v>#VALUE!</v>
      </c>
      <c r="DQ91" t="e">
        <f>AND(Names!P117,"AAAAAGO/9ng=")</f>
        <v>#VALUE!</v>
      </c>
      <c r="DR91" t="e">
        <f>AND(Names!Q117,"AAAAAGO/9nk=")</f>
        <v>#VALUE!</v>
      </c>
      <c r="DS91" t="e">
        <f>AND(Names!R117,"AAAAAGO/9no=")</f>
        <v>#VALUE!</v>
      </c>
      <c r="DT91" t="e">
        <f>AND(Names!S117,"AAAAAGO/9ns=")</f>
        <v>#VALUE!</v>
      </c>
      <c r="DU91" t="e">
        <f>AND(Names!T117,"AAAAAGO/9nw=")</f>
        <v>#VALUE!</v>
      </c>
      <c r="DV91" t="e">
        <f>AND(Names!U117,"AAAAAGO/9n0=")</f>
        <v>#VALUE!</v>
      </c>
      <c r="DW91" t="e">
        <f>AND(Names!V117,"AAAAAGO/9n4=")</f>
        <v>#VALUE!</v>
      </c>
      <c r="DX91" t="e">
        <f>AND(Names!W117,"AAAAAGO/9n8=")</f>
        <v>#VALUE!</v>
      </c>
      <c r="DY91" t="e">
        <f>AND(Names!X117,"AAAAAGO/9oA=")</f>
        <v>#VALUE!</v>
      </c>
      <c r="DZ91" t="e">
        <f>AND(Names!Y117,"AAAAAGO/9oE=")</f>
        <v>#VALUE!</v>
      </c>
      <c r="EA91" t="e">
        <f>AND(Names!Z117,"AAAAAGO/9oI=")</f>
        <v>#VALUE!</v>
      </c>
      <c r="EB91" t="e">
        <f>AND(Names!AA117,"AAAAAGO/9oM=")</f>
        <v>#VALUE!</v>
      </c>
      <c r="EC91" t="e">
        <f>AND(Names!AB117,"AAAAAGO/9oQ=")</f>
        <v>#VALUE!</v>
      </c>
      <c r="ED91" t="e">
        <f>AND(Names!AC117,"AAAAAGO/9oU=")</f>
        <v>#VALUE!</v>
      </c>
      <c r="EE91" t="e">
        <f>AND(Names!AD117,"AAAAAGO/9oY=")</f>
        <v>#VALUE!</v>
      </c>
      <c r="EF91" t="e">
        <f>AND(Names!AE117,"AAAAAGO/9oc=")</f>
        <v>#VALUE!</v>
      </c>
      <c r="EG91" t="e">
        <f>AND(Names!AF117,"AAAAAGO/9og=")</f>
        <v>#VALUE!</v>
      </c>
      <c r="EH91" t="e">
        <f>AND(Names!AG117,"AAAAAGO/9ok=")</f>
        <v>#VALUE!</v>
      </c>
      <c r="EI91" t="e">
        <f>AND(Names!AH117,"AAAAAGO/9oo=")</f>
        <v>#VALUE!</v>
      </c>
      <c r="EJ91" t="e">
        <f>AND(Names!AI117,"AAAAAGO/9os=")</f>
        <v>#VALUE!</v>
      </c>
      <c r="EK91" t="e">
        <f>AND(Names!AJ117,"AAAAAGO/9ow=")</f>
        <v>#VALUE!</v>
      </c>
      <c r="EL91" t="e">
        <f>AND(Names!AK117,"AAAAAGO/9o0=")</f>
        <v>#VALUE!</v>
      </c>
      <c r="EM91" t="e">
        <f>AND(Names!AL117,"AAAAAGO/9o4=")</f>
        <v>#VALUE!</v>
      </c>
      <c r="EN91" t="e">
        <f>AND(Names!AM117,"AAAAAGO/9o8=")</f>
        <v>#VALUE!</v>
      </c>
      <c r="EO91">
        <f>IF(Names!118:118,"AAAAAGO/9pA=",0)</f>
        <v>0</v>
      </c>
      <c r="EP91" t="e">
        <f>AND(Names!A118,"AAAAAGO/9pE=")</f>
        <v>#VALUE!</v>
      </c>
      <c r="EQ91" t="e">
        <f>AND(Names!B118,"AAAAAGO/9pI=")</f>
        <v>#VALUE!</v>
      </c>
      <c r="ER91" t="e">
        <f>AND(Names!C118,"AAAAAGO/9pM=")</f>
        <v>#VALUE!</v>
      </c>
      <c r="ES91" t="e">
        <f>AND(Names!D118,"AAAAAGO/9pQ=")</f>
        <v>#VALUE!</v>
      </c>
      <c r="ET91" t="e">
        <f>AND(Names!E118,"AAAAAGO/9pU=")</f>
        <v>#VALUE!</v>
      </c>
      <c r="EU91" t="e">
        <f>AND(Names!F118,"AAAAAGO/9pY=")</f>
        <v>#VALUE!</v>
      </c>
      <c r="EV91" t="e">
        <f>AND(Names!G118,"AAAAAGO/9pc=")</f>
        <v>#VALUE!</v>
      </c>
      <c r="EW91" t="e">
        <f>AND(Names!H118,"AAAAAGO/9pg=")</f>
        <v>#VALUE!</v>
      </c>
      <c r="EX91" t="e">
        <f>AND(Names!I118,"AAAAAGO/9pk=")</f>
        <v>#VALUE!</v>
      </c>
      <c r="EY91" t="e">
        <f>AND(Names!J118,"AAAAAGO/9po=")</f>
        <v>#VALUE!</v>
      </c>
      <c r="EZ91" t="e">
        <f>AND(Names!K118,"AAAAAGO/9ps=")</f>
        <v>#VALUE!</v>
      </c>
      <c r="FA91" t="e">
        <f>AND(Names!L118,"AAAAAGO/9pw=")</f>
        <v>#VALUE!</v>
      </c>
      <c r="FB91" t="e">
        <f>AND(Names!M118,"AAAAAGO/9p0=")</f>
        <v>#VALUE!</v>
      </c>
      <c r="FC91" t="e">
        <f>AND(Names!N118,"AAAAAGO/9p4=")</f>
        <v>#VALUE!</v>
      </c>
      <c r="FD91" t="e">
        <f>AND(Names!O118,"AAAAAGO/9p8=")</f>
        <v>#VALUE!</v>
      </c>
      <c r="FE91" t="e">
        <f>AND(Names!P118,"AAAAAGO/9qA=")</f>
        <v>#VALUE!</v>
      </c>
      <c r="FF91" t="e">
        <f>AND(Names!Q118,"AAAAAGO/9qE=")</f>
        <v>#VALUE!</v>
      </c>
      <c r="FG91" t="e">
        <f>AND(Names!R118,"AAAAAGO/9qI=")</f>
        <v>#VALUE!</v>
      </c>
      <c r="FH91" t="e">
        <f>AND(Names!S118,"AAAAAGO/9qM=")</f>
        <v>#VALUE!</v>
      </c>
      <c r="FI91" t="e">
        <f>AND(Names!T118,"AAAAAGO/9qQ=")</f>
        <v>#VALUE!</v>
      </c>
      <c r="FJ91" t="e">
        <f>AND(Names!U118,"AAAAAGO/9qU=")</f>
        <v>#VALUE!</v>
      </c>
      <c r="FK91" t="e">
        <f>AND(Names!V118,"AAAAAGO/9qY=")</f>
        <v>#VALUE!</v>
      </c>
      <c r="FL91" t="e">
        <f>AND(Names!W118,"AAAAAGO/9qc=")</f>
        <v>#VALUE!</v>
      </c>
      <c r="FM91" t="e">
        <f>AND(Names!X118,"AAAAAGO/9qg=")</f>
        <v>#VALUE!</v>
      </c>
      <c r="FN91" t="e">
        <f>AND(Names!Y118,"AAAAAGO/9qk=")</f>
        <v>#VALUE!</v>
      </c>
      <c r="FO91" t="e">
        <f>AND(Names!Z118,"AAAAAGO/9qo=")</f>
        <v>#VALUE!</v>
      </c>
      <c r="FP91" t="e">
        <f>AND(Names!AA118,"AAAAAGO/9qs=")</f>
        <v>#VALUE!</v>
      </c>
      <c r="FQ91" t="e">
        <f>AND(Names!AB118,"AAAAAGO/9qw=")</f>
        <v>#VALUE!</v>
      </c>
      <c r="FR91" t="e">
        <f>AND(Names!AC118,"AAAAAGO/9q0=")</f>
        <v>#VALUE!</v>
      </c>
      <c r="FS91" t="e">
        <f>AND(Names!AD118,"AAAAAGO/9q4=")</f>
        <v>#VALUE!</v>
      </c>
      <c r="FT91" t="e">
        <f>AND(Names!AE118,"AAAAAGO/9q8=")</f>
        <v>#VALUE!</v>
      </c>
      <c r="FU91" t="e">
        <f>AND(Names!AF118,"AAAAAGO/9rA=")</f>
        <v>#VALUE!</v>
      </c>
      <c r="FV91" t="e">
        <f>AND(Names!AG118,"AAAAAGO/9rE=")</f>
        <v>#VALUE!</v>
      </c>
      <c r="FW91" t="e">
        <f>AND(Names!AH118,"AAAAAGO/9rI=")</f>
        <v>#VALUE!</v>
      </c>
      <c r="FX91" t="e">
        <f>AND(Names!AI118,"AAAAAGO/9rM=")</f>
        <v>#VALUE!</v>
      </c>
      <c r="FY91" t="e">
        <f>AND(Names!AJ118,"AAAAAGO/9rQ=")</f>
        <v>#VALUE!</v>
      </c>
      <c r="FZ91" t="e">
        <f>AND(Names!AK118,"AAAAAGO/9rU=")</f>
        <v>#VALUE!</v>
      </c>
      <c r="GA91" t="e">
        <f>AND(Names!AL118,"AAAAAGO/9rY=")</f>
        <v>#VALUE!</v>
      </c>
      <c r="GB91" t="e">
        <f>AND(Names!AM118,"AAAAAGO/9rc=")</f>
        <v>#VALUE!</v>
      </c>
      <c r="GC91">
        <f>IF(Names!119:119,"AAAAAGO/9rg=",0)</f>
        <v>0</v>
      </c>
      <c r="GD91" t="e">
        <f>AND(Names!A119,"AAAAAGO/9rk=")</f>
        <v>#VALUE!</v>
      </c>
      <c r="GE91" t="e">
        <f>AND(Names!B119,"AAAAAGO/9ro=")</f>
        <v>#VALUE!</v>
      </c>
      <c r="GF91" t="e">
        <f>AND(Names!C119,"AAAAAGO/9rs=")</f>
        <v>#VALUE!</v>
      </c>
      <c r="GG91" t="e">
        <f>AND(Names!D119,"AAAAAGO/9rw=")</f>
        <v>#VALUE!</v>
      </c>
      <c r="GH91" t="e">
        <f>AND(Names!E119,"AAAAAGO/9r0=")</f>
        <v>#VALUE!</v>
      </c>
      <c r="GI91" t="e">
        <f>AND(Names!F119,"AAAAAGO/9r4=")</f>
        <v>#VALUE!</v>
      </c>
      <c r="GJ91" t="e">
        <f>AND(Names!G119,"AAAAAGO/9r8=")</f>
        <v>#VALUE!</v>
      </c>
      <c r="GK91" t="e">
        <f>AND(Names!H119,"AAAAAGO/9sA=")</f>
        <v>#VALUE!</v>
      </c>
      <c r="GL91" t="e">
        <f>AND(Names!I119,"AAAAAGO/9sE=")</f>
        <v>#VALUE!</v>
      </c>
      <c r="GM91" t="e">
        <f>AND(Names!J119,"AAAAAGO/9sI=")</f>
        <v>#VALUE!</v>
      </c>
      <c r="GN91" t="e">
        <f>AND(Names!K119,"AAAAAGO/9sM=")</f>
        <v>#VALUE!</v>
      </c>
      <c r="GO91" t="e">
        <f>AND(Names!L119,"AAAAAGO/9sQ=")</f>
        <v>#VALUE!</v>
      </c>
      <c r="GP91" t="e">
        <f>AND(Names!M119,"AAAAAGO/9sU=")</f>
        <v>#VALUE!</v>
      </c>
      <c r="GQ91" t="e">
        <f>AND(Names!N119,"AAAAAGO/9sY=")</f>
        <v>#VALUE!</v>
      </c>
      <c r="GR91" t="e">
        <f>AND(Names!O119,"AAAAAGO/9sc=")</f>
        <v>#VALUE!</v>
      </c>
      <c r="GS91" t="e">
        <f>AND(Names!P119,"AAAAAGO/9sg=")</f>
        <v>#VALUE!</v>
      </c>
      <c r="GT91" t="e">
        <f>AND(Names!Q119,"AAAAAGO/9sk=")</f>
        <v>#VALUE!</v>
      </c>
      <c r="GU91" t="e">
        <f>AND(Names!R119,"AAAAAGO/9so=")</f>
        <v>#VALUE!</v>
      </c>
      <c r="GV91" t="e">
        <f>AND(Names!S119,"AAAAAGO/9ss=")</f>
        <v>#VALUE!</v>
      </c>
      <c r="GW91" t="e">
        <f>AND(Names!T119,"AAAAAGO/9sw=")</f>
        <v>#VALUE!</v>
      </c>
      <c r="GX91" t="e">
        <f>AND(Names!U119,"AAAAAGO/9s0=")</f>
        <v>#VALUE!</v>
      </c>
      <c r="GY91" t="e">
        <f>AND(Names!V119,"AAAAAGO/9s4=")</f>
        <v>#VALUE!</v>
      </c>
      <c r="GZ91" t="e">
        <f>AND(Names!W119,"AAAAAGO/9s8=")</f>
        <v>#VALUE!</v>
      </c>
      <c r="HA91" t="e">
        <f>AND(Names!X119,"AAAAAGO/9tA=")</f>
        <v>#VALUE!</v>
      </c>
      <c r="HB91" t="e">
        <f>AND(Names!Y119,"AAAAAGO/9tE=")</f>
        <v>#VALUE!</v>
      </c>
      <c r="HC91" t="e">
        <f>AND(Names!Z119,"AAAAAGO/9tI=")</f>
        <v>#VALUE!</v>
      </c>
      <c r="HD91" t="e">
        <f>AND(Names!AA119,"AAAAAGO/9tM=")</f>
        <v>#VALUE!</v>
      </c>
      <c r="HE91" t="e">
        <f>AND(Names!AB119,"AAAAAGO/9tQ=")</f>
        <v>#VALUE!</v>
      </c>
      <c r="HF91" t="e">
        <f>AND(Names!AC119,"AAAAAGO/9tU=")</f>
        <v>#VALUE!</v>
      </c>
      <c r="HG91" t="e">
        <f>AND(Names!AD119,"AAAAAGO/9tY=")</f>
        <v>#VALUE!</v>
      </c>
      <c r="HH91" t="e">
        <f>AND(Names!AE119,"AAAAAGO/9tc=")</f>
        <v>#VALUE!</v>
      </c>
      <c r="HI91" t="e">
        <f>AND(Names!AF119,"AAAAAGO/9tg=")</f>
        <v>#VALUE!</v>
      </c>
      <c r="HJ91" t="e">
        <f>AND(Names!AG119,"AAAAAGO/9tk=")</f>
        <v>#VALUE!</v>
      </c>
      <c r="HK91" t="e">
        <f>AND(Names!AH119,"AAAAAGO/9to=")</f>
        <v>#VALUE!</v>
      </c>
      <c r="HL91" t="e">
        <f>AND(Names!AI119,"AAAAAGO/9ts=")</f>
        <v>#VALUE!</v>
      </c>
      <c r="HM91" t="e">
        <f>AND(Names!AJ119,"AAAAAGO/9tw=")</f>
        <v>#VALUE!</v>
      </c>
      <c r="HN91" t="e">
        <f>AND(Names!AK119,"AAAAAGO/9t0=")</f>
        <v>#VALUE!</v>
      </c>
      <c r="HO91" t="e">
        <f>AND(Names!AL119,"AAAAAGO/9t4=")</f>
        <v>#VALUE!</v>
      </c>
      <c r="HP91" t="e">
        <f>AND(Names!AM119,"AAAAAGO/9t8=")</f>
        <v>#VALUE!</v>
      </c>
      <c r="HQ91">
        <f>IF(Names!120:120,"AAAAAGO/9uA=",0)</f>
        <v>0</v>
      </c>
      <c r="HR91" t="e">
        <f>AND(Names!A120,"AAAAAGO/9uE=")</f>
        <v>#VALUE!</v>
      </c>
      <c r="HS91" t="e">
        <f>AND(Names!B120,"AAAAAGO/9uI=")</f>
        <v>#VALUE!</v>
      </c>
      <c r="HT91" t="e">
        <f>AND(Names!C120,"AAAAAGO/9uM=")</f>
        <v>#VALUE!</v>
      </c>
      <c r="HU91" t="e">
        <f>AND(Names!D120,"AAAAAGO/9uQ=")</f>
        <v>#VALUE!</v>
      </c>
      <c r="HV91" t="e">
        <f>AND(Names!E120,"AAAAAGO/9uU=")</f>
        <v>#VALUE!</v>
      </c>
      <c r="HW91" t="e">
        <f>AND(Names!F120,"AAAAAGO/9uY=")</f>
        <v>#VALUE!</v>
      </c>
      <c r="HX91" t="e">
        <f>AND(Names!G120,"AAAAAGO/9uc=")</f>
        <v>#VALUE!</v>
      </c>
      <c r="HY91" t="e">
        <f>AND(Names!H120,"AAAAAGO/9ug=")</f>
        <v>#VALUE!</v>
      </c>
      <c r="HZ91" t="e">
        <f>AND(Names!I120,"AAAAAGO/9uk=")</f>
        <v>#VALUE!</v>
      </c>
      <c r="IA91" t="e">
        <f>AND(Names!J120,"AAAAAGO/9uo=")</f>
        <v>#VALUE!</v>
      </c>
      <c r="IB91" t="e">
        <f>AND(Names!K120,"AAAAAGO/9us=")</f>
        <v>#VALUE!</v>
      </c>
      <c r="IC91" t="e">
        <f>AND(Names!L120,"AAAAAGO/9uw=")</f>
        <v>#VALUE!</v>
      </c>
      <c r="ID91" t="e">
        <f>AND(Names!M120,"AAAAAGO/9u0=")</f>
        <v>#VALUE!</v>
      </c>
      <c r="IE91" t="e">
        <f>AND(Names!N120,"AAAAAGO/9u4=")</f>
        <v>#VALUE!</v>
      </c>
      <c r="IF91" t="e">
        <f>AND(Names!O120,"AAAAAGO/9u8=")</f>
        <v>#VALUE!</v>
      </c>
      <c r="IG91" t="e">
        <f>AND(Names!P120,"AAAAAGO/9vA=")</f>
        <v>#VALUE!</v>
      </c>
      <c r="IH91" t="e">
        <f>AND(Names!Q120,"AAAAAGO/9vE=")</f>
        <v>#VALUE!</v>
      </c>
      <c r="II91" t="e">
        <f>AND(Names!R120,"AAAAAGO/9vI=")</f>
        <v>#VALUE!</v>
      </c>
      <c r="IJ91" t="e">
        <f>AND(Names!S120,"AAAAAGO/9vM=")</f>
        <v>#VALUE!</v>
      </c>
      <c r="IK91" t="e">
        <f>AND(Names!T120,"AAAAAGO/9vQ=")</f>
        <v>#VALUE!</v>
      </c>
      <c r="IL91" t="e">
        <f>AND(Names!U120,"AAAAAGO/9vU=")</f>
        <v>#VALUE!</v>
      </c>
      <c r="IM91" t="e">
        <f>AND(Names!V120,"AAAAAGO/9vY=")</f>
        <v>#VALUE!</v>
      </c>
      <c r="IN91" t="e">
        <f>AND(Names!W120,"AAAAAGO/9vc=")</f>
        <v>#VALUE!</v>
      </c>
      <c r="IO91" t="e">
        <f>AND(Names!X120,"AAAAAGO/9vg=")</f>
        <v>#VALUE!</v>
      </c>
      <c r="IP91" t="e">
        <f>AND(Names!Y120,"AAAAAGO/9vk=")</f>
        <v>#VALUE!</v>
      </c>
      <c r="IQ91" t="e">
        <f>AND(Names!Z120,"AAAAAGO/9vo=")</f>
        <v>#VALUE!</v>
      </c>
      <c r="IR91" t="e">
        <f>AND(Names!AA120,"AAAAAGO/9vs=")</f>
        <v>#VALUE!</v>
      </c>
      <c r="IS91" t="e">
        <f>AND(Names!AB120,"AAAAAGO/9vw=")</f>
        <v>#VALUE!</v>
      </c>
      <c r="IT91" t="e">
        <f>AND(Names!AC120,"AAAAAGO/9v0=")</f>
        <v>#VALUE!</v>
      </c>
      <c r="IU91" t="e">
        <f>AND(Names!AD120,"AAAAAGO/9v4=")</f>
        <v>#VALUE!</v>
      </c>
      <c r="IV91" t="e">
        <f>AND(Names!AE120,"AAAAAGO/9v8=")</f>
        <v>#VALUE!</v>
      </c>
    </row>
    <row r="92" spans="1:256" x14ac:dyDescent="0.15">
      <c r="A92" t="e">
        <f>AND(Names!AF120,"AAAAABL/3wA=")</f>
        <v>#VALUE!</v>
      </c>
      <c r="B92" t="e">
        <f>AND(Names!AG120,"AAAAABL/3wE=")</f>
        <v>#VALUE!</v>
      </c>
      <c r="C92" t="e">
        <f>AND(Names!AH120,"AAAAABL/3wI=")</f>
        <v>#VALUE!</v>
      </c>
      <c r="D92" t="e">
        <f>AND(Names!AI120,"AAAAABL/3wM=")</f>
        <v>#VALUE!</v>
      </c>
      <c r="E92" t="e">
        <f>AND(Names!AJ120,"AAAAABL/3wQ=")</f>
        <v>#VALUE!</v>
      </c>
      <c r="F92" t="e">
        <f>AND(Names!AK120,"AAAAABL/3wU=")</f>
        <v>#VALUE!</v>
      </c>
      <c r="G92" t="e">
        <f>AND(Names!AL120,"AAAAABL/3wY=")</f>
        <v>#VALUE!</v>
      </c>
      <c r="H92" t="e">
        <f>AND(Names!AM120,"AAAAABL/3wc=")</f>
        <v>#VALUE!</v>
      </c>
      <c r="I92">
        <f>IF(Names!121:121,"AAAAABL/3wg=",0)</f>
        <v>0</v>
      </c>
      <c r="J92" t="e">
        <f>AND(Names!A121,"AAAAABL/3wk=")</f>
        <v>#VALUE!</v>
      </c>
      <c r="K92" t="e">
        <f>AND(Names!B121,"AAAAABL/3wo=")</f>
        <v>#VALUE!</v>
      </c>
      <c r="L92" t="e">
        <f>AND(Names!C121,"AAAAABL/3ws=")</f>
        <v>#VALUE!</v>
      </c>
      <c r="M92" t="e">
        <f>AND(Names!D121,"AAAAABL/3ww=")</f>
        <v>#VALUE!</v>
      </c>
      <c r="N92" t="e">
        <f>AND(Names!E121,"AAAAABL/3w0=")</f>
        <v>#VALUE!</v>
      </c>
      <c r="O92" t="e">
        <f>AND(Names!F121,"AAAAABL/3w4=")</f>
        <v>#VALUE!</v>
      </c>
      <c r="P92" t="e">
        <f>AND(Names!G121,"AAAAABL/3w8=")</f>
        <v>#VALUE!</v>
      </c>
      <c r="Q92" t="e">
        <f>AND(Names!H121,"AAAAABL/3xA=")</f>
        <v>#VALUE!</v>
      </c>
      <c r="R92" t="e">
        <f>AND(Names!I121,"AAAAABL/3xE=")</f>
        <v>#VALUE!</v>
      </c>
      <c r="S92" t="e">
        <f>AND(Names!J121,"AAAAABL/3xI=")</f>
        <v>#VALUE!</v>
      </c>
      <c r="T92" t="e">
        <f>AND(Names!K121,"AAAAABL/3xM=")</f>
        <v>#VALUE!</v>
      </c>
      <c r="U92" t="e">
        <f>AND(Names!L121,"AAAAABL/3xQ=")</f>
        <v>#VALUE!</v>
      </c>
      <c r="V92" t="e">
        <f>AND(Names!M121,"AAAAABL/3xU=")</f>
        <v>#VALUE!</v>
      </c>
      <c r="W92" t="e">
        <f>AND(Names!N121,"AAAAABL/3xY=")</f>
        <v>#VALUE!</v>
      </c>
      <c r="X92" t="e">
        <f>AND(Names!O121,"AAAAABL/3xc=")</f>
        <v>#VALUE!</v>
      </c>
      <c r="Y92" t="e">
        <f>AND(Names!P121,"AAAAABL/3xg=")</f>
        <v>#VALUE!</v>
      </c>
      <c r="Z92" t="e">
        <f>AND(Names!Q121,"AAAAABL/3xk=")</f>
        <v>#VALUE!</v>
      </c>
      <c r="AA92" t="e">
        <f>AND(Names!R121,"AAAAABL/3xo=")</f>
        <v>#VALUE!</v>
      </c>
      <c r="AB92" t="e">
        <f>AND(Names!S121,"AAAAABL/3xs=")</f>
        <v>#VALUE!</v>
      </c>
      <c r="AC92" t="e">
        <f>AND(Names!T121,"AAAAABL/3xw=")</f>
        <v>#VALUE!</v>
      </c>
      <c r="AD92" t="e">
        <f>AND(Names!U121,"AAAAABL/3x0=")</f>
        <v>#VALUE!</v>
      </c>
      <c r="AE92" t="e">
        <f>AND(Names!V121,"AAAAABL/3x4=")</f>
        <v>#VALUE!</v>
      </c>
      <c r="AF92" t="e">
        <f>AND(Names!W121,"AAAAABL/3x8=")</f>
        <v>#VALUE!</v>
      </c>
      <c r="AG92" t="e">
        <f>AND(Names!X121,"AAAAABL/3yA=")</f>
        <v>#VALUE!</v>
      </c>
      <c r="AH92" t="e">
        <f>AND(Names!Y121,"AAAAABL/3yE=")</f>
        <v>#VALUE!</v>
      </c>
      <c r="AI92" t="e">
        <f>AND(Names!Z121,"AAAAABL/3yI=")</f>
        <v>#VALUE!</v>
      </c>
      <c r="AJ92" t="e">
        <f>AND(Names!AA121,"AAAAABL/3yM=")</f>
        <v>#VALUE!</v>
      </c>
      <c r="AK92" t="e">
        <f>AND(Names!AB121,"AAAAABL/3yQ=")</f>
        <v>#VALUE!</v>
      </c>
      <c r="AL92" t="e">
        <f>AND(Names!AC121,"AAAAABL/3yU=")</f>
        <v>#VALUE!</v>
      </c>
      <c r="AM92" t="e">
        <f>AND(Names!AD121,"AAAAABL/3yY=")</f>
        <v>#VALUE!</v>
      </c>
      <c r="AN92" t="e">
        <f>AND(Names!AE121,"AAAAABL/3yc=")</f>
        <v>#VALUE!</v>
      </c>
      <c r="AO92" t="e">
        <f>AND(Names!AF121,"AAAAABL/3yg=")</f>
        <v>#VALUE!</v>
      </c>
      <c r="AP92" t="e">
        <f>AND(Names!AG121,"AAAAABL/3yk=")</f>
        <v>#VALUE!</v>
      </c>
      <c r="AQ92" t="e">
        <f>AND(Names!AH121,"AAAAABL/3yo=")</f>
        <v>#VALUE!</v>
      </c>
      <c r="AR92" t="e">
        <f>AND(Names!AI121,"AAAAABL/3ys=")</f>
        <v>#VALUE!</v>
      </c>
      <c r="AS92" t="e">
        <f>AND(Names!AJ121,"AAAAABL/3yw=")</f>
        <v>#VALUE!</v>
      </c>
      <c r="AT92" t="e">
        <f>AND(Names!AK121,"AAAAABL/3y0=")</f>
        <v>#VALUE!</v>
      </c>
      <c r="AU92" t="e">
        <f>AND(Names!AL121,"AAAAABL/3y4=")</f>
        <v>#VALUE!</v>
      </c>
      <c r="AV92" t="e">
        <f>AND(Names!AM121,"AAAAABL/3y8=")</f>
        <v>#VALUE!</v>
      </c>
      <c r="AW92">
        <f>IF(Names!122:122,"AAAAABL/3zA=",0)</f>
        <v>0</v>
      </c>
      <c r="AX92" t="e">
        <f>AND(Names!A122,"AAAAABL/3zE=")</f>
        <v>#VALUE!</v>
      </c>
      <c r="AY92" t="e">
        <f>AND(Names!B122,"AAAAABL/3zI=")</f>
        <v>#VALUE!</v>
      </c>
      <c r="AZ92" t="e">
        <f>AND(Names!C122,"AAAAABL/3zM=")</f>
        <v>#VALUE!</v>
      </c>
      <c r="BA92" t="e">
        <f>AND(Names!D122,"AAAAABL/3zQ=")</f>
        <v>#VALUE!</v>
      </c>
      <c r="BB92" t="e">
        <f>AND(Names!E122,"AAAAABL/3zU=")</f>
        <v>#VALUE!</v>
      </c>
      <c r="BC92" t="e">
        <f>AND(Names!F122,"AAAAABL/3zY=")</f>
        <v>#VALUE!</v>
      </c>
      <c r="BD92" t="e">
        <f>AND(Names!G122,"AAAAABL/3zc=")</f>
        <v>#VALUE!</v>
      </c>
      <c r="BE92" t="e">
        <f>AND(Names!H122,"AAAAABL/3zg=")</f>
        <v>#VALUE!</v>
      </c>
      <c r="BF92" t="e">
        <f>AND(Names!I122,"AAAAABL/3zk=")</f>
        <v>#VALUE!</v>
      </c>
      <c r="BG92" t="e">
        <f>AND(Names!J122,"AAAAABL/3zo=")</f>
        <v>#VALUE!</v>
      </c>
      <c r="BH92" t="e">
        <f>AND(Names!K122,"AAAAABL/3zs=")</f>
        <v>#VALUE!</v>
      </c>
      <c r="BI92" t="e">
        <f>AND(Names!L122,"AAAAABL/3zw=")</f>
        <v>#VALUE!</v>
      </c>
      <c r="BJ92" t="e">
        <f>AND(Names!M122,"AAAAABL/3z0=")</f>
        <v>#VALUE!</v>
      </c>
      <c r="BK92" t="e">
        <f>AND(Names!N122,"AAAAABL/3z4=")</f>
        <v>#VALUE!</v>
      </c>
      <c r="BL92" t="e">
        <f>AND(Names!O122,"AAAAABL/3z8=")</f>
        <v>#VALUE!</v>
      </c>
      <c r="BM92" t="e">
        <f>AND(Names!P122,"AAAAABL/30A=")</f>
        <v>#VALUE!</v>
      </c>
      <c r="BN92" t="e">
        <f>AND(Names!Q122,"AAAAABL/30E=")</f>
        <v>#VALUE!</v>
      </c>
      <c r="BO92" t="e">
        <f>AND(Names!R122,"AAAAABL/30I=")</f>
        <v>#VALUE!</v>
      </c>
      <c r="BP92" t="e">
        <f>AND(Names!S122,"AAAAABL/30M=")</f>
        <v>#VALUE!</v>
      </c>
      <c r="BQ92" t="e">
        <f>AND(Names!T122,"AAAAABL/30Q=")</f>
        <v>#VALUE!</v>
      </c>
      <c r="BR92" t="e">
        <f>AND(Names!U122,"AAAAABL/30U=")</f>
        <v>#VALUE!</v>
      </c>
      <c r="BS92" t="e">
        <f>AND(Names!V122,"AAAAABL/30Y=")</f>
        <v>#VALUE!</v>
      </c>
      <c r="BT92" t="e">
        <f>AND(Names!W122,"AAAAABL/30c=")</f>
        <v>#VALUE!</v>
      </c>
      <c r="BU92" t="e">
        <f>AND(Names!X122,"AAAAABL/30g=")</f>
        <v>#VALUE!</v>
      </c>
      <c r="BV92" t="e">
        <f>AND(Names!Y122,"AAAAABL/30k=")</f>
        <v>#VALUE!</v>
      </c>
      <c r="BW92" t="e">
        <f>AND(Names!Z122,"AAAAABL/30o=")</f>
        <v>#VALUE!</v>
      </c>
      <c r="BX92" t="e">
        <f>AND(Names!AA122,"AAAAABL/30s=")</f>
        <v>#VALUE!</v>
      </c>
      <c r="BY92" t="e">
        <f>AND(Names!AB122,"AAAAABL/30w=")</f>
        <v>#VALUE!</v>
      </c>
      <c r="BZ92" t="e">
        <f>AND(Names!AC122,"AAAAABL/300=")</f>
        <v>#VALUE!</v>
      </c>
      <c r="CA92" t="e">
        <f>AND(Names!AD122,"AAAAABL/304=")</f>
        <v>#VALUE!</v>
      </c>
      <c r="CB92" t="e">
        <f>AND(Names!AE122,"AAAAABL/308=")</f>
        <v>#VALUE!</v>
      </c>
      <c r="CC92" t="e">
        <f>AND(Names!AF122,"AAAAABL/31A=")</f>
        <v>#VALUE!</v>
      </c>
      <c r="CD92" t="e">
        <f>AND(Names!AG122,"AAAAABL/31E=")</f>
        <v>#VALUE!</v>
      </c>
      <c r="CE92" t="e">
        <f>AND(Names!AH122,"AAAAABL/31I=")</f>
        <v>#VALUE!</v>
      </c>
      <c r="CF92" t="e">
        <f>AND(Names!AI122,"AAAAABL/31M=")</f>
        <v>#VALUE!</v>
      </c>
      <c r="CG92" t="e">
        <f>AND(Names!AJ122,"AAAAABL/31Q=")</f>
        <v>#VALUE!</v>
      </c>
      <c r="CH92" t="e">
        <f>AND(Names!AK122,"AAAAABL/31U=")</f>
        <v>#VALUE!</v>
      </c>
      <c r="CI92" t="e">
        <f>AND(Names!AL122,"AAAAABL/31Y=")</f>
        <v>#VALUE!</v>
      </c>
      <c r="CJ92" t="e">
        <f>AND(Names!AM122,"AAAAABL/31c=")</f>
        <v>#VALUE!</v>
      </c>
      <c r="CK92">
        <f>IF(Names!123:123,"AAAAABL/31g=",0)</f>
        <v>0</v>
      </c>
      <c r="CL92" t="e">
        <f>AND(Names!A123,"AAAAABL/31k=")</f>
        <v>#VALUE!</v>
      </c>
      <c r="CM92" t="e">
        <f>AND(Names!B123,"AAAAABL/31o=")</f>
        <v>#VALUE!</v>
      </c>
      <c r="CN92" t="e">
        <f>AND(Names!C123,"AAAAABL/31s=")</f>
        <v>#VALUE!</v>
      </c>
      <c r="CO92" t="e">
        <f>AND(Names!D123,"AAAAABL/31w=")</f>
        <v>#VALUE!</v>
      </c>
      <c r="CP92" t="e">
        <f>AND(Names!E123,"AAAAABL/310=")</f>
        <v>#VALUE!</v>
      </c>
      <c r="CQ92" t="e">
        <f>AND(Names!F123,"AAAAABL/314=")</f>
        <v>#VALUE!</v>
      </c>
      <c r="CR92" t="e">
        <f>AND(Names!G123,"AAAAABL/318=")</f>
        <v>#VALUE!</v>
      </c>
      <c r="CS92" t="e">
        <f>AND(Names!H123,"AAAAABL/32A=")</f>
        <v>#VALUE!</v>
      </c>
      <c r="CT92" t="e">
        <f>AND(Names!I123,"AAAAABL/32E=")</f>
        <v>#VALUE!</v>
      </c>
      <c r="CU92" t="e">
        <f>AND(Names!J123,"AAAAABL/32I=")</f>
        <v>#VALUE!</v>
      </c>
      <c r="CV92" t="e">
        <f>AND(Names!K123,"AAAAABL/32M=")</f>
        <v>#VALUE!</v>
      </c>
      <c r="CW92" t="e">
        <f>AND(Names!L123,"AAAAABL/32Q=")</f>
        <v>#VALUE!</v>
      </c>
      <c r="CX92" t="e">
        <f>AND(Names!M123,"AAAAABL/32U=")</f>
        <v>#VALUE!</v>
      </c>
      <c r="CY92" t="e">
        <f>AND(Names!N123,"AAAAABL/32Y=")</f>
        <v>#VALUE!</v>
      </c>
      <c r="CZ92" t="e">
        <f>AND(Names!O123,"AAAAABL/32c=")</f>
        <v>#VALUE!</v>
      </c>
      <c r="DA92" t="e">
        <f>AND(Names!P123,"AAAAABL/32g=")</f>
        <v>#VALUE!</v>
      </c>
      <c r="DB92" t="e">
        <f>AND(Names!Q123,"AAAAABL/32k=")</f>
        <v>#VALUE!</v>
      </c>
      <c r="DC92" t="e">
        <f>AND(Names!R123,"AAAAABL/32o=")</f>
        <v>#VALUE!</v>
      </c>
      <c r="DD92" t="e">
        <f>AND(Names!S123,"AAAAABL/32s=")</f>
        <v>#VALUE!</v>
      </c>
      <c r="DE92" t="e">
        <f>AND(Names!T123,"AAAAABL/32w=")</f>
        <v>#VALUE!</v>
      </c>
      <c r="DF92" t="e">
        <f>AND(Names!U123,"AAAAABL/320=")</f>
        <v>#VALUE!</v>
      </c>
      <c r="DG92" t="e">
        <f>AND(Names!V123,"AAAAABL/324=")</f>
        <v>#VALUE!</v>
      </c>
      <c r="DH92" t="e">
        <f>AND(Names!W123,"AAAAABL/328=")</f>
        <v>#VALUE!</v>
      </c>
      <c r="DI92" t="e">
        <f>AND(Names!X123,"AAAAABL/33A=")</f>
        <v>#VALUE!</v>
      </c>
      <c r="DJ92" t="e">
        <f>AND(Names!Y123,"AAAAABL/33E=")</f>
        <v>#VALUE!</v>
      </c>
      <c r="DK92" t="e">
        <f>AND(Names!Z123,"AAAAABL/33I=")</f>
        <v>#VALUE!</v>
      </c>
      <c r="DL92" t="e">
        <f>AND(Names!AA123,"AAAAABL/33M=")</f>
        <v>#VALUE!</v>
      </c>
      <c r="DM92" t="e">
        <f>AND(Names!AB123,"AAAAABL/33Q=")</f>
        <v>#VALUE!</v>
      </c>
      <c r="DN92" t="e">
        <f>AND(Names!AC123,"AAAAABL/33U=")</f>
        <v>#VALUE!</v>
      </c>
      <c r="DO92" t="e">
        <f>AND(Names!AD123,"AAAAABL/33Y=")</f>
        <v>#VALUE!</v>
      </c>
      <c r="DP92" t="e">
        <f>AND(Names!AE123,"AAAAABL/33c=")</f>
        <v>#VALUE!</v>
      </c>
      <c r="DQ92" t="e">
        <f>AND(Names!AF123,"AAAAABL/33g=")</f>
        <v>#VALUE!</v>
      </c>
      <c r="DR92" t="e">
        <f>AND(Names!AG123,"AAAAABL/33k=")</f>
        <v>#VALUE!</v>
      </c>
      <c r="DS92" t="e">
        <f>AND(Names!AH123,"AAAAABL/33o=")</f>
        <v>#VALUE!</v>
      </c>
      <c r="DT92" t="e">
        <f>AND(Names!AI123,"AAAAABL/33s=")</f>
        <v>#VALUE!</v>
      </c>
      <c r="DU92" t="e">
        <f>AND(Names!AJ123,"AAAAABL/33w=")</f>
        <v>#VALUE!</v>
      </c>
      <c r="DV92" t="e">
        <f>AND(Names!AK123,"AAAAABL/330=")</f>
        <v>#VALUE!</v>
      </c>
      <c r="DW92" t="e">
        <f>AND(Names!AL123,"AAAAABL/334=")</f>
        <v>#VALUE!</v>
      </c>
      <c r="DX92" t="e">
        <f>AND(Names!AM123,"AAAAABL/338=")</f>
        <v>#VALUE!</v>
      </c>
      <c r="DY92">
        <f>IF(Names!124:124,"AAAAABL/34A=",0)</f>
        <v>0</v>
      </c>
      <c r="DZ92" t="e">
        <f>AND(Names!A124,"AAAAABL/34E=")</f>
        <v>#VALUE!</v>
      </c>
      <c r="EA92" t="e">
        <f>AND(Names!B124,"AAAAABL/34I=")</f>
        <v>#VALUE!</v>
      </c>
      <c r="EB92" t="e">
        <f>AND(Names!C124,"AAAAABL/34M=")</f>
        <v>#VALUE!</v>
      </c>
      <c r="EC92" t="e">
        <f>AND(Names!D124,"AAAAABL/34Q=")</f>
        <v>#VALUE!</v>
      </c>
      <c r="ED92" t="e">
        <f>AND(Names!E124,"AAAAABL/34U=")</f>
        <v>#VALUE!</v>
      </c>
      <c r="EE92" t="e">
        <f>AND(Names!F124,"AAAAABL/34Y=")</f>
        <v>#VALUE!</v>
      </c>
      <c r="EF92" t="e">
        <f>AND(Names!G124,"AAAAABL/34c=")</f>
        <v>#VALUE!</v>
      </c>
      <c r="EG92" t="e">
        <f>AND(Names!H124,"AAAAABL/34g=")</f>
        <v>#VALUE!</v>
      </c>
      <c r="EH92" t="e">
        <f>AND(Names!I124,"AAAAABL/34k=")</f>
        <v>#VALUE!</v>
      </c>
      <c r="EI92" t="e">
        <f>AND(Names!J124,"AAAAABL/34o=")</f>
        <v>#VALUE!</v>
      </c>
      <c r="EJ92" t="e">
        <f>AND(Names!K124,"AAAAABL/34s=")</f>
        <v>#VALUE!</v>
      </c>
      <c r="EK92" t="e">
        <f>AND(Names!L124,"AAAAABL/34w=")</f>
        <v>#VALUE!</v>
      </c>
      <c r="EL92" t="e">
        <f>AND(Names!M124,"AAAAABL/340=")</f>
        <v>#VALUE!</v>
      </c>
      <c r="EM92" t="e">
        <f>AND(Names!N124,"AAAAABL/344=")</f>
        <v>#VALUE!</v>
      </c>
      <c r="EN92" t="e">
        <f>AND(Names!O124,"AAAAABL/348=")</f>
        <v>#VALUE!</v>
      </c>
      <c r="EO92" t="e">
        <f>AND(Names!P124,"AAAAABL/35A=")</f>
        <v>#VALUE!</v>
      </c>
      <c r="EP92" t="e">
        <f>AND(Names!Q124,"AAAAABL/35E=")</f>
        <v>#VALUE!</v>
      </c>
      <c r="EQ92" t="e">
        <f>AND(Names!R124,"AAAAABL/35I=")</f>
        <v>#VALUE!</v>
      </c>
      <c r="ER92" t="e">
        <f>AND(Names!S124,"AAAAABL/35M=")</f>
        <v>#VALUE!</v>
      </c>
      <c r="ES92" t="e">
        <f>AND(Names!T124,"AAAAABL/35Q=")</f>
        <v>#VALUE!</v>
      </c>
      <c r="ET92" t="e">
        <f>AND(Names!U124,"AAAAABL/35U=")</f>
        <v>#VALUE!</v>
      </c>
      <c r="EU92" t="e">
        <f>AND(Names!V124,"AAAAABL/35Y=")</f>
        <v>#VALUE!</v>
      </c>
      <c r="EV92" t="e">
        <f>AND(Names!W124,"AAAAABL/35c=")</f>
        <v>#VALUE!</v>
      </c>
      <c r="EW92" t="e">
        <f>AND(Names!X124,"AAAAABL/35g=")</f>
        <v>#VALUE!</v>
      </c>
      <c r="EX92" t="e">
        <f>AND(Names!Y124,"AAAAABL/35k=")</f>
        <v>#VALUE!</v>
      </c>
      <c r="EY92" t="e">
        <f>AND(Names!Z124,"AAAAABL/35o=")</f>
        <v>#VALUE!</v>
      </c>
      <c r="EZ92" t="e">
        <f>AND(Names!AA124,"AAAAABL/35s=")</f>
        <v>#VALUE!</v>
      </c>
      <c r="FA92" t="e">
        <f>AND(Names!AB124,"AAAAABL/35w=")</f>
        <v>#VALUE!</v>
      </c>
      <c r="FB92" t="e">
        <f>AND(Names!AC124,"AAAAABL/350=")</f>
        <v>#VALUE!</v>
      </c>
      <c r="FC92" t="e">
        <f>AND(Names!AD124,"AAAAABL/354=")</f>
        <v>#VALUE!</v>
      </c>
      <c r="FD92" t="e">
        <f>AND(Names!AE124,"AAAAABL/358=")</f>
        <v>#VALUE!</v>
      </c>
      <c r="FE92" t="e">
        <f>AND(Names!AF124,"AAAAABL/36A=")</f>
        <v>#VALUE!</v>
      </c>
      <c r="FF92" t="e">
        <f>AND(Names!AG124,"AAAAABL/36E=")</f>
        <v>#VALUE!</v>
      </c>
      <c r="FG92" t="e">
        <f>AND(Names!AH124,"AAAAABL/36I=")</f>
        <v>#VALUE!</v>
      </c>
      <c r="FH92" t="e">
        <f>AND(Names!AI124,"AAAAABL/36M=")</f>
        <v>#VALUE!</v>
      </c>
      <c r="FI92" t="e">
        <f>AND(Names!AJ124,"AAAAABL/36Q=")</f>
        <v>#VALUE!</v>
      </c>
      <c r="FJ92" t="e">
        <f>AND(Names!AK124,"AAAAABL/36U=")</f>
        <v>#VALUE!</v>
      </c>
      <c r="FK92" t="e">
        <f>AND(Names!AL124,"AAAAABL/36Y=")</f>
        <v>#VALUE!</v>
      </c>
      <c r="FL92" t="e">
        <f>AND(Names!AM124,"AAAAABL/36c=")</f>
        <v>#VALUE!</v>
      </c>
      <c r="FM92">
        <f>IF(Names!125:125,"AAAAABL/36g=",0)</f>
        <v>0</v>
      </c>
      <c r="FN92" t="e">
        <f>AND(Names!A125,"AAAAABL/36k=")</f>
        <v>#VALUE!</v>
      </c>
      <c r="FO92" t="e">
        <f>AND(Names!B125,"AAAAABL/36o=")</f>
        <v>#VALUE!</v>
      </c>
      <c r="FP92" t="e">
        <f>AND(Names!C125,"AAAAABL/36s=")</f>
        <v>#VALUE!</v>
      </c>
      <c r="FQ92" t="e">
        <f>AND(Names!D125,"AAAAABL/36w=")</f>
        <v>#VALUE!</v>
      </c>
      <c r="FR92" t="e">
        <f>AND(Names!E125,"AAAAABL/360=")</f>
        <v>#VALUE!</v>
      </c>
      <c r="FS92" t="e">
        <f>AND(Names!F125,"AAAAABL/364=")</f>
        <v>#VALUE!</v>
      </c>
      <c r="FT92" t="e">
        <f>AND(Names!G125,"AAAAABL/368=")</f>
        <v>#VALUE!</v>
      </c>
      <c r="FU92" t="e">
        <f>AND(Names!H125,"AAAAABL/37A=")</f>
        <v>#VALUE!</v>
      </c>
      <c r="FV92" t="e">
        <f>AND(Names!I125,"AAAAABL/37E=")</f>
        <v>#VALUE!</v>
      </c>
      <c r="FW92" t="e">
        <f>AND(Names!J125,"AAAAABL/37I=")</f>
        <v>#VALUE!</v>
      </c>
      <c r="FX92" t="e">
        <f>AND(Names!K125,"AAAAABL/37M=")</f>
        <v>#VALUE!</v>
      </c>
      <c r="FY92" t="e">
        <f>AND(Names!L125,"AAAAABL/37Q=")</f>
        <v>#VALUE!</v>
      </c>
      <c r="FZ92" t="e">
        <f>AND(Names!M125,"AAAAABL/37U=")</f>
        <v>#VALUE!</v>
      </c>
      <c r="GA92" t="e">
        <f>AND(Names!N125,"AAAAABL/37Y=")</f>
        <v>#VALUE!</v>
      </c>
      <c r="GB92" t="e">
        <f>AND(Names!O125,"AAAAABL/37c=")</f>
        <v>#VALUE!</v>
      </c>
      <c r="GC92" t="e">
        <f>AND(Names!P125,"AAAAABL/37g=")</f>
        <v>#VALUE!</v>
      </c>
      <c r="GD92" t="e">
        <f>AND(Names!Q125,"AAAAABL/37k=")</f>
        <v>#VALUE!</v>
      </c>
      <c r="GE92" t="e">
        <f>AND(Names!R125,"AAAAABL/37o=")</f>
        <v>#VALUE!</v>
      </c>
      <c r="GF92" t="e">
        <f>AND(Names!S125,"AAAAABL/37s=")</f>
        <v>#VALUE!</v>
      </c>
      <c r="GG92" t="e">
        <f>AND(Names!T125,"AAAAABL/37w=")</f>
        <v>#VALUE!</v>
      </c>
      <c r="GH92" t="e">
        <f>AND(Names!U125,"AAAAABL/370=")</f>
        <v>#VALUE!</v>
      </c>
      <c r="GI92" t="e">
        <f>AND(Names!V125,"AAAAABL/374=")</f>
        <v>#VALUE!</v>
      </c>
      <c r="GJ92" t="e">
        <f>AND(Names!W125,"AAAAABL/378=")</f>
        <v>#VALUE!</v>
      </c>
      <c r="GK92" t="e">
        <f>AND(Names!X125,"AAAAABL/38A=")</f>
        <v>#VALUE!</v>
      </c>
      <c r="GL92" t="e">
        <f>AND(Names!Y125,"AAAAABL/38E=")</f>
        <v>#VALUE!</v>
      </c>
      <c r="GM92" t="e">
        <f>AND(Names!Z125,"AAAAABL/38I=")</f>
        <v>#VALUE!</v>
      </c>
      <c r="GN92" t="e">
        <f>AND(Names!AA125,"AAAAABL/38M=")</f>
        <v>#VALUE!</v>
      </c>
      <c r="GO92" t="e">
        <f>AND(Names!AB125,"AAAAABL/38Q=")</f>
        <v>#VALUE!</v>
      </c>
      <c r="GP92" t="e">
        <f>AND(Names!AC125,"AAAAABL/38U=")</f>
        <v>#VALUE!</v>
      </c>
      <c r="GQ92" t="e">
        <f>AND(Names!AD125,"AAAAABL/38Y=")</f>
        <v>#VALUE!</v>
      </c>
      <c r="GR92" t="e">
        <f>AND(Names!AE125,"AAAAABL/38c=")</f>
        <v>#VALUE!</v>
      </c>
      <c r="GS92" t="e">
        <f>AND(Names!AF125,"AAAAABL/38g=")</f>
        <v>#VALUE!</v>
      </c>
      <c r="GT92" t="e">
        <f>AND(Names!AG125,"AAAAABL/38k=")</f>
        <v>#VALUE!</v>
      </c>
      <c r="GU92" t="e">
        <f>AND(Names!AH125,"AAAAABL/38o=")</f>
        <v>#VALUE!</v>
      </c>
      <c r="GV92" t="e">
        <f>AND(Names!AI125,"AAAAABL/38s=")</f>
        <v>#VALUE!</v>
      </c>
      <c r="GW92" t="e">
        <f>AND(Names!AJ125,"AAAAABL/38w=")</f>
        <v>#VALUE!</v>
      </c>
      <c r="GX92" t="e">
        <f>AND(Names!AK125,"AAAAABL/380=")</f>
        <v>#VALUE!</v>
      </c>
      <c r="GY92" t="e">
        <f>AND(Names!AL125,"AAAAABL/384=")</f>
        <v>#VALUE!</v>
      </c>
      <c r="GZ92" t="e">
        <f>AND(Names!AM125,"AAAAABL/388=")</f>
        <v>#VALUE!</v>
      </c>
      <c r="HA92">
        <f>IF(Names!126:126,"AAAAABL/39A=",0)</f>
        <v>0</v>
      </c>
      <c r="HB92" t="e">
        <f>AND(Names!A126,"AAAAABL/39E=")</f>
        <v>#VALUE!</v>
      </c>
      <c r="HC92" t="e">
        <f>AND(Names!B126,"AAAAABL/39I=")</f>
        <v>#VALUE!</v>
      </c>
      <c r="HD92" t="e">
        <f>AND(Names!C126,"AAAAABL/39M=")</f>
        <v>#VALUE!</v>
      </c>
      <c r="HE92" t="e">
        <f>AND(Names!D126,"AAAAABL/39Q=")</f>
        <v>#VALUE!</v>
      </c>
      <c r="HF92" t="e">
        <f>AND(Names!E126,"AAAAABL/39U=")</f>
        <v>#VALUE!</v>
      </c>
      <c r="HG92" t="e">
        <f>AND(Names!F126,"AAAAABL/39Y=")</f>
        <v>#VALUE!</v>
      </c>
      <c r="HH92" t="e">
        <f>AND(Names!G126,"AAAAABL/39c=")</f>
        <v>#VALUE!</v>
      </c>
      <c r="HI92" t="e">
        <f>AND(Names!H126,"AAAAABL/39g=")</f>
        <v>#VALUE!</v>
      </c>
      <c r="HJ92" t="e">
        <f>AND(Names!I126,"AAAAABL/39k=")</f>
        <v>#VALUE!</v>
      </c>
      <c r="HK92" t="e">
        <f>AND(Names!J126,"AAAAABL/39o=")</f>
        <v>#VALUE!</v>
      </c>
      <c r="HL92" t="e">
        <f>AND(Names!K126,"AAAAABL/39s=")</f>
        <v>#VALUE!</v>
      </c>
      <c r="HM92" t="e">
        <f>AND(Names!L126,"AAAAABL/39w=")</f>
        <v>#VALUE!</v>
      </c>
      <c r="HN92" t="e">
        <f>AND(Names!M126,"AAAAABL/390=")</f>
        <v>#VALUE!</v>
      </c>
      <c r="HO92" t="e">
        <f>AND(Names!N126,"AAAAABL/394=")</f>
        <v>#VALUE!</v>
      </c>
      <c r="HP92" t="e">
        <f>AND(Names!O126,"AAAAABL/398=")</f>
        <v>#VALUE!</v>
      </c>
      <c r="HQ92" t="e">
        <f>AND(Names!P126,"AAAAABL/3+A=")</f>
        <v>#VALUE!</v>
      </c>
      <c r="HR92" t="e">
        <f>AND(Names!Q126,"AAAAABL/3+E=")</f>
        <v>#VALUE!</v>
      </c>
      <c r="HS92" t="e">
        <f>AND(Names!R126,"AAAAABL/3+I=")</f>
        <v>#VALUE!</v>
      </c>
      <c r="HT92" t="e">
        <f>AND(Names!S126,"AAAAABL/3+M=")</f>
        <v>#VALUE!</v>
      </c>
      <c r="HU92" t="e">
        <f>AND(Names!T126,"AAAAABL/3+Q=")</f>
        <v>#VALUE!</v>
      </c>
      <c r="HV92" t="e">
        <f>AND(Names!U126,"AAAAABL/3+U=")</f>
        <v>#VALUE!</v>
      </c>
      <c r="HW92" t="e">
        <f>AND(Names!V126,"AAAAABL/3+Y=")</f>
        <v>#VALUE!</v>
      </c>
      <c r="HX92" t="e">
        <f>AND(Names!W126,"AAAAABL/3+c=")</f>
        <v>#VALUE!</v>
      </c>
      <c r="HY92" t="e">
        <f>AND(Names!X126,"AAAAABL/3+g=")</f>
        <v>#VALUE!</v>
      </c>
      <c r="HZ92" t="e">
        <f>AND(Names!Y126,"AAAAABL/3+k=")</f>
        <v>#VALUE!</v>
      </c>
      <c r="IA92" t="e">
        <f>AND(Names!Z126,"AAAAABL/3+o=")</f>
        <v>#VALUE!</v>
      </c>
      <c r="IB92" t="e">
        <f>AND(Names!AA126,"AAAAABL/3+s=")</f>
        <v>#VALUE!</v>
      </c>
      <c r="IC92" t="e">
        <f>AND(Names!AB126,"AAAAABL/3+w=")</f>
        <v>#VALUE!</v>
      </c>
      <c r="ID92" t="e">
        <f>AND(Names!AC126,"AAAAABL/3+0=")</f>
        <v>#VALUE!</v>
      </c>
      <c r="IE92" t="e">
        <f>AND(Names!AD126,"AAAAABL/3+4=")</f>
        <v>#VALUE!</v>
      </c>
      <c r="IF92" t="e">
        <f>AND(Names!AE126,"AAAAABL/3+8=")</f>
        <v>#VALUE!</v>
      </c>
      <c r="IG92" t="e">
        <f>AND(Names!AF126,"AAAAABL/3/A=")</f>
        <v>#VALUE!</v>
      </c>
      <c r="IH92" t="e">
        <f>AND(Names!AG126,"AAAAABL/3/E=")</f>
        <v>#VALUE!</v>
      </c>
      <c r="II92" t="e">
        <f>AND(Names!AH126,"AAAAABL/3/I=")</f>
        <v>#VALUE!</v>
      </c>
      <c r="IJ92" t="e">
        <f>AND(Names!AI126,"AAAAABL/3/M=")</f>
        <v>#VALUE!</v>
      </c>
      <c r="IK92" t="e">
        <f>AND(Names!AJ126,"AAAAABL/3/Q=")</f>
        <v>#VALUE!</v>
      </c>
      <c r="IL92" t="e">
        <f>AND(Names!AK126,"AAAAABL/3/U=")</f>
        <v>#VALUE!</v>
      </c>
      <c r="IM92" t="e">
        <f>AND(Names!AL126,"AAAAABL/3/Y=")</f>
        <v>#VALUE!</v>
      </c>
      <c r="IN92" t="e">
        <f>AND(Names!AM126,"AAAAABL/3/c=")</f>
        <v>#VALUE!</v>
      </c>
      <c r="IO92">
        <f>IF(Names!127:127,"AAAAABL/3/g=",0)</f>
        <v>0</v>
      </c>
      <c r="IP92" t="e">
        <f>AND(Names!A127,"AAAAABL/3/k=")</f>
        <v>#VALUE!</v>
      </c>
      <c r="IQ92" t="e">
        <f>AND(Names!B127,"AAAAABL/3/o=")</f>
        <v>#VALUE!</v>
      </c>
      <c r="IR92" t="e">
        <f>AND(Names!C127,"AAAAABL/3/s=")</f>
        <v>#VALUE!</v>
      </c>
      <c r="IS92" t="e">
        <f>AND(Names!D127,"AAAAABL/3/w=")</f>
        <v>#VALUE!</v>
      </c>
      <c r="IT92" t="e">
        <f>AND(Names!E127,"AAAAABL/3/0=")</f>
        <v>#VALUE!</v>
      </c>
      <c r="IU92" t="e">
        <f>AND(Names!F127,"AAAAABL/3/4=")</f>
        <v>#VALUE!</v>
      </c>
      <c r="IV92" t="e">
        <f>AND(Names!G127,"AAAAABL/3/8=")</f>
        <v>#VALUE!</v>
      </c>
    </row>
    <row r="93" spans="1:256" x14ac:dyDescent="0.15">
      <c r="A93" t="e">
        <f>AND(Names!H127,"AAAAAGZ22wA=")</f>
        <v>#VALUE!</v>
      </c>
      <c r="B93" t="e">
        <f>AND(Names!I127,"AAAAAGZ22wE=")</f>
        <v>#VALUE!</v>
      </c>
      <c r="C93" t="e">
        <f>AND(Names!J127,"AAAAAGZ22wI=")</f>
        <v>#VALUE!</v>
      </c>
      <c r="D93" t="e">
        <f>AND(Names!K127,"AAAAAGZ22wM=")</f>
        <v>#VALUE!</v>
      </c>
      <c r="E93" t="e">
        <f>AND(Names!L127,"AAAAAGZ22wQ=")</f>
        <v>#VALUE!</v>
      </c>
      <c r="F93" t="e">
        <f>AND(Names!M127,"AAAAAGZ22wU=")</f>
        <v>#VALUE!</v>
      </c>
      <c r="G93" t="e">
        <f>AND(Names!N127,"AAAAAGZ22wY=")</f>
        <v>#VALUE!</v>
      </c>
      <c r="H93" t="e">
        <f>AND(Names!O127,"AAAAAGZ22wc=")</f>
        <v>#VALUE!</v>
      </c>
      <c r="I93" t="e">
        <f>AND(Names!P127,"AAAAAGZ22wg=")</f>
        <v>#VALUE!</v>
      </c>
      <c r="J93" t="e">
        <f>AND(Names!Q127,"AAAAAGZ22wk=")</f>
        <v>#VALUE!</v>
      </c>
      <c r="K93" t="e">
        <f>AND(Names!R127,"AAAAAGZ22wo=")</f>
        <v>#VALUE!</v>
      </c>
      <c r="L93" t="e">
        <f>AND(Names!S127,"AAAAAGZ22ws=")</f>
        <v>#VALUE!</v>
      </c>
      <c r="M93" t="e">
        <f>AND(Names!T127,"AAAAAGZ22ww=")</f>
        <v>#VALUE!</v>
      </c>
      <c r="N93" t="e">
        <f>AND(Names!U127,"AAAAAGZ22w0=")</f>
        <v>#VALUE!</v>
      </c>
      <c r="O93" t="e">
        <f>AND(Names!V127,"AAAAAGZ22w4=")</f>
        <v>#VALUE!</v>
      </c>
      <c r="P93" t="e">
        <f>AND(Names!W127,"AAAAAGZ22w8=")</f>
        <v>#VALUE!</v>
      </c>
      <c r="Q93" t="e">
        <f>AND(Names!X127,"AAAAAGZ22xA=")</f>
        <v>#VALUE!</v>
      </c>
      <c r="R93" t="e">
        <f>AND(Names!Y127,"AAAAAGZ22xE=")</f>
        <v>#VALUE!</v>
      </c>
      <c r="S93" t="e">
        <f>AND(Names!Z127,"AAAAAGZ22xI=")</f>
        <v>#VALUE!</v>
      </c>
      <c r="T93" t="e">
        <f>AND(Names!AA127,"AAAAAGZ22xM=")</f>
        <v>#VALUE!</v>
      </c>
      <c r="U93" t="e">
        <f>AND(Names!AB127,"AAAAAGZ22xQ=")</f>
        <v>#VALUE!</v>
      </c>
      <c r="V93" t="e">
        <f>AND(Names!AC127,"AAAAAGZ22xU=")</f>
        <v>#VALUE!</v>
      </c>
      <c r="W93" t="e">
        <f>AND(Names!AD127,"AAAAAGZ22xY=")</f>
        <v>#VALUE!</v>
      </c>
      <c r="X93" t="e">
        <f>AND(Names!AE127,"AAAAAGZ22xc=")</f>
        <v>#VALUE!</v>
      </c>
      <c r="Y93" t="e">
        <f>AND(Names!AF127,"AAAAAGZ22xg=")</f>
        <v>#VALUE!</v>
      </c>
      <c r="Z93" t="e">
        <f>AND(Names!AG127,"AAAAAGZ22xk=")</f>
        <v>#VALUE!</v>
      </c>
      <c r="AA93" t="e">
        <f>AND(Names!AH127,"AAAAAGZ22xo=")</f>
        <v>#VALUE!</v>
      </c>
      <c r="AB93" t="e">
        <f>AND(Names!AI127,"AAAAAGZ22xs=")</f>
        <v>#VALUE!</v>
      </c>
      <c r="AC93" t="e">
        <f>AND(Names!AJ127,"AAAAAGZ22xw=")</f>
        <v>#VALUE!</v>
      </c>
      <c r="AD93" t="e">
        <f>AND(Names!AK127,"AAAAAGZ22x0=")</f>
        <v>#VALUE!</v>
      </c>
      <c r="AE93" t="e">
        <f>AND(Names!AL127,"AAAAAGZ22x4=")</f>
        <v>#VALUE!</v>
      </c>
      <c r="AF93" t="e">
        <f>AND(Names!AM127,"AAAAAGZ22x8=")</f>
        <v>#VALUE!</v>
      </c>
      <c r="AG93">
        <f>IF(Names!128:128,"AAAAAGZ22yA=",0)</f>
        <v>0</v>
      </c>
      <c r="AH93" t="e">
        <f>AND(Names!A128,"AAAAAGZ22yE=")</f>
        <v>#VALUE!</v>
      </c>
      <c r="AI93" t="e">
        <f>AND(Names!B128,"AAAAAGZ22yI=")</f>
        <v>#VALUE!</v>
      </c>
      <c r="AJ93" t="e">
        <f>AND(Names!C128,"AAAAAGZ22yM=")</f>
        <v>#VALUE!</v>
      </c>
      <c r="AK93" t="e">
        <f>AND(Names!D128,"AAAAAGZ22yQ=")</f>
        <v>#VALUE!</v>
      </c>
      <c r="AL93" t="e">
        <f>AND(Names!E128,"AAAAAGZ22yU=")</f>
        <v>#VALUE!</v>
      </c>
      <c r="AM93" t="e">
        <f>AND(Names!F128,"AAAAAGZ22yY=")</f>
        <v>#VALUE!</v>
      </c>
      <c r="AN93" t="e">
        <f>AND(Names!G128,"AAAAAGZ22yc=")</f>
        <v>#VALUE!</v>
      </c>
      <c r="AO93" t="e">
        <f>AND(Names!H128,"AAAAAGZ22yg=")</f>
        <v>#VALUE!</v>
      </c>
      <c r="AP93" t="e">
        <f>AND(Names!I128,"AAAAAGZ22yk=")</f>
        <v>#VALUE!</v>
      </c>
      <c r="AQ93" t="e">
        <f>AND(Names!J128,"AAAAAGZ22yo=")</f>
        <v>#VALUE!</v>
      </c>
      <c r="AR93" t="e">
        <f>AND(Names!K128,"AAAAAGZ22ys=")</f>
        <v>#VALUE!</v>
      </c>
      <c r="AS93" t="e">
        <f>AND(Names!L128,"AAAAAGZ22yw=")</f>
        <v>#VALUE!</v>
      </c>
      <c r="AT93" t="e">
        <f>AND(Names!M128,"AAAAAGZ22y0=")</f>
        <v>#VALUE!</v>
      </c>
      <c r="AU93" t="e">
        <f>AND(Names!N128,"AAAAAGZ22y4=")</f>
        <v>#VALUE!</v>
      </c>
      <c r="AV93" t="e">
        <f>AND(Names!O128,"AAAAAGZ22y8=")</f>
        <v>#VALUE!</v>
      </c>
      <c r="AW93" t="e">
        <f>AND(Names!P128,"AAAAAGZ22zA=")</f>
        <v>#VALUE!</v>
      </c>
      <c r="AX93" t="e">
        <f>AND(Names!Q128,"AAAAAGZ22zE=")</f>
        <v>#VALUE!</v>
      </c>
      <c r="AY93" t="e">
        <f>AND(Names!R128,"AAAAAGZ22zI=")</f>
        <v>#VALUE!</v>
      </c>
      <c r="AZ93" t="e">
        <f>AND(Names!S128,"AAAAAGZ22zM=")</f>
        <v>#VALUE!</v>
      </c>
      <c r="BA93" t="e">
        <f>AND(Names!T128,"AAAAAGZ22zQ=")</f>
        <v>#VALUE!</v>
      </c>
      <c r="BB93" t="e">
        <f>AND(Names!U128,"AAAAAGZ22zU=")</f>
        <v>#VALUE!</v>
      </c>
      <c r="BC93" t="e">
        <f>AND(Names!V128,"AAAAAGZ22zY=")</f>
        <v>#VALUE!</v>
      </c>
      <c r="BD93" t="e">
        <f>AND(Names!W128,"AAAAAGZ22zc=")</f>
        <v>#VALUE!</v>
      </c>
      <c r="BE93" t="e">
        <f>AND(Names!X128,"AAAAAGZ22zg=")</f>
        <v>#VALUE!</v>
      </c>
      <c r="BF93" t="e">
        <f>AND(Names!Y128,"AAAAAGZ22zk=")</f>
        <v>#VALUE!</v>
      </c>
      <c r="BG93" t="e">
        <f>AND(Names!Z128,"AAAAAGZ22zo=")</f>
        <v>#VALUE!</v>
      </c>
      <c r="BH93" t="e">
        <f>AND(Names!AA128,"AAAAAGZ22zs=")</f>
        <v>#VALUE!</v>
      </c>
      <c r="BI93" t="e">
        <f>AND(Names!AB128,"AAAAAGZ22zw=")</f>
        <v>#VALUE!</v>
      </c>
      <c r="BJ93" t="e">
        <f>AND(Names!AC128,"AAAAAGZ22z0=")</f>
        <v>#VALUE!</v>
      </c>
      <c r="BK93" t="e">
        <f>AND(Names!AD128,"AAAAAGZ22z4=")</f>
        <v>#VALUE!</v>
      </c>
      <c r="BL93" t="e">
        <f>AND(Names!AE128,"AAAAAGZ22z8=")</f>
        <v>#VALUE!</v>
      </c>
      <c r="BM93" t="e">
        <f>AND(Names!AF128,"AAAAAGZ220A=")</f>
        <v>#VALUE!</v>
      </c>
      <c r="BN93" t="e">
        <f>AND(Names!AG128,"AAAAAGZ220E=")</f>
        <v>#VALUE!</v>
      </c>
      <c r="BO93" t="e">
        <f>AND(Names!AH128,"AAAAAGZ220I=")</f>
        <v>#VALUE!</v>
      </c>
      <c r="BP93" t="e">
        <f>AND(Names!AI128,"AAAAAGZ220M=")</f>
        <v>#VALUE!</v>
      </c>
      <c r="BQ93" t="e">
        <f>AND(Names!AJ128,"AAAAAGZ220Q=")</f>
        <v>#VALUE!</v>
      </c>
      <c r="BR93" t="e">
        <f>AND(Names!AK128,"AAAAAGZ220U=")</f>
        <v>#VALUE!</v>
      </c>
      <c r="BS93" t="e">
        <f>AND(Names!AL128,"AAAAAGZ220Y=")</f>
        <v>#VALUE!</v>
      </c>
      <c r="BT93" t="e">
        <f>AND(Names!AM128,"AAAAAGZ220c=")</f>
        <v>#VALUE!</v>
      </c>
      <c r="BU93">
        <f>IF(Names!129:129,"AAAAAGZ220g=",0)</f>
        <v>0</v>
      </c>
      <c r="BV93" t="e">
        <f>AND(Names!A129,"AAAAAGZ220k=")</f>
        <v>#VALUE!</v>
      </c>
      <c r="BW93" t="e">
        <f>AND(Names!B129,"AAAAAGZ220o=")</f>
        <v>#VALUE!</v>
      </c>
      <c r="BX93" t="e">
        <f>AND(Names!C129,"AAAAAGZ220s=")</f>
        <v>#VALUE!</v>
      </c>
      <c r="BY93" t="e">
        <f>AND(Names!D129,"AAAAAGZ220w=")</f>
        <v>#VALUE!</v>
      </c>
      <c r="BZ93" t="e">
        <f>AND(Names!E129,"AAAAAGZ2200=")</f>
        <v>#VALUE!</v>
      </c>
      <c r="CA93" t="e">
        <f>AND(Names!F129,"AAAAAGZ2204=")</f>
        <v>#VALUE!</v>
      </c>
      <c r="CB93" t="e">
        <f>AND(Names!G129,"AAAAAGZ2208=")</f>
        <v>#VALUE!</v>
      </c>
      <c r="CC93" t="e">
        <f>AND(Names!H129,"AAAAAGZ221A=")</f>
        <v>#VALUE!</v>
      </c>
      <c r="CD93" t="e">
        <f>AND(Names!I129,"AAAAAGZ221E=")</f>
        <v>#VALUE!</v>
      </c>
      <c r="CE93" t="e">
        <f>AND(Names!J129,"AAAAAGZ221I=")</f>
        <v>#VALUE!</v>
      </c>
      <c r="CF93" t="e">
        <f>AND(Names!K129,"AAAAAGZ221M=")</f>
        <v>#VALUE!</v>
      </c>
      <c r="CG93" t="e">
        <f>AND(Names!L129,"AAAAAGZ221Q=")</f>
        <v>#VALUE!</v>
      </c>
      <c r="CH93" t="e">
        <f>AND(Names!M129,"AAAAAGZ221U=")</f>
        <v>#VALUE!</v>
      </c>
      <c r="CI93" t="e">
        <f>AND(Names!N129,"AAAAAGZ221Y=")</f>
        <v>#VALUE!</v>
      </c>
      <c r="CJ93" t="e">
        <f>AND(Names!O129,"AAAAAGZ221c=")</f>
        <v>#VALUE!</v>
      </c>
      <c r="CK93" t="e">
        <f>AND(Names!P129,"AAAAAGZ221g=")</f>
        <v>#VALUE!</v>
      </c>
      <c r="CL93" t="e">
        <f>AND(Names!Q129,"AAAAAGZ221k=")</f>
        <v>#VALUE!</v>
      </c>
      <c r="CM93" t="e">
        <f>AND(Names!R129,"AAAAAGZ221o=")</f>
        <v>#VALUE!</v>
      </c>
      <c r="CN93" t="e">
        <f>AND(Names!S129,"AAAAAGZ221s=")</f>
        <v>#VALUE!</v>
      </c>
      <c r="CO93" t="e">
        <f>AND(Names!T129,"AAAAAGZ221w=")</f>
        <v>#VALUE!</v>
      </c>
      <c r="CP93" t="e">
        <f>AND(Names!U129,"AAAAAGZ2210=")</f>
        <v>#VALUE!</v>
      </c>
      <c r="CQ93" t="e">
        <f>AND(Names!V129,"AAAAAGZ2214=")</f>
        <v>#VALUE!</v>
      </c>
      <c r="CR93" t="e">
        <f>AND(Names!W129,"AAAAAGZ2218=")</f>
        <v>#VALUE!</v>
      </c>
      <c r="CS93" t="e">
        <f>AND(Names!X129,"AAAAAGZ222A=")</f>
        <v>#VALUE!</v>
      </c>
      <c r="CT93" t="e">
        <f>AND(Names!Y129,"AAAAAGZ222E=")</f>
        <v>#VALUE!</v>
      </c>
      <c r="CU93" t="e">
        <f>AND(Names!Z129,"AAAAAGZ222I=")</f>
        <v>#VALUE!</v>
      </c>
      <c r="CV93" t="e">
        <f>AND(Names!AA129,"AAAAAGZ222M=")</f>
        <v>#VALUE!</v>
      </c>
      <c r="CW93" t="e">
        <f>AND(Names!AB129,"AAAAAGZ222Q=")</f>
        <v>#VALUE!</v>
      </c>
      <c r="CX93" t="e">
        <f>AND(Names!AC129,"AAAAAGZ222U=")</f>
        <v>#VALUE!</v>
      </c>
      <c r="CY93" t="e">
        <f>AND(Names!AD129,"AAAAAGZ222Y=")</f>
        <v>#VALUE!</v>
      </c>
      <c r="CZ93" t="e">
        <f>AND(Names!AE129,"AAAAAGZ222c=")</f>
        <v>#VALUE!</v>
      </c>
      <c r="DA93" t="e">
        <f>AND(Names!AF129,"AAAAAGZ222g=")</f>
        <v>#VALUE!</v>
      </c>
      <c r="DB93" t="e">
        <f>AND(Names!AG129,"AAAAAGZ222k=")</f>
        <v>#VALUE!</v>
      </c>
      <c r="DC93" t="e">
        <f>AND(Names!AH129,"AAAAAGZ222o=")</f>
        <v>#VALUE!</v>
      </c>
      <c r="DD93" t="e">
        <f>AND(Names!AI129,"AAAAAGZ222s=")</f>
        <v>#VALUE!</v>
      </c>
      <c r="DE93" t="e">
        <f>AND(Names!AJ129,"AAAAAGZ222w=")</f>
        <v>#VALUE!</v>
      </c>
      <c r="DF93" t="e">
        <f>AND(Names!AK129,"AAAAAGZ2220=")</f>
        <v>#VALUE!</v>
      </c>
      <c r="DG93" t="e">
        <f>AND(Names!AL129,"AAAAAGZ2224=")</f>
        <v>#VALUE!</v>
      </c>
      <c r="DH93" t="e">
        <f>AND(Names!AM129,"AAAAAGZ2228=")</f>
        <v>#VALUE!</v>
      </c>
      <c r="DI93">
        <f>IF(Names!130:130,"AAAAAGZ223A=",0)</f>
        <v>0</v>
      </c>
      <c r="DJ93" t="e">
        <f>AND(Names!A130,"AAAAAGZ223E=")</f>
        <v>#VALUE!</v>
      </c>
      <c r="DK93" t="e">
        <f>AND(Names!B130,"AAAAAGZ223I=")</f>
        <v>#VALUE!</v>
      </c>
      <c r="DL93" t="e">
        <f>AND(Names!C130,"AAAAAGZ223M=")</f>
        <v>#VALUE!</v>
      </c>
      <c r="DM93" t="e">
        <f>AND(Names!D130,"AAAAAGZ223Q=")</f>
        <v>#VALUE!</v>
      </c>
      <c r="DN93" t="e">
        <f>AND(Names!E130,"AAAAAGZ223U=")</f>
        <v>#VALUE!</v>
      </c>
      <c r="DO93" t="e">
        <f>AND(Names!F130,"AAAAAGZ223Y=")</f>
        <v>#VALUE!</v>
      </c>
      <c r="DP93" t="e">
        <f>AND(Names!G130,"AAAAAGZ223c=")</f>
        <v>#VALUE!</v>
      </c>
      <c r="DQ93" t="e">
        <f>AND(Names!H130,"AAAAAGZ223g=")</f>
        <v>#VALUE!</v>
      </c>
      <c r="DR93" t="e">
        <f>AND(Names!I130,"AAAAAGZ223k=")</f>
        <v>#VALUE!</v>
      </c>
      <c r="DS93" t="e">
        <f>AND(Names!J130,"AAAAAGZ223o=")</f>
        <v>#VALUE!</v>
      </c>
      <c r="DT93" t="e">
        <f>AND(Names!K130,"AAAAAGZ223s=")</f>
        <v>#VALUE!</v>
      </c>
      <c r="DU93" t="e">
        <f>AND(Names!L130,"AAAAAGZ223w=")</f>
        <v>#VALUE!</v>
      </c>
      <c r="DV93" t="e">
        <f>AND(Names!M130,"AAAAAGZ2230=")</f>
        <v>#VALUE!</v>
      </c>
      <c r="DW93" t="e">
        <f>AND(Names!N130,"AAAAAGZ2234=")</f>
        <v>#VALUE!</v>
      </c>
      <c r="DX93" t="e">
        <f>AND(Names!O130,"AAAAAGZ2238=")</f>
        <v>#VALUE!</v>
      </c>
      <c r="DY93" t="e">
        <f>AND(Names!P130,"AAAAAGZ224A=")</f>
        <v>#VALUE!</v>
      </c>
      <c r="DZ93" t="e">
        <f>AND(Names!Q130,"AAAAAGZ224E=")</f>
        <v>#VALUE!</v>
      </c>
      <c r="EA93" t="e">
        <f>AND(Names!R130,"AAAAAGZ224I=")</f>
        <v>#VALUE!</v>
      </c>
      <c r="EB93" t="e">
        <f>AND(Names!S130,"AAAAAGZ224M=")</f>
        <v>#VALUE!</v>
      </c>
      <c r="EC93" t="e">
        <f>AND(Names!T130,"AAAAAGZ224Q=")</f>
        <v>#VALUE!</v>
      </c>
      <c r="ED93" t="e">
        <f>AND(Names!U130,"AAAAAGZ224U=")</f>
        <v>#VALUE!</v>
      </c>
      <c r="EE93" t="e">
        <f>AND(Names!V130,"AAAAAGZ224Y=")</f>
        <v>#VALUE!</v>
      </c>
      <c r="EF93" t="e">
        <f>AND(Names!W130,"AAAAAGZ224c=")</f>
        <v>#VALUE!</v>
      </c>
      <c r="EG93" t="e">
        <f>AND(Names!X130,"AAAAAGZ224g=")</f>
        <v>#VALUE!</v>
      </c>
      <c r="EH93" t="e">
        <f>AND(Names!Y130,"AAAAAGZ224k=")</f>
        <v>#VALUE!</v>
      </c>
      <c r="EI93" t="e">
        <f>AND(Names!Z130,"AAAAAGZ224o=")</f>
        <v>#VALUE!</v>
      </c>
      <c r="EJ93" t="e">
        <f>AND(Names!AA130,"AAAAAGZ224s=")</f>
        <v>#VALUE!</v>
      </c>
      <c r="EK93" t="e">
        <f>AND(Names!AB130,"AAAAAGZ224w=")</f>
        <v>#VALUE!</v>
      </c>
      <c r="EL93" t="e">
        <f>AND(Names!AC130,"AAAAAGZ2240=")</f>
        <v>#VALUE!</v>
      </c>
      <c r="EM93" t="e">
        <f>AND(Names!AD130,"AAAAAGZ2244=")</f>
        <v>#VALUE!</v>
      </c>
      <c r="EN93" t="e">
        <f>AND(Names!AE130,"AAAAAGZ2248=")</f>
        <v>#VALUE!</v>
      </c>
      <c r="EO93" t="e">
        <f>AND(Names!AF130,"AAAAAGZ225A=")</f>
        <v>#VALUE!</v>
      </c>
      <c r="EP93" t="e">
        <f>AND(Names!AG130,"AAAAAGZ225E=")</f>
        <v>#VALUE!</v>
      </c>
      <c r="EQ93" t="e">
        <f>AND(Names!AH130,"AAAAAGZ225I=")</f>
        <v>#VALUE!</v>
      </c>
      <c r="ER93" t="e">
        <f>AND(Names!AI130,"AAAAAGZ225M=")</f>
        <v>#VALUE!</v>
      </c>
      <c r="ES93" t="e">
        <f>AND(Names!AJ130,"AAAAAGZ225Q=")</f>
        <v>#VALUE!</v>
      </c>
      <c r="ET93" t="e">
        <f>AND(Names!AK130,"AAAAAGZ225U=")</f>
        <v>#VALUE!</v>
      </c>
      <c r="EU93" t="e">
        <f>AND(Names!AL130,"AAAAAGZ225Y=")</f>
        <v>#VALUE!</v>
      </c>
      <c r="EV93" t="e">
        <f>AND(Names!AM130,"AAAAAGZ225c=")</f>
        <v>#VALUE!</v>
      </c>
      <c r="EW93">
        <f>IF(Names!131:131,"AAAAAGZ225g=",0)</f>
        <v>0</v>
      </c>
      <c r="EX93" t="e">
        <f>AND(Names!A131,"AAAAAGZ225k=")</f>
        <v>#VALUE!</v>
      </c>
      <c r="EY93" t="e">
        <f>AND(Names!B131,"AAAAAGZ225o=")</f>
        <v>#VALUE!</v>
      </c>
      <c r="EZ93" t="e">
        <f>AND(Names!C131,"AAAAAGZ225s=")</f>
        <v>#VALUE!</v>
      </c>
      <c r="FA93" t="e">
        <f>AND(Names!D131,"AAAAAGZ225w=")</f>
        <v>#VALUE!</v>
      </c>
      <c r="FB93" t="e">
        <f>AND(Names!E131,"AAAAAGZ2250=")</f>
        <v>#VALUE!</v>
      </c>
      <c r="FC93" t="e">
        <f>AND(Names!F131,"AAAAAGZ2254=")</f>
        <v>#VALUE!</v>
      </c>
      <c r="FD93" t="e">
        <f>AND(Names!G131,"AAAAAGZ2258=")</f>
        <v>#VALUE!</v>
      </c>
      <c r="FE93" t="e">
        <f>AND(Names!H131,"AAAAAGZ226A=")</f>
        <v>#VALUE!</v>
      </c>
      <c r="FF93" t="e">
        <f>AND(Names!I131,"AAAAAGZ226E=")</f>
        <v>#VALUE!</v>
      </c>
      <c r="FG93" t="e">
        <f>AND(Names!J131,"AAAAAGZ226I=")</f>
        <v>#VALUE!</v>
      </c>
      <c r="FH93" t="e">
        <f>AND(Names!K131,"AAAAAGZ226M=")</f>
        <v>#VALUE!</v>
      </c>
      <c r="FI93" t="e">
        <f>AND(Names!L131,"AAAAAGZ226Q=")</f>
        <v>#VALUE!</v>
      </c>
      <c r="FJ93" t="e">
        <f>AND(Names!M131,"AAAAAGZ226U=")</f>
        <v>#VALUE!</v>
      </c>
      <c r="FK93" t="e">
        <f>AND(Names!N131,"AAAAAGZ226Y=")</f>
        <v>#VALUE!</v>
      </c>
      <c r="FL93" t="e">
        <f>AND(Names!O131,"AAAAAGZ226c=")</f>
        <v>#VALUE!</v>
      </c>
      <c r="FM93" t="e">
        <f>AND(Names!P131,"AAAAAGZ226g=")</f>
        <v>#VALUE!</v>
      </c>
      <c r="FN93" t="e">
        <f>AND(Names!Q131,"AAAAAGZ226k=")</f>
        <v>#VALUE!</v>
      </c>
      <c r="FO93" t="e">
        <f>AND(Names!R131,"AAAAAGZ226o=")</f>
        <v>#VALUE!</v>
      </c>
      <c r="FP93" t="e">
        <f>AND(Names!S131,"AAAAAGZ226s=")</f>
        <v>#VALUE!</v>
      </c>
      <c r="FQ93" t="e">
        <f>AND(Names!T131,"AAAAAGZ226w=")</f>
        <v>#VALUE!</v>
      </c>
      <c r="FR93" t="e">
        <f>AND(Names!U131,"AAAAAGZ2260=")</f>
        <v>#VALUE!</v>
      </c>
      <c r="FS93" t="e">
        <f>AND(Names!V131,"AAAAAGZ2264=")</f>
        <v>#VALUE!</v>
      </c>
      <c r="FT93" t="e">
        <f>AND(Names!W131,"AAAAAGZ2268=")</f>
        <v>#VALUE!</v>
      </c>
      <c r="FU93" t="e">
        <f>AND(Names!X131,"AAAAAGZ227A=")</f>
        <v>#VALUE!</v>
      </c>
      <c r="FV93" t="e">
        <f>AND(Names!Y131,"AAAAAGZ227E=")</f>
        <v>#VALUE!</v>
      </c>
      <c r="FW93" t="e">
        <f>AND(Names!Z131,"AAAAAGZ227I=")</f>
        <v>#VALUE!</v>
      </c>
      <c r="FX93" t="e">
        <f>AND(Names!AA131,"AAAAAGZ227M=")</f>
        <v>#VALUE!</v>
      </c>
      <c r="FY93" t="e">
        <f>AND(Names!AB131,"AAAAAGZ227Q=")</f>
        <v>#VALUE!</v>
      </c>
      <c r="FZ93" t="e">
        <f>AND(Names!AC131,"AAAAAGZ227U=")</f>
        <v>#VALUE!</v>
      </c>
      <c r="GA93" t="e">
        <f>AND(Names!AD131,"AAAAAGZ227Y=")</f>
        <v>#VALUE!</v>
      </c>
      <c r="GB93" t="e">
        <f>AND(Names!AE131,"AAAAAGZ227c=")</f>
        <v>#VALUE!</v>
      </c>
      <c r="GC93" t="e">
        <f>AND(Names!AF131,"AAAAAGZ227g=")</f>
        <v>#VALUE!</v>
      </c>
      <c r="GD93" t="e">
        <f>AND(Names!AG131,"AAAAAGZ227k=")</f>
        <v>#VALUE!</v>
      </c>
      <c r="GE93" t="e">
        <f>AND(Names!AH131,"AAAAAGZ227o=")</f>
        <v>#VALUE!</v>
      </c>
      <c r="GF93" t="e">
        <f>AND(Names!AI131,"AAAAAGZ227s=")</f>
        <v>#VALUE!</v>
      </c>
      <c r="GG93" t="e">
        <f>AND(Names!AJ131,"AAAAAGZ227w=")</f>
        <v>#VALUE!</v>
      </c>
      <c r="GH93" t="e">
        <f>AND(Names!AK131,"AAAAAGZ2270=")</f>
        <v>#VALUE!</v>
      </c>
      <c r="GI93" t="e">
        <f>AND(Names!AL131,"AAAAAGZ2274=")</f>
        <v>#VALUE!</v>
      </c>
      <c r="GJ93" t="e">
        <f>AND(Names!AM131,"AAAAAGZ2278=")</f>
        <v>#VALUE!</v>
      </c>
      <c r="GK93">
        <f>IF(Names!132:132,"AAAAAGZ228A=",0)</f>
        <v>0</v>
      </c>
      <c r="GL93" t="e">
        <f>AND(Names!A132,"AAAAAGZ228E=")</f>
        <v>#VALUE!</v>
      </c>
      <c r="GM93" t="e">
        <f>AND(Names!B132,"AAAAAGZ228I=")</f>
        <v>#VALUE!</v>
      </c>
      <c r="GN93" t="e">
        <f>AND(Names!C132,"AAAAAGZ228M=")</f>
        <v>#VALUE!</v>
      </c>
      <c r="GO93" t="e">
        <f>AND(Names!D132,"AAAAAGZ228Q=")</f>
        <v>#VALUE!</v>
      </c>
      <c r="GP93" t="e">
        <f>AND(Names!E132,"AAAAAGZ228U=")</f>
        <v>#VALUE!</v>
      </c>
      <c r="GQ93" t="e">
        <f>AND(Names!F132,"AAAAAGZ228Y=")</f>
        <v>#VALUE!</v>
      </c>
      <c r="GR93" t="e">
        <f>AND(Names!G132,"AAAAAGZ228c=")</f>
        <v>#VALUE!</v>
      </c>
      <c r="GS93" t="e">
        <f>AND(Names!H132,"AAAAAGZ228g=")</f>
        <v>#VALUE!</v>
      </c>
      <c r="GT93" t="e">
        <f>AND(Names!I132,"AAAAAGZ228k=")</f>
        <v>#VALUE!</v>
      </c>
      <c r="GU93" t="e">
        <f>AND(Names!J132,"AAAAAGZ228o=")</f>
        <v>#VALUE!</v>
      </c>
      <c r="GV93" t="e">
        <f>AND(Names!K132,"AAAAAGZ228s=")</f>
        <v>#VALUE!</v>
      </c>
      <c r="GW93" t="e">
        <f>AND(Names!L132,"AAAAAGZ228w=")</f>
        <v>#VALUE!</v>
      </c>
      <c r="GX93" t="e">
        <f>AND(Names!M132,"AAAAAGZ2280=")</f>
        <v>#VALUE!</v>
      </c>
      <c r="GY93" t="e">
        <f>AND(Names!N132,"AAAAAGZ2284=")</f>
        <v>#VALUE!</v>
      </c>
      <c r="GZ93" t="e">
        <f>AND(Names!O132,"AAAAAGZ2288=")</f>
        <v>#VALUE!</v>
      </c>
      <c r="HA93" t="e">
        <f>AND(Names!P132,"AAAAAGZ229A=")</f>
        <v>#VALUE!</v>
      </c>
      <c r="HB93" t="e">
        <f>AND(Names!Q132,"AAAAAGZ229E=")</f>
        <v>#VALUE!</v>
      </c>
      <c r="HC93" t="e">
        <f>AND(Names!R132,"AAAAAGZ229I=")</f>
        <v>#VALUE!</v>
      </c>
      <c r="HD93" t="e">
        <f>AND(Names!S132,"AAAAAGZ229M=")</f>
        <v>#VALUE!</v>
      </c>
      <c r="HE93" t="e">
        <f>AND(Names!T132,"AAAAAGZ229Q=")</f>
        <v>#VALUE!</v>
      </c>
      <c r="HF93" t="e">
        <f>AND(Names!U132,"AAAAAGZ229U=")</f>
        <v>#VALUE!</v>
      </c>
      <c r="HG93" t="e">
        <f>AND(Names!V132,"AAAAAGZ229Y=")</f>
        <v>#VALUE!</v>
      </c>
      <c r="HH93" t="e">
        <f>AND(Names!W132,"AAAAAGZ229c=")</f>
        <v>#VALUE!</v>
      </c>
      <c r="HI93" t="e">
        <f>AND(Names!X132,"AAAAAGZ229g=")</f>
        <v>#VALUE!</v>
      </c>
      <c r="HJ93" t="e">
        <f>AND(Names!Y132,"AAAAAGZ229k=")</f>
        <v>#VALUE!</v>
      </c>
      <c r="HK93" t="e">
        <f>AND(Names!Z132,"AAAAAGZ229o=")</f>
        <v>#VALUE!</v>
      </c>
      <c r="HL93" t="e">
        <f>AND(Names!AA132,"AAAAAGZ229s=")</f>
        <v>#VALUE!</v>
      </c>
      <c r="HM93" t="e">
        <f>AND(Names!AB132,"AAAAAGZ229w=")</f>
        <v>#VALUE!</v>
      </c>
      <c r="HN93" t="e">
        <f>AND(Names!AC132,"AAAAAGZ2290=")</f>
        <v>#VALUE!</v>
      </c>
      <c r="HO93" t="e">
        <f>AND(Names!AD132,"AAAAAGZ2294=")</f>
        <v>#VALUE!</v>
      </c>
      <c r="HP93" t="e">
        <f>AND(Names!AE132,"AAAAAGZ2298=")</f>
        <v>#VALUE!</v>
      </c>
      <c r="HQ93" t="e">
        <f>AND(Names!AF132,"AAAAAGZ22+A=")</f>
        <v>#VALUE!</v>
      </c>
      <c r="HR93" t="e">
        <f>AND(Names!AG132,"AAAAAGZ22+E=")</f>
        <v>#VALUE!</v>
      </c>
      <c r="HS93" t="e">
        <f>AND(Names!AH132,"AAAAAGZ22+I=")</f>
        <v>#VALUE!</v>
      </c>
      <c r="HT93" t="e">
        <f>AND(Names!AI132,"AAAAAGZ22+M=")</f>
        <v>#VALUE!</v>
      </c>
      <c r="HU93" t="e">
        <f>AND(Names!AJ132,"AAAAAGZ22+Q=")</f>
        <v>#VALUE!</v>
      </c>
      <c r="HV93" t="e">
        <f>AND(Names!AK132,"AAAAAGZ22+U=")</f>
        <v>#VALUE!</v>
      </c>
      <c r="HW93" t="e">
        <f>AND(Names!AL132,"AAAAAGZ22+Y=")</f>
        <v>#VALUE!</v>
      </c>
      <c r="HX93" t="e">
        <f>AND(Names!AM132,"AAAAAGZ22+c=")</f>
        <v>#VALUE!</v>
      </c>
      <c r="HY93">
        <f>IF(Names!133:133,"AAAAAGZ22+g=",0)</f>
        <v>0</v>
      </c>
      <c r="HZ93" t="e">
        <f>AND(Names!A133,"AAAAAGZ22+k=")</f>
        <v>#VALUE!</v>
      </c>
      <c r="IA93" t="e">
        <f>AND(Names!B133,"AAAAAGZ22+o=")</f>
        <v>#VALUE!</v>
      </c>
      <c r="IB93" t="e">
        <f>AND(Names!C133,"AAAAAGZ22+s=")</f>
        <v>#VALUE!</v>
      </c>
      <c r="IC93" t="e">
        <f>AND(Names!D133,"AAAAAGZ22+w=")</f>
        <v>#VALUE!</v>
      </c>
      <c r="ID93" t="e">
        <f>AND(Names!E133,"AAAAAGZ22+0=")</f>
        <v>#VALUE!</v>
      </c>
      <c r="IE93" t="e">
        <f>AND(Names!F133,"AAAAAGZ22+4=")</f>
        <v>#VALUE!</v>
      </c>
      <c r="IF93" t="e">
        <f>AND(Names!G133,"AAAAAGZ22+8=")</f>
        <v>#VALUE!</v>
      </c>
      <c r="IG93" t="e">
        <f>AND(Names!H133,"AAAAAGZ22/A=")</f>
        <v>#VALUE!</v>
      </c>
      <c r="IH93" t="e">
        <f>AND(Names!I133,"AAAAAGZ22/E=")</f>
        <v>#VALUE!</v>
      </c>
      <c r="II93" t="e">
        <f>AND(Names!J133,"AAAAAGZ22/I=")</f>
        <v>#VALUE!</v>
      </c>
      <c r="IJ93" t="e">
        <f>AND(Names!K133,"AAAAAGZ22/M=")</f>
        <v>#VALUE!</v>
      </c>
      <c r="IK93" t="e">
        <f>AND(Names!L133,"AAAAAGZ22/Q=")</f>
        <v>#VALUE!</v>
      </c>
      <c r="IL93" t="e">
        <f>AND(Names!M133,"AAAAAGZ22/U=")</f>
        <v>#VALUE!</v>
      </c>
      <c r="IM93" t="e">
        <f>AND(Names!N133,"AAAAAGZ22/Y=")</f>
        <v>#VALUE!</v>
      </c>
      <c r="IN93" t="e">
        <f>AND(Names!O133,"AAAAAGZ22/c=")</f>
        <v>#VALUE!</v>
      </c>
      <c r="IO93" t="e">
        <f>AND(Names!P133,"AAAAAGZ22/g=")</f>
        <v>#VALUE!</v>
      </c>
      <c r="IP93" t="e">
        <f>AND(Names!Q133,"AAAAAGZ22/k=")</f>
        <v>#VALUE!</v>
      </c>
      <c r="IQ93" t="e">
        <f>AND(Names!R133,"AAAAAGZ22/o=")</f>
        <v>#VALUE!</v>
      </c>
      <c r="IR93" t="e">
        <f>AND(Names!S133,"AAAAAGZ22/s=")</f>
        <v>#VALUE!</v>
      </c>
      <c r="IS93" t="e">
        <f>AND(Names!T133,"AAAAAGZ22/w=")</f>
        <v>#VALUE!</v>
      </c>
      <c r="IT93" t="e">
        <f>AND(Names!U133,"AAAAAGZ22/0=")</f>
        <v>#VALUE!</v>
      </c>
      <c r="IU93" t="e">
        <f>AND(Names!V133,"AAAAAGZ22/4=")</f>
        <v>#VALUE!</v>
      </c>
      <c r="IV93" t="e">
        <f>AND(Names!W133,"AAAAAGZ22/8=")</f>
        <v>#VALUE!</v>
      </c>
    </row>
    <row r="94" spans="1:256" x14ac:dyDescent="0.15">
      <c r="A94" t="e">
        <f>AND(Names!X133,"AAAAAHV33wA=")</f>
        <v>#VALUE!</v>
      </c>
      <c r="B94" t="e">
        <f>AND(Names!Y133,"AAAAAHV33wE=")</f>
        <v>#VALUE!</v>
      </c>
      <c r="C94" t="e">
        <f>AND(Names!Z133,"AAAAAHV33wI=")</f>
        <v>#VALUE!</v>
      </c>
      <c r="D94" t="e">
        <f>AND(Names!AA133,"AAAAAHV33wM=")</f>
        <v>#VALUE!</v>
      </c>
      <c r="E94" t="e">
        <f>AND(Names!AB133,"AAAAAHV33wQ=")</f>
        <v>#VALUE!</v>
      </c>
      <c r="F94" t="e">
        <f>AND(Names!AC133,"AAAAAHV33wU=")</f>
        <v>#VALUE!</v>
      </c>
      <c r="G94" t="e">
        <f>AND(Names!AD133,"AAAAAHV33wY=")</f>
        <v>#VALUE!</v>
      </c>
      <c r="H94" t="e">
        <f>AND(Names!AE133,"AAAAAHV33wc=")</f>
        <v>#VALUE!</v>
      </c>
      <c r="I94" t="e">
        <f>AND(Names!AF133,"AAAAAHV33wg=")</f>
        <v>#VALUE!</v>
      </c>
      <c r="J94" t="e">
        <f>AND(Names!AG133,"AAAAAHV33wk=")</f>
        <v>#VALUE!</v>
      </c>
      <c r="K94" t="e">
        <f>AND(Names!AH133,"AAAAAHV33wo=")</f>
        <v>#VALUE!</v>
      </c>
      <c r="L94" t="e">
        <f>AND(Names!AI133,"AAAAAHV33ws=")</f>
        <v>#VALUE!</v>
      </c>
      <c r="M94" t="e">
        <f>AND(Names!AJ133,"AAAAAHV33ww=")</f>
        <v>#VALUE!</v>
      </c>
      <c r="N94" t="e">
        <f>AND(Names!AK133,"AAAAAHV33w0=")</f>
        <v>#VALUE!</v>
      </c>
      <c r="O94" t="e">
        <f>AND(Names!AL133,"AAAAAHV33w4=")</f>
        <v>#VALUE!</v>
      </c>
      <c r="P94" t="e">
        <f>AND(Names!AM133,"AAAAAHV33w8=")</f>
        <v>#VALUE!</v>
      </c>
      <c r="Q94">
        <f>IF(Names!134:134,"AAAAAHV33xA=",0)</f>
        <v>0</v>
      </c>
      <c r="R94" t="e">
        <f>AND(Names!A134,"AAAAAHV33xE=")</f>
        <v>#VALUE!</v>
      </c>
      <c r="S94" t="e">
        <f>AND(Names!B134,"AAAAAHV33xI=")</f>
        <v>#VALUE!</v>
      </c>
      <c r="T94" t="e">
        <f>AND(Names!C134,"AAAAAHV33xM=")</f>
        <v>#VALUE!</v>
      </c>
      <c r="U94" t="e">
        <f>AND(Names!D134,"AAAAAHV33xQ=")</f>
        <v>#VALUE!</v>
      </c>
      <c r="V94" t="e">
        <f>AND(Names!E134,"AAAAAHV33xU=")</f>
        <v>#VALUE!</v>
      </c>
      <c r="W94" t="e">
        <f>AND(Names!F134,"AAAAAHV33xY=")</f>
        <v>#VALUE!</v>
      </c>
      <c r="X94" t="e">
        <f>AND(Names!G134,"AAAAAHV33xc=")</f>
        <v>#VALUE!</v>
      </c>
      <c r="Y94" t="e">
        <f>AND(Names!H134,"AAAAAHV33xg=")</f>
        <v>#VALUE!</v>
      </c>
      <c r="Z94" t="e">
        <f>AND(Names!I134,"AAAAAHV33xk=")</f>
        <v>#VALUE!</v>
      </c>
      <c r="AA94" t="e">
        <f>AND(Names!J134,"AAAAAHV33xo=")</f>
        <v>#VALUE!</v>
      </c>
      <c r="AB94" t="e">
        <f>AND(Names!K134,"AAAAAHV33xs=")</f>
        <v>#VALUE!</v>
      </c>
      <c r="AC94" t="e">
        <f>AND(Names!L134,"AAAAAHV33xw=")</f>
        <v>#VALUE!</v>
      </c>
      <c r="AD94" t="e">
        <f>AND(Names!M134,"AAAAAHV33x0=")</f>
        <v>#VALUE!</v>
      </c>
      <c r="AE94" t="e">
        <f>AND(Names!N134,"AAAAAHV33x4=")</f>
        <v>#VALUE!</v>
      </c>
      <c r="AF94" t="e">
        <f>AND(Names!O134,"AAAAAHV33x8=")</f>
        <v>#VALUE!</v>
      </c>
      <c r="AG94" t="e">
        <f>AND(Names!P134,"AAAAAHV33yA=")</f>
        <v>#VALUE!</v>
      </c>
      <c r="AH94" t="e">
        <f>AND(Names!Q134,"AAAAAHV33yE=")</f>
        <v>#VALUE!</v>
      </c>
      <c r="AI94" t="e">
        <f>AND(Names!R134,"AAAAAHV33yI=")</f>
        <v>#VALUE!</v>
      </c>
      <c r="AJ94" t="e">
        <f>AND(Names!S134,"AAAAAHV33yM=")</f>
        <v>#VALUE!</v>
      </c>
      <c r="AK94" t="e">
        <f>AND(Names!T134,"AAAAAHV33yQ=")</f>
        <v>#VALUE!</v>
      </c>
      <c r="AL94" t="e">
        <f>AND(Names!U134,"AAAAAHV33yU=")</f>
        <v>#VALUE!</v>
      </c>
      <c r="AM94" t="e">
        <f>AND(Names!V134,"AAAAAHV33yY=")</f>
        <v>#VALUE!</v>
      </c>
      <c r="AN94" t="e">
        <f>AND(Names!W134,"AAAAAHV33yc=")</f>
        <v>#VALUE!</v>
      </c>
      <c r="AO94" t="e">
        <f>AND(Names!X134,"AAAAAHV33yg=")</f>
        <v>#VALUE!</v>
      </c>
      <c r="AP94" t="e">
        <f>AND(Names!Y134,"AAAAAHV33yk=")</f>
        <v>#VALUE!</v>
      </c>
      <c r="AQ94" t="e">
        <f>AND(Names!Z134,"AAAAAHV33yo=")</f>
        <v>#VALUE!</v>
      </c>
      <c r="AR94" t="e">
        <f>AND(Names!AA134,"AAAAAHV33ys=")</f>
        <v>#VALUE!</v>
      </c>
      <c r="AS94" t="e">
        <f>AND(Names!AB134,"AAAAAHV33yw=")</f>
        <v>#VALUE!</v>
      </c>
      <c r="AT94" t="e">
        <f>AND(Names!AC134,"AAAAAHV33y0=")</f>
        <v>#VALUE!</v>
      </c>
      <c r="AU94" t="e">
        <f>AND(Names!AD134,"AAAAAHV33y4=")</f>
        <v>#VALUE!</v>
      </c>
      <c r="AV94" t="e">
        <f>AND(Names!AE134,"AAAAAHV33y8=")</f>
        <v>#VALUE!</v>
      </c>
      <c r="AW94" t="e">
        <f>AND(Names!AF134,"AAAAAHV33zA=")</f>
        <v>#VALUE!</v>
      </c>
      <c r="AX94" t="e">
        <f>AND(Names!AG134,"AAAAAHV33zE=")</f>
        <v>#VALUE!</v>
      </c>
      <c r="AY94" t="e">
        <f>AND(Names!AH134,"AAAAAHV33zI=")</f>
        <v>#VALUE!</v>
      </c>
      <c r="AZ94" t="e">
        <f>AND(Names!AI134,"AAAAAHV33zM=")</f>
        <v>#VALUE!</v>
      </c>
      <c r="BA94" t="e">
        <f>AND(Names!AJ134,"AAAAAHV33zQ=")</f>
        <v>#VALUE!</v>
      </c>
      <c r="BB94" t="e">
        <f>AND(Names!AK134,"AAAAAHV33zU=")</f>
        <v>#VALUE!</v>
      </c>
      <c r="BC94" t="e">
        <f>AND(Names!AL134,"AAAAAHV33zY=")</f>
        <v>#VALUE!</v>
      </c>
      <c r="BD94" t="e">
        <f>AND(Names!AM134,"AAAAAHV33zc=")</f>
        <v>#VALUE!</v>
      </c>
      <c r="BE94">
        <f>IF(Names!135:135,"AAAAAHV33zg=",0)</f>
        <v>0</v>
      </c>
      <c r="BF94" t="e">
        <f>AND(Names!A135,"AAAAAHV33zk=")</f>
        <v>#VALUE!</v>
      </c>
      <c r="BG94" t="e">
        <f>AND(Names!B135,"AAAAAHV33zo=")</f>
        <v>#VALUE!</v>
      </c>
      <c r="BH94" t="e">
        <f>AND(Names!C135,"AAAAAHV33zs=")</f>
        <v>#VALUE!</v>
      </c>
      <c r="BI94" t="e">
        <f>AND(Names!D135,"AAAAAHV33zw=")</f>
        <v>#VALUE!</v>
      </c>
      <c r="BJ94" t="e">
        <f>AND(Names!E135,"AAAAAHV33z0=")</f>
        <v>#VALUE!</v>
      </c>
      <c r="BK94" t="e">
        <f>AND(Names!F135,"AAAAAHV33z4=")</f>
        <v>#VALUE!</v>
      </c>
      <c r="BL94" t="e">
        <f>AND(Names!G135,"AAAAAHV33z8=")</f>
        <v>#VALUE!</v>
      </c>
      <c r="BM94" t="e">
        <f>AND(Names!H135,"AAAAAHV330A=")</f>
        <v>#VALUE!</v>
      </c>
      <c r="BN94" t="e">
        <f>AND(Names!I135,"AAAAAHV330E=")</f>
        <v>#VALUE!</v>
      </c>
      <c r="BO94" t="e">
        <f>AND(Names!J135,"AAAAAHV330I=")</f>
        <v>#VALUE!</v>
      </c>
      <c r="BP94" t="e">
        <f>AND(Names!K135,"AAAAAHV330M=")</f>
        <v>#VALUE!</v>
      </c>
      <c r="BQ94" t="e">
        <f>AND(Names!L135,"AAAAAHV330Q=")</f>
        <v>#VALUE!</v>
      </c>
      <c r="BR94" t="e">
        <f>AND(Names!M135,"AAAAAHV330U=")</f>
        <v>#VALUE!</v>
      </c>
      <c r="BS94" t="e">
        <f>AND(Names!N135,"AAAAAHV330Y=")</f>
        <v>#VALUE!</v>
      </c>
      <c r="BT94" t="e">
        <f>AND(Names!O135,"AAAAAHV330c=")</f>
        <v>#VALUE!</v>
      </c>
      <c r="BU94" t="e">
        <f>AND(Names!P135,"AAAAAHV330g=")</f>
        <v>#VALUE!</v>
      </c>
      <c r="BV94" t="e">
        <f>AND(Names!Q135,"AAAAAHV330k=")</f>
        <v>#VALUE!</v>
      </c>
      <c r="BW94" t="e">
        <f>AND(Names!R135,"AAAAAHV330o=")</f>
        <v>#VALUE!</v>
      </c>
      <c r="BX94" t="e">
        <f>AND(Names!S135,"AAAAAHV330s=")</f>
        <v>#VALUE!</v>
      </c>
      <c r="BY94" t="e">
        <f>AND(Names!T135,"AAAAAHV330w=")</f>
        <v>#VALUE!</v>
      </c>
      <c r="BZ94" t="e">
        <f>AND(Names!U135,"AAAAAHV3300=")</f>
        <v>#VALUE!</v>
      </c>
      <c r="CA94" t="e">
        <f>AND(Names!V135,"AAAAAHV3304=")</f>
        <v>#VALUE!</v>
      </c>
      <c r="CB94" t="e">
        <f>AND(Names!W135,"AAAAAHV3308=")</f>
        <v>#VALUE!</v>
      </c>
      <c r="CC94" t="e">
        <f>AND(Names!X135,"AAAAAHV331A=")</f>
        <v>#VALUE!</v>
      </c>
      <c r="CD94" t="e">
        <f>AND(Names!Y135,"AAAAAHV331E=")</f>
        <v>#VALUE!</v>
      </c>
      <c r="CE94" t="e">
        <f>AND(Names!Z135,"AAAAAHV331I=")</f>
        <v>#VALUE!</v>
      </c>
      <c r="CF94" t="e">
        <f>AND(Names!AA135,"AAAAAHV331M=")</f>
        <v>#VALUE!</v>
      </c>
      <c r="CG94" t="e">
        <f>AND(Names!AB135,"AAAAAHV331Q=")</f>
        <v>#VALUE!</v>
      </c>
      <c r="CH94" t="e">
        <f>AND(Names!AC135,"AAAAAHV331U=")</f>
        <v>#VALUE!</v>
      </c>
      <c r="CI94" t="e">
        <f>AND(Names!AD135,"AAAAAHV331Y=")</f>
        <v>#VALUE!</v>
      </c>
      <c r="CJ94" t="e">
        <f>AND(Names!AE135,"AAAAAHV331c=")</f>
        <v>#VALUE!</v>
      </c>
      <c r="CK94" t="e">
        <f>AND(Names!AF135,"AAAAAHV331g=")</f>
        <v>#VALUE!</v>
      </c>
      <c r="CL94" t="e">
        <f>AND(Names!AG135,"AAAAAHV331k=")</f>
        <v>#VALUE!</v>
      </c>
      <c r="CM94" t="e">
        <f>AND(Names!AH135,"AAAAAHV331o=")</f>
        <v>#VALUE!</v>
      </c>
      <c r="CN94" t="e">
        <f>AND(Names!AI135,"AAAAAHV331s=")</f>
        <v>#VALUE!</v>
      </c>
      <c r="CO94" t="e">
        <f>AND(Names!AJ135,"AAAAAHV331w=")</f>
        <v>#VALUE!</v>
      </c>
      <c r="CP94" t="e">
        <f>AND(Names!AK135,"AAAAAHV3310=")</f>
        <v>#VALUE!</v>
      </c>
      <c r="CQ94" t="e">
        <f>AND(Names!AL135,"AAAAAHV3314=")</f>
        <v>#VALUE!</v>
      </c>
      <c r="CR94" t="e">
        <f>AND(Names!AM135,"AAAAAHV3318=")</f>
        <v>#VALUE!</v>
      </c>
      <c r="CS94">
        <f>IF(Names!136:136,"AAAAAHV332A=",0)</f>
        <v>0</v>
      </c>
      <c r="CT94" t="e">
        <f>AND(Names!A136,"AAAAAHV332E=")</f>
        <v>#VALUE!</v>
      </c>
      <c r="CU94" t="e">
        <f>AND(Names!B136,"AAAAAHV332I=")</f>
        <v>#VALUE!</v>
      </c>
      <c r="CV94" t="e">
        <f>AND(Names!C136,"AAAAAHV332M=")</f>
        <v>#VALUE!</v>
      </c>
      <c r="CW94" t="e">
        <f>AND(Names!D136,"AAAAAHV332Q=")</f>
        <v>#VALUE!</v>
      </c>
      <c r="CX94" t="e">
        <f>AND(Names!E136,"AAAAAHV332U=")</f>
        <v>#VALUE!</v>
      </c>
      <c r="CY94" t="e">
        <f>AND(Names!F136,"AAAAAHV332Y=")</f>
        <v>#VALUE!</v>
      </c>
      <c r="CZ94" t="e">
        <f>AND(Names!G136,"AAAAAHV332c=")</f>
        <v>#VALUE!</v>
      </c>
      <c r="DA94" t="e">
        <f>AND(Names!H136,"AAAAAHV332g=")</f>
        <v>#VALUE!</v>
      </c>
      <c r="DB94" t="e">
        <f>AND(Names!I136,"AAAAAHV332k=")</f>
        <v>#VALUE!</v>
      </c>
      <c r="DC94" t="e">
        <f>AND(Names!J136,"AAAAAHV332o=")</f>
        <v>#VALUE!</v>
      </c>
      <c r="DD94" t="e">
        <f>AND(Names!K136,"AAAAAHV332s=")</f>
        <v>#VALUE!</v>
      </c>
      <c r="DE94" t="e">
        <f>AND(Names!L136,"AAAAAHV332w=")</f>
        <v>#VALUE!</v>
      </c>
      <c r="DF94" t="e">
        <f>AND(Names!M136,"AAAAAHV3320=")</f>
        <v>#VALUE!</v>
      </c>
      <c r="DG94" t="e">
        <f>AND(Names!N136,"AAAAAHV3324=")</f>
        <v>#VALUE!</v>
      </c>
      <c r="DH94" t="e">
        <f>AND(Names!O136,"AAAAAHV3328=")</f>
        <v>#VALUE!</v>
      </c>
      <c r="DI94" t="e">
        <f>AND(Names!P136,"AAAAAHV333A=")</f>
        <v>#VALUE!</v>
      </c>
      <c r="DJ94" t="e">
        <f>AND(Names!Q136,"AAAAAHV333E=")</f>
        <v>#VALUE!</v>
      </c>
      <c r="DK94" t="e">
        <f>AND(Names!R136,"AAAAAHV333I=")</f>
        <v>#VALUE!</v>
      </c>
      <c r="DL94" t="e">
        <f>AND(Names!S136,"AAAAAHV333M=")</f>
        <v>#VALUE!</v>
      </c>
      <c r="DM94" t="e">
        <f>AND(Names!T136,"AAAAAHV333Q=")</f>
        <v>#VALUE!</v>
      </c>
      <c r="DN94" t="e">
        <f>AND(Names!U136,"AAAAAHV333U=")</f>
        <v>#VALUE!</v>
      </c>
      <c r="DO94" t="e">
        <f>AND(Names!V136,"AAAAAHV333Y=")</f>
        <v>#VALUE!</v>
      </c>
      <c r="DP94" t="e">
        <f>AND(Names!W136,"AAAAAHV333c=")</f>
        <v>#VALUE!</v>
      </c>
      <c r="DQ94" t="e">
        <f>AND(Names!X136,"AAAAAHV333g=")</f>
        <v>#VALUE!</v>
      </c>
      <c r="DR94" t="e">
        <f>AND(Names!Y136,"AAAAAHV333k=")</f>
        <v>#VALUE!</v>
      </c>
      <c r="DS94" t="e">
        <f>AND(Names!Z136,"AAAAAHV333o=")</f>
        <v>#VALUE!</v>
      </c>
      <c r="DT94" t="e">
        <f>AND(Names!AA136,"AAAAAHV333s=")</f>
        <v>#VALUE!</v>
      </c>
      <c r="DU94" t="e">
        <f>AND(Names!AB136,"AAAAAHV333w=")</f>
        <v>#VALUE!</v>
      </c>
      <c r="DV94" t="e">
        <f>AND(Names!AC136,"AAAAAHV3330=")</f>
        <v>#VALUE!</v>
      </c>
      <c r="DW94" t="e">
        <f>AND(Names!AD136,"AAAAAHV3334=")</f>
        <v>#VALUE!</v>
      </c>
      <c r="DX94" t="e">
        <f>AND(Names!AE136,"AAAAAHV3338=")</f>
        <v>#VALUE!</v>
      </c>
      <c r="DY94" t="e">
        <f>AND(Names!AF136,"AAAAAHV334A=")</f>
        <v>#VALUE!</v>
      </c>
      <c r="DZ94" t="e">
        <f>AND(Names!AG136,"AAAAAHV334E=")</f>
        <v>#VALUE!</v>
      </c>
      <c r="EA94" t="e">
        <f>AND(Names!AH136,"AAAAAHV334I=")</f>
        <v>#VALUE!</v>
      </c>
      <c r="EB94" t="e">
        <f>AND(Names!AI136,"AAAAAHV334M=")</f>
        <v>#VALUE!</v>
      </c>
      <c r="EC94" t="e">
        <f>AND(Names!AJ136,"AAAAAHV334Q=")</f>
        <v>#VALUE!</v>
      </c>
      <c r="ED94" t="e">
        <f>AND(Names!AK136,"AAAAAHV334U=")</f>
        <v>#VALUE!</v>
      </c>
      <c r="EE94" t="e">
        <f>AND(Names!AL136,"AAAAAHV334Y=")</f>
        <v>#VALUE!</v>
      </c>
      <c r="EF94" t="e">
        <f>AND(Names!AM136,"AAAAAHV334c=")</f>
        <v>#VALUE!</v>
      </c>
      <c r="EG94">
        <f>IF(Names!137:137,"AAAAAHV334g=",0)</f>
        <v>0</v>
      </c>
      <c r="EH94" t="e">
        <f>AND(Names!A137,"AAAAAHV334k=")</f>
        <v>#VALUE!</v>
      </c>
      <c r="EI94" t="e">
        <f>AND(Names!B137,"AAAAAHV334o=")</f>
        <v>#VALUE!</v>
      </c>
      <c r="EJ94" t="e">
        <f>AND(Names!C137,"AAAAAHV334s=")</f>
        <v>#VALUE!</v>
      </c>
      <c r="EK94" t="e">
        <f>AND(Names!D137,"AAAAAHV334w=")</f>
        <v>#VALUE!</v>
      </c>
      <c r="EL94" t="e">
        <f>AND(Names!E137,"AAAAAHV3340=")</f>
        <v>#VALUE!</v>
      </c>
      <c r="EM94" t="e">
        <f>AND(Names!F137,"AAAAAHV3344=")</f>
        <v>#VALUE!</v>
      </c>
      <c r="EN94" t="e">
        <f>AND(Names!G137,"AAAAAHV3348=")</f>
        <v>#VALUE!</v>
      </c>
      <c r="EO94" t="e">
        <f>AND(Names!H137,"AAAAAHV335A=")</f>
        <v>#VALUE!</v>
      </c>
      <c r="EP94" t="e">
        <f>AND(Names!I137,"AAAAAHV335E=")</f>
        <v>#VALUE!</v>
      </c>
      <c r="EQ94" t="e">
        <f>AND(Names!J137,"AAAAAHV335I=")</f>
        <v>#VALUE!</v>
      </c>
      <c r="ER94" t="e">
        <f>AND(Names!K137,"AAAAAHV335M=")</f>
        <v>#VALUE!</v>
      </c>
      <c r="ES94" t="e">
        <f>AND(Names!L137,"AAAAAHV335Q=")</f>
        <v>#VALUE!</v>
      </c>
      <c r="ET94" t="e">
        <f>AND(Names!M137,"AAAAAHV335U=")</f>
        <v>#VALUE!</v>
      </c>
      <c r="EU94" t="e">
        <f>AND(Names!N137,"AAAAAHV335Y=")</f>
        <v>#VALUE!</v>
      </c>
      <c r="EV94" t="e">
        <f>AND(Names!O137,"AAAAAHV335c=")</f>
        <v>#VALUE!</v>
      </c>
      <c r="EW94" t="e">
        <f>AND(Names!P137,"AAAAAHV335g=")</f>
        <v>#VALUE!</v>
      </c>
      <c r="EX94" t="e">
        <f>AND(Names!Q137,"AAAAAHV335k=")</f>
        <v>#VALUE!</v>
      </c>
      <c r="EY94" t="e">
        <f>AND(Names!R137,"AAAAAHV335o=")</f>
        <v>#VALUE!</v>
      </c>
      <c r="EZ94" t="e">
        <f>AND(Names!S137,"AAAAAHV335s=")</f>
        <v>#VALUE!</v>
      </c>
      <c r="FA94" t="e">
        <f>AND(Names!T137,"AAAAAHV335w=")</f>
        <v>#VALUE!</v>
      </c>
      <c r="FB94" t="e">
        <f>AND(Names!U137,"AAAAAHV3350=")</f>
        <v>#VALUE!</v>
      </c>
      <c r="FC94" t="e">
        <f>AND(Names!V137,"AAAAAHV3354=")</f>
        <v>#VALUE!</v>
      </c>
      <c r="FD94" t="e">
        <f>AND(Names!W137,"AAAAAHV3358=")</f>
        <v>#VALUE!</v>
      </c>
      <c r="FE94" t="e">
        <f>AND(Names!X137,"AAAAAHV336A=")</f>
        <v>#VALUE!</v>
      </c>
      <c r="FF94" t="e">
        <f>AND(Names!Y137,"AAAAAHV336E=")</f>
        <v>#VALUE!</v>
      </c>
      <c r="FG94" t="e">
        <f>AND(Names!Z137,"AAAAAHV336I=")</f>
        <v>#VALUE!</v>
      </c>
      <c r="FH94" t="e">
        <f>AND(Names!AA137,"AAAAAHV336M=")</f>
        <v>#VALUE!</v>
      </c>
      <c r="FI94" t="e">
        <f>AND(Names!AB137,"AAAAAHV336Q=")</f>
        <v>#VALUE!</v>
      </c>
      <c r="FJ94" t="e">
        <f>AND(Names!AC137,"AAAAAHV336U=")</f>
        <v>#VALUE!</v>
      </c>
      <c r="FK94" t="e">
        <f>AND(Names!AD137,"AAAAAHV336Y=")</f>
        <v>#VALUE!</v>
      </c>
      <c r="FL94" t="e">
        <f>AND(Names!AE137,"AAAAAHV336c=")</f>
        <v>#VALUE!</v>
      </c>
      <c r="FM94" t="e">
        <f>AND(Names!AF137,"AAAAAHV336g=")</f>
        <v>#VALUE!</v>
      </c>
      <c r="FN94" t="e">
        <f>AND(Names!AG137,"AAAAAHV336k=")</f>
        <v>#VALUE!</v>
      </c>
      <c r="FO94" t="e">
        <f>AND(Names!AH137,"AAAAAHV336o=")</f>
        <v>#VALUE!</v>
      </c>
      <c r="FP94" t="e">
        <f>AND(Names!AI137,"AAAAAHV336s=")</f>
        <v>#VALUE!</v>
      </c>
      <c r="FQ94" t="e">
        <f>AND(Names!AJ137,"AAAAAHV336w=")</f>
        <v>#VALUE!</v>
      </c>
      <c r="FR94" t="e">
        <f>AND(Names!AK137,"AAAAAHV3360=")</f>
        <v>#VALUE!</v>
      </c>
      <c r="FS94" t="e">
        <f>AND(Names!AL137,"AAAAAHV3364=")</f>
        <v>#VALUE!</v>
      </c>
      <c r="FT94" t="e">
        <f>AND(Names!AM137,"AAAAAHV3368=")</f>
        <v>#VALUE!</v>
      </c>
      <c r="FU94">
        <f>IF(Names!138:138,"AAAAAHV337A=",0)</f>
        <v>0</v>
      </c>
      <c r="FV94" t="e">
        <f>AND(Names!A138,"AAAAAHV337E=")</f>
        <v>#VALUE!</v>
      </c>
      <c r="FW94" t="e">
        <f>AND(Names!B138,"AAAAAHV337I=")</f>
        <v>#VALUE!</v>
      </c>
      <c r="FX94" t="e">
        <f>AND(Names!C138,"AAAAAHV337M=")</f>
        <v>#VALUE!</v>
      </c>
      <c r="FY94" t="e">
        <f>AND(Names!D138,"AAAAAHV337Q=")</f>
        <v>#VALUE!</v>
      </c>
      <c r="FZ94" t="e">
        <f>AND(Names!E138,"AAAAAHV337U=")</f>
        <v>#VALUE!</v>
      </c>
      <c r="GA94" t="e">
        <f>AND(Names!F138,"AAAAAHV337Y=")</f>
        <v>#VALUE!</v>
      </c>
      <c r="GB94" t="e">
        <f>AND(Names!G138,"AAAAAHV337c=")</f>
        <v>#VALUE!</v>
      </c>
      <c r="GC94" t="e">
        <f>AND(Names!H138,"AAAAAHV337g=")</f>
        <v>#VALUE!</v>
      </c>
      <c r="GD94" t="e">
        <f>AND(Names!I138,"AAAAAHV337k=")</f>
        <v>#VALUE!</v>
      </c>
      <c r="GE94" t="e">
        <f>AND(Names!J138,"AAAAAHV337o=")</f>
        <v>#VALUE!</v>
      </c>
      <c r="GF94" t="e">
        <f>AND(Names!K138,"AAAAAHV337s=")</f>
        <v>#VALUE!</v>
      </c>
      <c r="GG94" t="e">
        <f>AND(Names!L138,"AAAAAHV337w=")</f>
        <v>#VALUE!</v>
      </c>
      <c r="GH94" t="e">
        <f>AND(Names!M138,"AAAAAHV3370=")</f>
        <v>#VALUE!</v>
      </c>
      <c r="GI94" t="e">
        <f>AND(Names!N138,"AAAAAHV3374=")</f>
        <v>#VALUE!</v>
      </c>
      <c r="GJ94" t="e">
        <f>AND(Names!O138,"AAAAAHV3378=")</f>
        <v>#VALUE!</v>
      </c>
      <c r="GK94" t="e">
        <f>AND(Names!P138,"AAAAAHV338A=")</f>
        <v>#VALUE!</v>
      </c>
      <c r="GL94" t="e">
        <f>AND(Names!Q138,"AAAAAHV338E=")</f>
        <v>#VALUE!</v>
      </c>
      <c r="GM94" t="e">
        <f>AND(Names!R138,"AAAAAHV338I=")</f>
        <v>#VALUE!</v>
      </c>
      <c r="GN94" t="e">
        <f>AND(Names!S138,"AAAAAHV338M=")</f>
        <v>#VALUE!</v>
      </c>
      <c r="GO94" t="e">
        <f>AND(Names!T138,"AAAAAHV338Q=")</f>
        <v>#VALUE!</v>
      </c>
      <c r="GP94" t="e">
        <f>AND(Names!U138,"AAAAAHV338U=")</f>
        <v>#VALUE!</v>
      </c>
      <c r="GQ94" t="e">
        <f>AND(Names!V138,"AAAAAHV338Y=")</f>
        <v>#VALUE!</v>
      </c>
      <c r="GR94" t="e">
        <f>AND(Names!W138,"AAAAAHV338c=")</f>
        <v>#VALUE!</v>
      </c>
      <c r="GS94" t="e">
        <f>AND(Names!X138,"AAAAAHV338g=")</f>
        <v>#VALUE!</v>
      </c>
      <c r="GT94" t="e">
        <f>AND(Names!Y138,"AAAAAHV338k=")</f>
        <v>#VALUE!</v>
      </c>
      <c r="GU94" t="e">
        <f>AND(Names!Z138,"AAAAAHV338o=")</f>
        <v>#VALUE!</v>
      </c>
      <c r="GV94" t="e">
        <f>AND(Names!AA138,"AAAAAHV338s=")</f>
        <v>#VALUE!</v>
      </c>
      <c r="GW94" t="e">
        <f>AND(Names!AB138,"AAAAAHV338w=")</f>
        <v>#VALUE!</v>
      </c>
      <c r="GX94" t="e">
        <f>AND(Names!AC138,"AAAAAHV3380=")</f>
        <v>#VALUE!</v>
      </c>
      <c r="GY94" t="e">
        <f>AND(Names!AD138,"AAAAAHV3384=")</f>
        <v>#VALUE!</v>
      </c>
      <c r="GZ94" t="e">
        <f>AND(Names!AE138,"AAAAAHV3388=")</f>
        <v>#VALUE!</v>
      </c>
      <c r="HA94" t="e">
        <f>AND(Names!AF138,"AAAAAHV339A=")</f>
        <v>#VALUE!</v>
      </c>
      <c r="HB94" t="e">
        <f>AND(Names!AG138,"AAAAAHV339E=")</f>
        <v>#VALUE!</v>
      </c>
      <c r="HC94" t="e">
        <f>AND(Names!AH138,"AAAAAHV339I=")</f>
        <v>#VALUE!</v>
      </c>
      <c r="HD94" t="e">
        <f>AND(Names!AI138,"AAAAAHV339M=")</f>
        <v>#VALUE!</v>
      </c>
      <c r="HE94" t="e">
        <f>AND(Names!AJ138,"AAAAAHV339Q=")</f>
        <v>#VALUE!</v>
      </c>
      <c r="HF94" t="e">
        <f>AND(Names!AK138,"AAAAAHV339U=")</f>
        <v>#VALUE!</v>
      </c>
      <c r="HG94" t="e">
        <f>AND(Names!AL138,"AAAAAHV339Y=")</f>
        <v>#VALUE!</v>
      </c>
      <c r="HH94" t="e">
        <f>AND(Names!AM138,"AAAAAHV339c=")</f>
        <v>#VALUE!</v>
      </c>
      <c r="HI94">
        <f>IF(Names!139:139,"AAAAAHV339g=",0)</f>
        <v>0</v>
      </c>
      <c r="HJ94" t="e">
        <f>AND(Names!A139,"AAAAAHV339k=")</f>
        <v>#VALUE!</v>
      </c>
      <c r="HK94" t="e">
        <f>AND(Names!B139,"AAAAAHV339o=")</f>
        <v>#VALUE!</v>
      </c>
      <c r="HL94" t="e">
        <f>AND(Names!C139,"AAAAAHV339s=")</f>
        <v>#VALUE!</v>
      </c>
      <c r="HM94" t="e">
        <f>AND(Names!D139,"AAAAAHV339w=")</f>
        <v>#VALUE!</v>
      </c>
      <c r="HN94" t="e">
        <f>AND(Names!E139,"AAAAAHV3390=")</f>
        <v>#VALUE!</v>
      </c>
      <c r="HO94" t="e">
        <f>AND(Names!F139,"AAAAAHV3394=")</f>
        <v>#VALUE!</v>
      </c>
      <c r="HP94" t="e">
        <f>AND(Names!G139,"AAAAAHV3398=")</f>
        <v>#VALUE!</v>
      </c>
      <c r="HQ94" t="e">
        <f>AND(Names!H139,"AAAAAHV33+A=")</f>
        <v>#VALUE!</v>
      </c>
      <c r="HR94" t="e">
        <f>AND(Names!I139,"AAAAAHV33+E=")</f>
        <v>#VALUE!</v>
      </c>
      <c r="HS94" t="e">
        <f>AND(Names!J139,"AAAAAHV33+I=")</f>
        <v>#VALUE!</v>
      </c>
      <c r="HT94" t="e">
        <f>AND(Names!K139,"AAAAAHV33+M=")</f>
        <v>#VALUE!</v>
      </c>
      <c r="HU94" t="e">
        <f>AND(Names!L139,"AAAAAHV33+Q=")</f>
        <v>#VALUE!</v>
      </c>
      <c r="HV94" t="e">
        <f>AND(Names!M139,"AAAAAHV33+U=")</f>
        <v>#VALUE!</v>
      </c>
      <c r="HW94" t="e">
        <f>AND(Names!N139,"AAAAAHV33+Y=")</f>
        <v>#VALUE!</v>
      </c>
      <c r="HX94" t="e">
        <f>AND(Names!O139,"AAAAAHV33+c=")</f>
        <v>#VALUE!</v>
      </c>
      <c r="HY94" t="e">
        <f>AND(Names!P139,"AAAAAHV33+g=")</f>
        <v>#VALUE!</v>
      </c>
      <c r="HZ94" t="e">
        <f>AND(Names!Q139,"AAAAAHV33+k=")</f>
        <v>#VALUE!</v>
      </c>
      <c r="IA94" t="e">
        <f>AND(Names!R139,"AAAAAHV33+o=")</f>
        <v>#VALUE!</v>
      </c>
      <c r="IB94" t="e">
        <f>AND(Names!S139,"AAAAAHV33+s=")</f>
        <v>#VALUE!</v>
      </c>
      <c r="IC94" t="e">
        <f>AND(Names!T139,"AAAAAHV33+w=")</f>
        <v>#VALUE!</v>
      </c>
      <c r="ID94" t="e">
        <f>AND(Names!U139,"AAAAAHV33+0=")</f>
        <v>#VALUE!</v>
      </c>
      <c r="IE94" t="e">
        <f>AND(Names!V139,"AAAAAHV33+4=")</f>
        <v>#VALUE!</v>
      </c>
      <c r="IF94" t="e">
        <f>AND(Names!W139,"AAAAAHV33+8=")</f>
        <v>#VALUE!</v>
      </c>
      <c r="IG94" t="e">
        <f>AND(Names!X139,"AAAAAHV33/A=")</f>
        <v>#VALUE!</v>
      </c>
      <c r="IH94" t="e">
        <f>AND(Names!Y139,"AAAAAHV33/E=")</f>
        <v>#VALUE!</v>
      </c>
      <c r="II94" t="e">
        <f>AND(Names!Z139,"AAAAAHV33/I=")</f>
        <v>#VALUE!</v>
      </c>
      <c r="IJ94" t="e">
        <f>AND(Names!AA139,"AAAAAHV33/M=")</f>
        <v>#VALUE!</v>
      </c>
      <c r="IK94" t="e">
        <f>AND(Names!AB139,"AAAAAHV33/Q=")</f>
        <v>#VALUE!</v>
      </c>
      <c r="IL94" t="e">
        <f>AND(Names!AC139,"AAAAAHV33/U=")</f>
        <v>#VALUE!</v>
      </c>
      <c r="IM94" t="e">
        <f>AND(Names!AD139,"AAAAAHV33/Y=")</f>
        <v>#VALUE!</v>
      </c>
      <c r="IN94" t="e">
        <f>AND(Names!AE139,"AAAAAHV33/c=")</f>
        <v>#VALUE!</v>
      </c>
      <c r="IO94" t="e">
        <f>AND(Names!AF139,"AAAAAHV33/g=")</f>
        <v>#VALUE!</v>
      </c>
      <c r="IP94" t="e">
        <f>AND(Names!AG139,"AAAAAHV33/k=")</f>
        <v>#VALUE!</v>
      </c>
      <c r="IQ94" t="e">
        <f>AND(Names!AH139,"AAAAAHV33/o=")</f>
        <v>#VALUE!</v>
      </c>
      <c r="IR94" t="e">
        <f>AND(Names!AI139,"AAAAAHV33/s=")</f>
        <v>#VALUE!</v>
      </c>
      <c r="IS94" t="e">
        <f>AND(Names!AJ139,"AAAAAHV33/w=")</f>
        <v>#VALUE!</v>
      </c>
      <c r="IT94" t="e">
        <f>AND(Names!AK139,"AAAAAHV33/0=")</f>
        <v>#VALUE!</v>
      </c>
      <c r="IU94" t="e">
        <f>AND(Names!AL139,"AAAAAHV33/4=")</f>
        <v>#VALUE!</v>
      </c>
      <c r="IV94" t="e">
        <f>AND(Names!AM139,"AAAAAHV33/8=")</f>
        <v>#VALUE!</v>
      </c>
    </row>
    <row r="95" spans="1:256" x14ac:dyDescent="0.15">
      <c r="A95">
        <f>IF(Names!140:140,"AAAAAH213wA=",0)</f>
        <v>0</v>
      </c>
      <c r="B95" t="e">
        <f>AND(Names!A140,"AAAAAH213wE=")</f>
        <v>#VALUE!</v>
      </c>
      <c r="C95" t="e">
        <f>AND(Names!B140,"AAAAAH213wI=")</f>
        <v>#VALUE!</v>
      </c>
      <c r="D95" t="e">
        <f>AND(Names!C140,"AAAAAH213wM=")</f>
        <v>#VALUE!</v>
      </c>
      <c r="E95" t="e">
        <f>AND(Names!D140,"AAAAAH213wQ=")</f>
        <v>#VALUE!</v>
      </c>
      <c r="F95" t="e">
        <f>AND(Names!E140,"AAAAAH213wU=")</f>
        <v>#VALUE!</v>
      </c>
      <c r="G95" t="e">
        <f>AND(Names!F140,"AAAAAH213wY=")</f>
        <v>#VALUE!</v>
      </c>
      <c r="H95" t="e">
        <f>AND(Names!G140,"AAAAAH213wc=")</f>
        <v>#VALUE!</v>
      </c>
      <c r="I95" t="e">
        <f>AND(Names!H140,"AAAAAH213wg=")</f>
        <v>#VALUE!</v>
      </c>
      <c r="J95" t="e">
        <f>AND(Names!I140,"AAAAAH213wk=")</f>
        <v>#VALUE!</v>
      </c>
      <c r="K95" t="e">
        <f>AND(Names!J140,"AAAAAH213wo=")</f>
        <v>#VALUE!</v>
      </c>
      <c r="L95" t="e">
        <f>AND(Names!K140,"AAAAAH213ws=")</f>
        <v>#VALUE!</v>
      </c>
      <c r="M95" t="e">
        <f>AND(Names!L140,"AAAAAH213ww=")</f>
        <v>#VALUE!</v>
      </c>
      <c r="N95" t="e">
        <f>AND(Names!M140,"AAAAAH213w0=")</f>
        <v>#VALUE!</v>
      </c>
      <c r="O95" t="e">
        <f>AND(Names!N140,"AAAAAH213w4=")</f>
        <v>#VALUE!</v>
      </c>
      <c r="P95" t="e">
        <f>AND(Names!O140,"AAAAAH213w8=")</f>
        <v>#VALUE!</v>
      </c>
      <c r="Q95" t="e">
        <f>AND(Names!P140,"AAAAAH213xA=")</f>
        <v>#VALUE!</v>
      </c>
      <c r="R95" t="e">
        <f>AND(Names!Q140,"AAAAAH213xE=")</f>
        <v>#VALUE!</v>
      </c>
      <c r="S95" t="e">
        <f>AND(Names!R140,"AAAAAH213xI=")</f>
        <v>#VALUE!</v>
      </c>
      <c r="T95" t="e">
        <f>AND(Names!S140,"AAAAAH213xM=")</f>
        <v>#VALUE!</v>
      </c>
      <c r="U95" t="e">
        <f>AND(Names!T140,"AAAAAH213xQ=")</f>
        <v>#VALUE!</v>
      </c>
      <c r="V95" t="e">
        <f>AND(Names!U140,"AAAAAH213xU=")</f>
        <v>#VALUE!</v>
      </c>
      <c r="W95" t="e">
        <f>AND(Names!V140,"AAAAAH213xY=")</f>
        <v>#VALUE!</v>
      </c>
      <c r="X95" t="e">
        <f>AND(Names!W140,"AAAAAH213xc=")</f>
        <v>#VALUE!</v>
      </c>
      <c r="Y95" t="e">
        <f>AND(Names!X140,"AAAAAH213xg=")</f>
        <v>#VALUE!</v>
      </c>
      <c r="Z95" t="e">
        <f>AND(Names!Y140,"AAAAAH213xk=")</f>
        <v>#VALUE!</v>
      </c>
      <c r="AA95" t="e">
        <f>AND(Names!Z140,"AAAAAH213xo=")</f>
        <v>#VALUE!</v>
      </c>
      <c r="AB95" t="e">
        <f>AND(Names!AA140,"AAAAAH213xs=")</f>
        <v>#VALUE!</v>
      </c>
      <c r="AC95" t="e">
        <f>AND(Names!AB140,"AAAAAH213xw=")</f>
        <v>#VALUE!</v>
      </c>
      <c r="AD95" t="e">
        <f>AND(Names!AC140,"AAAAAH213x0=")</f>
        <v>#VALUE!</v>
      </c>
      <c r="AE95" t="e">
        <f>AND(Names!AD140,"AAAAAH213x4=")</f>
        <v>#VALUE!</v>
      </c>
      <c r="AF95" t="e">
        <f>AND(Names!AE140,"AAAAAH213x8=")</f>
        <v>#VALUE!</v>
      </c>
      <c r="AG95" t="e">
        <f>AND(Names!AF140,"AAAAAH213yA=")</f>
        <v>#VALUE!</v>
      </c>
      <c r="AH95" t="e">
        <f>AND(Names!AG140,"AAAAAH213yE=")</f>
        <v>#VALUE!</v>
      </c>
      <c r="AI95" t="e">
        <f>AND(Names!AH140,"AAAAAH213yI=")</f>
        <v>#VALUE!</v>
      </c>
      <c r="AJ95" t="e">
        <f>AND(Names!AI140,"AAAAAH213yM=")</f>
        <v>#VALUE!</v>
      </c>
      <c r="AK95" t="e">
        <f>AND(Names!AJ140,"AAAAAH213yQ=")</f>
        <v>#VALUE!</v>
      </c>
      <c r="AL95" t="e">
        <f>AND(Names!AK140,"AAAAAH213yU=")</f>
        <v>#VALUE!</v>
      </c>
      <c r="AM95" t="e">
        <f>AND(Names!AL140,"AAAAAH213yY=")</f>
        <v>#VALUE!</v>
      </c>
      <c r="AN95" t="e">
        <f>AND(Names!AM140,"AAAAAH213yc=")</f>
        <v>#VALUE!</v>
      </c>
      <c r="AO95">
        <f>IF(Names!141:141,"AAAAAH213yg=",0)</f>
        <v>0</v>
      </c>
      <c r="AP95" t="e">
        <f>AND(Names!A141,"AAAAAH213yk=")</f>
        <v>#VALUE!</v>
      </c>
      <c r="AQ95" t="e">
        <f>AND(Names!B141,"AAAAAH213yo=")</f>
        <v>#VALUE!</v>
      </c>
      <c r="AR95" t="e">
        <f>AND(Names!C141,"AAAAAH213ys=")</f>
        <v>#VALUE!</v>
      </c>
      <c r="AS95" t="e">
        <f>AND(Names!D141,"AAAAAH213yw=")</f>
        <v>#VALUE!</v>
      </c>
      <c r="AT95" t="e">
        <f>AND(Names!E141,"AAAAAH213y0=")</f>
        <v>#VALUE!</v>
      </c>
      <c r="AU95" t="e">
        <f>AND(Names!F141,"AAAAAH213y4=")</f>
        <v>#VALUE!</v>
      </c>
      <c r="AV95" t="e">
        <f>AND(Names!G141,"AAAAAH213y8=")</f>
        <v>#VALUE!</v>
      </c>
      <c r="AW95" t="e">
        <f>AND(Names!H141,"AAAAAH213zA=")</f>
        <v>#VALUE!</v>
      </c>
      <c r="AX95" t="e">
        <f>AND(Names!I141,"AAAAAH213zE=")</f>
        <v>#VALUE!</v>
      </c>
      <c r="AY95" t="e">
        <f>AND(Names!J141,"AAAAAH213zI=")</f>
        <v>#VALUE!</v>
      </c>
      <c r="AZ95" t="e">
        <f>AND(Names!K141,"AAAAAH213zM=")</f>
        <v>#VALUE!</v>
      </c>
      <c r="BA95" t="e">
        <f>AND(Names!L141,"AAAAAH213zQ=")</f>
        <v>#VALUE!</v>
      </c>
      <c r="BB95" t="e">
        <f>AND(Names!M141,"AAAAAH213zU=")</f>
        <v>#VALUE!</v>
      </c>
      <c r="BC95" t="e">
        <f>AND(Names!N141,"AAAAAH213zY=")</f>
        <v>#VALUE!</v>
      </c>
      <c r="BD95" t="e">
        <f>AND(Names!O141,"AAAAAH213zc=")</f>
        <v>#VALUE!</v>
      </c>
      <c r="BE95" t="e">
        <f>AND(Names!P141,"AAAAAH213zg=")</f>
        <v>#VALUE!</v>
      </c>
      <c r="BF95" t="e">
        <f>AND(Names!Q141,"AAAAAH213zk=")</f>
        <v>#VALUE!</v>
      </c>
      <c r="BG95" t="e">
        <f>AND(Names!R141,"AAAAAH213zo=")</f>
        <v>#VALUE!</v>
      </c>
      <c r="BH95" t="e">
        <f>AND(Names!S141,"AAAAAH213zs=")</f>
        <v>#VALUE!</v>
      </c>
      <c r="BI95" t="e">
        <f>AND(Names!T141,"AAAAAH213zw=")</f>
        <v>#VALUE!</v>
      </c>
      <c r="BJ95" t="e">
        <f>AND(Names!U141,"AAAAAH213z0=")</f>
        <v>#VALUE!</v>
      </c>
      <c r="BK95" t="e">
        <f>AND(Names!V141,"AAAAAH213z4=")</f>
        <v>#VALUE!</v>
      </c>
      <c r="BL95" t="e">
        <f>AND(Names!W141,"AAAAAH213z8=")</f>
        <v>#VALUE!</v>
      </c>
      <c r="BM95" t="e">
        <f>AND(Names!X141,"AAAAAH2130A=")</f>
        <v>#VALUE!</v>
      </c>
      <c r="BN95" t="e">
        <f>AND(Names!Y141,"AAAAAH2130E=")</f>
        <v>#VALUE!</v>
      </c>
      <c r="BO95" t="e">
        <f>AND(Names!Z141,"AAAAAH2130I=")</f>
        <v>#VALUE!</v>
      </c>
      <c r="BP95" t="e">
        <f>AND(Names!AA141,"AAAAAH2130M=")</f>
        <v>#VALUE!</v>
      </c>
      <c r="BQ95" t="e">
        <f>AND(Names!AB141,"AAAAAH2130Q=")</f>
        <v>#VALUE!</v>
      </c>
      <c r="BR95" t="e">
        <f>AND(Names!AC141,"AAAAAH2130U=")</f>
        <v>#VALUE!</v>
      </c>
      <c r="BS95" t="e">
        <f>AND(Names!AD141,"AAAAAH2130Y=")</f>
        <v>#VALUE!</v>
      </c>
      <c r="BT95" t="e">
        <f>AND(Names!AE141,"AAAAAH2130c=")</f>
        <v>#VALUE!</v>
      </c>
      <c r="BU95" t="e">
        <f>AND(Names!AF141,"AAAAAH2130g=")</f>
        <v>#VALUE!</v>
      </c>
      <c r="BV95" t="e">
        <f>AND(Names!AG141,"AAAAAH2130k=")</f>
        <v>#VALUE!</v>
      </c>
      <c r="BW95" t="e">
        <f>AND(Names!AH141,"AAAAAH2130o=")</f>
        <v>#VALUE!</v>
      </c>
      <c r="BX95" t="e">
        <f>AND(Names!AI141,"AAAAAH2130s=")</f>
        <v>#VALUE!</v>
      </c>
      <c r="BY95" t="e">
        <f>AND(Names!AJ141,"AAAAAH2130w=")</f>
        <v>#VALUE!</v>
      </c>
      <c r="BZ95" t="e">
        <f>AND(Names!AK141,"AAAAAH21300=")</f>
        <v>#VALUE!</v>
      </c>
      <c r="CA95" t="e">
        <f>AND(Names!AL141,"AAAAAH21304=")</f>
        <v>#VALUE!</v>
      </c>
      <c r="CB95" t="e">
        <f>AND(Names!AM141,"AAAAAH21308=")</f>
        <v>#VALUE!</v>
      </c>
      <c r="CC95">
        <f>IF(Names!142:142,"AAAAAH2131A=",0)</f>
        <v>0</v>
      </c>
      <c r="CD95" t="e">
        <f>AND(Names!A142,"AAAAAH2131E=")</f>
        <v>#VALUE!</v>
      </c>
      <c r="CE95" t="e">
        <f>AND(Names!B142,"AAAAAH2131I=")</f>
        <v>#VALUE!</v>
      </c>
      <c r="CF95" t="e">
        <f>AND(Names!C142,"AAAAAH2131M=")</f>
        <v>#VALUE!</v>
      </c>
      <c r="CG95" t="e">
        <f>AND(Names!D142,"AAAAAH2131Q=")</f>
        <v>#VALUE!</v>
      </c>
      <c r="CH95" t="e">
        <f>AND(Names!E142,"AAAAAH2131U=")</f>
        <v>#VALUE!</v>
      </c>
      <c r="CI95" t="e">
        <f>AND(Names!F142,"AAAAAH2131Y=")</f>
        <v>#VALUE!</v>
      </c>
      <c r="CJ95" t="e">
        <f>AND(Names!G142,"AAAAAH2131c=")</f>
        <v>#VALUE!</v>
      </c>
      <c r="CK95" t="e">
        <f>AND(Names!H142,"AAAAAH2131g=")</f>
        <v>#VALUE!</v>
      </c>
      <c r="CL95" t="e">
        <f>AND(Names!I142,"AAAAAH2131k=")</f>
        <v>#VALUE!</v>
      </c>
      <c r="CM95" t="e">
        <f>AND(Names!J142,"AAAAAH2131o=")</f>
        <v>#VALUE!</v>
      </c>
      <c r="CN95" t="e">
        <f>AND(Names!K142,"AAAAAH2131s=")</f>
        <v>#VALUE!</v>
      </c>
      <c r="CO95" t="e">
        <f>AND(Names!L142,"AAAAAH2131w=")</f>
        <v>#VALUE!</v>
      </c>
      <c r="CP95" t="e">
        <f>AND(Names!M142,"AAAAAH21310=")</f>
        <v>#VALUE!</v>
      </c>
      <c r="CQ95" t="e">
        <f>AND(Names!N142,"AAAAAH21314=")</f>
        <v>#VALUE!</v>
      </c>
      <c r="CR95" t="e">
        <f>AND(Names!O142,"AAAAAH21318=")</f>
        <v>#VALUE!</v>
      </c>
      <c r="CS95" t="e">
        <f>AND(Names!P142,"AAAAAH2132A=")</f>
        <v>#VALUE!</v>
      </c>
      <c r="CT95" t="e">
        <f>AND(Names!Q142,"AAAAAH2132E=")</f>
        <v>#VALUE!</v>
      </c>
      <c r="CU95" t="e">
        <f>AND(Names!R142,"AAAAAH2132I=")</f>
        <v>#VALUE!</v>
      </c>
      <c r="CV95" t="e">
        <f>AND(Names!S142,"AAAAAH2132M=")</f>
        <v>#VALUE!</v>
      </c>
      <c r="CW95" t="e">
        <f>AND(Names!T142,"AAAAAH2132Q=")</f>
        <v>#VALUE!</v>
      </c>
      <c r="CX95" t="e">
        <f>AND(Names!U142,"AAAAAH2132U=")</f>
        <v>#VALUE!</v>
      </c>
      <c r="CY95" t="e">
        <f>AND(Names!V142,"AAAAAH2132Y=")</f>
        <v>#VALUE!</v>
      </c>
      <c r="CZ95" t="e">
        <f>AND(Names!W142,"AAAAAH2132c=")</f>
        <v>#VALUE!</v>
      </c>
      <c r="DA95" t="e">
        <f>AND(Names!X142,"AAAAAH2132g=")</f>
        <v>#VALUE!</v>
      </c>
      <c r="DB95" t="e">
        <f>AND(Names!Y142,"AAAAAH2132k=")</f>
        <v>#VALUE!</v>
      </c>
      <c r="DC95" t="e">
        <f>AND(Names!Z142,"AAAAAH2132o=")</f>
        <v>#VALUE!</v>
      </c>
      <c r="DD95" t="e">
        <f>AND(Names!AA142,"AAAAAH2132s=")</f>
        <v>#VALUE!</v>
      </c>
      <c r="DE95" t="e">
        <f>AND(Names!AB142,"AAAAAH2132w=")</f>
        <v>#VALUE!</v>
      </c>
      <c r="DF95" t="e">
        <f>AND(Names!AC142,"AAAAAH21320=")</f>
        <v>#VALUE!</v>
      </c>
      <c r="DG95" t="e">
        <f>AND(Names!AD142,"AAAAAH21324=")</f>
        <v>#VALUE!</v>
      </c>
      <c r="DH95" t="e">
        <f>AND(Names!AE142,"AAAAAH21328=")</f>
        <v>#VALUE!</v>
      </c>
      <c r="DI95" t="e">
        <f>AND(Names!AF142,"AAAAAH2133A=")</f>
        <v>#VALUE!</v>
      </c>
      <c r="DJ95" t="e">
        <f>AND(Names!AG142,"AAAAAH2133E=")</f>
        <v>#VALUE!</v>
      </c>
      <c r="DK95" t="e">
        <f>AND(Names!AH142,"AAAAAH2133I=")</f>
        <v>#VALUE!</v>
      </c>
      <c r="DL95" t="e">
        <f>AND(Names!AI142,"AAAAAH2133M=")</f>
        <v>#VALUE!</v>
      </c>
      <c r="DM95" t="e">
        <f>AND(Names!AJ142,"AAAAAH2133Q=")</f>
        <v>#VALUE!</v>
      </c>
      <c r="DN95" t="e">
        <f>AND(Names!AK142,"AAAAAH2133U=")</f>
        <v>#VALUE!</v>
      </c>
      <c r="DO95" t="e">
        <f>AND(Names!AL142,"AAAAAH2133Y=")</f>
        <v>#VALUE!</v>
      </c>
      <c r="DP95" t="e">
        <f>AND(Names!AM142,"AAAAAH2133c=")</f>
        <v>#VALUE!</v>
      </c>
      <c r="DQ95">
        <f>IF(Names!143:143,"AAAAAH2133g=",0)</f>
        <v>0</v>
      </c>
      <c r="DR95" t="e">
        <f>AND(Names!A143,"AAAAAH2133k=")</f>
        <v>#VALUE!</v>
      </c>
      <c r="DS95" t="e">
        <f>AND(Names!B143,"AAAAAH2133o=")</f>
        <v>#VALUE!</v>
      </c>
      <c r="DT95" t="e">
        <f>AND(Names!C143,"AAAAAH2133s=")</f>
        <v>#VALUE!</v>
      </c>
      <c r="DU95" t="e">
        <f>AND(Names!D143,"AAAAAH2133w=")</f>
        <v>#VALUE!</v>
      </c>
      <c r="DV95" t="e">
        <f>AND(Names!E143,"AAAAAH21330=")</f>
        <v>#VALUE!</v>
      </c>
      <c r="DW95" t="e">
        <f>AND(Names!F143,"AAAAAH21334=")</f>
        <v>#VALUE!</v>
      </c>
      <c r="DX95" t="e">
        <f>AND(Names!G143,"AAAAAH21338=")</f>
        <v>#VALUE!</v>
      </c>
      <c r="DY95" t="e">
        <f>AND(Names!H143,"AAAAAH2134A=")</f>
        <v>#VALUE!</v>
      </c>
      <c r="DZ95" t="e">
        <f>AND(Names!I143,"AAAAAH2134E=")</f>
        <v>#VALUE!</v>
      </c>
      <c r="EA95" t="e">
        <f>AND(Names!J143,"AAAAAH2134I=")</f>
        <v>#VALUE!</v>
      </c>
      <c r="EB95" t="e">
        <f>AND(Names!K143,"AAAAAH2134M=")</f>
        <v>#VALUE!</v>
      </c>
      <c r="EC95" t="e">
        <f>AND(Names!L143,"AAAAAH2134Q=")</f>
        <v>#VALUE!</v>
      </c>
      <c r="ED95" t="e">
        <f>AND(Names!M143,"AAAAAH2134U=")</f>
        <v>#VALUE!</v>
      </c>
      <c r="EE95" t="e">
        <f>AND(Names!N143,"AAAAAH2134Y=")</f>
        <v>#VALUE!</v>
      </c>
      <c r="EF95" t="e">
        <f>AND(Names!O143,"AAAAAH2134c=")</f>
        <v>#VALUE!</v>
      </c>
      <c r="EG95" t="e">
        <f>AND(Names!P143,"AAAAAH2134g=")</f>
        <v>#VALUE!</v>
      </c>
      <c r="EH95" t="e">
        <f>AND(Names!Q143,"AAAAAH2134k=")</f>
        <v>#VALUE!</v>
      </c>
      <c r="EI95" t="e">
        <f>AND(Names!R143,"AAAAAH2134o=")</f>
        <v>#VALUE!</v>
      </c>
      <c r="EJ95" t="e">
        <f>AND(Names!S143,"AAAAAH2134s=")</f>
        <v>#VALUE!</v>
      </c>
      <c r="EK95" t="e">
        <f>AND(Names!T143,"AAAAAH2134w=")</f>
        <v>#VALUE!</v>
      </c>
      <c r="EL95" t="e">
        <f>AND(Names!U143,"AAAAAH21340=")</f>
        <v>#VALUE!</v>
      </c>
      <c r="EM95" t="e">
        <f>AND(Names!V143,"AAAAAH21344=")</f>
        <v>#VALUE!</v>
      </c>
      <c r="EN95" t="e">
        <f>AND(Names!W143,"AAAAAH21348=")</f>
        <v>#VALUE!</v>
      </c>
      <c r="EO95" t="e">
        <f>AND(Names!X143,"AAAAAH2135A=")</f>
        <v>#VALUE!</v>
      </c>
      <c r="EP95" t="e">
        <f>AND(Names!Y143,"AAAAAH2135E=")</f>
        <v>#VALUE!</v>
      </c>
      <c r="EQ95" t="e">
        <f>AND(Names!Z143,"AAAAAH2135I=")</f>
        <v>#VALUE!</v>
      </c>
      <c r="ER95" t="e">
        <f>AND(Names!AA143,"AAAAAH2135M=")</f>
        <v>#VALUE!</v>
      </c>
      <c r="ES95" t="e">
        <f>AND(Names!AB143,"AAAAAH2135Q=")</f>
        <v>#VALUE!</v>
      </c>
      <c r="ET95" t="e">
        <f>AND(Names!AC143,"AAAAAH2135U=")</f>
        <v>#VALUE!</v>
      </c>
      <c r="EU95" t="e">
        <f>AND(Names!AD143,"AAAAAH2135Y=")</f>
        <v>#VALUE!</v>
      </c>
      <c r="EV95" t="e">
        <f>AND(Names!AE143,"AAAAAH2135c=")</f>
        <v>#VALUE!</v>
      </c>
      <c r="EW95" t="e">
        <f>AND(Names!AF143,"AAAAAH2135g=")</f>
        <v>#VALUE!</v>
      </c>
      <c r="EX95" t="e">
        <f>AND(Names!AG143,"AAAAAH2135k=")</f>
        <v>#VALUE!</v>
      </c>
      <c r="EY95" t="e">
        <f>AND(Names!AH143,"AAAAAH2135o=")</f>
        <v>#VALUE!</v>
      </c>
      <c r="EZ95" t="e">
        <f>AND(Names!AI143,"AAAAAH2135s=")</f>
        <v>#VALUE!</v>
      </c>
      <c r="FA95" t="e">
        <f>AND(Names!AJ143,"AAAAAH2135w=")</f>
        <v>#VALUE!</v>
      </c>
      <c r="FB95" t="e">
        <f>AND(Names!AK143,"AAAAAH21350=")</f>
        <v>#VALUE!</v>
      </c>
      <c r="FC95" t="e">
        <f>AND(Names!AL143,"AAAAAH21354=")</f>
        <v>#VALUE!</v>
      </c>
      <c r="FD95" t="e">
        <f>AND(Names!AM143,"AAAAAH21358=")</f>
        <v>#VALUE!</v>
      </c>
      <c r="FE95">
        <f>IF(Names!144:144,"AAAAAH2136A=",0)</f>
        <v>0</v>
      </c>
      <c r="FF95" t="e">
        <f>AND(Names!A144,"AAAAAH2136E=")</f>
        <v>#VALUE!</v>
      </c>
      <c r="FG95" t="e">
        <f>AND(Names!B144,"AAAAAH2136I=")</f>
        <v>#VALUE!</v>
      </c>
      <c r="FH95" t="e">
        <f>AND(Names!C144,"AAAAAH2136M=")</f>
        <v>#VALUE!</v>
      </c>
      <c r="FI95" t="e">
        <f>AND(Names!D144,"AAAAAH2136Q=")</f>
        <v>#VALUE!</v>
      </c>
      <c r="FJ95" t="e">
        <f>AND(Names!E144,"AAAAAH2136U=")</f>
        <v>#VALUE!</v>
      </c>
      <c r="FK95" t="e">
        <f>AND(Names!F144,"AAAAAH2136Y=")</f>
        <v>#VALUE!</v>
      </c>
      <c r="FL95" t="e">
        <f>AND(Names!G144,"AAAAAH2136c=")</f>
        <v>#VALUE!</v>
      </c>
      <c r="FM95" t="e">
        <f>AND(Names!H144,"AAAAAH2136g=")</f>
        <v>#VALUE!</v>
      </c>
      <c r="FN95" t="e">
        <f>AND(Names!I144,"AAAAAH2136k=")</f>
        <v>#VALUE!</v>
      </c>
      <c r="FO95" t="e">
        <f>AND(Names!J144,"AAAAAH2136o=")</f>
        <v>#VALUE!</v>
      </c>
      <c r="FP95" t="e">
        <f>AND(Names!K144,"AAAAAH2136s=")</f>
        <v>#VALUE!</v>
      </c>
      <c r="FQ95" t="e">
        <f>AND(Names!L144,"AAAAAH2136w=")</f>
        <v>#VALUE!</v>
      </c>
      <c r="FR95" t="e">
        <f>AND(Names!M144,"AAAAAH21360=")</f>
        <v>#VALUE!</v>
      </c>
      <c r="FS95" t="e">
        <f>AND(Names!N144,"AAAAAH21364=")</f>
        <v>#VALUE!</v>
      </c>
      <c r="FT95" t="e">
        <f>AND(Names!O144,"AAAAAH21368=")</f>
        <v>#VALUE!</v>
      </c>
      <c r="FU95" t="e">
        <f>AND(Names!P144,"AAAAAH2137A=")</f>
        <v>#VALUE!</v>
      </c>
      <c r="FV95" t="e">
        <f>AND(Names!Q144,"AAAAAH2137E=")</f>
        <v>#VALUE!</v>
      </c>
      <c r="FW95" t="e">
        <f>AND(Names!R144,"AAAAAH2137I=")</f>
        <v>#VALUE!</v>
      </c>
      <c r="FX95" t="e">
        <f>AND(Names!S144,"AAAAAH2137M=")</f>
        <v>#VALUE!</v>
      </c>
      <c r="FY95" t="e">
        <f>AND(Names!T144,"AAAAAH2137Q=")</f>
        <v>#VALUE!</v>
      </c>
      <c r="FZ95" t="e">
        <f>AND(Names!U144,"AAAAAH2137U=")</f>
        <v>#VALUE!</v>
      </c>
      <c r="GA95" t="e">
        <f>AND(Names!V144,"AAAAAH2137Y=")</f>
        <v>#VALUE!</v>
      </c>
      <c r="GB95" t="e">
        <f>AND(Names!W144,"AAAAAH2137c=")</f>
        <v>#VALUE!</v>
      </c>
      <c r="GC95" t="e">
        <f>AND(Names!X144,"AAAAAH2137g=")</f>
        <v>#VALUE!</v>
      </c>
      <c r="GD95" t="e">
        <f>AND(Names!Y144,"AAAAAH2137k=")</f>
        <v>#VALUE!</v>
      </c>
      <c r="GE95" t="e">
        <f>AND(Names!Z144,"AAAAAH2137o=")</f>
        <v>#VALUE!</v>
      </c>
      <c r="GF95" t="e">
        <f>AND(Names!AA144,"AAAAAH2137s=")</f>
        <v>#VALUE!</v>
      </c>
      <c r="GG95" t="e">
        <f>AND(Names!AB144,"AAAAAH2137w=")</f>
        <v>#VALUE!</v>
      </c>
      <c r="GH95" t="e">
        <f>AND(Names!AC144,"AAAAAH21370=")</f>
        <v>#VALUE!</v>
      </c>
      <c r="GI95" t="e">
        <f>AND(Names!AD144,"AAAAAH21374=")</f>
        <v>#VALUE!</v>
      </c>
      <c r="GJ95" t="e">
        <f>AND(Names!AE144,"AAAAAH21378=")</f>
        <v>#VALUE!</v>
      </c>
      <c r="GK95" t="e">
        <f>AND(Names!AF144,"AAAAAH2138A=")</f>
        <v>#VALUE!</v>
      </c>
      <c r="GL95" t="e">
        <f>AND(Names!AG144,"AAAAAH2138E=")</f>
        <v>#VALUE!</v>
      </c>
      <c r="GM95" t="e">
        <f>AND(Names!AH144,"AAAAAH2138I=")</f>
        <v>#VALUE!</v>
      </c>
      <c r="GN95" t="e">
        <f>AND(Names!AI144,"AAAAAH2138M=")</f>
        <v>#VALUE!</v>
      </c>
      <c r="GO95" t="e">
        <f>AND(Names!AJ144,"AAAAAH2138Q=")</f>
        <v>#VALUE!</v>
      </c>
      <c r="GP95" t="e">
        <f>AND(Names!AK144,"AAAAAH2138U=")</f>
        <v>#VALUE!</v>
      </c>
      <c r="GQ95" t="e">
        <f>AND(Names!AL144,"AAAAAH2138Y=")</f>
        <v>#VALUE!</v>
      </c>
      <c r="GR95" t="e">
        <f>AND(Names!AM144,"AAAAAH2138c=")</f>
        <v>#VALUE!</v>
      </c>
      <c r="GS95">
        <f>IF(Names!145:145,"AAAAAH2138g=",0)</f>
        <v>0</v>
      </c>
      <c r="GT95" t="e">
        <f>AND(Names!A145,"AAAAAH2138k=")</f>
        <v>#VALUE!</v>
      </c>
      <c r="GU95" t="e">
        <f>AND(Names!B145,"AAAAAH2138o=")</f>
        <v>#VALUE!</v>
      </c>
      <c r="GV95" t="e">
        <f>AND(Names!C145,"AAAAAH2138s=")</f>
        <v>#VALUE!</v>
      </c>
      <c r="GW95" t="e">
        <f>AND(Names!D145,"AAAAAH2138w=")</f>
        <v>#VALUE!</v>
      </c>
      <c r="GX95" t="e">
        <f>AND(Names!E145,"AAAAAH21380=")</f>
        <v>#VALUE!</v>
      </c>
      <c r="GY95" t="e">
        <f>AND(Names!F145,"AAAAAH21384=")</f>
        <v>#VALUE!</v>
      </c>
      <c r="GZ95" t="e">
        <f>AND(Names!G145,"AAAAAH21388=")</f>
        <v>#VALUE!</v>
      </c>
      <c r="HA95" t="e">
        <f>AND(Names!H145,"AAAAAH2139A=")</f>
        <v>#VALUE!</v>
      </c>
      <c r="HB95" t="e">
        <f>AND(Names!I145,"AAAAAH2139E=")</f>
        <v>#VALUE!</v>
      </c>
      <c r="HC95" t="e">
        <f>AND(Names!J145,"AAAAAH2139I=")</f>
        <v>#VALUE!</v>
      </c>
      <c r="HD95" t="e">
        <f>AND(Names!K145,"AAAAAH2139M=")</f>
        <v>#VALUE!</v>
      </c>
      <c r="HE95" t="e">
        <f>AND(Names!L145,"AAAAAH2139Q=")</f>
        <v>#VALUE!</v>
      </c>
      <c r="HF95" t="e">
        <f>AND(Names!M145,"AAAAAH2139U=")</f>
        <v>#VALUE!</v>
      </c>
      <c r="HG95" t="e">
        <f>AND(Names!N145,"AAAAAH2139Y=")</f>
        <v>#VALUE!</v>
      </c>
      <c r="HH95" t="e">
        <f>AND(Names!O145,"AAAAAH2139c=")</f>
        <v>#VALUE!</v>
      </c>
      <c r="HI95" t="e">
        <f>AND(Names!P145,"AAAAAH2139g=")</f>
        <v>#VALUE!</v>
      </c>
      <c r="HJ95" t="e">
        <f>AND(Names!Q145,"AAAAAH2139k=")</f>
        <v>#VALUE!</v>
      </c>
      <c r="HK95" t="e">
        <f>AND(Names!R145,"AAAAAH2139o=")</f>
        <v>#VALUE!</v>
      </c>
      <c r="HL95" t="e">
        <f>AND(Names!S145,"AAAAAH2139s=")</f>
        <v>#VALUE!</v>
      </c>
      <c r="HM95" t="e">
        <f>AND(Names!T145,"AAAAAH2139w=")</f>
        <v>#VALUE!</v>
      </c>
      <c r="HN95" t="e">
        <f>AND(Names!U145,"AAAAAH21390=")</f>
        <v>#VALUE!</v>
      </c>
      <c r="HO95" t="e">
        <f>AND(Names!V145,"AAAAAH21394=")</f>
        <v>#VALUE!</v>
      </c>
      <c r="HP95" t="e">
        <f>AND(Names!W145,"AAAAAH21398=")</f>
        <v>#VALUE!</v>
      </c>
      <c r="HQ95" t="e">
        <f>AND(Names!X145,"AAAAAH213+A=")</f>
        <v>#VALUE!</v>
      </c>
      <c r="HR95" t="e">
        <f>AND(Names!Y145,"AAAAAH213+E=")</f>
        <v>#VALUE!</v>
      </c>
      <c r="HS95" t="e">
        <f>AND(Names!Z145,"AAAAAH213+I=")</f>
        <v>#VALUE!</v>
      </c>
      <c r="HT95" t="e">
        <f>AND(Names!AA145,"AAAAAH213+M=")</f>
        <v>#VALUE!</v>
      </c>
      <c r="HU95" t="e">
        <f>AND(Names!AB145,"AAAAAH213+Q=")</f>
        <v>#VALUE!</v>
      </c>
      <c r="HV95" t="e">
        <f>AND(Names!AC145,"AAAAAH213+U=")</f>
        <v>#VALUE!</v>
      </c>
      <c r="HW95" t="e">
        <f>AND(Names!AD145,"AAAAAH213+Y=")</f>
        <v>#VALUE!</v>
      </c>
      <c r="HX95" t="e">
        <f>AND(Names!AE145,"AAAAAH213+c=")</f>
        <v>#VALUE!</v>
      </c>
      <c r="HY95" t="e">
        <f>AND(Names!AF145,"AAAAAH213+g=")</f>
        <v>#VALUE!</v>
      </c>
      <c r="HZ95" t="e">
        <f>AND(Names!AG145,"AAAAAH213+k=")</f>
        <v>#VALUE!</v>
      </c>
      <c r="IA95" t="e">
        <f>AND(Names!AH145,"AAAAAH213+o=")</f>
        <v>#VALUE!</v>
      </c>
      <c r="IB95" t="e">
        <f>AND(Names!AI145,"AAAAAH213+s=")</f>
        <v>#VALUE!</v>
      </c>
      <c r="IC95" t="e">
        <f>AND(Names!AJ145,"AAAAAH213+w=")</f>
        <v>#VALUE!</v>
      </c>
      <c r="ID95" t="e">
        <f>AND(Names!AK145,"AAAAAH213+0=")</f>
        <v>#VALUE!</v>
      </c>
      <c r="IE95" t="e">
        <f>AND(Names!AL145,"AAAAAH213+4=")</f>
        <v>#VALUE!</v>
      </c>
      <c r="IF95" t="e">
        <f>AND(Names!AM145,"AAAAAH213+8=")</f>
        <v>#VALUE!</v>
      </c>
      <c r="IG95">
        <f>IF(Names!146:146,"AAAAAH213/A=",0)</f>
        <v>0</v>
      </c>
      <c r="IH95" t="e">
        <f>AND(Names!A146,"AAAAAH213/E=")</f>
        <v>#VALUE!</v>
      </c>
      <c r="II95" t="e">
        <f>AND(Names!B146,"AAAAAH213/I=")</f>
        <v>#VALUE!</v>
      </c>
      <c r="IJ95" t="e">
        <f>AND(Names!C146,"AAAAAH213/M=")</f>
        <v>#VALUE!</v>
      </c>
      <c r="IK95" t="e">
        <f>AND(Names!D146,"AAAAAH213/Q=")</f>
        <v>#VALUE!</v>
      </c>
      <c r="IL95" t="e">
        <f>AND(Names!E146,"AAAAAH213/U=")</f>
        <v>#VALUE!</v>
      </c>
      <c r="IM95" t="e">
        <f>AND(Names!F146,"AAAAAH213/Y=")</f>
        <v>#VALUE!</v>
      </c>
      <c r="IN95" t="e">
        <f>AND(Names!G146,"AAAAAH213/c=")</f>
        <v>#VALUE!</v>
      </c>
      <c r="IO95" t="e">
        <f>AND(Names!H146,"AAAAAH213/g=")</f>
        <v>#VALUE!</v>
      </c>
      <c r="IP95" t="e">
        <f>AND(Names!I146,"AAAAAH213/k=")</f>
        <v>#VALUE!</v>
      </c>
      <c r="IQ95" t="e">
        <f>AND(Names!J146,"AAAAAH213/o=")</f>
        <v>#VALUE!</v>
      </c>
      <c r="IR95" t="e">
        <f>AND(Names!K146,"AAAAAH213/s=")</f>
        <v>#VALUE!</v>
      </c>
      <c r="IS95" t="e">
        <f>AND(Names!L146,"AAAAAH213/w=")</f>
        <v>#VALUE!</v>
      </c>
      <c r="IT95" t="e">
        <f>AND(Names!M146,"AAAAAH213/0=")</f>
        <v>#VALUE!</v>
      </c>
      <c r="IU95" t="e">
        <f>AND(Names!N146,"AAAAAH213/4=")</f>
        <v>#VALUE!</v>
      </c>
      <c r="IV95" t="e">
        <f>AND(Names!O146,"AAAAAH213/8=")</f>
        <v>#VALUE!</v>
      </c>
    </row>
    <row r="96" spans="1:256" x14ac:dyDescent="0.15">
      <c r="A96" t="e">
        <f>AND(Names!P146,"AAAAAHfvNwA=")</f>
        <v>#VALUE!</v>
      </c>
      <c r="B96" t="e">
        <f>AND(Names!Q146,"AAAAAHfvNwE=")</f>
        <v>#VALUE!</v>
      </c>
      <c r="C96" t="e">
        <f>AND(Names!R146,"AAAAAHfvNwI=")</f>
        <v>#VALUE!</v>
      </c>
      <c r="D96" t="e">
        <f>AND(Names!S146,"AAAAAHfvNwM=")</f>
        <v>#VALUE!</v>
      </c>
      <c r="E96" t="e">
        <f>AND(Names!T146,"AAAAAHfvNwQ=")</f>
        <v>#VALUE!</v>
      </c>
      <c r="F96" t="e">
        <f>AND(Names!U146,"AAAAAHfvNwU=")</f>
        <v>#VALUE!</v>
      </c>
      <c r="G96" t="e">
        <f>AND(Names!V146,"AAAAAHfvNwY=")</f>
        <v>#VALUE!</v>
      </c>
      <c r="H96" t="e">
        <f>AND(Names!W146,"AAAAAHfvNwc=")</f>
        <v>#VALUE!</v>
      </c>
      <c r="I96" t="e">
        <f>AND(Names!X146,"AAAAAHfvNwg=")</f>
        <v>#VALUE!</v>
      </c>
      <c r="J96" t="e">
        <f>AND(Names!Y146,"AAAAAHfvNwk=")</f>
        <v>#VALUE!</v>
      </c>
      <c r="K96" t="e">
        <f>AND(Names!Z146,"AAAAAHfvNwo=")</f>
        <v>#VALUE!</v>
      </c>
      <c r="L96" t="e">
        <f>AND(Names!AA146,"AAAAAHfvNws=")</f>
        <v>#VALUE!</v>
      </c>
      <c r="M96" t="e">
        <f>AND(Names!AB146,"AAAAAHfvNww=")</f>
        <v>#VALUE!</v>
      </c>
      <c r="N96" t="e">
        <f>AND(Names!AC146,"AAAAAHfvNw0=")</f>
        <v>#VALUE!</v>
      </c>
      <c r="O96" t="e">
        <f>AND(Names!AD146,"AAAAAHfvNw4=")</f>
        <v>#VALUE!</v>
      </c>
      <c r="P96" t="e">
        <f>AND(Names!AE146,"AAAAAHfvNw8=")</f>
        <v>#VALUE!</v>
      </c>
      <c r="Q96" t="e">
        <f>AND(Names!AF146,"AAAAAHfvNxA=")</f>
        <v>#VALUE!</v>
      </c>
      <c r="R96" t="e">
        <f>AND(Names!AG146,"AAAAAHfvNxE=")</f>
        <v>#VALUE!</v>
      </c>
      <c r="S96" t="e">
        <f>AND(Names!AH146,"AAAAAHfvNxI=")</f>
        <v>#VALUE!</v>
      </c>
      <c r="T96" t="e">
        <f>AND(Names!AI146,"AAAAAHfvNxM=")</f>
        <v>#VALUE!</v>
      </c>
      <c r="U96" t="e">
        <f>AND(Names!AJ146,"AAAAAHfvNxQ=")</f>
        <v>#VALUE!</v>
      </c>
      <c r="V96" t="e">
        <f>AND(Names!AK146,"AAAAAHfvNxU=")</f>
        <v>#VALUE!</v>
      </c>
      <c r="W96" t="e">
        <f>AND(Names!AL146,"AAAAAHfvNxY=")</f>
        <v>#VALUE!</v>
      </c>
      <c r="X96" t="e">
        <f>AND(Names!AM146,"AAAAAHfvNxc=")</f>
        <v>#VALUE!</v>
      </c>
      <c r="Y96">
        <f>IF(Names!147:147,"AAAAAHfvNxg=",0)</f>
        <v>0</v>
      </c>
      <c r="Z96" t="e">
        <f>AND(Names!A147,"AAAAAHfvNxk=")</f>
        <v>#VALUE!</v>
      </c>
      <c r="AA96" t="e">
        <f>AND(Names!B147,"AAAAAHfvNxo=")</f>
        <v>#VALUE!</v>
      </c>
      <c r="AB96" t="e">
        <f>AND(Names!C147,"AAAAAHfvNxs=")</f>
        <v>#VALUE!</v>
      </c>
      <c r="AC96" t="e">
        <f>AND(Names!D147,"AAAAAHfvNxw=")</f>
        <v>#VALUE!</v>
      </c>
      <c r="AD96" t="e">
        <f>AND(Names!E147,"AAAAAHfvNx0=")</f>
        <v>#VALUE!</v>
      </c>
      <c r="AE96" t="e">
        <f>AND(Names!F147,"AAAAAHfvNx4=")</f>
        <v>#VALUE!</v>
      </c>
      <c r="AF96" t="e">
        <f>AND(Names!G147,"AAAAAHfvNx8=")</f>
        <v>#VALUE!</v>
      </c>
      <c r="AG96" t="e">
        <f>AND(Names!H147,"AAAAAHfvNyA=")</f>
        <v>#VALUE!</v>
      </c>
      <c r="AH96" t="e">
        <f>AND(Names!I147,"AAAAAHfvNyE=")</f>
        <v>#VALUE!</v>
      </c>
      <c r="AI96" t="e">
        <f>AND(Names!J147,"AAAAAHfvNyI=")</f>
        <v>#VALUE!</v>
      </c>
      <c r="AJ96" t="e">
        <f>AND(Names!K147,"AAAAAHfvNyM=")</f>
        <v>#VALUE!</v>
      </c>
      <c r="AK96" t="e">
        <f>AND(Names!L147,"AAAAAHfvNyQ=")</f>
        <v>#VALUE!</v>
      </c>
      <c r="AL96" t="e">
        <f>AND(Names!M147,"AAAAAHfvNyU=")</f>
        <v>#VALUE!</v>
      </c>
      <c r="AM96" t="e">
        <f>AND(Names!N147,"AAAAAHfvNyY=")</f>
        <v>#VALUE!</v>
      </c>
      <c r="AN96" t="e">
        <f>AND(Names!O147,"AAAAAHfvNyc=")</f>
        <v>#VALUE!</v>
      </c>
      <c r="AO96" t="e">
        <f>AND(Names!P147,"AAAAAHfvNyg=")</f>
        <v>#VALUE!</v>
      </c>
      <c r="AP96" t="e">
        <f>AND(Names!Q147,"AAAAAHfvNyk=")</f>
        <v>#VALUE!</v>
      </c>
      <c r="AQ96" t="e">
        <f>AND(Names!R147,"AAAAAHfvNyo=")</f>
        <v>#VALUE!</v>
      </c>
      <c r="AR96" t="e">
        <f>AND(Names!S147,"AAAAAHfvNys=")</f>
        <v>#VALUE!</v>
      </c>
      <c r="AS96" t="e">
        <f>AND(Names!T147,"AAAAAHfvNyw=")</f>
        <v>#VALUE!</v>
      </c>
      <c r="AT96" t="e">
        <f>AND(Names!U147,"AAAAAHfvNy0=")</f>
        <v>#VALUE!</v>
      </c>
      <c r="AU96" t="e">
        <f>AND(Names!V147,"AAAAAHfvNy4=")</f>
        <v>#VALUE!</v>
      </c>
      <c r="AV96" t="e">
        <f>AND(Names!W147,"AAAAAHfvNy8=")</f>
        <v>#VALUE!</v>
      </c>
      <c r="AW96" t="e">
        <f>AND(Names!X147,"AAAAAHfvNzA=")</f>
        <v>#VALUE!</v>
      </c>
      <c r="AX96" t="e">
        <f>AND(Names!Y147,"AAAAAHfvNzE=")</f>
        <v>#VALUE!</v>
      </c>
      <c r="AY96" t="e">
        <f>AND(Names!Z147,"AAAAAHfvNzI=")</f>
        <v>#VALUE!</v>
      </c>
      <c r="AZ96" t="e">
        <f>AND(Names!AA147,"AAAAAHfvNzM=")</f>
        <v>#VALUE!</v>
      </c>
      <c r="BA96" t="e">
        <f>AND(Names!AB147,"AAAAAHfvNzQ=")</f>
        <v>#VALUE!</v>
      </c>
      <c r="BB96" t="e">
        <f>AND(Names!AC147,"AAAAAHfvNzU=")</f>
        <v>#VALUE!</v>
      </c>
      <c r="BC96" t="e">
        <f>AND(Names!AD147,"AAAAAHfvNzY=")</f>
        <v>#VALUE!</v>
      </c>
      <c r="BD96" t="e">
        <f>AND(Names!AE147,"AAAAAHfvNzc=")</f>
        <v>#VALUE!</v>
      </c>
      <c r="BE96" t="e">
        <f>AND(Names!AF147,"AAAAAHfvNzg=")</f>
        <v>#VALUE!</v>
      </c>
      <c r="BF96" t="e">
        <f>AND(Names!AG147,"AAAAAHfvNzk=")</f>
        <v>#VALUE!</v>
      </c>
      <c r="BG96" t="e">
        <f>AND(Names!AH147,"AAAAAHfvNzo=")</f>
        <v>#VALUE!</v>
      </c>
      <c r="BH96" t="e">
        <f>AND(Names!AI147,"AAAAAHfvNzs=")</f>
        <v>#VALUE!</v>
      </c>
      <c r="BI96" t="e">
        <f>AND(Names!AJ147,"AAAAAHfvNzw=")</f>
        <v>#VALUE!</v>
      </c>
      <c r="BJ96" t="e">
        <f>AND(Names!AK147,"AAAAAHfvNz0=")</f>
        <v>#VALUE!</v>
      </c>
      <c r="BK96" t="e">
        <f>AND(Names!AL147,"AAAAAHfvNz4=")</f>
        <v>#VALUE!</v>
      </c>
      <c r="BL96" t="e">
        <f>AND(Names!AM147,"AAAAAHfvNz8=")</f>
        <v>#VALUE!</v>
      </c>
      <c r="BM96">
        <f>IF(Names!148:148,"AAAAAHfvN0A=",0)</f>
        <v>0</v>
      </c>
      <c r="BN96" t="e">
        <f>AND(Names!A148,"AAAAAHfvN0E=")</f>
        <v>#VALUE!</v>
      </c>
      <c r="BO96" t="e">
        <f>AND(Names!B148,"AAAAAHfvN0I=")</f>
        <v>#VALUE!</v>
      </c>
      <c r="BP96" t="e">
        <f>AND(Names!C148,"AAAAAHfvN0M=")</f>
        <v>#VALUE!</v>
      </c>
      <c r="BQ96" t="e">
        <f>AND(Names!D148,"AAAAAHfvN0Q=")</f>
        <v>#VALUE!</v>
      </c>
      <c r="BR96" t="e">
        <f>AND(Names!E148,"AAAAAHfvN0U=")</f>
        <v>#VALUE!</v>
      </c>
      <c r="BS96" t="e">
        <f>AND(Names!F148,"AAAAAHfvN0Y=")</f>
        <v>#VALUE!</v>
      </c>
      <c r="BT96" t="e">
        <f>AND(Names!G148,"AAAAAHfvN0c=")</f>
        <v>#VALUE!</v>
      </c>
      <c r="BU96" t="e">
        <f>AND(Names!H148,"AAAAAHfvN0g=")</f>
        <v>#VALUE!</v>
      </c>
      <c r="BV96" t="e">
        <f>AND(Names!I148,"AAAAAHfvN0k=")</f>
        <v>#VALUE!</v>
      </c>
      <c r="BW96" t="e">
        <f>AND(Names!J148,"AAAAAHfvN0o=")</f>
        <v>#VALUE!</v>
      </c>
      <c r="BX96" t="e">
        <f>AND(Names!K148,"AAAAAHfvN0s=")</f>
        <v>#VALUE!</v>
      </c>
      <c r="BY96" t="e">
        <f>AND(Names!L148,"AAAAAHfvN0w=")</f>
        <v>#VALUE!</v>
      </c>
      <c r="BZ96" t="e">
        <f>AND(Names!M148,"AAAAAHfvN00=")</f>
        <v>#VALUE!</v>
      </c>
      <c r="CA96" t="e">
        <f>AND(Names!N148,"AAAAAHfvN04=")</f>
        <v>#VALUE!</v>
      </c>
      <c r="CB96" t="e">
        <f>AND(Names!O148,"AAAAAHfvN08=")</f>
        <v>#VALUE!</v>
      </c>
      <c r="CC96" t="e">
        <f>AND(Names!P148,"AAAAAHfvN1A=")</f>
        <v>#VALUE!</v>
      </c>
      <c r="CD96" t="e">
        <f>AND(Names!Q148,"AAAAAHfvN1E=")</f>
        <v>#VALUE!</v>
      </c>
      <c r="CE96" t="e">
        <f>AND(Names!R148,"AAAAAHfvN1I=")</f>
        <v>#VALUE!</v>
      </c>
      <c r="CF96" t="e">
        <f>AND(Names!S148,"AAAAAHfvN1M=")</f>
        <v>#VALUE!</v>
      </c>
      <c r="CG96" t="e">
        <f>AND(Names!T148,"AAAAAHfvN1Q=")</f>
        <v>#VALUE!</v>
      </c>
      <c r="CH96" t="e">
        <f>AND(Names!U148,"AAAAAHfvN1U=")</f>
        <v>#VALUE!</v>
      </c>
      <c r="CI96" t="e">
        <f>AND(Names!V148,"AAAAAHfvN1Y=")</f>
        <v>#VALUE!</v>
      </c>
      <c r="CJ96" t="e">
        <f>AND(Names!W148,"AAAAAHfvN1c=")</f>
        <v>#VALUE!</v>
      </c>
      <c r="CK96" t="e">
        <f>AND(Names!X148,"AAAAAHfvN1g=")</f>
        <v>#VALUE!</v>
      </c>
      <c r="CL96" t="e">
        <f>AND(Names!Y148,"AAAAAHfvN1k=")</f>
        <v>#VALUE!</v>
      </c>
      <c r="CM96" t="e">
        <f>AND(Names!Z148,"AAAAAHfvN1o=")</f>
        <v>#VALUE!</v>
      </c>
      <c r="CN96" t="e">
        <f>AND(Names!AA148,"AAAAAHfvN1s=")</f>
        <v>#VALUE!</v>
      </c>
      <c r="CO96" t="e">
        <f>AND(Names!AB148,"AAAAAHfvN1w=")</f>
        <v>#VALUE!</v>
      </c>
      <c r="CP96" t="e">
        <f>AND(Names!AC148,"AAAAAHfvN10=")</f>
        <v>#VALUE!</v>
      </c>
      <c r="CQ96" t="e">
        <f>AND(Names!AD148,"AAAAAHfvN14=")</f>
        <v>#VALUE!</v>
      </c>
      <c r="CR96" t="e">
        <f>AND(Names!AE148,"AAAAAHfvN18=")</f>
        <v>#VALUE!</v>
      </c>
      <c r="CS96" t="e">
        <f>AND(Names!AF148,"AAAAAHfvN2A=")</f>
        <v>#VALUE!</v>
      </c>
      <c r="CT96" t="e">
        <f>AND(Names!AG148,"AAAAAHfvN2E=")</f>
        <v>#VALUE!</v>
      </c>
      <c r="CU96" t="e">
        <f>AND(Names!AH148,"AAAAAHfvN2I=")</f>
        <v>#VALUE!</v>
      </c>
      <c r="CV96" t="e">
        <f>AND(Names!AI148,"AAAAAHfvN2M=")</f>
        <v>#VALUE!</v>
      </c>
      <c r="CW96" t="e">
        <f>AND(Names!AJ148,"AAAAAHfvN2Q=")</f>
        <v>#VALUE!</v>
      </c>
      <c r="CX96" t="e">
        <f>AND(Names!AK148,"AAAAAHfvN2U=")</f>
        <v>#VALUE!</v>
      </c>
      <c r="CY96" t="e">
        <f>AND(Names!AL148,"AAAAAHfvN2Y=")</f>
        <v>#VALUE!</v>
      </c>
      <c r="CZ96" t="e">
        <f>AND(Names!AM148,"AAAAAHfvN2c=")</f>
        <v>#VALUE!</v>
      </c>
      <c r="DA96">
        <f>IF(Names!149:149,"AAAAAHfvN2g=",0)</f>
        <v>0</v>
      </c>
      <c r="DB96" t="e">
        <f>AND(Names!A149,"AAAAAHfvN2k=")</f>
        <v>#VALUE!</v>
      </c>
      <c r="DC96" t="e">
        <f>AND(Names!B149,"AAAAAHfvN2o=")</f>
        <v>#VALUE!</v>
      </c>
      <c r="DD96" t="e">
        <f>AND(Names!C149,"AAAAAHfvN2s=")</f>
        <v>#VALUE!</v>
      </c>
      <c r="DE96" t="e">
        <f>AND(Names!D149,"AAAAAHfvN2w=")</f>
        <v>#VALUE!</v>
      </c>
      <c r="DF96" t="e">
        <f>AND(Names!E149,"AAAAAHfvN20=")</f>
        <v>#VALUE!</v>
      </c>
      <c r="DG96" t="e">
        <f>AND(Names!F149,"AAAAAHfvN24=")</f>
        <v>#VALUE!</v>
      </c>
      <c r="DH96" t="e">
        <f>AND(Names!G149,"AAAAAHfvN28=")</f>
        <v>#VALUE!</v>
      </c>
      <c r="DI96" t="e">
        <f>AND(Names!H149,"AAAAAHfvN3A=")</f>
        <v>#VALUE!</v>
      </c>
      <c r="DJ96" t="e">
        <f>AND(Names!I149,"AAAAAHfvN3E=")</f>
        <v>#VALUE!</v>
      </c>
      <c r="DK96" t="e">
        <f>AND(Names!J149,"AAAAAHfvN3I=")</f>
        <v>#VALUE!</v>
      </c>
      <c r="DL96" t="e">
        <f>AND(Names!K149,"AAAAAHfvN3M=")</f>
        <v>#VALUE!</v>
      </c>
      <c r="DM96" t="e">
        <f>AND(Names!L149,"AAAAAHfvN3Q=")</f>
        <v>#VALUE!</v>
      </c>
      <c r="DN96" t="e">
        <f>AND(Names!M149,"AAAAAHfvN3U=")</f>
        <v>#VALUE!</v>
      </c>
      <c r="DO96" t="e">
        <f>AND(Names!N149,"AAAAAHfvN3Y=")</f>
        <v>#VALUE!</v>
      </c>
      <c r="DP96" t="e">
        <f>AND(Names!O149,"AAAAAHfvN3c=")</f>
        <v>#VALUE!</v>
      </c>
      <c r="DQ96" t="e">
        <f>AND(Names!P149,"AAAAAHfvN3g=")</f>
        <v>#VALUE!</v>
      </c>
      <c r="DR96" t="e">
        <f>AND(Names!Q149,"AAAAAHfvN3k=")</f>
        <v>#VALUE!</v>
      </c>
      <c r="DS96" t="e">
        <f>AND(Names!R149,"AAAAAHfvN3o=")</f>
        <v>#VALUE!</v>
      </c>
      <c r="DT96" t="e">
        <f>AND(Names!S149,"AAAAAHfvN3s=")</f>
        <v>#VALUE!</v>
      </c>
      <c r="DU96" t="e">
        <f>AND(Names!T149,"AAAAAHfvN3w=")</f>
        <v>#VALUE!</v>
      </c>
      <c r="DV96" t="e">
        <f>AND(Names!U149,"AAAAAHfvN30=")</f>
        <v>#VALUE!</v>
      </c>
      <c r="DW96" t="e">
        <f>AND(Names!V149,"AAAAAHfvN34=")</f>
        <v>#VALUE!</v>
      </c>
      <c r="DX96" t="e">
        <f>AND(Names!W149,"AAAAAHfvN38=")</f>
        <v>#VALUE!</v>
      </c>
      <c r="DY96" t="e">
        <f>AND(Names!X149,"AAAAAHfvN4A=")</f>
        <v>#VALUE!</v>
      </c>
      <c r="DZ96" t="e">
        <f>AND(Names!Y149,"AAAAAHfvN4E=")</f>
        <v>#VALUE!</v>
      </c>
      <c r="EA96" t="e">
        <f>AND(Names!Z149,"AAAAAHfvN4I=")</f>
        <v>#VALUE!</v>
      </c>
      <c r="EB96" t="e">
        <f>AND(Names!AA149,"AAAAAHfvN4M=")</f>
        <v>#VALUE!</v>
      </c>
      <c r="EC96" t="e">
        <f>AND(Names!AB149,"AAAAAHfvN4Q=")</f>
        <v>#VALUE!</v>
      </c>
      <c r="ED96" t="e">
        <f>AND(Names!AC149,"AAAAAHfvN4U=")</f>
        <v>#VALUE!</v>
      </c>
      <c r="EE96" t="e">
        <f>AND(Names!AD149,"AAAAAHfvN4Y=")</f>
        <v>#VALUE!</v>
      </c>
      <c r="EF96" t="e">
        <f>AND(Names!AE149,"AAAAAHfvN4c=")</f>
        <v>#VALUE!</v>
      </c>
      <c r="EG96" t="e">
        <f>AND(Names!AF149,"AAAAAHfvN4g=")</f>
        <v>#VALUE!</v>
      </c>
      <c r="EH96" t="e">
        <f>AND(Names!AG149,"AAAAAHfvN4k=")</f>
        <v>#VALUE!</v>
      </c>
      <c r="EI96" t="e">
        <f>AND(Names!AH149,"AAAAAHfvN4o=")</f>
        <v>#VALUE!</v>
      </c>
      <c r="EJ96" t="e">
        <f>AND(Names!AI149,"AAAAAHfvN4s=")</f>
        <v>#VALUE!</v>
      </c>
      <c r="EK96" t="e">
        <f>AND(Names!AJ149,"AAAAAHfvN4w=")</f>
        <v>#VALUE!</v>
      </c>
      <c r="EL96" t="e">
        <f>AND(Names!AK149,"AAAAAHfvN40=")</f>
        <v>#VALUE!</v>
      </c>
      <c r="EM96" t="e">
        <f>AND(Names!AL149,"AAAAAHfvN44=")</f>
        <v>#VALUE!</v>
      </c>
      <c r="EN96" t="e">
        <f>AND(Names!AM149,"AAAAAHfvN48=")</f>
        <v>#VALUE!</v>
      </c>
      <c r="EO96">
        <f>IF(Names!150:150,"AAAAAHfvN5A=",0)</f>
        <v>0</v>
      </c>
      <c r="EP96" t="e">
        <f>AND(Names!A150,"AAAAAHfvN5E=")</f>
        <v>#VALUE!</v>
      </c>
      <c r="EQ96" t="e">
        <f>AND(Names!B150,"AAAAAHfvN5I=")</f>
        <v>#VALUE!</v>
      </c>
      <c r="ER96" t="e">
        <f>AND(Names!C150,"AAAAAHfvN5M=")</f>
        <v>#VALUE!</v>
      </c>
      <c r="ES96" t="e">
        <f>AND(Names!D150,"AAAAAHfvN5Q=")</f>
        <v>#VALUE!</v>
      </c>
      <c r="ET96" t="e">
        <f>AND(Names!E150,"AAAAAHfvN5U=")</f>
        <v>#VALUE!</v>
      </c>
      <c r="EU96" t="e">
        <f>AND(Names!F150,"AAAAAHfvN5Y=")</f>
        <v>#VALUE!</v>
      </c>
      <c r="EV96" t="e">
        <f>AND(Names!G150,"AAAAAHfvN5c=")</f>
        <v>#VALUE!</v>
      </c>
      <c r="EW96" t="e">
        <f>AND(Names!H150,"AAAAAHfvN5g=")</f>
        <v>#VALUE!</v>
      </c>
      <c r="EX96" t="e">
        <f>AND(Names!I150,"AAAAAHfvN5k=")</f>
        <v>#VALUE!</v>
      </c>
      <c r="EY96" t="e">
        <f>AND(Names!J150,"AAAAAHfvN5o=")</f>
        <v>#VALUE!</v>
      </c>
      <c r="EZ96" t="e">
        <f>AND(Names!K150,"AAAAAHfvN5s=")</f>
        <v>#VALUE!</v>
      </c>
      <c r="FA96" t="e">
        <f>AND(Names!L150,"AAAAAHfvN5w=")</f>
        <v>#VALUE!</v>
      </c>
      <c r="FB96" t="e">
        <f>AND(Names!M150,"AAAAAHfvN50=")</f>
        <v>#VALUE!</v>
      </c>
      <c r="FC96" t="e">
        <f>AND(Names!N150,"AAAAAHfvN54=")</f>
        <v>#VALUE!</v>
      </c>
      <c r="FD96" t="e">
        <f>AND(Names!O150,"AAAAAHfvN58=")</f>
        <v>#VALUE!</v>
      </c>
      <c r="FE96" t="e">
        <f>AND(Names!P150,"AAAAAHfvN6A=")</f>
        <v>#VALUE!</v>
      </c>
      <c r="FF96" t="e">
        <f>AND(Names!Q150,"AAAAAHfvN6E=")</f>
        <v>#VALUE!</v>
      </c>
      <c r="FG96" t="e">
        <f>AND(Names!R150,"AAAAAHfvN6I=")</f>
        <v>#VALUE!</v>
      </c>
      <c r="FH96" t="e">
        <f>AND(Names!S150,"AAAAAHfvN6M=")</f>
        <v>#VALUE!</v>
      </c>
      <c r="FI96" t="e">
        <f>AND(Names!T150,"AAAAAHfvN6Q=")</f>
        <v>#VALUE!</v>
      </c>
      <c r="FJ96" t="e">
        <f>AND(Names!U150,"AAAAAHfvN6U=")</f>
        <v>#VALUE!</v>
      </c>
      <c r="FK96" t="e">
        <f>AND(Names!V150,"AAAAAHfvN6Y=")</f>
        <v>#VALUE!</v>
      </c>
      <c r="FL96" t="e">
        <f>AND(Names!W150,"AAAAAHfvN6c=")</f>
        <v>#VALUE!</v>
      </c>
      <c r="FM96" t="e">
        <f>AND(Names!X150,"AAAAAHfvN6g=")</f>
        <v>#VALUE!</v>
      </c>
      <c r="FN96" t="e">
        <f>AND(Names!Y150,"AAAAAHfvN6k=")</f>
        <v>#VALUE!</v>
      </c>
      <c r="FO96" t="e">
        <f>AND(Names!Z150,"AAAAAHfvN6o=")</f>
        <v>#VALUE!</v>
      </c>
      <c r="FP96" t="e">
        <f>AND(Names!AA150,"AAAAAHfvN6s=")</f>
        <v>#VALUE!</v>
      </c>
      <c r="FQ96" t="e">
        <f>AND(Names!AB150,"AAAAAHfvN6w=")</f>
        <v>#VALUE!</v>
      </c>
      <c r="FR96" t="e">
        <f>AND(Names!AC150,"AAAAAHfvN60=")</f>
        <v>#VALUE!</v>
      </c>
      <c r="FS96" t="e">
        <f>AND(Names!AD150,"AAAAAHfvN64=")</f>
        <v>#VALUE!</v>
      </c>
      <c r="FT96" t="e">
        <f>AND(Names!AE150,"AAAAAHfvN68=")</f>
        <v>#VALUE!</v>
      </c>
      <c r="FU96" t="e">
        <f>AND(Names!AF150,"AAAAAHfvN7A=")</f>
        <v>#VALUE!</v>
      </c>
      <c r="FV96" t="e">
        <f>AND(Names!AG150,"AAAAAHfvN7E=")</f>
        <v>#VALUE!</v>
      </c>
      <c r="FW96" t="e">
        <f>AND(Names!AH150,"AAAAAHfvN7I=")</f>
        <v>#VALUE!</v>
      </c>
      <c r="FX96" t="e">
        <f>AND(Names!AI150,"AAAAAHfvN7M=")</f>
        <v>#VALUE!</v>
      </c>
      <c r="FY96" t="e">
        <f>AND(Names!AJ150,"AAAAAHfvN7Q=")</f>
        <v>#VALUE!</v>
      </c>
      <c r="FZ96" t="e">
        <f>AND(Names!AK150,"AAAAAHfvN7U=")</f>
        <v>#VALUE!</v>
      </c>
      <c r="GA96" t="e">
        <f>AND(Names!AL150,"AAAAAHfvN7Y=")</f>
        <v>#VALUE!</v>
      </c>
      <c r="GB96" t="e">
        <f>AND(Names!AM150,"AAAAAHfvN7c=")</f>
        <v>#VALUE!</v>
      </c>
      <c r="GC96">
        <f>IF(Names!151:151,"AAAAAHfvN7g=",0)</f>
        <v>0</v>
      </c>
      <c r="GD96" t="e">
        <f>AND(Names!A151,"AAAAAHfvN7k=")</f>
        <v>#VALUE!</v>
      </c>
      <c r="GE96" t="e">
        <f>AND(Names!B151,"AAAAAHfvN7o=")</f>
        <v>#VALUE!</v>
      </c>
      <c r="GF96" t="e">
        <f>AND(Names!C151,"AAAAAHfvN7s=")</f>
        <v>#VALUE!</v>
      </c>
      <c r="GG96" t="e">
        <f>AND(Names!D151,"AAAAAHfvN7w=")</f>
        <v>#VALUE!</v>
      </c>
      <c r="GH96" t="e">
        <f>AND(Names!E151,"AAAAAHfvN70=")</f>
        <v>#VALUE!</v>
      </c>
      <c r="GI96" t="e">
        <f>AND(Names!F151,"AAAAAHfvN74=")</f>
        <v>#VALUE!</v>
      </c>
      <c r="GJ96" t="e">
        <f>AND(Names!G151,"AAAAAHfvN78=")</f>
        <v>#VALUE!</v>
      </c>
      <c r="GK96" t="e">
        <f>AND(Names!H151,"AAAAAHfvN8A=")</f>
        <v>#VALUE!</v>
      </c>
      <c r="GL96" t="e">
        <f>AND(Names!I151,"AAAAAHfvN8E=")</f>
        <v>#VALUE!</v>
      </c>
      <c r="GM96" t="e">
        <f>AND(Names!J151,"AAAAAHfvN8I=")</f>
        <v>#VALUE!</v>
      </c>
      <c r="GN96" t="e">
        <f>AND(Names!K151,"AAAAAHfvN8M=")</f>
        <v>#VALUE!</v>
      </c>
      <c r="GO96" t="e">
        <f>AND(Names!L151,"AAAAAHfvN8Q=")</f>
        <v>#VALUE!</v>
      </c>
      <c r="GP96" t="e">
        <f>AND(Names!M151,"AAAAAHfvN8U=")</f>
        <v>#VALUE!</v>
      </c>
      <c r="GQ96" t="e">
        <f>AND(Names!N151,"AAAAAHfvN8Y=")</f>
        <v>#VALUE!</v>
      </c>
      <c r="GR96" t="e">
        <f>AND(Names!O151,"AAAAAHfvN8c=")</f>
        <v>#VALUE!</v>
      </c>
      <c r="GS96" t="e">
        <f>AND(Names!P151,"AAAAAHfvN8g=")</f>
        <v>#VALUE!</v>
      </c>
      <c r="GT96" t="e">
        <f>AND(Names!Q151,"AAAAAHfvN8k=")</f>
        <v>#VALUE!</v>
      </c>
      <c r="GU96" t="e">
        <f>AND(Names!R151,"AAAAAHfvN8o=")</f>
        <v>#VALUE!</v>
      </c>
      <c r="GV96" t="e">
        <f>AND(Names!S151,"AAAAAHfvN8s=")</f>
        <v>#VALUE!</v>
      </c>
      <c r="GW96" t="e">
        <f>AND(Names!T151,"AAAAAHfvN8w=")</f>
        <v>#VALUE!</v>
      </c>
      <c r="GX96" t="e">
        <f>AND(Names!U151,"AAAAAHfvN80=")</f>
        <v>#VALUE!</v>
      </c>
      <c r="GY96" t="e">
        <f>AND(Names!V151,"AAAAAHfvN84=")</f>
        <v>#VALUE!</v>
      </c>
      <c r="GZ96" t="e">
        <f>AND(Names!W151,"AAAAAHfvN88=")</f>
        <v>#VALUE!</v>
      </c>
      <c r="HA96" t="e">
        <f>AND(Names!X151,"AAAAAHfvN9A=")</f>
        <v>#VALUE!</v>
      </c>
      <c r="HB96" t="e">
        <f>AND(Names!Y151,"AAAAAHfvN9E=")</f>
        <v>#VALUE!</v>
      </c>
      <c r="HC96" t="e">
        <f>AND(Names!Z151,"AAAAAHfvN9I=")</f>
        <v>#VALUE!</v>
      </c>
      <c r="HD96" t="e">
        <f>AND(Names!AA151,"AAAAAHfvN9M=")</f>
        <v>#VALUE!</v>
      </c>
      <c r="HE96" t="e">
        <f>AND(Names!AB151,"AAAAAHfvN9Q=")</f>
        <v>#VALUE!</v>
      </c>
      <c r="HF96" t="e">
        <f>AND(Names!AC151,"AAAAAHfvN9U=")</f>
        <v>#VALUE!</v>
      </c>
      <c r="HG96" t="e">
        <f>AND(Names!AD151,"AAAAAHfvN9Y=")</f>
        <v>#VALUE!</v>
      </c>
      <c r="HH96" t="e">
        <f>AND(Names!AE151,"AAAAAHfvN9c=")</f>
        <v>#VALUE!</v>
      </c>
      <c r="HI96" t="e">
        <f>AND(Names!AF151,"AAAAAHfvN9g=")</f>
        <v>#VALUE!</v>
      </c>
      <c r="HJ96" t="e">
        <f>AND(Names!AG151,"AAAAAHfvN9k=")</f>
        <v>#VALUE!</v>
      </c>
      <c r="HK96" t="e">
        <f>AND(Names!AH151,"AAAAAHfvN9o=")</f>
        <v>#VALUE!</v>
      </c>
      <c r="HL96" t="e">
        <f>AND(Names!AI151,"AAAAAHfvN9s=")</f>
        <v>#VALUE!</v>
      </c>
      <c r="HM96" t="e">
        <f>AND(Names!AJ151,"AAAAAHfvN9w=")</f>
        <v>#VALUE!</v>
      </c>
      <c r="HN96" t="e">
        <f>AND(Names!AK151,"AAAAAHfvN90=")</f>
        <v>#VALUE!</v>
      </c>
      <c r="HO96" t="e">
        <f>AND(Names!AL151,"AAAAAHfvN94=")</f>
        <v>#VALUE!</v>
      </c>
      <c r="HP96" t="e">
        <f>AND(Names!AM151,"AAAAAHfvN98=")</f>
        <v>#VALUE!</v>
      </c>
      <c r="HQ96">
        <f>IF(Names!152:152,"AAAAAHfvN+A=",0)</f>
        <v>0</v>
      </c>
      <c r="HR96" t="e">
        <f>AND(Names!A152,"AAAAAHfvN+E=")</f>
        <v>#VALUE!</v>
      </c>
      <c r="HS96" t="e">
        <f>AND(Names!B152,"AAAAAHfvN+I=")</f>
        <v>#VALUE!</v>
      </c>
      <c r="HT96" t="e">
        <f>AND(Names!C152,"AAAAAHfvN+M=")</f>
        <v>#VALUE!</v>
      </c>
      <c r="HU96" t="e">
        <f>AND(Names!D152,"AAAAAHfvN+Q=")</f>
        <v>#VALUE!</v>
      </c>
      <c r="HV96" t="e">
        <f>AND(Names!E152,"AAAAAHfvN+U=")</f>
        <v>#VALUE!</v>
      </c>
      <c r="HW96" t="e">
        <f>AND(Names!F152,"AAAAAHfvN+Y=")</f>
        <v>#VALUE!</v>
      </c>
      <c r="HX96" t="e">
        <f>AND(Names!G152,"AAAAAHfvN+c=")</f>
        <v>#VALUE!</v>
      </c>
      <c r="HY96" t="e">
        <f>AND(Names!H152,"AAAAAHfvN+g=")</f>
        <v>#VALUE!</v>
      </c>
      <c r="HZ96" t="e">
        <f>AND(Names!I152,"AAAAAHfvN+k=")</f>
        <v>#VALUE!</v>
      </c>
      <c r="IA96" t="e">
        <f>AND(Names!J152,"AAAAAHfvN+o=")</f>
        <v>#VALUE!</v>
      </c>
      <c r="IB96" t="e">
        <f>AND(Names!K152,"AAAAAHfvN+s=")</f>
        <v>#VALUE!</v>
      </c>
      <c r="IC96" t="e">
        <f>AND(Names!L152,"AAAAAHfvN+w=")</f>
        <v>#VALUE!</v>
      </c>
      <c r="ID96" t="e">
        <f>AND(Names!M152,"AAAAAHfvN+0=")</f>
        <v>#VALUE!</v>
      </c>
      <c r="IE96" t="e">
        <f>AND(Names!N152,"AAAAAHfvN+4=")</f>
        <v>#VALUE!</v>
      </c>
      <c r="IF96" t="e">
        <f>AND(Names!O152,"AAAAAHfvN+8=")</f>
        <v>#VALUE!</v>
      </c>
      <c r="IG96" t="e">
        <f>AND(Names!P152,"AAAAAHfvN/A=")</f>
        <v>#VALUE!</v>
      </c>
      <c r="IH96" t="e">
        <f>AND(Names!Q152,"AAAAAHfvN/E=")</f>
        <v>#VALUE!</v>
      </c>
      <c r="II96" t="e">
        <f>AND(Names!R152,"AAAAAHfvN/I=")</f>
        <v>#VALUE!</v>
      </c>
      <c r="IJ96" t="e">
        <f>AND(Names!S152,"AAAAAHfvN/M=")</f>
        <v>#VALUE!</v>
      </c>
      <c r="IK96" t="e">
        <f>AND(Names!T152,"AAAAAHfvN/Q=")</f>
        <v>#VALUE!</v>
      </c>
      <c r="IL96" t="e">
        <f>AND(Names!U152,"AAAAAHfvN/U=")</f>
        <v>#VALUE!</v>
      </c>
      <c r="IM96" t="e">
        <f>AND(Names!V152,"AAAAAHfvN/Y=")</f>
        <v>#VALUE!</v>
      </c>
      <c r="IN96" t="e">
        <f>AND(Names!W152,"AAAAAHfvN/c=")</f>
        <v>#VALUE!</v>
      </c>
      <c r="IO96" t="e">
        <f>AND(Names!X152,"AAAAAHfvN/g=")</f>
        <v>#VALUE!</v>
      </c>
      <c r="IP96" t="e">
        <f>AND(Names!Y152,"AAAAAHfvN/k=")</f>
        <v>#VALUE!</v>
      </c>
      <c r="IQ96" t="e">
        <f>AND(Names!Z152,"AAAAAHfvN/o=")</f>
        <v>#VALUE!</v>
      </c>
      <c r="IR96" t="e">
        <f>AND(Names!AA152,"AAAAAHfvN/s=")</f>
        <v>#VALUE!</v>
      </c>
      <c r="IS96" t="e">
        <f>AND(Names!AB152,"AAAAAHfvN/w=")</f>
        <v>#VALUE!</v>
      </c>
      <c r="IT96" t="e">
        <f>AND(Names!AC152,"AAAAAHfvN/0=")</f>
        <v>#VALUE!</v>
      </c>
      <c r="IU96" t="e">
        <f>AND(Names!AD152,"AAAAAHfvN/4=")</f>
        <v>#VALUE!</v>
      </c>
      <c r="IV96" t="e">
        <f>AND(Names!AE152,"AAAAAHfvN/8=")</f>
        <v>#VALUE!</v>
      </c>
    </row>
    <row r="97" spans="1:256" x14ac:dyDescent="0.15">
      <c r="A97" t="e">
        <f>AND(Names!AF152,"AAAAAC3vcwA=")</f>
        <v>#VALUE!</v>
      </c>
      <c r="B97" t="e">
        <f>AND(Names!AG152,"AAAAAC3vcwE=")</f>
        <v>#VALUE!</v>
      </c>
      <c r="C97" t="e">
        <f>AND(Names!AH152,"AAAAAC3vcwI=")</f>
        <v>#VALUE!</v>
      </c>
      <c r="D97" t="e">
        <f>AND(Names!AI152,"AAAAAC3vcwM=")</f>
        <v>#VALUE!</v>
      </c>
      <c r="E97" t="e">
        <f>AND(Names!AJ152,"AAAAAC3vcwQ=")</f>
        <v>#VALUE!</v>
      </c>
      <c r="F97" t="e">
        <f>AND(Names!AK152,"AAAAAC3vcwU=")</f>
        <v>#VALUE!</v>
      </c>
      <c r="G97" t="e">
        <f>AND(Names!AL152,"AAAAAC3vcwY=")</f>
        <v>#VALUE!</v>
      </c>
      <c r="H97" t="e">
        <f>AND(Names!AM152,"AAAAAC3vcwc=")</f>
        <v>#VALUE!</v>
      </c>
      <c r="I97">
        <f>IF(Names!153:153,"AAAAAC3vcwg=",0)</f>
        <v>0</v>
      </c>
      <c r="J97" t="e">
        <f>AND(Names!A153,"AAAAAC3vcwk=")</f>
        <v>#VALUE!</v>
      </c>
      <c r="K97" t="e">
        <f>AND(Names!B153,"AAAAAC3vcwo=")</f>
        <v>#VALUE!</v>
      </c>
      <c r="L97" t="e">
        <f>AND(Names!C153,"AAAAAC3vcws=")</f>
        <v>#VALUE!</v>
      </c>
      <c r="M97" t="e">
        <f>AND(Names!D153,"AAAAAC3vcww=")</f>
        <v>#VALUE!</v>
      </c>
      <c r="N97" t="e">
        <f>AND(Names!E153,"AAAAAC3vcw0=")</f>
        <v>#VALUE!</v>
      </c>
      <c r="O97" t="e">
        <f>AND(Names!F153,"AAAAAC3vcw4=")</f>
        <v>#VALUE!</v>
      </c>
      <c r="P97" t="e">
        <f>AND(Names!G153,"AAAAAC3vcw8=")</f>
        <v>#VALUE!</v>
      </c>
      <c r="Q97" t="e">
        <f>AND(Names!H153,"AAAAAC3vcxA=")</f>
        <v>#VALUE!</v>
      </c>
      <c r="R97" t="e">
        <f>AND(Names!I153,"AAAAAC3vcxE=")</f>
        <v>#VALUE!</v>
      </c>
      <c r="S97" t="e">
        <f>AND(Names!J153,"AAAAAC3vcxI=")</f>
        <v>#VALUE!</v>
      </c>
      <c r="T97" t="e">
        <f>AND(Names!K153,"AAAAAC3vcxM=")</f>
        <v>#VALUE!</v>
      </c>
      <c r="U97" t="e">
        <f>AND(Names!L153,"AAAAAC3vcxQ=")</f>
        <v>#VALUE!</v>
      </c>
      <c r="V97" t="e">
        <f>AND(Names!M153,"AAAAAC3vcxU=")</f>
        <v>#VALUE!</v>
      </c>
      <c r="W97" t="e">
        <f>AND(Names!N153,"AAAAAC3vcxY=")</f>
        <v>#VALUE!</v>
      </c>
      <c r="X97" t="e">
        <f>AND(Names!O153,"AAAAAC3vcxc=")</f>
        <v>#VALUE!</v>
      </c>
      <c r="Y97" t="e">
        <f>AND(Names!P153,"AAAAAC3vcxg=")</f>
        <v>#VALUE!</v>
      </c>
      <c r="Z97" t="e">
        <f>AND(Names!Q153,"AAAAAC3vcxk=")</f>
        <v>#VALUE!</v>
      </c>
      <c r="AA97" t="e">
        <f>AND(Names!R153,"AAAAAC3vcxo=")</f>
        <v>#VALUE!</v>
      </c>
      <c r="AB97" t="e">
        <f>AND(Names!S153,"AAAAAC3vcxs=")</f>
        <v>#VALUE!</v>
      </c>
      <c r="AC97" t="e">
        <f>AND(Names!T153,"AAAAAC3vcxw=")</f>
        <v>#VALUE!</v>
      </c>
      <c r="AD97" t="e">
        <f>AND(Names!U153,"AAAAAC3vcx0=")</f>
        <v>#VALUE!</v>
      </c>
      <c r="AE97" t="e">
        <f>AND(Names!V153,"AAAAAC3vcx4=")</f>
        <v>#VALUE!</v>
      </c>
      <c r="AF97" t="e">
        <f>AND(Names!W153,"AAAAAC3vcx8=")</f>
        <v>#VALUE!</v>
      </c>
      <c r="AG97" t="e">
        <f>AND(Names!X153,"AAAAAC3vcyA=")</f>
        <v>#VALUE!</v>
      </c>
      <c r="AH97" t="e">
        <f>AND(Names!Y153,"AAAAAC3vcyE=")</f>
        <v>#VALUE!</v>
      </c>
      <c r="AI97" t="e">
        <f>AND(Names!Z153,"AAAAAC3vcyI=")</f>
        <v>#VALUE!</v>
      </c>
      <c r="AJ97" t="e">
        <f>AND(Names!AA153,"AAAAAC3vcyM=")</f>
        <v>#VALUE!</v>
      </c>
      <c r="AK97" t="e">
        <f>AND(Names!AB153,"AAAAAC3vcyQ=")</f>
        <v>#VALUE!</v>
      </c>
      <c r="AL97" t="e">
        <f>AND(Names!AC153,"AAAAAC3vcyU=")</f>
        <v>#VALUE!</v>
      </c>
      <c r="AM97" t="e">
        <f>AND(Names!AD153,"AAAAAC3vcyY=")</f>
        <v>#VALUE!</v>
      </c>
      <c r="AN97" t="e">
        <f>AND(Names!AE153,"AAAAAC3vcyc=")</f>
        <v>#VALUE!</v>
      </c>
      <c r="AO97" t="e">
        <f>AND(Names!AF153,"AAAAAC3vcyg=")</f>
        <v>#VALUE!</v>
      </c>
      <c r="AP97" t="e">
        <f>AND(Names!AG153,"AAAAAC3vcyk=")</f>
        <v>#VALUE!</v>
      </c>
      <c r="AQ97" t="e">
        <f>AND(Names!AH153,"AAAAAC3vcyo=")</f>
        <v>#VALUE!</v>
      </c>
      <c r="AR97" t="e">
        <f>AND(Names!AI153,"AAAAAC3vcys=")</f>
        <v>#VALUE!</v>
      </c>
      <c r="AS97" t="e">
        <f>AND(Names!AJ153,"AAAAAC3vcyw=")</f>
        <v>#VALUE!</v>
      </c>
      <c r="AT97" t="e">
        <f>AND(Names!AK153,"AAAAAC3vcy0=")</f>
        <v>#VALUE!</v>
      </c>
      <c r="AU97" t="e">
        <f>AND(Names!AL153,"AAAAAC3vcy4=")</f>
        <v>#VALUE!</v>
      </c>
      <c r="AV97" t="e">
        <f>AND(Names!AM153,"AAAAAC3vcy8=")</f>
        <v>#VALUE!</v>
      </c>
      <c r="AW97">
        <f>IF(Names!154:154,"AAAAAC3vczA=",0)</f>
        <v>0</v>
      </c>
      <c r="AX97" t="e">
        <f>AND(Names!A154,"AAAAAC3vczE=")</f>
        <v>#VALUE!</v>
      </c>
      <c r="AY97" t="e">
        <f>AND(Names!B154,"AAAAAC3vczI=")</f>
        <v>#VALUE!</v>
      </c>
      <c r="AZ97" t="e">
        <f>AND(Names!C154,"AAAAAC3vczM=")</f>
        <v>#VALUE!</v>
      </c>
      <c r="BA97" t="e">
        <f>AND(Names!D154,"AAAAAC3vczQ=")</f>
        <v>#VALUE!</v>
      </c>
      <c r="BB97" t="e">
        <f>AND(Names!E154,"AAAAAC3vczU=")</f>
        <v>#VALUE!</v>
      </c>
      <c r="BC97" t="e">
        <f>AND(Names!F154,"AAAAAC3vczY=")</f>
        <v>#VALUE!</v>
      </c>
      <c r="BD97" t="e">
        <f>AND(Names!G154,"AAAAAC3vczc=")</f>
        <v>#VALUE!</v>
      </c>
      <c r="BE97" t="e">
        <f>AND(Names!H154,"AAAAAC3vczg=")</f>
        <v>#VALUE!</v>
      </c>
      <c r="BF97" t="e">
        <f>AND(Names!I154,"AAAAAC3vczk=")</f>
        <v>#VALUE!</v>
      </c>
      <c r="BG97" t="e">
        <f>AND(Names!J154,"AAAAAC3vczo=")</f>
        <v>#VALUE!</v>
      </c>
      <c r="BH97" t="e">
        <f>AND(Names!K154,"AAAAAC3vczs=")</f>
        <v>#VALUE!</v>
      </c>
      <c r="BI97" t="e">
        <f>AND(Names!L154,"AAAAAC3vczw=")</f>
        <v>#VALUE!</v>
      </c>
      <c r="BJ97" t="e">
        <f>AND(Names!M154,"AAAAAC3vcz0=")</f>
        <v>#VALUE!</v>
      </c>
      <c r="BK97" t="e">
        <f>AND(Names!N154,"AAAAAC3vcz4=")</f>
        <v>#VALUE!</v>
      </c>
      <c r="BL97" t="e">
        <f>AND(Names!O154,"AAAAAC3vcz8=")</f>
        <v>#VALUE!</v>
      </c>
      <c r="BM97" t="e">
        <f>AND(Names!P154,"AAAAAC3vc0A=")</f>
        <v>#VALUE!</v>
      </c>
      <c r="BN97" t="e">
        <f>AND(Names!Q154,"AAAAAC3vc0E=")</f>
        <v>#VALUE!</v>
      </c>
      <c r="BO97" t="e">
        <f>AND(Names!R154,"AAAAAC3vc0I=")</f>
        <v>#VALUE!</v>
      </c>
      <c r="BP97" t="e">
        <f>AND(Names!S154,"AAAAAC3vc0M=")</f>
        <v>#VALUE!</v>
      </c>
      <c r="BQ97" t="e">
        <f>AND(Names!T154,"AAAAAC3vc0Q=")</f>
        <v>#VALUE!</v>
      </c>
      <c r="BR97" t="e">
        <f>AND(Names!U154,"AAAAAC3vc0U=")</f>
        <v>#VALUE!</v>
      </c>
      <c r="BS97" t="e">
        <f>AND(Names!V154,"AAAAAC3vc0Y=")</f>
        <v>#VALUE!</v>
      </c>
      <c r="BT97" t="e">
        <f>AND(Names!W154,"AAAAAC3vc0c=")</f>
        <v>#VALUE!</v>
      </c>
      <c r="BU97" t="e">
        <f>AND(Names!X154,"AAAAAC3vc0g=")</f>
        <v>#VALUE!</v>
      </c>
      <c r="BV97" t="e">
        <f>AND(Names!Y154,"AAAAAC3vc0k=")</f>
        <v>#VALUE!</v>
      </c>
      <c r="BW97" t="e">
        <f>AND(Names!Z154,"AAAAAC3vc0o=")</f>
        <v>#VALUE!</v>
      </c>
      <c r="BX97" t="e">
        <f>AND(Names!AA154,"AAAAAC3vc0s=")</f>
        <v>#VALUE!</v>
      </c>
      <c r="BY97" t="e">
        <f>AND(Names!AB154,"AAAAAC3vc0w=")</f>
        <v>#VALUE!</v>
      </c>
      <c r="BZ97" t="e">
        <f>AND(Names!AC154,"AAAAAC3vc00=")</f>
        <v>#VALUE!</v>
      </c>
      <c r="CA97" t="e">
        <f>AND(Names!AD154,"AAAAAC3vc04=")</f>
        <v>#VALUE!</v>
      </c>
      <c r="CB97" t="e">
        <f>AND(Names!AE154,"AAAAAC3vc08=")</f>
        <v>#VALUE!</v>
      </c>
      <c r="CC97" t="e">
        <f>AND(Names!AF154,"AAAAAC3vc1A=")</f>
        <v>#VALUE!</v>
      </c>
      <c r="CD97" t="e">
        <f>AND(Names!AG154,"AAAAAC3vc1E=")</f>
        <v>#VALUE!</v>
      </c>
      <c r="CE97" t="e">
        <f>AND(Names!AH154,"AAAAAC3vc1I=")</f>
        <v>#VALUE!</v>
      </c>
      <c r="CF97" t="e">
        <f>AND(Names!AI154,"AAAAAC3vc1M=")</f>
        <v>#VALUE!</v>
      </c>
      <c r="CG97" t="e">
        <f>AND(Names!AJ154,"AAAAAC3vc1Q=")</f>
        <v>#VALUE!</v>
      </c>
      <c r="CH97" t="e">
        <f>AND(Names!AK154,"AAAAAC3vc1U=")</f>
        <v>#VALUE!</v>
      </c>
      <c r="CI97" t="e">
        <f>AND(Names!AL154,"AAAAAC3vc1Y=")</f>
        <v>#VALUE!</v>
      </c>
      <c r="CJ97" t="e">
        <f>AND(Names!AM154,"AAAAAC3vc1c=")</f>
        <v>#VALUE!</v>
      </c>
      <c r="CK97">
        <f>IF(Names!155:155,"AAAAAC3vc1g=",0)</f>
        <v>0</v>
      </c>
      <c r="CL97" t="e">
        <f>AND(Names!A155,"AAAAAC3vc1k=")</f>
        <v>#VALUE!</v>
      </c>
      <c r="CM97" t="e">
        <f>AND(Names!B155,"AAAAAC3vc1o=")</f>
        <v>#VALUE!</v>
      </c>
      <c r="CN97" t="e">
        <f>AND(Names!C155,"AAAAAC3vc1s=")</f>
        <v>#VALUE!</v>
      </c>
      <c r="CO97" t="e">
        <f>AND(Names!D155,"AAAAAC3vc1w=")</f>
        <v>#VALUE!</v>
      </c>
      <c r="CP97" t="e">
        <f>AND(Names!E155,"AAAAAC3vc10=")</f>
        <v>#VALUE!</v>
      </c>
      <c r="CQ97" t="e">
        <f>AND(Names!F155,"AAAAAC3vc14=")</f>
        <v>#VALUE!</v>
      </c>
      <c r="CR97" t="e">
        <f>AND(Names!G155,"AAAAAC3vc18=")</f>
        <v>#VALUE!</v>
      </c>
      <c r="CS97" t="e">
        <f>AND(Names!H155,"AAAAAC3vc2A=")</f>
        <v>#VALUE!</v>
      </c>
      <c r="CT97" t="e">
        <f>AND(Names!I155,"AAAAAC3vc2E=")</f>
        <v>#VALUE!</v>
      </c>
      <c r="CU97" t="e">
        <f>AND(Names!J155,"AAAAAC3vc2I=")</f>
        <v>#VALUE!</v>
      </c>
      <c r="CV97" t="e">
        <f>AND(Names!K155,"AAAAAC3vc2M=")</f>
        <v>#VALUE!</v>
      </c>
      <c r="CW97" t="e">
        <f>AND(Names!L155,"AAAAAC3vc2Q=")</f>
        <v>#VALUE!</v>
      </c>
      <c r="CX97" t="e">
        <f>AND(Names!M155,"AAAAAC3vc2U=")</f>
        <v>#VALUE!</v>
      </c>
      <c r="CY97" t="e">
        <f>AND(Names!N155,"AAAAAC3vc2Y=")</f>
        <v>#VALUE!</v>
      </c>
      <c r="CZ97" t="e">
        <f>AND(Names!O155,"AAAAAC3vc2c=")</f>
        <v>#VALUE!</v>
      </c>
      <c r="DA97" t="e">
        <f>AND(Names!P155,"AAAAAC3vc2g=")</f>
        <v>#VALUE!</v>
      </c>
      <c r="DB97" t="e">
        <f>AND(Names!Q155,"AAAAAC3vc2k=")</f>
        <v>#VALUE!</v>
      </c>
      <c r="DC97" t="e">
        <f>AND(Names!R155,"AAAAAC3vc2o=")</f>
        <v>#VALUE!</v>
      </c>
      <c r="DD97" t="e">
        <f>AND(Names!S155,"AAAAAC3vc2s=")</f>
        <v>#VALUE!</v>
      </c>
      <c r="DE97" t="e">
        <f>AND(Names!T155,"AAAAAC3vc2w=")</f>
        <v>#VALUE!</v>
      </c>
      <c r="DF97" t="e">
        <f>AND(Names!U155,"AAAAAC3vc20=")</f>
        <v>#VALUE!</v>
      </c>
      <c r="DG97" t="e">
        <f>AND(Names!V155,"AAAAAC3vc24=")</f>
        <v>#VALUE!</v>
      </c>
      <c r="DH97" t="e">
        <f>AND(Names!W155,"AAAAAC3vc28=")</f>
        <v>#VALUE!</v>
      </c>
      <c r="DI97" t="e">
        <f>AND(Names!X155,"AAAAAC3vc3A=")</f>
        <v>#VALUE!</v>
      </c>
      <c r="DJ97" t="e">
        <f>AND(Names!Y155,"AAAAAC3vc3E=")</f>
        <v>#VALUE!</v>
      </c>
      <c r="DK97" t="e">
        <f>AND(Names!Z155,"AAAAAC3vc3I=")</f>
        <v>#VALUE!</v>
      </c>
      <c r="DL97" t="e">
        <f>AND(Names!AA155,"AAAAAC3vc3M=")</f>
        <v>#VALUE!</v>
      </c>
      <c r="DM97" t="e">
        <f>AND(Names!AB155,"AAAAAC3vc3Q=")</f>
        <v>#VALUE!</v>
      </c>
      <c r="DN97" t="e">
        <f>AND(Names!AC155,"AAAAAC3vc3U=")</f>
        <v>#VALUE!</v>
      </c>
      <c r="DO97" t="e">
        <f>AND(Names!AD155,"AAAAAC3vc3Y=")</f>
        <v>#VALUE!</v>
      </c>
      <c r="DP97" t="e">
        <f>AND(Names!AE155,"AAAAAC3vc3c=")</f>
        <v>#VALUE!</v>
      </c>
      <c r="DQ97" t="e">
        <f>AND(Names!AF155,"AAAAAC3vc3g=")</f>
        <v>#VALUE!</v>
      </c>
      <c r="DR97" t="e">
        <f>AND(Names!AG155,"AAAAAC3vc3k=")</f>
        <v>#VALUE!</v>
      </c>
      <c r="DS97" t="e">
        <f>AND(Names!AH155,"AAAAAC3vc3o=")</f>
        <v>#VALUE!</v>
      </c>
      <c r="DT97" t="e">
        <f>AND(Names!AI155,"AAAAAC3vc3s=")</f>
        <v>#VALUE!</v>
      </c>
      <c r="DU97" t="e">
        <f>AND(Names!AJ155,"AAAAAC3vc3w=")</f>
        <v>#VALUE!</v>
      </c>
      <c r="DV97" t="e">
        <f>AND(Names!AK155,"AAAAAC3vc30=")</f>
        <v>#VALUE!</v>
      </c>
      <c r="DW97" t="e">
        <f>AND(Names!AL155,"AAAAAC3vc34=")</f>
        <v>#VALUE!</v>
      </c>
      <c r="DX97" t="e">
        <f>AND(Names!AM155,"AAAAAC3vc38=")</f>
        <v>#VALUE!</v>
      </c>
      <c r="DY97">
        <f>IF(Names!156:156,"AAAAAC3vc4A=",0)</f>
        <v>0</v>
      </c>
      <c r="DZ97" t="e">
        <f>AND(Names!A156,"AAAAAC3vc4E=")</f>
        <v>#VALUE!</v>
      </c>
      <c r="EA97" t="e">
        <f>AND(Names!B156,"AAAAAC3vc4I=")</f>
        <v>#VALUE!</v>
      </c>
      <c r="EB97" t="e">
        <f>AND(Names!C156,"AAAAAC3vc4M=")</f>
        <v>#VALUE!</v>
      </c>
      <c r="EC97" t="e">
        <f>AND(Names!D156,"AAAAAC3vc4Q=")</f>
        <v>#VALUE!</v>
      </c>
      <c r="ED97" t="e">
        <f>AND(Names!E156,"AAAAAC3vc4U=")</f>
        <v>#VALUE!</v>
      </c>
      <c r="EE97" t="e">
        <f>AND(Names!F156,"AAAAAC3vc4Y=")</f>
        <v>#VALUE!</v>
      </c>
      <c r="EF97" t="e">
        <f>AND(Names!G156,"AAAAAC3vc4c=")</f>
        <v>#VALUE!</v>
      </c>
      <c r="EG97" t="e">
        <f>AND(Names!H156,"AAAAAC3vc4g=")</f>
        <v>#VALUE!</v>
      </c>
      <c r="EH97" t="e">
        <f>AND(Names!I156,"AAAAAC3vc4k=")</f>
        <v>#VALUE!</v>
      </c>
      <c r="EI97" t="e">
        <f>AND(Names!J156,"AAAAAC3vc4o=")</f>
        <v>#VALUE!</v>
      </c>
      <c r="EJ97" t="e">
        <f>AND(Names!K156,"AAAAAC3vc4s=")</f>
        <v>#VALUE!</v>
      </c>
      <c r="EK97" t="e">
        <f>AND(Names!L156,"AAAAAC3vc4w=")</f>
        <v>#VALUE!</v>
      </c>
      <c r="EL97" t="e">
        <f>AND(Names!M156,"AAAAAC3vc40=")</f>
        <v>#VALUE!</v>
      </c>
      <c r="EM97" t="e">
        <f>AND(Names!N156,"AAAAAC3vc44=")</f>
        <v>#VALUE!</v>
      </c>
      <c r="EN97" t="e">
        <f>AND(Names!O156,"AAAAAC3vc48=")</f>
        <v>#VALUE!</v>
      </c>
      <c r="EO97" t="e">
        <f>AND(Names!P156,"AAAAAC3vc5A=")</f>
        <v>#VALUE!</v>
      </c>
      <c r="EP97" t="e">
        <f>AND(Names!Q156,"AAAAAC3vc5E=")</f>
        <v>#VALUE!</v>
      </c>
      <c r="EQ97" t="e">
        <f>AND(Names!R156,"AAAAAC3vc5I=")</f>
        <v>#VALUE!</v>
      </c>
      <c r="ER97" t="e">
        <f>AND(Names!S156,"AAAAAC3vc5M=")</f>
        <v>#VALUE!</v>
      </c>
      <c r="ES97" t="e">
        <f>AND(Names!T156,"AAAAAC3vc5Q=")</f>
        <v>#VALUE!</v>
      </c>
      <c r="ET97" t="e">
        <f>AND(Names!U156,"AAAAAC3vc5U=")</f>
        <v>#VALUE!</v>
      </c>
      <c r="EU97" t="e">
        <f>AND(Names!V156,"AAAAAC3vc5Y=")</f>
        <v>#VALUE!</v>
      </c>
      <c r="EV97" t="e">
        <f>AND(Names!W156,"AAAAAC3vc5c=")</f>
        <v>#VALUE!</v>
      </c>
      <c r="EW97" t="e">
        <f>AND(Names!X156,"AAAAAC3vc5g=")</f>
        <v>#VALUE!</v>
      </c>
      <c r="EX97" t="e">
        <f>AND(Names!Y156,"AAAAAC3vc5k=")</f>
        <v>#VALUE!</v>
      </c>
      <c r="EY97" t="e">
        <f>AND(Names!Z156,"AAAAAC3vc5o=")</f>
        <v>#VALUE!</v>
      </c>
      <c r="EZ97" t="e">
        <f>AND(Names!AA156,"AAAAAC3vc5s=")</f>
        <v>#VALUE!</v>
      </c>
      <c r="FA97" t="e">
        <f>AND(Names!AB156,"AAAAAC3vc5w=")</f>
        <v>#VALUE!</v>
      </c>
      <c r="FB97" t="e">
        <f>AND(Names!AC156,"AAAAAC3vc50=")</f>
        <v>#VALUE!</v>
      </c>
      <c r="FC97" t="e">
        <f>AND(Names!AD156,"AAAAAC3vc54=")</f>
        <v>#VALUE!</v>
      </c>
      <c r="FD97" t="e">
        <f>AND(Names!AE156,"AAAAAC3vc58=")</f>
        <v>#VALUE!</v>
      </c>
      <c r="FE97" t="e">
        <f>AND(Names!AF156,"AAAAAC3vc6A=")</f>
        <v>#VALUE!</v>
      </c>
      <c r="FF97" t="e">
        <f>AND(Names!AG156,"AAAAAC3vc6E=")</f>
        <v>#VALUE!</v>
      </c>
      <c r="FG97" t="e">
        <f>AND(Names!AH156,"AAAAAC3vc6I=")</f>
        <v>#VALUE!</v>
      </c>
      <c r="FH97" t="e">
        <f>AND(Names!AI156,"AAAAAC3vc6M=")</f>
        <v>#VALUE!</v>
      </c>
      <c r="FI97" t="e">
        <f>AND(Names!AJ156,"AAAAAC3vc6Q=")</f>
        <v>#VALUE!</v>
      </c>
      <c r="FJ97" t="e">
        <f>AND(Names!AK156,"AAAAAC3vc6U=")</f>
        <v>#VALUE!</v>
      </c>
      <c r="FK97" t="e">
        <f>AND(Names!AL156,"AAAAAC3vc6Y=")</f>
        <v>#VALUE!</v>
      </c>
      <c r="FL97" t="e">
        <f>AND(Names!AM156,"AAAAAC3vc6c=")</f>
        <v>#VALUE!</v>
      </c>
      <c r="FM97">
        <f>IF(Names!157:157,"AAAAAC3vc6g=",0)</f>
        <v>0</v>
      </c>
      <c r="FN97" t="e">
        <f>AND(Names!A157,"AAAAAC3vc6k=")</f>
        <v>#VALUE!</v>
      </c>
      <c r="FO97" t="e">
        <f>AND(Names!B157,"AAAAAC3vc6o=")</f>
        <v>#VALUE!</v>
      </c>
      <c r="FP97" t="e">
        <f>AND(Names!C157,"AAAAAC3vc6s=")</f>
        <v>#VALUE!</v>
      </c>
      <c r="FQ97" t="e">
        <f>AND(Names!D157,"AAAAAC3vc6w=")</f>
        <v>#VALUE!</v>
      </c>
      <c r="FR97" t="e">
        <f>AND(Names!E157,"AAAAAC3vc60=")</f>
        <v>#VALUE!</v>
      </c>
      <c r="FS97" t="e">
        <f>AND(Names!F157,"AAAAAC3vc64=")</f>
        <v>#VALUE!</v>
      </c>
      <c r="FT97" t="e">
        <f>AND(Names!G157,"AAAAAC3vc68=")</f>
        <v>#VALUE!</v>
      </c>
      <c r="FU97" t="e">
        <f>AND(Names!H157,"AAAAAC3vc7A=")</f>
        <v>#VALUE!</v>
      </c>
      <c r="FV97" t="e">
        <f>AND(Names!I157,"AAAAAC3vc7E=")</f>
        <v>#VALUE!</v>
      </c>
      <c r="FW97" t="e">
        <f>AND(Names!J157,"AAAAAC3vc7I=")</f>
        <v>#VALUE!</v>
      </c>
      <c r="FX97" t="e">
        <f>AND(Names!K157,"AAAAAC3vc7M=")</f>
        <v>#VALUE!</v>
      </c>
      <c r="FY97" t="e">
        <f>AND(Names!L157,"AAAAAC3vc7Q=")</f>
        <v>#VALUE!</v>
      </c>
      <c r="FZ97" t="e">
        <f>AND(Names!M157,"AAAAAC3vc7U=")</f>
        <v>#VALUE!</v>
      </c>
      <c r="GA97" t="e">
        <f>AND(Names!N157,"AAAAAC3vc7Y=")</f>
        <v>#VALUE!</v>
      </c>
      <c r="GB97" t="e">
        <f>AND(Names!O157,"AAAAAC3vc7c=")</f>
        <v>#VALUE!</v>
      </c>
      <c r="GC97" t="e">
        <f>AND(Names!P157,"AAAAAC3vc7g=")</f>
        <v>#VALUE!</v>
      </c>
      <c r="GD97" t="e">
        <f>AND(Names!Q157,"AAAAAC3vc7k=")</f>
        <v>#VALUE!</v>
      </c>
      <c r="GE97" t="e">
        <f>AND(Names!R157,"AAAAAC3vc7o=")</f>
        <v>#VALUE!</v>
      </c>
      <c r="GF97" t="e">
        <f>AND(Names!S157,"AAAAAC3vc7s=")</f>
        <v>#VALUE!</v>
      </c>
      <c r="GG97" t="e">
        <f>AND(Names!T157,"AAAAAC3vc7w=")</f>
        <v>#VALUE!</v>
      </c>
      <c r="GH97" t="e">
        <f>AND(Names!U157,"AAAAAC3vc70=")</f>
        <v>#VALUE!</v>
      </c>
      <c r="GI97" t="e">
        <f>AND(Names!V157,"AAAAAC3vc74=")</f>
        <v>#VALUE!</v>
      </c>
      <c r="GJ97" t="e">
        <f>AND(Names!W157,"AAAAAC3vc78=")</f>
        <v>#VALUE!</v>
      </c>
      <c r="GK97" t="e">
        <f>AND(Names!X157,"AAAAAC3vc8A=")</f>
        <v>#VALUE!</v>
      </c>
      <c r="GL97" t="e">
        <f>AND(Names!Y157,"AAAAAC3vc8E=")</f>
        <v>#VALUE!</v>
      </c>
      <c r="GM97" t="e">
        <f>AND(Names!Z157,"AAAAAC3vc8I=")</f>
        <v>#VALUE!</v>
      </c>
      <c r="GN97" t="e">
        <f>AND(Names!AA157,"AAAAAC3vc8M=")</f>
        <v>#VALUE!</v>
      </c>
      <c r="GO97" t="e">
        <f>AND(Names!AB157,"AAAAAC3vc8Q=")</f>
        <v>#VALUE!</v>
      </c>
      <c r="GP97" t="e">
        <f>AND(Names!AC157,"AAAAAC3vc8U=")</f>
        <v>#VALUE!</v>
      </c>
      <c r="GQ97" t="e">
        <f>AND(Names!AD157,"AAAAAC3vc8Y=")</f>
        <v>#VALUE!</v>
      </c>
      <c r="GR97" t="e">
        <f>AND(Names!AE157,"AAAAAC3vc8c=")</f>
        <v>#VALUE!</v>
      </c>
      <c r="GS97" t="e">
        <f>AND(Names!AF157,"AAAAAC3vc8g=")</f>
        <v>#VALUE!</v>
      </c>
      <c r="GT97" t="e">
        <f>AND(Names!AG157,"AAAAAC3vc8k=")</f>
        <v>#VALUE!</v>
      </c>
      <c r="GU97" t="e">
        <f>AND(Names!AH157,"AAAAAC3vc8o=")</f>
        <v>#VALUE!</v>
      </c>
      <c r="GV97" t="e">
        <f>AND(Names!AI157,"AAAAAC3vc8s=")</f>
        <v>#VALUE!</v>
      </c>
      <c r="GW97" t="e">
        <f>AND(Names!AJ157,"AAAAAC3vc8w=")</f>
        <v>#VALUE!</v>
      </c>
      <c r="GX97" t="e">
        <f>AND(Names!AK157,"AAAAAC3vc80=")</f>
        <v>#VALUE!</v>
      </c>
      <c r="GY97" t="e">
        <f>AND(Names!AL157,"AAAAAC3vc84=")</f>
        <v>#VALUE!</v>
      </c>
      <c r="GZ97" t="e">
        <f>AND(Names!AM157,"AAAAAC3vc88=")</f>
        <v>#VALUE!</v>
      </c>
      <c r="HA97">
        <f>IF(Names!158:158,"AAAAAC3vc9A=",0)</f>
        <v>0</v>
      </c>
      <c r="HB97" t="e">
        <f>AND(Names!A158,"AAAAAC3vc9E=")</f>
        <v>#VALUE!</v>
      </c>
      <c r="HC97" t="e">
        <f>AND(Names!B158,"AAAAAC3vc9I=")</f>
        <v>#VALUE!</v>
      </c>
      <c r="HD97" t="e">
        <f>AND(Names!C158,"AAAAAC3vc9M=")</f>
        <v>#VALUE!</v>
      </c>
      <c r="HE97" t="e">
        <f>AND(Names!D158,"AAAAAC3vc9Q=")</f>
        <v>#VALUE!</v>
      </c>
      <c r="HF97" t="e">
        <f>AND(Names!E158,"AAAAAC3vc9U=")</f>
        <v>#VALUE!</v>
      </c>
      <c r="HG97" t="e">
        <f>AND(Names!F158,"AAAAAC3vc9Y=")</f>
        <v>#VALUE!</v>
      </c>
      <c r="HH97" t="e">
        <f>AND(Names!G158,"AAAAAC3vc9c=")</f>
        <v>#VALUE!</v>
      </c>
      <c r="HI97" t="e">
        <f>AND(Names!H158,"AAAAAC3vc9g=")</f>
        <v>#VALUE!</v>
      </c>
      <c r="HJ97" t="e">
        <f>AND(Names!I158,"AAAAAC3vc9k=")</f>
        <v>#VALUE!</v>
      </c>
      <c r="HK97" t="e">
        <f>AND(Names!J158,"AAAAAC3vc9o=")</f>
        <v>#VALUE!</v>
      </c>
      <c r="HL97" t="e">
        <f>AND(Names!K158,"AAAAAC3vc9s=")</f>
        <v>#VALUE!</v>
      </c>
      <c r="HM97" t="e">
        <f>AND(Names!L158,"AAAAAC3vc9w=")</f>
        <v>#VALUE!</v>
      </c>
      <c r="HN97" t="e">
        <f>AND(Names!M158,"AAAAAC3vc90=")</f>
        <v>#VALUE!</v>
      </c>
      <c r="HO97" t="e">
        <f>AND(Names!N158,"AAAAAC3vc94=")</f>
        <v>#VALUE!</v>
      </c>
      <c r="HP97" t="e">
        <f>AND(Names!O158,"AAAAAC3vc98=")</f>
        <v>#VALUE!</v>
      </c>
      <c r="HQ97" t="e">
        <f>AND(Names!P158,"AAAAAC3vc+A=")</f>
        <v>#VALUE!</v>
      </c>
      <c r="HR97" t="e">
        <f>AND(Names!Q158,"AAAAAC3vc+E=")</f>
        <v>#VALUE!</v>
      </c>
      <c r="HS97" t="e">
        <f>AND(Names!R158,"AAAAAC3vc+I=")</f>
        <v>#VALUE!</v>
      </c>
      <c r="HT97" t="e">
        <f>AND(Names!S158,"AAAAAC3vc+M=")</f>
        <v>#VALUE!</v>
      </c>
      <c r="HU97" t="e">
        <f>AND(Names!T158,"AAAAAC3vc+Q=")</f>
        <v>#VALUE!</v>
      </c>
      <c r="HV97" t="e">
        <f>AND(Names!U158,"AAAAAC3vc+U=")</f>
        <v>#VALUE!</v>
      </c>
      <c r="HW97" t="e">
        <f>AND(Names!V158,"AAAAAC3vc+Y=")</f>
        <v>#VALUE!</v>
      </c>
      <c r="HX97" t="e">
        <f>AND(Names!W158,"AAAAAC3vc+c=")</f>
        <v>#VALUE!</v>
      </c>
      <c r="HY97" t="e">
        <f>AND(Names!X158,"AAAAAC3vc+g=")</f>
        <v>#VALUE!</v>
      </c>
      <c r="HZ97" t="e">
        <f>AND(Names!Y158,"AAAAAC3vc+k=")</f>
        <v>#VALUE!</v>
      </c>
      <c r="IA97" t="e">
        <f>AND(Names!Z158,"AAAAAC3vc+o=")</f>
        <v>#VALUE!</v>
      </c>
      <c r="IB97" t="e">
        <f>AND(Names!AA158,"AAAAAC3vc+s=")</f>
        <v>#VALUE!</v>
      </c>
      <c r="IC97" t="e">
        <f>AND(Names!AB158,"AAAAAC3vc+w=")</f>
        <v>#VALUE!</v>
      </c>
      <c r="ID97" t="e">
        <f>AND(Names!AC158,"AAAAAC3vc+0=")</f>
        <v>#VALUE!</v>
      </c>
      <c r="IE97" t="e">
        <f>AND(Names!AD158,"AAAAAC3vc+4=")</f>
        <v>#VALUE!</v>
      </c>
      <c r="IF97" t="e">
        <f>AND(Names!AE158,"AAAAAC3vc+8=")</f>
        <v>#VALUE!</v>
      </c>
      <c r="IG97" t="e">
        <f>AND(Names!AF158,"AAAAAC3vc/A=")</f>
        <v>#VALUE!</v>
      </c>
      <c r="IH97" t="e">
        <f>AND(Names!AG158,"AAAAAC3vc/E=")</f>
        <v>#VALUE!</v>
      </c>
      <c r="II97" t="e">
        <f>AND(Names!AH158,"AAAAAC3vc/I=")</f>
        <v>#VALUE!</v>
      </c>
      <c r="IJ97" t="e">
        <f>AND(Names!AI158,"AAAAAC3vc/M=")</f>
        <v>#VALUE!</v>
      </c>
      <c r="IK97" t="e">
        <f>AND(Names!AJ158,"AAAAAC3vc/Q=")</f>
        <v>#VALUE!</v>
      </c>
      <c r="IL97" t="e">
        <f>AND(Names!AK158,"AAAAAC3vc/U=")</f>
        <v>#VALUE!</v>
      </c>
      <c r="IM97" t="e">
        <f>AND(Names!AL158,"AAAAAC3vc/Y=")</f>
        <v>#VALUE!</v>
      </c>
      <c r="IN97" t="e">
        <f>AND(Names!AM158,"AAAAAC3vc/c=")</f>
        <v>#VALUE!</v>
      </c>
      <c r="IO97">
        <f>IF(Names!159:159,"AAAAAC3vc/g=",0)</f>
        <v>0</v>
      </c>
      <c r="IP97" t="e">
        <f>AND(Names!A159,"AAAAAC3vc/k=")</f>
        <v>#VALUE!</v>
      </c>
      <c r="IQ97" t="e">
        <f>AND(Names!B159,"AAAAAC3vc/o=")</f>
        <v>#VALUE!</v>
      </c>
      <c r="IR97" t="e">
        <f>AND(Names!C159,"AAAAAC3vc/s=")</f>
        <v>#VALUE!</v>
      </c>
      <c r="IS97" t="e">
        <f>AND(Names!D159,"AAAAAC3vc/w=")</f>
        <v>#VALUE!</v>
      </c>
      <c r="IT97" t="e">
        <f>AND(Names!E159,"AAAAAC3vc/0=")</f>
        <v>#VALUE!</v>
      </c>
      <c r="IU97" t="e">
        <f>AND(Names!F159,"AAAAAC3vc/4=")</f>
        <v>#VALUE!</v>
      </c>
      <c r="IV97" t="e">
        <f>AND(Names!G159,"AAAAAC3vc/8=")</f>
        <v>#VALUE!</v>
      </c>
    </row>
    <row r="98" spans="1:256" x14ac:dyDescent="0.15">
      <c r="A98" t="e">
        <f>AND(Names!H159,"AAAAAHZz2QA=")</f>
        <v>#VALUE!</v>
      </c>
      <c r="B98" t="e">
        <f>AND(Names!I159,"AAAAAHZz2QE=")</f>
        <v>#VALUE!</v>
      </c>
      <c r="C98" t="e">
        <f>AND(Names!J159,"AAAAAHZz2QI=")</f>
        <v>#VALUE!</v>
      </c>
      <c r="D98" t="e">
        <f>AND(Names!K159,"AAAAAHZz2QM=")</f>
        <v>#VALUE!</v>
      </c>
      <c r="E98" t="e">
        <f>AND(Names!L159,"AAAAAHZz2QQ=")</f>
        <v>#VALUE!</v>
      </c>
      <c r="F98" t="e">
        <f>AND(Names!M159,"AAAAAHZz2QU=")</f>
        <v>#VALUE!</v>
      </c>
      <c r="G98" t="e">
        <f>AND(Names!N159,"AAAAAHZz2QY=")</f>
        <v>#VALUE!</v>
      </c>
      <c r="H98" t="e">
        <f>AND(Names!O159,"AAAAAHZz2Qc=")</f>
        <v>#VALUE!</v>
      </c>
      <c r="I98" t="e">
        <f>AND(Names!P159,"AAAAAHZz2Qg=")</f>
        <v>#VALUE!</v>
      </c>
      <c r="J98" t="e">
        <f>AND(Names!Q159,"AAAAAHZz2Qk=")</f>
        <v>#VALUE!</v>
      </c>
      <c r="K98" t="e">
        <f>AND(Names!R159,"AAAAAHZz2Qo=")</f>
        <v>#VALUE!</v>
      </c>
      <c r="L98" t="e">
        <f>AND(Names!S159,"AAAAAHZz2Qs=")</f>
        <v>#VALUE!</v>
      </c>
      <c r="M98" t="e">
        <f>AND(Names!T159,"AAAAAHZz2Qw=")</f>
        <v>#VALUE!</v>
      </c>
      <c r="N98" t="e">
        <f>AND(Names!U159,"AAAAAHZz2Q0=")</f>
        <v>#VALUE!</v>
      </c>
      <c r="O98" t="e">
        <f>AND(Names!V159,"AAAAAHZz2Q4=")</f>
        <v>#VALUE!</v>
      </c>
      <c r="P98" t="e">
        <f>AND(Names!W159,"AAAAAHZz2Q8=")</f>
        <v>#VALUE!</v>
      </c>
      <c r="Q98" t="e">
        <f>AND(Names!X159,"AAAAAHZz2RA=")</f>
        <v>#VALUE!</v>
      </c>
      <c r="R98" t="e">
        <f>AND(Names!Y159,"AAAAAHZz2RE=")</f>
        <v>#VALUE!</v>
      </c>
      <c r="S98" t="e">
        <f>AND(Names!Z159,"AAAAAHZz2RI=")</f>
        <v>#VALUE!</v>
      </c>
      <c r="T98" t="e">
        <f>AND(Names!AA159,"AAAAAHZz2RM=")</f>
        <v>#VALUE!</v>
      </c>
      <c r="U98" t="e">
        <f>AND(Names!AB159,"AAAAAHZz2RQ=")</f>
        <v>#VALUE!</v>
      </c>
      <c r="V98" t="e">
        <f>AND(Names!AC159,"AAAAAHZz2RU=")</f>
        <v>#VALUE!</v>
      </c>
      <c r="W98" t="e">
        <f>AND(Names!AD159,"AAAAAHZz2RY=")</f>
        <v>#VALUE!</v>
      </c>
      <c r="X98" t="e">
        <f>AND(Names!AE159,"AAAAAHZz2Rc=")</f>
        <v>#VALUE!</v>
      </c>
      <c r="Y98" t="e">
        <f>AND(Names!AF159,"AAAAAHZz2Rg=")</f>
        <v>#VALUE!</v>
      </c>
      <c r="Z98" t="e">
        <f>AND(Names!AG159,"AAAAAHZz2Rk=")</f>
        <v>#VALUE!</v>
      </c>
      <c r="AA98" t="e">
        <f>AND(Names!AH159,"AAAAAHZz2Ro=")</f>
        <v>#VALUE!</v>
      </c>
      <c r="AB98" t="e">
        <f>AND(Names!AI159,"AAAAAHZz2Rs=")</f>
        <v>#VALUE!</v>
      </c>
      <c r="AC98" t="e">
        <f>AND(Names!AJ159,"AAAAAHZz2Rw=")</f>
        <v>#VALUE!</v>
      </c>
      <c r="AD98" t="e">
        <f>AND(Names!AK159,"AAAAAHZz2R0=")</f>
        <v>#VALUE!</v>
      </c>
      <c r="AE98" t="e">
        <f>AND(Names!AL159,"AAAAAHZz2R4=")</f>
        <v>#VALUE!</v>
      </c>
      <c r="AF98" t="e">
        <f>AND(Names!AM159,"AAAAAHZz2R8=")</f>
        <v>#VALUE!</v>
      </c>
      <c r="AG98">
        <f>IF(Names!160:160,"AAAAAHZz2SA=",0)</f>
        <v>0</v>
      </c>
      <c r="AH98" t="e">
        <f>AND(Names!A160,"AAAAAHZz2SE=")</f>
        <v>#VALUE!</v>
      </c>
      <c r="AI98" t="e">
        <f>AND(Names!B160,"AAAAAHZz2SI=")</f>
        <v>#VALUE!</v>
      </c>
      <c r="AJ98" t="e">
        <f>AND(Names!C160,"AAAAAHZz2SM=")</f>
        <v>#VALUE!</v>
      </c>
      <c r="AK98" t="e">
        <f>AND(Names!D160,"AAAAAHZz2SQ=")</f>
        <v>#VALUE!</v>
      </c>
      <c r="AL98" t="e">
        <f>AND(Names!E160,"AAAAAHZz2SU=")</f>
        <v>#VALUE!</v>
      </c>
      <c r="AM98" t="e">
        <f>AND(Names!F160,"AAAAAHZz2SY=")</f>
        <v>#VALUE!</v>
      </c>
      <c r="AN98" t="e">
        <f>AND(Names!G160,"AAAAAHZz2Sc=")</f>
        <v>#VALUE!</v>
      </c>
      <c r="AO98" t="e">
        <f>AND(Names!H160,"AAAAAHZz2Sg=")</f>
        <v>#VALUE!</v>
      </c>
      <c r="AP98" t="e">
        <f>AND(Names!I160,"AAAAAHZz2Sk=")</f>
        <v>#VALUE!</v>
      </c>
      <c r="AQ98" t="e">
        <f>AND(Names!J160,"AAAAAHZz2So=")</f>
        <v>#VALUE!</v>
      </c>
      <c r="AR98" t="e">
        <f>AND(Names!K160,"AAAAAHZz2Ss=")</f>
        <v>#VALUE!</v>
      </c>
      <c r="AS98" t="e">
        <f>AND(Names!L160,"AAAAAHZz2Sw=")</f>
        <v>#VALUE!</v>
      </c>
      <c r="AT98" t="e">
        <f>AND(Names!M160,"AAAAAHZz2S0=")</f>
        <v>#VALUE!</v>
      </c>
      <c r="AU98" t="e">
        <f>AND(Names!N160,"AAAAAHZz2S4=")</f>
        <v>#VALUE!</v>
      </c>
      <c r="AV98" t="e">
        <f>AND(Names!O160,"AAAAAHZz2S8=")</f>
        <v>#VALUE!</v>
      </c>
      <c r="AW98" t="e">
        <f>AND(Names!P160,"AAAAAHZz2TA=")</f>
        <v>#VALUE!</v>
      </c>
      <c r="AX98" t="e">
        <f>AND(Names!Q160,"AAAAAHZz2TE=")</f>
        <v>#VALUE!</v>
      </c>
      <c r="AY98" t="e">
        <f>AND(Names!R160,"AAAAAHZz2TI=")</f>
        <v>#VALUE!</v>
      </c>
      <c r="AZ98" t="e">
        <f>AND(Names!S160,"AAAAAHZz2TM=")</f>
        <v>#VALUE!</v>
      </c>
      <c r="BA98" t="e">
        <f>AND(Names!T160,"AAAAAHZz2TQ=")</f>
        <v>#VALUE!</v>
      </c>
      <c r="BB98" t="e">
        <f>AND(Names!U160,"AAAAAHZz2TU=")</f>
        <v>#VALUE!</v>
      </c>
      <c r="BC98" t="e">
        <f>AND(Names!V160,"AAAAAHZz2TY=")</f>
        <v>#VALUE!</v>
      </c>
      <c r="BD98" t="e">
        <f>AND(Names!W160,"AAAAAHZz2Tc=")</f>
        <v>#VALUE!</v>
      </c>
      <c r="BE98" t="e">
        <f>AND(Names!X160,"AAAAAHZz2Tg=")</f>
        <v>#VALUE!</v>
      </c>
      <c r="BF98" t="e">
        <f>AND(Names!Y160,"AAAAAHZz2Tk=")</f>
        <v>#VALUE!</v>
      </c>
      <c r="BG98" t="e">
        <f>AND(Names!Z160,"AAAAAHZz2To=")</f>
        <v>#VALUE!</v>
      </c>
      <c r="BH98" t="e">
        <f>AND(Names!AA160,"AAAAAHZz2Ts=")</f>
        <v>#VALUE!</v>
      </c>
      <c r="BI98" t="e">
        <f>AND(Names!AB160,"AAAAAHZz2Tw=")</f>
        <v>#VALUE!</v>
      </c>
      <c r="BJ98" t="e">
        <f>AND(Names!AC160,"AAAAAHZz2T0=")</f>
        <v>#VALUE!</v>
      </c>
      <c r="BK98" t="e">
        <f>AND(Names!AD160,"AAAAAHZz2T4=")</f>
        <v>#VALUE!</v>
      </c>
      <c r="BL98" t="e">
        <f>AND(Names!AE160,"AAAAAHZz2T8=")</f>
        <v>#VALUE!</v>
      </c>
      <c r="BM98" t="e">
        <f>AND(Names!AF160,"AAAAAHZz2UA=")</f>
        <v>#VALUE!</v>
      </c>
      <c r="BN98" t="e">
        <f>AND(Names!AG160,"AAAAAHZz2UE=")</f>
        <v>#VALUE!</v>
      </c>
      <c r="BO98" t="e">
        <f>AND(Names!AH160,"AAAAAHZz2UI=")</f>
        <v>#VALUE!</v>
      </c>
      <c r="BP98" t="e">
        <f>AND(Names!AI160,"AAAAAHZz2UM=")</f>
        <v>#VALUE!</v>
      </c>
      <c r="BQ98" t="e">
        <f>AND(Names!AJ160,"AAAAAHZz2UQ=")</f>
        <v>#VALUE!</v>
      </c>
      <c r="BR98" t="e">
        <f>AND(Names!AK160,"AAAAAHZz2UU=")</f>
        <v>#VALUE!</v>
      </c>
      <c r="BS98" t="e">
        <f>AND(Names!AL160,"AAAAAHZz2UY=")</f>
        <v>#VALUE!</v>
      </c>
      <c r="BT98" t="e">
        <f>AND(Names!AM160,"AAAAAHZz2Uc=")</f>
        <v>#VALUE!</v>
      </c>
      <c r="BU98">
        <f>IF(Names!161:161,"AAAAAHZz2Ug=",0)</f>
        <v>0</v>
      </c>
      <c r="BV98" t="e">
        <f>AND(Names!A161,"AAAAAHZz2Uk=")</f>
        <v>#VALUE!</v>
      </c>
      <c r="BW98" t="e">
        <f>AND(Names!B161,"AAAAAHZz2Uo=")</f>
        <v>#VALUE!</v>
      </c>
      <c r="BX98" t="e">
        <f>AND(Names!C161,"AAAAAHZz2Us=")</f>
        <v>#VALUE!</v>
      </c>
      <c r="BY98" t="e">
        <f>AND(Names!D161,"AAAAAHZz2Uw=")</f>
        <v>#VALUE!</v>
      </c>
      <c r="BZ98" t="e">
        <f>AND(Names!E161,"AAAAAHZz2U0=")</f>
        <v>#VALUE!</v>
      </c>
      <c r="CA98" t="e">
        <f>AND(Names!F161,"AAAAAHZz2U4=")</f>
        <v>#VALUE!</v>
      </c>
      <c r="CB98" t="e">
        <f>AND(Names!G161,"AAAAAHZz2U8=")</f>
        <v>#VALUE!</v>
      </c>
      <c r="CC98" t="e">
        <f>AND(Names!H161,"AAAAAHZz2VA=")</f>
        <v>#VALUE!</v>
      </c>
      <c r="CD98" t="e">
        <f>AND(Names!I161,"AAAAAHZz2VE=")</f>
        <v>#VALUE!</v>
      </c>
      <c r="CE98" t="e">
        <f>AND(Names!J161,"AAAAAHZz2VI=")</f>
        <v>#VALUE!</v>
      </c>
      <c r="CF98" t="e">
        <f>AND(Names!K161,"AAAAAHZz2VM=")</f>
        <v>#VALUE!</v>
      </c>
      <c r="CG98" t="e">
        <f>AND(Names!L161,"AAAAAHZz2VQ=")</f>
        <v>#VALUE!</v>
      </c>
      <c r="CH98" t="e">
        <f>AND(Names!M161,"AAAAAHZz2VU=")</f>
        <v>#VALUE!</v>
      </c>
      <c r="CI98" t="e">
        <f>AND(Names!N161,"AAAAAHZz2VY=")</f>
        <v>#VALUE!</v>
      </c>
      <c r="CJ98" t="e">
        <f>AND(Names!O161,"AAAAAHZz2Vc=")</f>
        <v>#VALUE!</v>
      </c>
      <c r="CK98" t="e">
        <f>AND(Names!P161,"AAAAAHZz2Vg=")</f>
        <v>#VALUE!</v>
      </c>
      <c r="CL98" t="e">
        <f>AND(Names!Q161,"AAAAAHZz2Vk=")</f>
        <v>#VALUE!</v>
      </c>
      <c r="CM98" t="e">
        <f>AND(Names!R161,"AAAAAHZz2Vo=")</f>
        <v>#VALUE!</v>
      </c>
      <c r="CN98" t="e">
        <f>AND(Names!S161,"AAAAAHZz2Vs=")</f>
        <v>#VALUE!</v>
      </c>
      <c r="CO98" t="e">
        <f>AND(Names!T161,"AAAAAHZz2Vw=")</f>
        <v>#VALUE!</v>
      </c>
      <c r="CP98" t="e">
        <f>AND(Names!U161,"AAAAAHZz2V0=")</f>
        <v>#VALUE!</v>
      </c>
      <c r="CQ98" t="e">
        <f>AND(Names!V161,"AAAAAHZz2V4=")</f>
        <v>#VALUE!</v>
      </c>
      <c r="CR98" t="e">
        <f>AND(Names!W161,"AAAAAHZz2V8=")</f>
        <v>#VALUE!</v>
      </c>
      <c r="CS98" t="e">
        <f>AND(Names!X161,"AAAAAHZz2WA=")</f>
        <v>#VALUE!</v>
      </c>
      <c r="CT98" t="e">
        <f>AND(Names!Y161,"AAAAAHZz2WE=")</f>
        <v>#VALUE!</v>
      </c>
      <c r="CU98" t="e">
        <f>AND(Names!Z161,"AAAAAHZz2WI=")</f>
        <v>#VALUE!</v>
      </c>
      <c r="CV98" t="e">
        <f>AND(Names!AA161,"AAAAAHZz2WM=")</f>
        <v>#VALUE!</v>
      </c>
      <c r="CW98" t="e">
        <f>AND(Names!AB161,"AAAAAHZz2WQ=")</f>
        <v>#VALUE!</v>
      </c>
      <c r="CX98" t="e">
        <f>AND(Names!AC161,"AAAAAHZz2WU=")</f>
        <v>#VALUE!</v>
      </c>
      <c r="CY98" t="e">
        <f>AND(Names!AD161,"AAAAAHZz2WY=")</f>
        <v>#VALUE!</v>
      </c>
      <c r="CZ98" t="e">
        <f>AND(Names!AE161,"AAAAAHZz2Wc=")</f>
        <v>#VALUE!</v>
      </c>
      <c r="DA98" t="e">
        <f>AND(Names!AF161,"AAAAAHZz2Wg=")</f>
        <v>#VALUE!</v>
      </c>
      <c r="DB98" t="e">
        <f>AND(Names!AG161,"AAAAAHZz2Wk=")</f>
        <v>#VALUE!</v>
      </c>
      <c r="DC98" t="e">
        <f>AND(Names!AH161,"AAAAAHZz2Wo=")</f>
        <v>#VALUE!</v>
      </c>
      <c r="DD98" t="e">
        <f>AND(Names!AI161,"AAAAAHZz2Ws=")</f>
        <v>#VALUE!</v>
      </c>
      <c r="DE98" t="e">
        <f>AND(Names!AJ161,"AAAAAHZz2Ww=")</f>
        <v>#VALUE!</v>
      </c>
      <c r="DF98" t="e">
        <f>AND(Names!AK161,"AAAAAHZz2W0=")</f>
        <v>#VALUE!</v>
      </c>
      <c r="DG98" t="e">
        <f>AND(Names!AL161,"AAAAAHZz2W4=")</f>
        <v>#VALUE!</v>
      </c>
      <c r="DH98" t="e">
        <f>AND(Names!AM161,"AAAAAHZz2W8=")</f>
        <v>#VALUE!</v>
      </c>
      <c r="DI98">
        <f>IF(Names!162:162,"AAAAAHZz2XA=",0)</f>
        <v>0</v>
      </c>
      <c r="DJ98" t="e">
        <f>AND(Names!A162,"AAAAAHZz2XE=")</f>
        <v>#VALUE!</v>
      </c>
      <c r="DK98" t="e">
        <f>AND(Names!B162,"AAAAAHZz2XI=")</f>
        <v>#VALUE!</v>
      </c>
      <c r="DL98" t="e">
        <f>AND(Names!C162,"AAAAAHZz2XM=")</f>
        <v>#VALUE!</v>
      </c>
      <c r="DM98" t="e">
        <f>AND(Names!D162,"AAAAAHZz2XQ=")</f>
        <v>#VALUE!</v>
      </c>
      <c r="DN98" t="e">
        <f>AND(Names!E162,"AAAAAHZz2XU=")</f>
        <v>#VALUE!</v>
      </c>
      <c r="DO98" t="e">
        <f>AND(Names!F162,"AAAAAHZz2XY=")</f>
        <v>#VALUE!</v>
      </c>
      <c r="DP98" t="e">
        <f>AND(Names!G162,"AAAAAHZz2Xc=")</f>
        <v>#VALUE!</v>
      </c>
      <c r="DQ98" t="e">
        <f>AND(Names!H162,"AAAAAHZz2Xg=")</f>
        <v>#VALUE!</v>
      </c>
      <c r="DR98" t="e">
        <f>AND(Names!I162,"AAAAAHZz2Xk=")</f>
        <v>#VALUE!</v>
      </c>
      <c r="DS98" t="e">
        <f>AND(Names!J162,"AAAAAHZz2Xo=")</f>
        <v>#VALUE!</v>
      </c>
      <c r="DT98" t="e">
        <f>AND(Names!K162,"AAAAAHZz2Xs=")</f>
        <v>#VALUE!</v>
      </c>
      <c r="DU98" t="e">
        <f>AND(Names!L162,"AAAAAHZz2Xw=")</f>
        <v>#VALUE!</v>
      </c>
      <c r="DV98" t="e">
        <f>AND(Names!M162,"AAAAAHZz2X0=")</f>
        <v>#VALUE!</v>
      </c>
      <c r="DW98" t="e">
        <f>AND(Names!N162,"AAAAAHZz2X4=")</f>
        <v>#VALUE!</v>
      </c>
      <c r="DX98" t="e">
        <f>AND(Names!O162,"AAAAAHZz2X8=")</f>
        <v>#VALUE!</v>
      </c>
      <c r="DY98" t="e">
        <f>AND(Names!P162,"AAAAAHZz2YA=")</f>
        <v>#VALUE!</v>
      </c>
      <c r="DZ98" t="e">
        <f>AND(Names!Q162,"AAAAAHZz2YE=")</f>
        <v>#VALUE!</v>
      </c>
      <c r="EA98" t="e">
        <f>AND(Names!R162,"AAAAAHZz2YI=")</f>
        <v>#VALUE!</v>
      </c>
      <c r="EB98" t="e">
        <f>AND(Names!S162,"AAAAAHZz2YM=")</f>
        <v>#VALUE!</v>
      </c>
      <c r="EC98" t="e">
        <f>AND(Names!T162,"AAAAAHZz2YQ=")</f>
        <v>#VALUE!</v>
      </c>
      <c r="ED98" t="e">
        <f>AND(Names!U162,"AAAAAHZz2YU=")</f>
        <v>#VALUE!</v>
      </c>
      <c r="EE98" t="e">
        <f>AND(Names!V162,"AAAAAHZz2YY=")</f>
        <v>#VALUE!</v>
      </c>
      <c r="EF98" t="e">
        <f>AND(Names!W162,"AAAAAHZz2Yc=")</f>
        <v>#VALUE!</v>
      </c>
      <c r="EG98" t="e">
        <f>AND(Names!X162,"AAAAAHZz2Yg=")</f>
        <v>#VALUE!</v>
      </c>
      <c r="EH98" t="e">
        <f>AND(Names!Y162,"AAAAAHZz2Yk=")</f>
        <v>#VALUE!</v>
      </c>
      <c r="EI98" t="e">
        <f>AND(Names!Z162,"AAAAAHZz2Yo=")</f>
        <v>#VALUE!</v>
      </c>
      <c r="EJ98" t="e">
        <f>AND(Names!AA162,"AAAAAHZz2Ys=")</f>
        <v>#VALUE!</v>
      </c>
      <c r="EK98" t="e">
        <f>AND(Names!AB162,"AAAAAHZz2Yw=")</f>
        <v>#VALUE!</v>
      </c>
      <c r="EL98" t="e">
        <f>AND(Names!AC162,"AAAAAHZz2Y0=")</f>
        <v>#VALUE!</v>
      </c>
      <c r="EM98" t="e">
        <f>AND(Names!AD162,"AAAAAHZz2Y4=")</f>
        <v>#VALUE!</v>
      </c>
      <c r="EN98" t="e">
        <f>AND(Names!AE162,"AAAAAHZz2Y8=")</f>
        <v>#VALUE!</v>
      </c>
      <c r="EO98" t="e">
        <f>AND(Names!AF162,"AAAAAHZz2ZA=")</f>
        <v>#VALUE!</v>
      </c>
      <c r="EP98" t="e">
        <f>AND(Names!AG162,"AAAAAHZz2ZE=")</f>
        <v>#VALUE!</v>
      </c>
      <c r="EQ98" t="e">
        <f>AND(Names!AH162,"AAAAAHZz2ZI=")</f>
        <v>#VALUE!</v>
      </c>
      <c r="ER98" t="e">
        <f>AND(Names!AI162,"AAAAAHZz2ZM=")</f>
        <v>#VALUE!</v>
      </c>
      <c r="ES98" t="e">
        <f>AND(Names!AJ162,"AAAAAHZz2ZQ=")</f>
        <v>#VALUE!</v>
      </c>
      <c r="ET98" t="e">
        <f>AND(Names!AK162,"AAAAAHZz2ZU=")</f>
        <v>#VALUE!</v>
      </c>
      <c r="EU98" t="e">
        <f>AND(Names!AL162,"AAAAAHZz2ZY=")</f>
        <v>#VALUE!</v>
      </c>
      <c r="EV98" t="e">
        <f>AND(Names!AM162,"AAAAAHZz2Zc=")</f>
        <v>#VALUE!</v>
      </c>
      <c r="EW98">
        <f>IF(Names!163:163,"AAAAAHZz2Zg=",0)</f>
        <v>0</v>
      </c>
      <c r="EX98" t="e">
        <f>AND(Names!A163,"AAAAAHZz2Zk=")</f>
        <v>#VALUE!</v>
      </c>
      <c r="EY98" t="e">
        <f>AND(Names!B163,"AAAAAHZz2Zo=")</f>
        <v>#VALUE!</v>
      </c>
      <c r="EZ98" t="e">
        <f>AND(Names!C163,"AAAAAHZz2Zs=")</f>
        <v>#VALUE!</v>
      </c>
      <c r="FA98" t="e">
        <f>AND(Names!D163,"AAAAAHZz2Zw=")</f>
        <v>#VALUE!</v>
      </c>
      <c r="FB98" t="e">
        <f>AND(Names!E163,"AAAAAHZz2Z0=")</f>
        <v>#VALUE!</v>
      </c>
      <c r="FC98" t="e">
        <f>AND(Names!F163,"AAAAAHZz2Z4=")</f>
        <v>#VALUE!</v>
      </c>
      <c r="FD98" t="e">
        <f>AND(Names!G163,"AAAAAHZz2Z8=")</f>
        <v>#VALUE!</v>
      </c>
      <c r="FE98" t="e">
        <f>AND(Names!H163,"AAAAAHZz2aA=")</f>
        <v>#VALUE!</v>
      </c>
      <c r="FF98" t="e">
        <f>AND(Names!I163,"AAAAAHZz2aE=")</f>
        <v>#VALUE!</v>
      </c>
      <c r="FG98" t="e">
        <f>AND(Names!J163,"AAAAAHZz2aI=")</f>
        <v>#VALUE!</v>
      </c>
      <c r="FH98" t="e">
        <f>AND(Names!K163,"AAAAAHZz2aM=")</f>
        <v>#VALUE!</v>
      </c>
      <c r="FI98" t="e">
        <f>AND(Names!L163,"AAAAAHZz2aQ=")</f>
        <v>#VALUE!</v>
      </c>
      <c r="FJ98" t="e">
        <f>AND(Names!M163,"AAAAAHZz2aU=")</f>
        <v>#VALUE!</v>
      </c>
      <c r="FK98" t="e">
        <f>AND(Names!N163,"AAAAAHZz2aY=")</f>
        <v>#VALUE!</v>
      </c>
      <c r="FL98" t="e">
        <f>AND(Names!O163,"AAAAAHZz2ac=")</f>
        <v>#VALUE!</v>
      </c>
      <c r="FM98" t="e">
        <f>AND(Names!P163,"AAAAAHZz2ag=")</f>
        <v>#VALUE!</v>
      </c>
      <c r="FN98" t="e">
        <f>AND(Names!Q163,"AAAAAHZz2ak=")</f>
        <v>#VALUE!</v>
      </c>
      <c r="FO98" t="e">
        <f>AND(Names!R163,"AAAAAHZz2ao=")</f>
        <v>#VALUE!</v>
      </c>
      <c r="FP98" t="e">
        <f>AND(Names!S163,"AAAAAHZz2as=")</f>
        <v>#VALUE!</v>
      </c>
      <c r="FQ98" t="e">
        <f>AND(Names!T163,"AAAAAHZz2aw=")</f>
        <v>#VALUE!</v>
      </c>
      <c r="FR98" t="e">
        <f>AND(Names!U163,"AAAAAHZz2a0=")</f>
        <v>#VALUE!</v>
      </c>
      <c r="FS98" t="e">
        <f>AND(Names!V163,"AAAAAHZz2a4=")</f>
        <v>#VALUE!</v>
      </c>
      <c r="FT98" t="e">
        <f>AND(Names!W163,"AAAAAHZz2a8=")</f>
        <v>#VALUE!</v>
      </c>
      <c r="FU98" t="e">
        <f>AND(Names!X163,"AAAAAHZz2bA=")</f>
        <v>#VALUE!</v>
      </c>
      <c r="FV98" t="e">
        <f>AND(Names!Y163,"AAAAAHZz2bE=")</f>
        <v>#VALUE!</v>
      </c>
      <c r="FW98" t="e">
        <f>AND(Names!Z163,"AAAAAHZz2bI=")</f>
        <v>#VALUE!</v>
      </c>
      <c r="FX98" t="e">
        <f>AND(Names!AA163,"AAAAAHZz2bM=")</f>
        <v>#VALUE!</v>
      </c>
      <c r="FY98" t="e">
        <f>AND(Names!AB163,"AAAAAHZz2bQ=")</f>
        <v>#VALUE!</v>
      </c>
      <c r="FZ98" t="e">
        <f>AND(Names!AC163,"AAAAAHZz2bU=")</f>
        <v>#VALUE!</v>
      </c>
      <c r="GA98" t="e">
        <f>AND(Names!AD163,"AAAAAHZz2bY=")</f>
        <v>#VALUE!</v>
      </c>
      <c r="GB98" t="e">
        <f>AND(Names!AE163,"AAAAAHZz2bc=")</f>
        <v>#VALUE!</v>
      </c>
      <c r="GC98" t="e">
        <f>AND(Names!AF163,"AAAAAHZz2bg=")</f>
        <v>#VALUE!</v>
      </c>
      <c r="GD98" t="e">
        <f>AND(Names!AG163,"AAAAAHZz2bk=")</f>
        <v>#VALUE!</v>
      </c>
      <c r="GE98" t="e">
        <f>AND(Names!AH163,"AAAAAHZz2bo=")</f>
        <v>#VALUE!</v>
      </c>
      <c r="GF98" t="e">
        <f>AND(Names!AI163,"AAAAAHZz2bs=")</f>
        <v>#VALUE!</v>
      </c>
      <c r="GG98" t="e">
        <f>AND(Names!AJ163,"AAAAAHZz2bw=")</f>
        <v>#VALUE!</v>
      </c>
      <c r="GH98" t="e">
        <f>AND(Names!AK163,"AAAAAHZz2b0=")</f>
        <v>#VALUE!</v>
      </c>
      <c r="GI98" t="e">
        <f>AND(Names!AL163,"AAAAAHZz2b4=")</f>
        <v>#VALUE!</v>
      </c>
      <c r="GJ98" t="e">
        <f>AND(Names!AM163,"AAAAAHZz2b8=")</f>
        <v>#VALUE!</v>
      </c>
      <c r="GK98">
        <f>IF(Names!164:164,"AAAAAHZz2cA=",0)</f>
        <v>0</v>
      </c>
      <c r="GL98" t="e">
        <f>AND(Names!A164,"AAAAAHZz2cE=")</f>
        <v>#VALUE!</v>
      </c>
      <c r="GM98" t="e">
        <f>AND(Names!B164,"AAAAAHZz2cI=")</f>
        <v>#VALUE!</v>
      </c>
      <c r="GN98" t="e">
        <f>AND(Names!C164,"AAAAAHZz2cM=")</f>
        <v>#VALUE!</v>
      </c>
      <c r="GO98" t="e">
        <f>AND(Names!D164,"AAAAAHZz2cQ=")</f>
        <v>#VALUE!</v>
      </c>
      <c r="GP98" t="e">
        <f>AND(Names!E164,"AAAAAHZz2cU=")</f>
        <v>#VALUE!</v>
      </c>
      <c r="GQ98" t="e">
        <f>AND(Names!F164,"AAAAAHZz2cY=")</f>
        <v>#VALUE!</v>
      </c>
      <c r="GR98" t="e">
        <f>AND(Names!G164,"AAAAAHZz2cc=")</f>
        <v>#VALUE!</v>
      </c>
      <c r="GS98" t="e">
        <f>AND(Names!H164,"AAAAAHZz2cg=")</f>
        <v>#VALUE!</v>
      </c>
      <c r="GT98" t="e">
        <f>AND(Names!I164,"AAAAAHZz2ck=")</f>
        <v>#VALUE!</v>
      </c>
      <c r="GU98" t="e">
        <f>AND(Names!J164,"AAAAAHZz2co=")</f>
        <v>#VALUE!</v>
      </c>
      <c r="GV98" t="e">
        <f>AND(Names!K164,"AAAAAHZz2cs=")</f>
        <v>#VALUE!</v>
      </c>
      <c r="GW98" t="e">
        <f>AND(Names!L164,"AAAAAHZz2cw=")</f>
        <v>#VALUE!</v>
      </c>
      <c r="GX98" t="e">
        <f>AND(Names!M164,"AAAAAHZz2c0=")</f>
        <v>#VALUE!</v>
      </c>
      <c r="GY98" t="e">
        <f>AND(Names!N164,"AAAAAHZz2c4=")</f>
        <v>#VALUE!</v>
      </c>
      <c r="GZ98" t="e">
        <f>AND(Names!O164,"AAAAAHZz2c8=")</f>
        <v>#VALUE!</v>
      </c>
      <c r="HA98" t="e">
        <f>AND(Names!P164,"AAAAAHZz2dA=")</f>
        <v>#VALUE!</v>
      </c>
      <c r="HB98" t="e">
        <f>AND(Names!Q164,"AAAAAHZz2dE=")</f>
        <v>#VALUE!</v>
      </c>
      <c r="HC98" t="e">
        <f>AND(Names!R164,"AAAAAHZz2dI=")</f>
        <v>#VALUE!</v>
      </c>
      <c r="HD98" t="e">
        <f>AND(Names!S164,"AAAAAHZz2dM=")</f>
        <v>#VALUE!</v>
      </c>
      <c r="HE98" t="e">
        <f>AND(Names!T164,"AAAAAHZz2dQ=")</f>
        <v>#VALUE!</v>
      </c>
      <c r="HF98" t="e">
        <f>AND(Names!U164,"AAAAAHZz2dU=")</f>
        <v>#VALUE!</v>
      </c>
      <c r="HG98" t="e">
        <f>AND(Names!V164,"AAAAAHZz2dY=")</f>
        <v>#VALUE!</v>
      </c>
      <c r="HH98" t="e">
        <f>AND(Names!W164,"AAAAAHZz2dc=")</f>
        <v>#VALUE!</v>
      </c>
      <c r="HI98" t="e">
        <f>AND(Names!X164,"AAAAAHZz2dg=")</f>
        <v>#VALUE!</v>
      </c>
      <c r="HJ98" t="e">
        <f>AND(Names!Y164,"AAAAAHZz2dk=")</f>
        <v>#VALUE!</v>
      </c>
      <c r="HK98" t="e">
        <f>AND(Names!Z164,"AAAAAHZz2do=")</f>
        <v>#VALUE!</v>
      </c>
      <c r="HL98" t="e">
        <f>AND(Names!AA164,"AAAAAHZz2ds=")</f>
        <v>#VALUE!</v>
      </c>
      <c r="HM98" t="e">
        <f>AND(Names!AB164,"AAAAAHZz2dw=")</f>
        <v>#VALUE!</v>
      </c>
      <c r="HN98" t="e">
        <f>AND(Names!AC164,"AAAAAHZz2d0=")</f>
        <v>#VALUE!</v>
      </c>
      <c r="HO98" t="e">
        <f>AND(Names!AD164,"AAAAAHZz2d4=")</f>
        <v>#VALUE!</v>
      </c>
      <c r="HP98" t="e">
        <f>AND(Names!AE164,"AAAAAHZz2d8=")</f>
        <v>#VALUE!</v>
      </c>
      <c r="HQ98" t="e">
        <f>AND(Names!AF164,"AAAAAHZz2eA=")</f>
        <v>#VALUE!</v>
      </c>
      <c r="HR98" t="e">
        <f>AND(Names!AG164,"AAAAAHZz2eE=")</f>
        <v>#VALUE!</v>
      </c>
      <c r="HS98" t="e">
        <f>AND(Names!AH164,"AAAAAHZz2eI=")</f>
        <v>#VALUE!</v>
      </c>
      <c r="HT98" t="e">
        <f>AND(Names!AI164,"AAAAAHZz2eM=")</f>
        <v>#VALUE!</v>
      </c>
      <c r="HU98" t="e">
        <f>AND(Names!AJ164,"AAAAAHZz2eQ=")</f>
        <v>#VALUE!</v>
      </c>
      <c r="HV98" t="e">
        <f>AND(Names!AK164,"AAAAAHZz2eU=")</f>
        <v>#VALUE!</v>
      </c>
      <c r="HW98" t="e">
        <f>AND(Names!AL164,"AAAAAHZz2eY=")</f>
        <v>#VALUE!</v>
      </c>
      <c r="HX98" t="e">
        <f>AND(Names!AM164,"AAAAAHZz2ec=")</f>
        <v>#VALUE!</v>
      </c>
      <c r="HY98">
        <f>IF(Names!165:165,"AAAAAHZz2eg=",0)</f>
        <v>0</v>
      </c>
      <c r="HZ98" t="e">
        <f>AND(Names!A165,"AAAAAHZz2ek=")</f>
        <v>#VALUE!</v>
      </c>
      <c r="IA98" t="e">
        <f>AND(Names!B165,"AAAAAHZz2eo=")</f>
        <v>#VALUE!</v>
      </c>
      <c r="IB98" t="e">
        <f>AND(Names!C165,"AAAAAHZz2es=")</f>
        <v>#VALUE!</v>
      </c>
      <c r="IC98" t="e">
        <f>AND(Names!D165,"AAAAAHZz2ew=")</f>
        <v>#VALUE!</v>
      </c>
      <c r="ID98" t="e">
        <f>AND(Names!E165,"AAAAAHZz2e0=")</f>
        <v>#VALUE!</v>
      </c>
      <c r="IE98" t="e">
        <f>AND(Names!F165,"AAAAAHZz2e4=")</f>
        <v>#VALUE!</v>
      </c>
      <c r="IF98" t="e">
        <f>AND(Names!G165,"AAAAAHZz2e8=")</f>
        <v>#VALUE!</v>
      </c>
      <c r="IG98" t="e">
        <f>AND(Names!H165,"AAAAAHZz2fA=")</f>
        <v>#VALUE!</v>
      </c>
      <c r="IH98" t="e">
        <f>AND(Names!I165,"AAAAAHZz2fE=")</f>
        <v>#VALUE!</v>
      </c>
      <c r="II98" t="e">
        <f>AND(Names!J165,"AAAAAHZz2fI=")</f>
        <v>#VALUE!</v>
      </c>
      <c r="IJ98" t="e">
        <f>AND(Names!K165,"AAAAAHZz2fM=")</f>
        <v>#VALUE!</v>
      </c>
      <c r="IK98" t="e">
        <f>AND(Names!L165,"AAAAAHZz2fQ=")</f>
        <v>#VALUE!</v>
      </c>
      <c r="IL98" t="e">
        <f>AND(Names!M165,"AAAAAHZz2fU=")</f>
        <v>#VALUE!</v>
      </c>
      <c r="IM98" t="e">
        <f>AND(Names!N165,"AAAAAHZz2fY=")</f>
        <v>#VALUE!</v>
      </c>
      <c r="IN98" t="e">
        <f>AND(Names!O165,"AAAAAHZz2fc=")</f>
        <v>#VALUE!</v>
      </c>
      <c r="IO98" t="e">
        <f>AND(Names!P165,"AAAAAHZz2fg=")</f>
        <v>#VALUE!</v>
      </c>
      <c r="IP98" t="e">
        <f>AND(Names!Q165,"AAAAAHZz2fk=")</f>
        <v>#VALUE!</v>
      </c>
      <c r="IQ98" t="e">
        <f>AND(Names!R165,"AAAAAHZz2fo=")</f>
        <v>#VALUE!</v>
      </c>
      <c r="IR98" t="e">
        <f>AND(Names!S165,"AAAAAHZz2fs=")</f>
        <v>#VALUE!</v>
      </c>
      <c r="IS98" t="e">
        <f>AND(Names!T165,"AAAAAHZz2fw=")</f>
        <v>#VALUE!</v>
      </c>
      <c r="IT98" t="e">
        <f>AND(Names!U165,"AAAAAHZz2f0=")</f>
        <v>#VALUE!</v>
      </c>
      <c r="IU98" t="e">
        <f>AND(Names!V165,"AAAAAHZz2f4=")</f>
        <v>#VALUE!</v>
      </c>
      <c r="IV98" t="e">
        <f>AND(Names!W165,"AAAAAHZz2f8=")</f>
        <v>#VALUE!</v>
      </c>
    </row>
    <row r="99" spans="1:256" x14ac:dyDescent="0.15">
      <c r="A99" t="e">
        <f>AND(Names!X165,"AAAAAH7/1wA=")</f>
        <v>#VALUE!</v>
      </c>
      <c r="B99" t="e">
        <f>AND(Names!Y165,"AAAAAH7/1wE=")</f>
        <v>#VALUE!</v>
      </c>
      <c r="C99" t="e">
        <f>AND(Names!Z165,"AAAAAH7/1wI=")</f>
        <v>#VALUE!</v>
      </c>
      <c r="D99" t="e">
        <f>AND(Names!AA165,"AAAAAH7/1wM=")</f>
        <v>#VALUE!</v>
      </c>
      <c r="E99" t="e">
        <f>AND(Names!AB165,"AAAAAH7/1wQ=")</f>
        <v>#VALUE!</v>
      </c>
      <c r="F99" t="e">
        <f>AND(Names!AC165,"AAAAAH7/1wU=")</f>
        <v>#VALUE!</v>
      </c>
      <c r="G99" t="e">
        <f>AND(Names!AD165,"AAAAAH7/1wY=")</f>
        <v>#VALUE!</v>
      </c>
      <c r="H99" t="e">
        <f>AND(Names!AE165,"AAAAAH7/1wc=")</f>
        <v>#VALUE!</v>
      </c>
      <c r="I99" t="e">
        <f>AND(Names!AF165,"AAAAAH7/1wg=")</f>
        <v>#VALUE!</v>
      </c>
      <c r="J99" t="e">
        <f>AND(Names!AG165,"AAAAAH7/1wk=")</f>
        <v>#VALUE!</v>
      </c>
      <c r="K99" t="e">
        <f>AND(Names!AH165,"AAAAAH7/1wo=")</f>
        <v>#VALUE!</v>
      </c>
      <c r="L99" t="e">
        <f>AND(Names!AI165,"AAAAAH7/1ws=")</f>
        <v>#VALUE!</v>
      </c>
      <c r="M99" t="e">
        <f>AND(Names!AJ165,"AAAAAH7/1ww=")</f>
        <v>#VALUE!</v>
      </c>
      <c r="N99" t="e">
        <f>AND(Names!AK165,"AAAAAH7/1w0=")</f>
        <v>#VALUE!</v>
      </c>
      <c r="O99" t="e">
        <f>AND(Names!AL165,"AAAAAH7/1w4=")</f>
        <v>#VALUE!</v>
      </c>
      <c r="P99" t="e">
        <f>AND(Names!AM165,"AAAAAH7/1w8=")</f>
        <v>#VALUE!</v>
      </c>
      <c r="Q99">
        <f>IF(Names!166:166,"AAAAAH7/1xA=",0)</f>
        <v>0</v>
      </c>
      <c r="R99" t="e">
        <f>AND(Names!A166,"AAAAAH7/1xE=")</f>
        <v>#VALUE!</v>
      </c>
      <c r="S99" t="e">
        <f>AND(Names!B166,"AAAAAH7/1xI=")</f>
        <v>#VALUE!</v>
      </c>
      <c r="T99" t="e">
        <f>AND(Names!C166,"AAAAAH7/1xM=")</f>
        <v>#VALUE!</v>
      </c>
      <c r="U99" t="e">
        <f>AND(Names!D166,"AAAAAH7/1xQ=")</f>
        <v>#VALUE!</v>
      </c>
      <c r="V99" t="e">
        <f>AND(Names!E166,"AAAAAH7/1xU=")</f>
        <v>#VALUE!</v>
      </c>
      <c r="W99" t="e">
        <f>AND(Names!F166,"AAAAAH7/1xY=")</f>
        <v>#VALUE!</v>
      </c>
      <c r="X99" t="e">
        <f>AND(Names!G166,"AAAAAH7/1xc=")</f>
        <v>#VALUE!</v>
      </c>
      <c r="Y99" t="e">
        <f>AND(Names!H166,"AAAAAH7/1xg=")</f>
        <v>#VALUE!</v>
      </c>
      <c r="Z99" t="e">
        <f>AND(Names!I166,"AAAAAH7/1xk=")</f>
        <v>#VALUE!</v>
      </c>
      <c r="AA99" t="e">
        <f>AND(Names!J166,"AAAAAH7/1xo=")</f>
        <v>#VALUE!</v>
      </c>
      <c r="AB99" t="e">
        <f>AND(Names!K166,"AAAAAH7/1xs=")</f>
        <v>#VALUE!</v>
      </c>
      <c r="AC99" t="e">
        <f>AND(Names!L166,"AAAAAH7/1xw=")</f>
        <v>#VALUE!</v>
      </c>
      <c r="AD99" t="e">
        <f>AND(Names!M166,"AAAAAH7/1x0=")</f>
        <v>#VALUE!</v>
      </c>
      <c r="AE99" t="e">
        <f>AND(Names!N166,"AAAAAH7/1x4=")</f>
        <v>#VALUE!</v>
      </c>
      <c r="AF99" t="e">
        <f>AND(Names!O166,"AAAAAH7/1x8=")</f>
        <v>#VALUE!</v>
      </c>
      <c r="AG99" t="e">
        <f>AND(Names!P166,"AAAAAH7/1yA=")</f>
        <v>#VALUE!</v>
      </c>
      <c r="AH99" t="e">
        <f>AND(Names!Q166,"AAAAAH7/1yE=")</f>
        <v>#VALUE!</v>
      </c>
      <c r="AI99" t="e">
        <f>AND(Names!R166,"AAAAAH7/1yI=")</f>
        <v>#VALUE!</v>
      </c>
      <c r="AJ99" t="e">
        <f>AND(Names!S166,"AAAAAH7/1yM=")</f>
        <v>#VALUE!</v>
      </c>
      <c r="AK99" t="e">
        <f>AND(Names!T166,"AAAAAH7/1yQ=")</f>
        <v>#VALUE!</v>
      </c>
      <c r="AL99" t="e">
        <f>AND(Names!U166,"AAAAAH7/1yU=")</f>
        <v>#VALUE!</v>
      </c>
      <c r="AM99" t="e">
        <f>AND(Names!V166,"AAAAAH7/1yY=")</f>
        <v>#VALUE!</v>
      </c>
      <c r="AN99" t="e">
        <f>AND(Names!W166,"AAAAAH7/1yc=")</f>
        <v>#VALUE!</v>
      </c>
      <c r="AO99" t="e">
        <f>AND(Names!X166,"AAAAAH7/1yg=")</f>
        <v>#VALUE!</v>
      </c>
      <c r="AP99" t="e">
        <f>AND(Names!Y166,"AAAAAH7/1yk=")</f>
        <v>#VALUE!</v>
      </c>
      <c r="AQ99" t="e">
        <f>AND(Names!Z166,"AAAAAH7/1yo=")</f>
        <v>#VALUE!</v>
      </c>
      <c r="AR99" t="e">
        <f>AND(Names!AA166,"AAAAAH7/1ys=")</f>
        <v>#VALUE!</v>
      </c>
      <c r="AS99" t="e">
        <f>AND(Names!AB166,"AAAAAH7/1yw=")</f>
        <v>#VALUE!</v>
      </c>
      <c r="AT99" t="e">
        <f>AND(Names!AC166,"AAAAAH7/1y0=")</f>
        <v>#VALUE!</v>
      </c>
      <c r="AU99" t="e">
        <f>AND(Names!AD166,"AAAAAH7/1y4=")</f>
        <v>#VALUE!</v>
      </c>
      <c r="AV99" t="e">
        <f>AND(Names!AE166,"AAAAAH7/1y8=")</f>
        <v>#VALUE!</v>
      </c>
      <c r="AW99" t="e">
        <f>AND(Names!AF166,"AAAAAH7/1zA=")</f>
        <v>#VALUE!</v>
      </c>
      <c r="AX99" t="e">
        <f>AND(Names!AG166,"AAAAAH7/1zE=")</f>
        <v>#VALUE!</v>
      </c>
      <c r="AY99" t="e">
        <f>AND(Names!AH166,"AAAAAH7/1zI=")</f>
        <v>#VALUE!</v>
      </c>
      <c r="AZ99" t="e">
        <f>AND(Names!AI166,"AAAAAH7/1zM=")</f>
        <v>#VALUE!</v>
      </c>
      <c r="BA99" t="e">
        <f>AND(Names!AJ166,"AAAAAH7/1zQ=")</f>
        <v>#VALUE!</v>
      </c>
      <c r="BB99" t="e">
        <f>AND(Names!AK166,"AAAAAH7/1zU=")</f>
        <v>#VALUE!</v>
      </c>
      <c r="BC99" t="e">
        <f>AND(Names!AL166,"AAAAAH7/1zY=")</f>
        <v>#VALUE!</v>
      </c>
      <c r="BD99" t="e">
        <f>AND(Names!AM166,"AAAAAH7/1zc=")</f>
        <v>#VALUE!</v>
      </c>
      <c r="BE99">
        <f>IF(Names!167:167,"AAAAAH7/1zg=",0)</f>
        <v>0</v>
      </c>
      <c r="BF99" t="e">
        <f>AND(Names!A167,"AAAAAH7/1zk=")</f>
        <v>#VALUE!</v>
      </c>
      <c r="BG99" t="e">
        <f>AND(Names!B167,"AAAAAH7/1zo=")</f>
        <v>#VALUE!</v>
      </c>
      <c r="BH99" t="e">
        <f>AND(Names!C167,"AAAAAH7/1zs=")</f>
        <v>#VALUE!</v>
      </c>
      <c r="BI99" t="e">
        <f>AND(Names!D167,"AAAAAH7/1zw=")</f>
        <v>#VALUE!</v>
      </c>
      <c r="BJ99" t="e">
        <f>AND(Names!E167,"AAAAAH7/1z0=")</f>
        <v>#VALUE!</v>
      </c>
      <c r="BK99" t="e">
        <f>AND(Names!F167,"AAAAAH7/1z4=")</f>
        <v>#VALUE!</v>
      </c>
      <c r="BL99" t="e">
        <f>AND(Names!G167,"AAAAAH7/1z8=")</f>
        <v>#VALUE!</v>
      </c>
      <c r="BM99" t="e">
        <f>AND(Names!H167,"AAAAAH7/10A=")</f>
        <v>#VALUE!</v>
      </c>
      <c r="BN99" t="e">
        <f>AND(Names!I167,"AAAAAH7/10E=")</f>
        <v>#VALUE!</v>
      </c>
      <c r="BO99" t="e">
        <f>AND(Names!J167,"AAAAAH7/10I=")</f>
        <v>#VALUE!</v>
      </c>
      <c r="BP99" t="e">
        <f>AND(Names!K167,"AAAAAH7/10M=")</f>
        <v>#VALUE!</v>
      </c>
      <c r="BQ99" t="e">
        <f>AND(Names!L167,"AAAAAH7/10Q=")</f>
        <v>#VALUE!</v>
      </c>
      <c r="BR99" t="e">
        <f>AND(Names!M167,"AAAAAH7/10U=")</f>
        <v>#VALUE!</v>
      </c>
      <c r="BS99" t="e">
        <f>AND(Names!N167,"AAAAAH7/10Y=")</f>
        <v>#VALUE!</v>
      </c>
      <c r="BT99" t="e">
        <f>AND(Names!O167,"AAAAAH7/10c=")</f>
        <v>#VALUE!</v>
      </c>
      <c r="BU99" t="e">
        <f>AND(Names!P167,"AAAAAH7/10g=")</f>
        <v>#VALUE!</v>
      </c>
      <c r="BV99" t="e">
        <f>AND(Names!Q167,"AAAAAH7/10k=")</f>
        <v>#VALUE!</v>
      </c>
      <c r="BW99" t="e">
        <f>AND(Names!R167,"AAAAAH7/10o=")</f>
        <v>#VALUE!</v>
      </c>
      <c r="BX99" t="e">
        <f>AND(Names!S167,"AAAAAH7/10s=")</f>
        <v>#VALUE!</v>
      </c>
      <c r="BY99" t="e">
        <f>AND(Names!T167,"AAAAAH7/10w=")</f>
        <v>#VALUE!</v>
      </c>
      <c r="BZ99" t="e">
        <f>AND(Names!U167,"AAAAAH7/100=")</f>
        <v>#VALUE!</v>
      </c>
      <c r="CA99" t="e">
        <f>AND(Names!V167,"AAAAAH7/104=")</f>
        <v>#VALUE!</v>
      </c>
      <c r="CB99" t="e">
        <f>AND(Names!W167,"AAAAAH7/108=")</f>
        <v>#VALUE!</v>
      </c>
      <c r="CC99" t="e">
        <f>AND(Names!X167,"AAAAAH7/11A=")</f>
        <v>#VALUE!</v>
      </c>
      <c r="CD99" t="e">
        <f>AND(Names!Y167,"AAAAAH7/11E=")</f>
        <v>#VALUE!</v>
      </c>
      <c r="CE99" t="e">
        <f>AND(Names!Z167,"AAAAAH7/11I=")</f>
        <v>#VALUE!</v>
      </c>
      <c r="CF99" t="e">
        <f>AND(Names!AA167,"AAAAAH7/11M=")</f>
        <v>#VALUE!</v>
      </c>
      <c r="CG99" t="e">
        <f>AND(Names!AB167,"AAAAAH7/11Q=")</f>
        <v>#VALUE!</v>
      </c>
      <c r="CH99" t="e">
        <f>AND(Names!AC167,"AAAAAH7/11U=")</f>
        <v>#VALUE!</v>
      </c>
      <c r="CI99" t="e">
        <f>AND(Names!AD167,"AAAAAH7/11Y=")</f>
        <v>#VALUE!</v>
      </c>
      <c r="CJ99" t="e">
        <f>AND(Names!AE167,"AAAAAH7/11c=")</f>
        <v>#VALUE!</v>
      </c>
      <c r="CK99" t="e">
        <f>AND(Names!AF167,"AAAAAH7/11g=")</f>
        <v>#VALUE!</v>
      </c>
      <c r="CL99" t="e">
        <f>AND(Names!AG167,"AAAAAH7/11k=")</f>
        <v>#VALUE!</v>
      </c>
      <c r="CM99" t="e">
        <f>AND(Names!AH167,"AAAAAH7/11o=")</f>
        <v>#VALUE!</v>
      </c>
      <c r="CN99" t="e">
        <f>AND(Names!AI167,"AAAAAH7/11s=")</f>
        <v>#VALUE!</v>
      </c>
      <c r="CO99" t="e">
        <f>AND(Names!AJ167,"AAAAAH7/11w=")</f>
        <v>#VALUE!</v>
      </c>
      <c r="CP99" t="e">
        <f>AND(Names!AK167,"AAAAAH7/110=")</f>
        <v>#VALUE!</v>
      </c>
      <c r="CQ99" t="e">
        <f>AND(Names!AL167,"AAAAAH7/114=")</f>
        <v>#VALUE!</v>
      </c>
      <c r="CR99" t="e">
        <f>AND(Names!AM167,"AAAAAH7/118=")</f>
        <v>#VALUE!</v>
      </c>
      <c r="CS99">
        <f>IF(Names!168:168,"AAAAAH7/12A=",0)</f>
        <v>0</v>
      </c>
      <c r="CT99" t="e">
        <f>AND(Names!A168,"AAAAAH7/12E=")</f>
        <v>#VALUE!</v>
      </c>
      <c r="CU99" t="e">
        <f>AND(Names!B168,"AAAAAH7/12I=")</f>
        <v>#VALUE!</v>
      </c>
      <c r="CV99" t="e">
        <f>AND(Names!C168,"AAAAAH7/12M=")</f>
        <v>#VALUE!</v>
      </c>
      <c r="CW99" t="e">
        <f>AND(Names!D168,"AAAAAH7/12Q=")</f>
        <v>#VALUE!</v>
      </c>
      <c r="CX99" t="e">
        <f>AND(Names!E168,"AAAAAH7/12U=")</f>
        <v>#VALUE!</v>
      </c>
      <c r="CY99" t="e">
        <f>AND(Names!F168,"AAAAAH7/12Y=")</f>
        <v>#VALUE!</v>
      </c>
      <c r="CZ99" t="e">
        <f>AND(Names!G168,"AAAAAH7/12c=")</f>
        <v>#VALUE!</v>
      </c>
      <c r="DA99" t="e">
        <f>AND(Names!H168,"AAAAAH7/12g=")</f>
        <v>#VALUE!</v>
      </c>
      <c r="DB99" t="e">
        <f>AND(Names!I168,"AAAAAH7/12k=")</f>
        <v>#VALUE!</v>
      </c>
      <c r="DC99" t="e">
        <f>AND(Names!J168,"AAAAAH7/12o=")</f>
        <v>#VALUE!</v>
      </c>
      <c r="DD99" t="e">
        <f>AND(Names!K168,"AAAAAH7/12s=")</f>
        <v>#VALUE!</v>
      </c>
      <c r="DE99" t="e">
        <f>AND(Names!L168,"AAAAAH7/12w=")</f>
        <v>#VALUE!</v>
      </c>
      <c r="DF99" t="e">
        <f>AND(Names!M168,"AAAAAH7/120=")</f>
        <v>#VALUE!</v>
      </c>
      <c r="DG99" t="e">
        <f>AND(Names!N168,"AAAAAH7/124=")</f>
        <v>#VALUE!</v>
      </c>
      <c r="DH99" t="e">
        <f>AND(Names!O168,"AAAAAH7/128=")</f>
        <v>#VALUE!</v>
      </c>
      <c r="DI99" t="e">
        <f>AND(Names!P168,"AAAAAH7/13A=")</f>
        <v>#VALUE!</v>
      </c>
      <c r="DJ99" t="e">
        <f>AND(Names!Q168,"AAAAAH7/13E=")</f>
        <v>#VALUE!</v>
      </c>
      <c r="DK99" t="e">
        <f>AND(Names!R168,"AAAAAH7/13I=")</f>
        <v>#VALUE!</v>
      </c>
      <c r="DL99" t="e">
        <f>AND(Names!S168,"AAAAAH7/13M=")</f>
        <v>#VALUE!</v>
      </c>
      <c r="DM99" t="e">
        <f>AND(Names!T168,"AAAAAH7/13Q=")</f>
        <v>#VALUE!</v>
      </c>
      <c r="DN99" t="e">
        <f>AND(Names!U168,"AAAAAH7/13U=")</f>
        <v>#VALUE!</v>
      </c>
      <c r="DO99" t="e">
        <f>AND(Names!V168,"AAAAAH7/13Y=")</f>
        <v>#VALUE!</v>
      </c>
      <c r="DP99" t="e">
        <f>AND(Names!W168,"AAAAAH7/13c=")</f>
        <v>#VALUE!</v>
      </c>
      <c r="DQ99" t="e">
        <f>AND(Names!X168,"AAAAAH7/13g=")</f>
        <v>#VALUE!</v>
      </c>
      <c r="DR99" t="e">
        <f>AND(Names!Y168,"AAAAAH7/13k=")</f>
        <v>#VALUE!</v>
      </c>
      <c r="DS99" t="e">
        <f>AND(Names!Z168,"AAAAAH7/13o=")</f>
        <v>#VALUE!</v>
      </c>
      <c r="DT99" t="e">
        <f>AND(Names!AA168,"AAAAAH7/13s=")</f>
        <v>#VALUE!</v>
      </c>
      <c r="DU99" t="e">
        <f>AND(Names!AB168,"AAAAAH7/13w=")</f>
        <v>#VALUE!</v>
      </c>
      <c r="DV99" t="e">
        <f>AND(Names!AC168,"AAAAAH7/130=")</f>
        <v>#VALUE!</v>
      </c>
      <c r="DW99" t="e">
        <f>AND(Names!AD168,"AAAAAH7/134=")</f>
        <v>#VALUE!</v>
      </c>
      <c r="DX99" t="e">
        <f>AND(Names!AE168,"AAAAAH7/138=")</f>
        <v>#VALUE!</v>
      </c>
      <c r="DY99" t="e">
        <f>AND(Names!AF168,"AAAAAH7/14A=")</f>
        <v>#VALUE!</v>
      </c>
      <c r="DZ99" t="e">
        <f>AND(Names!AG168,"AAAAAH7/14E=")</f>
        <v>#VALUE!</v>
      </c>
      <c r="EA99" t="e">
        <f>AND(Names!AH168,"AAAAAH7/14I=")</f>
        <v>#VALUE!</v>
      </c>
      <c r="EB99" t="e">
        <f>AND(Names!AI168,"AAAAAH7/14M=")</f>
        <v>#VALUE!</v>
      </c>
      <c r="EC99" t="e">
        <f>AND(Names!AJ168,"AAAAAH7/14Q=")</f>
        <v>#VALUE!</v>
      </c>
      <c r="ED99" t="e">
        <f>AND(Names!AK168,"AAAAAH7/14U=")</f>
        <v>#VALUE!</v>
      </c>
      <c r="EE99" t="e">
        <f>AND(Names!AL168,"AAAAAH7/14Y=")</f>
        <v>#VALUE!</v>
      </c>
      <c r="EF99" t="e">
        <f>AND(Names!AM168,"AAAAAH7/14c=")</f>
        <v>#VALUE!</v>
      </c>
      <c r="EG99">
        <f>IF(Names!169:169,"AAAAAH7/14g=",0)</f>
        <v>0</v>
      </c>
      <c r="EH99" t="e">
        <f>AND(Names!A169,"AAAAAH7/14k=")</f>
        <v>#VALUE!</v>
      </c>
      <c r="EI99" t="e">
        <f>AND(Names!B169,"AAAAAH7/14o=")</f>
        <v>#VALUE!</v>
      </c>
      <c r="EJ99" t="e">
        <f>AND(Names!C169,"AAAAAH7/14s=")</f>
        <v>#VALUE!</v>
      </c>
      <c r="EK99" t="e">
        <f>AND(Names!D169,"AAAAAH7/14w=")</f>
        <v>#VALUE!</v>
      </c>
      <c r="EL99" t="e">
        <f>AND(Names!E169,"AAAAAH7/140=")</f>
        <v>#VALUE!</v>
      </c>
      <c r="EM99" t="e">
        <f>AND(Names!F169,"AAAAAH7/144=")</f>
        <v>#VALUE!</v>
      </c>
      <c r="EN99" t="e">
        <f>AND(Names!G169,"AAAAAH7/148=")</f>
        <v>#VALUE!</v>
      </c>
      <c r="EO99" t="e">
        <f>AND(Names!H169,"AAAAAH7/15A=")</f>
        <v>#VALUE!</v>
      </c>
      <c r="EP99" t="e">
        <f>AND(Names!I169,"AAAAAH7/15E=")</f>
        <v>#VALUE!</v>
      </c>
      <c r="EQ99" t="e">
        <f>AND(Names!J169,"AAAAAH7/15I=")</f>
        <v>#VALUE!</v>
      </c>
      <c r="ER99" t="e">
        <f>AND(Names!K169,"AAAAAH7/15M=")</f>
        <v>#VALUE!</v>
      </c>
      <c r="ES99" t="e">
        <f>AND(Names!L169,"AAAAAH7/15Q=")</f>
        <v>#VALUE!</v>
      </c>
      <c r="ET99" t="e">
        <f>AND(Names!M169,"AAAAAH7/15U=")</f>
        <v>#VALUE!</v>
      </c>
      <c r="EU99" t="e">
        <f>AND(Names!N169,"AAAAAH7/15Y=")</f>
        <v>#VALUE!</v>
      </c>
      <c r="EV99" t="e">
        <f>AND(Names!O169,"AAAAAH7/15c=")</f>
        <v>#VALUE!</v>
      </c>
      <c r="EW99" t="e">
        <f>AND(Names!P169,"AAAAAH7/15g=")</f>
        <v>#VALUE!</v>
      </c>
      <c r="EX99" t="e">
        <f>AND(Names!Q169,"AAAAAH7/15k=")</f>
        <v>#VALUE!</v>
      </c>
      <c r="EY99" t="e">
        <f>AND(Names!R169,"AAAAAH7/15o=")</f>
        <v>#VALUE!</v>
      </c>
      <c r="EZ99" t="e">
        <f>AND(Names!S169,"AAAAAH7/15s=")</f>
        <v>#VALUE!</v>
      </c>
      <c r="FA99" t="e">
        <f>AND(Names!T169,"AAAAAH7/15w=")</f>
        <v>#VALUE!</v>
      </c>
      <c r="FB99" t="e">
        <f>AND(Names!U169,"AAAAAH7/150=")</f>
        <v>#VALUE!</v>
      </c>
      <c r="FC99" t="e">
        <f>AND(Names!V169,"AAAAAH7/154=")</f>
        <v>#VALUE!</v>
      </c>
      <c r="FD99" t="e">
        <f>AND(Names!W169,"AAAAAH7/158=")</f>
        <v>#VALUE!</v>
      </c>
      <c r="FE99" t="e">
        <f>AND(Names!X169,"AAAAAH7/16A=")</f>
        <v>#VALUE!</v>
      </c>
      <c r="FF99" t="e">
        <f>AND(Names!Y169,"AAAAAH7/16E=")</f>
        <v>#VALUE!</v>
      </c>
      <c r="FG99" t="e">
        <f>AND(Names!Z169,"AAAAAH7/16I=")</f>
        <v>#VALUE!</v>
      </c>
      <c r="FH99" t="e">
        <f>AND(Names!AA169,"AAAAAH7/16M=")</f>
        <v>#VALUE!</v>
      </c>
      <c r="FI99" t="e">
        <f>AND(Names!AB169,"AAAAAH7/16Q=")</f>
        <v>#VALUE!</v>
      </c>
      <c r="FJ99" t="e">
        <f>AND(Names!AC169,"AAAAAH7/16U=")</f>
        <v>#VALUE!</v>
      </c>
      <c r="FK99" t="e">
        <f>AND(Names!AD169,"AAAAAH7/16Y=")</f>
        <v>#VALUE!</v>
      </c>
      <c r="FL99" t="e">
        <f>AND(Names!AE169,"AAAAAH7/16c=")</f>
        <v>#VALUE!</v>
      </c>
      <c r="FM99" t="e">
        <f>AND(Names!AF169,"AAAAAH7/16g=")</f>
        <v>#VALUE!</v>
      </c>
      <c r="FN99" t="e">
        <f>AND(Names!AG169,"AAAAAH7/16k=")</f>
        <v>#VALUE!</v>
      </c>
      <c r="FO99" t="e">
        <f>AND(Names!AH169,"AAAAAH7/16o=")</f>
        <v>#VALUE!</v>
      </c>
      <c r="FP99" t="e">
        <f>AND(Names!AI169,"AAAAAH7/16s=")</f>
        <v>#VALUE!</v>
      </c>
      <c r="FQ99" t="e">
        <f>AND(Names!AJ169,"AAAAAH7/16w=")</f>
        <v>#VALUE!</v>
      </c>
      <c r="FR99" t="e">
        <f>AND(Names!AK169,"AAAAAH7/160=")</f>
        <v>#VALUE!</v>
      </c>
      <c r="FS99" t="e">
        <f>AND(Names!AL169,"AAAAAH7/164=")</f>
        <v>#VALUE!</v>
      </c>
      <c r="FT99" t="e">
        <f>AND(Names!AM169,"AAAAAH7/168=")</f>
        <v>#VALUE!</v>
      </c>
      <c r="FU99">
        <f>IF(Names!170:170,"AAAAAH7/17A=",0)</f>
        <v>0</v>
      </c>
      <c r="FV99" t="e">
        <f>AND(Names!A170,"AAAAAH7/17E=")</f>
        <v>#VALUE!</v>
      </c>
      <c r="FW99" t="e">
        <f>AND(Names!B170,"AAAAAH7/17I=")</f>
        <v>#VALUE!</v>
      </c>
      <c r="FX99" t="e">
        <f>AND(Names!C170,"AAAAAH7/17M=")</f>
        <v>#VALUE!</v>
      </c>
      <c r="FY99" t="e">
        <f>AND(Names!D170,"AAAAAH7/17Q=")</f>
        <v>#VALUE!</v>
      </c>
      <c r="FZ99" t="e">
        <f>AND(Names!E170,"AAAAAH7/17U=")</f>
        <v>#VALUE!</v>
      </c>
      <c r="GA99" t="e">
        <f>AND(Names!F170,"AAAAAH7/17Y=")</f>
        <v>#VALUE!</v>
      </c>
      <c r="GB99" t="e">
        <f>AND(Names!G170,"AAAAAH7/17c=")</f>
        <v>#VALUE!</v>
      </c>
      <c r="GC99" t="e">
        <f>AND(Names!H170,"AAAAAH7/17g=")</f>
        <v>#VALUE!</v>
      </c>
      <c r="GD99" t="e">
        <f>AND(Names!I170,"AAAAAH7/17k=")</f>
        <v>#VALUE!</v>
      </c>
      <c r="GE99" t="e">
        <f>AND(Names!J170,"AAAAAH7/17o=")</f>
        <v>#VALUE!</v>
      </c>
      <c r="GF99" t="e">
        <f>AND(Names!K170,"AAAAAH7/17s=")</f>
        <v>#VALUE!</v>
      </c>
      <c r="GG99" t="e">
        <f>AND(Names!L170,"AAAAAH7/17w=")</f>
        <v>#VALUE!</v>
      </c>
      <c r="GH99" t="e">
        <f>AND(Names!M170,"AAAAAH7/170=")</f>
        <v>#VALUE!</v>
      </c>
      <c r="GI99" t="e">
        <f>AND(Names!N170,"AAAAAH7/174=")</f>
        <v>#VALUE!</v>
      </c>
      <c r="GJ99" t="e">
        <f>AND(Names!O170,"AAAAAH7/178=")</f>
        <v>#VALUE!</v>
      </c>
      <c r="GK99" t="e">
        <f>AND(Names!P170,"AAAAAH7/18A=")</f>
        <v>#VALUE!</v>
      </c>
      <c r="GL99" t="e">
        <f>AND(Names!Q170,"AAAAAH7/18E=")</f>
        <v>#VALUE!</v>
      </c>
      <c r="GM99" t="e">
        <f>AND(Names!R170,"AAAAAH7/18I=")</f>
        <v>#VALUE!</v>
      </c>
      <c r="GN99" t="e">
        <f>AND(Names!S170,"AAAAAH7/18M=")</f>
        <v>#VALUE!</v>
      </c>
      <c r="GO99" t="e">
        <f>AND(Names!T170,"AAAAAH7/18Q=")</f>
        <v>#VALUE!</v>
      </c>
      <c r="GP99" t="e">
        <f>AND(Names!U170,"AAAAAH7/18U=")</f>
        <v>#VALUE!</v>
      </c>
      <c r="GQ99" t="e">
        <f>AND(Names!V170,"AAAAAH7/18Y=")</f>
        <v>#VALUE!</v>
      </c>
      <c r="GR99" t="e">
        <f>AND(Names!W170,"AAAAAH7/18c=")</f>
        <v>#VALUE!</v>
      </c>
      <c r="GS99" t="e">
        <f>AND(Names!X170,"AAAAAH7/18g=")</f>
        <v>#VALUE!</v>
      </c>
      <c r="GT99" t="e">
        <f>AND(Names!Y170,"AAAAAH7/18k=")</f>
        <v>#VALUE!</v>
      </c>
      <c r="GU99" t="e">
        <f>AND(Names!Z170,"AAAAAH7/18o=")</f>
        <v>#VALUE!</v>
      </c>
      <c r="GV99" t="e">
        <f>AND(Names!AA170,"AAAAAH7/18s=")</f>
        <v>#VALUE!</v>
      </c>
      <c r="GW99" t="e">
        <f>AND(Names!AB170,"AAAAAH7/18w=")</f>
        <v>#VALUE!</v>
      </c>
      <c r="GX99" t="e">
        <f>AND(Names!AC170,"AAAAAH7/180=")</f>
        <v>#VALUE!</v>
      </c>
      <c r="GY99" t="e">
        <f>AND(Names!AD170,"AAAAAH7/184=")</f>
        <v>#VALUE!</v>
      </c>
      <c r="GZ99" t="e">
        <f>AND(Names!AE170,"AAAAAH7/188=")</f>
        <v>#VALUE!</v>
      </c>
      <c r="HA99" t="e">
        <f>AND(Names!AF170,"AAAAAH7/19A=")</f>
        <v>#VALUE!</v>
      </c>
      <c r="HB99" t="e">
        <f>AND(Names!AG170,"AAAAAH7/19E=")</f>
        <v>#VALUE!</v>
      </c>
      <c r="HC99" t="e">
        <f>AND(Names!AH170,"AAAAAH7/19I=")</f>
        <v>#VALUE!</v>
      </c>
      <c r="HD99" t="e">
        <f>AND(Names!AI170,"AAAAAH7/19M=")</f>
        <v>#VALUE!</v>
      </c>
      <c r="HE99" t="e">
        <f>AND(Names!AJ170,"AAAAAH7/19Q=")</f>
        <v>#VALUE!</v>
      </c>
      <c r="HF99" t="e">
        <f>AND(Names!AK170,"AAAAAH7/19U=")</f>
        <v>#VALUE!</v>
      </c>
      <c r="HG99" t="e">
        <f>AND(Names!AL170,"AAAAAH7/19Y=")</f>
        <v>#VALUE!</v>
      </c>
      <c r="HH99" t="e">
        <f>AND(Names!AM170,"AAAAAH7/19c=")</f>
        <v>#VALUE!</v>
      </c>
      <c r="HI99">
        <f>IF(Names!171:171,"AAAAAH7/19g=",0)</f>
        <v>0</v>
      </c>
      <c r="HJ99" t="e">
        <f>AND(Names!A171,"AAAAAH7/19k=")</f>
        <v>#VALUE!</v>
      </c>
      <c r="HK99" t="e">
        <f>AND(Names!B171,"AAAAAH7/19o=")</f>
        <v>#VALUE!</v>
      </c>
      <c r="HL99" t="e">
        <f>AND(Names!C171,"AAAAAH7/19s=")</f>
        <v>#VALUE!</v>
      </c>
      <c r="HM99" t="e">
        <f>AND(Names!D171,"AAAAAH7/19w=")</f>
        <v>#VALUE!</v>
      </c>
      <c r="HN99" t="e">
        <f>AND(Names!E171,"AAAAAH7/190=")</f>
        <v>#VALUE!</v>
      </c>
      <c r="HO99" t="e">
        <f>AND(Names!F171,"AAAAAH7/194=")</f>
        <v>#VALUE!</v>
      </c>
      <c r="HP99" t="e">
        <f>AND(Names!G171,"AAAAAH7/198=")</f>
        <v>#VALUE!</v>
      </c>
      <c r="HQ99" t="e">
        <f>AND(Names!H171,"AAAAAH7/1+A=")</f>
        <v>#VALUE!</v>
      </c>
      <c r="HR99" t="e">
        <f>AND(Names!I171,"AAAAAH7/1+E=")</f>
        <v>#VALUE!</v>
      </c>
      <c r="HS99" t="e">
        <f>AND(Names!J171,"AAAAAH7/1+I=")</f>
        <v>#VALUE!</v>
      </c>
      <c r="HT99" t="e">
        <f>AND(Names!K171,"AAAAAH7/1+M=")</f>
        <v>#VALUE!</v>
      </c>
      <c r="HU99" t="e">
        <f>AND(Names!L171,"AAAAAH7/1+Q=")</f>
        <v>#VALUE!</v>
      </c>
      <c r="HV99" t="e">
        <f>AND(Names!M171,"AAAAAH7/1+U=")</f>
        <v>#VALUE!</v>
      </c>
      <c r="HW99" t="e">
        <f>AND(Names!N171,"AAAAAH7/1+Y=")</f>
        <v>#VALUE!</v>
      </c>
      <c r="HX99" t="e">
        <f>AND(Names!O171,"AAAAAH7/1+c=")</f>
        <v>#VALUE!</v>
      </c>
      <c r="HY99" t="e">
        <f>AND(Names!P171,"AAAAAH7/1+g=")</f>
        <v>#VALUE!</v>
      </c>
      <c r="HZ99" t="e">
        <f>AND(Names!Q171,"AAAAAH7/1+k=")</f>
        <v>#VALUE!</v>
      </c>
      <c r="IA99" t="e">
        <f>AND(Names!R171,"AAAAAH7/1+o=")</f>
        <v>#VALUE!</v>
      </c>
      <c r="IB99" t="e">
        <f>AND(Names!S171,"AAAAAH7/1+s=")</f>
        <v>#VALUE!</v>
      </c>
      <c r="IC99" t="e">
        <f>AND(Names!T171,"AAAAAH7/1+w=")</f>
        <v>#VALUE!</v>
      </c>
      <c r="ID99" t="e">
        <f>AND(Names!U171,"AAAAAH7/1+0=")</f>
        <v>#VALUE!</v>
      </c>
      <c r="IE99" t="e">
        <f>AND(Names!V171,"AAAAAH7/1+4=")</f>
        <v>#VALUE!</v>
      </c>
      <c r="IF99" t="e">
        <f>AND(Names!W171,"AAAAAH7/1+8=")</f>
        <v>#VALUE!</v>
      </c>
      <c r="IG99" t="e">
        <f>AND(Names!X171,"AAAAAH7/1/A=")</f>
        <v>#VALUE!</v>
      </c>
      <c r="IH99" t="e">
        <f>AND(Names!Y171,"AAAAAH7/1/E=")</f>
        <v>#VALUE!</v>
      </c>
      <c r="II99" t="e">
        <f>AND(Names!Z171,"AAAAAH7/1/I=")</f>
        <v>#VALUE!</v>
      </c>
      <c r="IJ99" t="e">
        <f>AND(Names!AA171,"AAAAAH7/1/M=")</f>
        <v>#VALUE!</v>
      </c>
      <c r="IK99" t="e">
        <f>AND(Names!AB171,"AAAAAH7/1/Q=")</f>
        <v>#VALUE!</v>
      </c>
      <c r="IL99" t="e">
        <f>AND(Names!AC171,"AAAAAH7/1/U=")</f>
        <v>#VALUE!</v>
      </c>
      <c r="IM99" t="e">
        <f>AND(Names!AD171,"AAAAAH7/1/Y=")</f>
        <v>#VALUE!</v>
      </c>
      <c r="IN99" t="e">
        <f>AND(Names!AE171,"AAAAAH7/1/c=")</f>
        <v>#VALUE!</v>
      </c>
      <c r="IO99" t="e">
        <f>AND(Names!AF171,"AAAAAH7/1/g=")</f>
        <v>#VALUE!</v>
      </c>
      <c r="IP99" t="e">
        <f>AND(Names!AG171,"AAAAAH7/1/k=")</f>
        <v>#VALUE!</v>
      </c>
      <c r="IQ99" t="e">
        <f>AND(Names!AH171,"AAAAAH7/1/o=")</f>
        <v>#VALUE!</v>
      </c>
      <c r="IR99" t="e">
        <f>AND(Names!AI171,"AAAAAH7/1/s=")</f>
        <v>#VALUE!</v>
      </c>
      <c r="IS99" t="e">
        <f>AND(Names!AJ171,"AAAAAH7/1/w=")</f>
        <v>#VALUE!</v>
      </c>
      <c r="IT99" t="e">
        <f>AND(Names!AK171,"AAAAAH7/1/0=")</f>
        <v>#VALUE!</v>
      </c>
      <c r="IU99" t="e">
        <f>AND(Names!AL171,"AAAAAH7/1/4=")</f>
        <v>#VALUE!</v>
      </c>
      <c r="IV99" t="e">
        <f>AND(Names!AM171,"AAAAAH7/1/8=")</f>
        <v>#VALUE!</v>
      </c>
    </row>
    <row r="100" spans="1:256" x14ac:dyDescent="0.15">
      <c r="A100">
        <f>IF(Names!172:172,"AAAAAGr/PwA=",0)</f>
        <v>0</v>
      </c>
      <c r="B100" t="e">
        <f>AND(Names!A172,"AAAAAGr/PwE=")</f>
        <v>#VALUE!</v>
      </c>
      <c r="C100" t="e">
        <f>AND(Names!B172,"AAAAAGr/PwI=")</f>
        <v>#VALUE!</v>
      </c>
      <c r="D100" t="e">
        <f>AND(Names!C172,"AAAAAGr/PwM=")</f>
        <v>#VALUE!</v>
      </c>
      <c r="E100" t="e">
        <f>AND(Names!D172,"AAAAAGr/PwQ=")</f>
        <v>#VALUE!</v>
      </c>
      <c r="F100" t="e">
        <f>AND(Names!E172,"AAAAAGr/PwU=")</f>
        <v>#VALUE!</v>
      </c>
      <c r="G100" t="e">
        <f>AND(Names!F172,"AAAAAGr/PwY=")</f>
        <v>#VALUE!</v>
      </c>
      <c r="H100" t="e">
        <f>AND(Names!G172,"AAAAAGr/Pwc=")</f>
        <v>#VALUE!</v>
      </c>
      <c r="I100" t="e">
        <f>AND(Names!H172,"AAAAAGr/Pwg=")</f>
        <v>#VALUE!</v>
      </c>
      <c r="J100" t="e">
        <f>AND(Names!I172,"AAAAAGr/Pwk=")</f>
        <v>#VALUE!</v>
      </c>
      <c r="K100" t="e">
        <f>AND(Names!J172,"AAAAAGr/Pwo=")</f>
        <v>#VALUE!</v>
      </c>
      <c r="L100" t="e">
        <f>AND(Names!K172,"AAAAAGr/Pws=")</f>
        <v>#VALUE!</v>
      </c>
      <c r="M100" t="e">
        <f>AND(Names!L172,"AAAAAGr/Pww=")</f>
        <v>#VALUE!</v>
      </c>
      <c r="N100" t="e">
        <f>AND(Names!M172,"AAAAAGr/Pw0=")</f>
        <v>#VALUE!</v>
      </c>
      <c r="O100" t="e">
        <f>AND(Names!N172,"AAAAAGr/Pw4=")</f>
        <v>#VALUE!</v>
      </c>
      <c r="P100" t="e">
        <f>AND(Names!O172,"AAAAAGr/Pw8=")</f>
        <v>#VALUE!</v>
      </c>
      <c r="Q100" t="e">
        <f>AND(Names!P172,"AAAAAGr/PxA=")</f>
        <v>#VALUE!</v>
      </c>
      <c r="R100" t="e">
        <f>AND(Names!Q172,"AAAAAGr/PxE=")</f>
        <v>#VALUE!</v>
      </c>
      <c r="S100" t="e">
        <f>AND(Names!R172,"AAAAAGr/PxI=")</f>
        <v>#VALUE!</v>
      </c>
      <c r="T100" t="e">
        <f>AND(Names!S172,"AAAAAGr/PxM=")</f>
        <v>#VALUE!</v>
      </c>
      <c r="U100" t="e">
        <f>AND(Names!T172,"AAAAAGr/PxQ=")</f>
        <v>#VALUE!</v>
      </c>
      <c r="V100" t="e">
        <f>AND(Names!U172,"AAAAAGr/PxU=")</f>
        <v>#VALUE!</v>
      </c>
      <c r="W100" t="e">
        <f>AND(Names!V172,"AAAAAGr/PxY=")</f>
        <v>#VALUE!</v>
      </c>
      <c r="X100" t="e">
        <f>AND(Names!W172,"AAAAAGr/Pxc=")</f>
        <v>#VALUE!</v>
      </c>
      <c r="Y100" t="e">
        <f>AND(Names!X172,"AAAAAGr/Pxg=")</f>
        <v>#VALUE!</v>
      </c>
      <c r="Z100" t="e">
        <f>AND(Names!Y172,"AAAAAGr/Pxk=")</f>
        <v>#VALUE!</v>
      </c>
      <c r="AA100" t="e">
        <f>AND(Names!Z172,"AAAAAGr/Pxo=")</f>
        <v>#VALUE!</v>
      </c>
      <c r="AB100" t="e">
        <f>AND(Names!AA172,"AAAAAGr/Pxs=")</f>
        <v>#VALUE!</v>
      </c>
      <c r="AC100" t="e">
        <f>AND(Names!AB172,"AAAAAGr/Pxw=")</f>
        <v>#VALUE!</v>
      </c>
      <c r="AD100" t="e">
        <f>AND(Names!AC172,"AAAAAGr/Px0=")</f>
        <v>#VALUE!</v>
      </c>
      <c r="AE100" t="e">
        <f>AND(Names!AD172,"AAAAAGr/Px4=")</f>
        <v>#VALUE!</v>
      </c>
      <c r="AF100" t="e">
        <f>AND(Names!AE172,"AAAAAGr/Px8=")</f>
        <v>#VALUE!</v>
      </c>
      <c r="AG100" t="e">
        <f>AND(Names!AF172,"AAAAAGr/PyA=")</f>
        <v>#VALUE!</v>
      </c>
      <c r="AH100" t="e">
        <f>AND(Names!AG172,"AAAAAGr/PyE=")</f>
        <v>#VALUE!</v>
      </c>
      <c r="AI100" t="e">
        <f>AND(Names!AH172,"AAAAAGr/PyI=")</f>
        <v>#VALUE!</v>
      </c>
      <c r="AJ100" t="e">
        <f>AND(Names!AI172,"AAAAAGr/PyM=")</f>
        <v>#VALUE!</v>
      </c>
      <c r="AK100" t="e">
        <f>AND(Names!AJ172,"AAAAAGr/PyQ=")</f>
        <v>#VALUE!</v>
      </c>
      <c r="AL100" t="e">
        <f>AND(Names!AK172,"AAAAAGr/PyU=")</f>
        <v>#VALUE!</v>
      </c>
      <c r="AM100" t="e">
        <f>AND(Names!AL172,"AAAAAGr/PyY=")</f>
        <v>#VALUE!</v>
      </c>
      <c r="AN100" t="e">
        <f>AND(Names!AM172,"AAAAAGr/Pyc=")</f>
        <v>#VALUE!</v>
      </c>
      <c r="AO100">
        <f>IF(Names!173:173,"AAAAAGr/Pyg=",0)</f>
        <v>0</v>
      </c>
      <c r="AP100" t="e">
        <f>AND(Names!A173,"AAAAAGr/Pyk=")</f>
        <v>#VALUE!</v>
      </c>
      <c r="AQ100" t="e">
        <f>AND(Names!B173,"AAAAAGr/Pyo=")</f>
        <v>#VALUE!</v>
      </c>
      <c r="AR100" t="e">
        <f>AND(Names!C173,"AAAAAGr/Pys=")</f>
        <v>#VALUE!</v>
      </c>
      <c r="AS100" t="e">
        <f>AND(Names!D173,"AAAAAGr/Pyw=")</f>
        <v>#VALUE!</v>
      </c>
      <c r="AT100" t="e">
        <f>AND(Names!E173,"AAAAAGr/Py0=")</f>
        <v>#VALUE!</v>
      </c>
      <c r="AU100" t="e">
        <f>AND(Names!F173,"AAAAAGr/Py4=")</f>
        <v>#VALUE!</v>
      </c>
      <c r="AV100" t="e">
        <f>AND(Names!G173,"AAAAAGr/Py8=")</f>
        <v>#VALUE!</v>
      </c>
      <c r="AW100" t="e">
        <f>AND(Names!H173,"AAAAAGr/PzA=")</f>
        <v>#VALUE!</v>
      </c>
      <c r="AX100" t="e">
        <f>AND(Names!I173,"AAAAAGr/PzE=")</f>
        <v>#VALUE!</v>
      </c>
      <c r="AY100" t="e">
        <f>AND(Names!J173,"AAAAAGr/PzI=")</f>
        <v>#VALUE!</v>
      </c>
      <c r="AZ100" t="e">
        <f>AND(Names!K173,"AAAAAGr/PzM=")</f>
        <v>#VALUE!</v>
      </c>
      <c r="BA100" t="e">
        <f>AND(Names!L173,"AAAAAGr/PzQ=")</f>
        <v>#VALUE!</v>
      </c>
      <c r="BB100" t="e">
        <f>AND(Names!M173,"AAAAAGr/PzU=")</f>
        <v>#VALUE!</v>
      </c>
      <c r="BC100" t="e">
        <f>AND(Names!N173,"AAAAAGr/PzY=")</f>
        <v>#VALUE!</v>
      </c>
      <c r="BD100" t="e">
        <f>AND(Names!O173,"AAAAAGr/Pzc=")</f>
        <v>#VALUE!</v>
      </c>
      <c r="BE100" t="e">
        <f>AND(Names!P173,"AAAAAGr/Pzg=")</f>
        <v>#VALUE!</v>
      </c>
      <c r="BF100" t="e">
        <f>AND(Names!Q173,"AAAAAGr/Pzk=")</f>
        <v>#VALUE!</v>
      </c>
      <c r="BG100" t="e">
        <f>AND(Names!R173,"AAAAAGr/Pzo=")</f>
        <v>#VALUE!</v>
      </c>
      <c r="BH100" t="e">
        <f>AND(Names!S173,"AAAAAGr/Pzs=")</f>
        <v>#VALUE!</v>
      </c>
      <c r="BI100" t="e">
        <f>AND(Names!T173,"AAAAAGr/Pzw=")</f>
        <v>#VALUE!</v>
      </c>
      <c r="BJ100" t="e">
        <f>AND(Names!U173,"AAAAAGr/Pz0=")</f>
        <v>#VALUE!</v>
      </c>
      <c r="BK100" t="e">
        <f>AND(Names!V173,"AAAAAGr/Pz4=")</f>
        <v>#VALUE!</v>
      </c>
      <c r="BL100" t="e">
        <f>AND(Names!W173,"AAAAAGr/Pz8=")</f>
        <v>#VALUE!</v>
      </c>
      <c r="BM100" t="e">
        <f>AND(Names!X173,"AAAAAGr/P0A=")</f>
        <v>#VALUE!</v>
      </c>
      <c r="BN100" t="e">
        <f>AND(Names!Y173,"AAAAAGr/P0E=")</f>
        <v>#VALUE!</v>
      </c>
      <c r="BO100" t="e">
        <f>AND(Names!Z173,"AAAAAGr/P0I=")</f>
        <v>#VALUE!</v>
      </c>
      <c r="BP100" t="e">
        <f>AND(Names!AA173,"AAAAAGr/P0M=")</f>
        <v>#VALUE!</v>
      </c>
      <c r="BQ100" t="e">
        <f>AND(Names!AB173,"AAAAAGr/P0Q=")</f>
        <v>#VALUE!</v>
      </c>
      <c r="BR100" t="e">
        <f>AND(Names!AC173,"AAAAAGr/P0U=")</f>
        <v>#VALUE!</v>
      </c>
      <c r="BS100" t="e">
        <f>AND(Names!AD173,"AAAAAGr/P0Y=")</f>
        <v>#VALUE!</v>
      </c>
      <c r="BT100" t="e">
        <f>AND(Names!AE173,"AAAAAGr/P0c=")</f>
        <v>#VALUE!</v>
      </c>
      <c r="BU100" t="e">
        <f>AND(Names!AF173,"AAAAAGr/P0g=")</f>
        <v>#VALUE!</v>
      </c>
      <c r="BV100" t="e">
        <f>AND(Names!AG173,"AAAAAGr/P0k=")</f>
        <v>#VALUE!</v>
      </c>
      <c r="BW100" t="e">
        <f>AND(Names!AH173,"AAAAAGr/P0o=")</f>
        <v>#VALUE!</v>
      </c>
      <c r="BX100" t="e">
        <f>AND(Names!AI173,"AAAAAGr/P0s=")</f>
        <v>#VALUE!</v>
      </c>
      <c r="BY100" t="e">
        <f>AND(Names!AJ173,"AAAAAGr/P0w=")</f>
        <v>#VALUE!</v>
      </c>
      <c r="BZ100" t="e">
        <f>AND(Names!AK173,"AAAAAGr/P00=")</f>
        <v>#VALUE!</v>
      </c>
      <c r="CA100" t="e">
        <f>AND(Names!AL173,"AAAAAGr/P04=")</f>
        <v>#VALUE!</v>
      </c>
      <c r="CB100" t="e">
        <f>AND(Names!AM173,"AAAAAGr/P08=")</f>
        <v>#VALUE!</v>
      </c>
      <c r="CC100">
        <f>IF(Names!174:174,"AAAAAGr/P1A=",0)</f>
        <v>0</v>
      </c>
      <c r="CD100" t="e">
        <f>AND(Names!A174,"AAAAAGr/P1E=")</f>
        <v>#VALUE!</v>
      </c>
      <c r="CE100" t="e">
        <f>AND(Names!B174,"AAAAAGr/P1I=")</f>
        <v>#VALUE!</v>
      </c>
      <c r="CF100" t="e">
        <f>AND(Names!C174,"AAAAAGr/P1M=")</f>
        <v>#VALUE!</v>
      </c>
      <c r="CG100" t="e">
        <f>AND(Names!D174,"AAAAAGr/P1Q=")</f>
        <v>#VALUE!</v>
      </c>
      <c r="CH100" t="e">
        <f>AND(Names!E174,"AAAAAGr/P1U=")</f>
        <v>#VALUE!</v>
      </c>
      <c r="CI100" t="e">
        <f>AND(Names!F174,"AAAAAGr/P1Y=")</f>
        <v>#VALUE!</v>
      </c>
      <c r="CJ100" t="e">
        <f>AND(Names!G174,"AAAAAGr/P1c=")</f>
        <v>#VALUE!</v>
      </c>
      <c r="CK100" t="e">
        <f>AND(Names!H174,"AAAAAGr/P1g=")</f>
        <v>#VALUE!</v>
      </c>
      <c r="CL100" t="e">
        <f>AND(Names!I174,"AAAAAGr/P1k=")</f>
        <v>#VALUE!</v>
      </c>
      <c r="CM100" t="e">
        <f>AND(Names!J174,"AAAAAGr/P1o=")</f>
        <v>#VALUE!</v>
      </c>
      <c r="CN100" t="e">
        <f>AND(Names!K174,"AAAAAGr/P1s=")</f>
        <v>#VALUE!</v>
      </c>
      <c r="CO100" t="e">
        <f>AND(Names!L174,"AAAAAGr/P1w=")</f>
        <v>#VALUE!</v>
      </c>
      <c r="CP100" t="e">
        <f>AND(Names!M174,"AAAAAGr/P10=")</f>
        <v>#VALUE!</v>
      </c>
      <c r="CQ100" t="e">
        <f>AND(Names!N174,"AAAAAGr/P14=")</f>
        <v>#VALUE!</v>
      </c>
      <c r="CR100" t="e">
        <f>AND(Names!O174,"AAAAAGr/P18=")</f>
        <v>#VALUE!</v>
      </c>
      <c r="CS100" t="e">
        <f>AND(Names!P174,"AAAAAGr/P2A=")</f>
        <v>#VALUE!</v>
      </c>
      <c r="CT100" t="e">
        <f>AND(Names!Q174,"AAAAAGr/P2E=")</f>
        <v>#VALUE!</v>
      </c>
      <c r="CU100" t="e">
        <f>AND(Names!R174,"AAAAAGr/P2I=")</f>
        <v>#VALUE!</v>
      </c>
      <c r="CV100" t="e">
        <f>AND(Names!S174,"AAAAAGr/P2M=")</f>
        <v>#VALUE!</v>
      </c>
      <c r="CW100" t="e">
        <f>AND(Names!T174,"AAAAAGr/P2Q=")</f>
        <v>#VALUE!</v>
      </c>
      <c r="CX100" t="e">
        <f>AND(Names!U174,"AAAAAGr/P2U=")</f>
        <v>#VALUE!</v>
      </c>
      <c r="CY100" t="e">
        <f>AND(Names!V174,"AAAAAGr/P2Y=")</f>
        <v>#VALUE!</v>
      </c>
      <c r="CZ100" t="e">
        <f>AND(Names!W174,"AAAAAGr/P2c=")</f>
        <v>#VALUE!</v>
      </c>
      <c r="DA100" t="e">
        <f>AND(Names!X174,"AAAAAGr/P2g=")</f>
        <v>#VALUE!</v>
      </c>
      <c r="DB100" t="e">
        <f>AND(Names!Y174,"AAAAAGr/P2k=")</f>
        <v>#VALUE!</v>
      </c>
      <c r="DC100" t="e">
        <f>AND(Names!Z174,"AAAAAGr/P2o=")</f>
        <v>#VALUE!</v>
      </c>
      <c r="DD100" t="e">
        <f>AND(Names!AA174,"AAAAAGr/P2s=")</f>
        <v>#VALUE!</v>
      </c>
      <c r="DE100" t="e">
        <f>AND(Names!AB174,"AAAAAGr/P2w=")</f>
        <v>#VALUE!</v>
      </c>
      <c r="DF100" t="e">
        <f>AND(Names!AC174,"AAAAAGr/P20=")</f>
        <v>#VALUE!</v>
      </c>
      <c r="DG100" t="e">
        <f>AND(Names!AD174,"AAAAAGr/P24=")</f>
        <v>#VALUE!</v>
      </c>
      <c r="DH100" t="e">
        <f>AND(Names!AE174,"AAAAAGr/P28=")</f>
        <v>#VALUE!</v>
      </c>
      <c r="DI100" t="e">
        <f>AND(Names!AF174,"AAAAAGr/P3A=")</f>
        <v>#VALUE!</v>
      </c>
      <c r="DJ100" t="e">
        <f>AND(Names!AG174,"AAAAAGr/P3E=")</f>
        <v>#VALUE!</v>
      </c>
      <c r="DK100" t="e">
        <f>AND(Names!AH174,"AAAAAGr/P3I=")</f>
        <v>#VALUE!</v>
      </c>
      <c r="DL100" t="e">
        <f>AND(Names!AI174,"AAAAAGr/P3M=")</f>
        <v>#VALUE!</v>
      </c>
      <c r="DM100" t="e">
        <f>AND(Names!AJ174,"AAAAAGr/P3Q=")</f>
        <v>#VALUE!</v>
      </c>
      <c r="DN100" t="e">
        <f>AND(Names!AK174,"AAAAAGr/P3U=")</f>
        <v>#VALUE!</v>
      </c>
      <c r="DO100" t="e">
        <f>AND(Names!AL174,"AAAAAGr/P3Y=")</f>
        <v>#VALUE!</v>
      </c>
      <c r="DP100" t="e">
        <f>AND(Names!AM174,"AAAAAGr/P3c=")</f>
        <v>#VALUE!</v>
      </c>
      <c r="DQ100">
        <f>IF(Names!175:175,"AAAAAGr/P3g=",0)</f>
        <v>0</v>
      </c>
      <c r="DR100" t="e">
        <f>AND(Names!A175,"AAAAAGr/P3k=")</f>
        <v>#VALUE!</v>
      </c>
      <c r="DS100" t="e">
        <f>AND(Names!B175,"AAAAAGr/P3o=")</f>
        <v>#VALUE!</v>
      </c>
      <c r="DT100" t="e">
        <f>AND(Names!C175,"AAAAAGr/P3s=")</f>
        <v>#VALUE!</v>
      </c>
      <c r="DU100" t="e">
        <f>AND(Names!D175,"AAAAAGr/P3w=")</f>
        <v>#VALUE!</v>
      </c>
      <c r="DV100" t="e">
        <f>AND(Names!E175,"AAAAAGr/P30=")</f>
        <v>#VALUE!</v>
      </c>
      <c r="DW100" t="e">
        <f>AND(Names!F175,"AAAAAGr/P34=")</f>
        <v>#VALUE!</v>
      </c>
      <c r="DX100" t="e">
        <f>AND(Names!G175,"AAAAAGr/P38=")</f>
        <v>#VALUE!</v>
      </c>
      <c r="DY100" t="e">
        <f>AND(Names!H175,"AAAAAGr/P4A=")</f>
        <v>#VALUE!</v>
      </c>
      <c r="DZ100" t="e">
        <f>AND(Names!I175,"AAAAAGr/P4E=")</f>
        <v>#VALUE!</v>
      </c>
      <c r="EA100" t="e">
        <f>AND(Names!J175,"AAAAAGr/P4I=")</f>
        <v>#VALUE!</v>
      </c>
      <c r="EB100" t="e">
        <f>AND(Names!K175,"AAAAAGr/P4M=")</f>
        <v>#VALUE!</v>
      </c>
      <c r="EC100" t="e">
        <f>AND(Names!L175,"AAAAAGr/P4Q=")</f>
        <v>#VALUE!</v>
      </c>
      <c r="ED100" t="e">
        <f>AND(Names!M175,"AAAAAGr/P4U=")</f>
        <v>#VALUE!</v>
      </c>
      <c r="EE100" t="e">
        <f>AND(Names!N175,"AAAAAGr/P4Y=")</f>
        <v>#VALUE!</v>
      </c>
      <c r="EF100" t="e">
        <f>AND(Names!O175,"AAAAAGr/P4c=")</f>
        <v>#VALUE!</v>
      </c>
      <c r="EG100" t="e">
        <f>AND(Names!P175,"AAAAAGr/P4g=")</f>
        <v>#VALUE!</v>
      </c>
      <c r="EH100" t="e">
        <f>AND(Names!Q175,"AAAAAGr/P4k=")</f>
        <v>#VALUE!</v>
      </c>
      <c r="EI100" t="e">
        <f>AND(Names!R175,"AAAAAGr/P4o=")</f>
        <v>#VALUE!</v>
      </c>
      <c r="EJ100" t="e">
        <f>AND(Names!S175,"AAAAAGr/P4s=")</f>
        <v>#VALUE!</v>
      </c>
      <c r="EK100" t="e">
        <f>AND(Names!T175,"AAAAAGr/P4w=")</f>
        <v>#VALUE!</v>
      </c>
      <c r="EL100" t="e">
        <f>AND(Names!U175,"AAAAAGr/P40=")</f>
        <v>#VALUE!</v>
      </c>
      <c r="EM100" t="e">
        <f>AND(Names!V175,"AAAAAGr/P44=")</f>
        <v>#VALUE!</v>
      </c>
      <c r="EN100" t="e">
        <f>AND(Names!W175,"AAAAAGr/P48=")</f>
        <v>#VALUE!</v>
      </c>
      <c r="EO100" t="e">
        <f>AND(Names!X175,"AAAAAGr/P5A=")</f>
        <v>#VALUE!</v>
      </c>
      <c r="EP100" t="e">
        <f>AND(Names!Y175,"AAAAAGr/P5E=")</f>
        <v>#VALUE!</v>
      </c>
      <c r="EQ100" t="e">
        <f>AND(Names!Z175,"AAAAAGr/P5I=")</f>
        <v>#VALUE!</v>
      </c>
      <c r="ER100" t="e">
        <f>AND(Names!AA175,"AAAAAGr/P5M=")</f>
        <v>#VALUE!</v>
      </c>
      <c r="ES100" t="e">
        <f>AND(Names!AB175,"AAAAAGr/P5Q=")</f>
        <v>#VALUE!</v>
      </c>
      <c r="ET100" t="e">
        <f>AND(Names!AC175,"AAAAAGr/P5U=")</f>
        <v>#VALUE!</v>
      </c>
      <c r="EU100" t="e">
        <f>AND(Names!AD175,"AAAAAGr/P5Y=")</f>
        <v>#VALUE!</v>
      </c>
      <c r="EV100" t="e">
        <f>AND(Names!AE175,"AAAAAGr/P5c=")</f>
        <v>#VALUE!</v>
      </c>
      <c r="EW100" t="e">
        <f>AND(Names!AF175,"AAAAAGr/P5g=")</f>
        <v>#VALUE!</v>
      </c>
      <c r="EX100" t="e">
        <f>AND(Names!AG175,"AAAAAGr/P5k=")</f>
        <v>#VALUE!</v>
      </c>
      <c r="EY100" t="e">
        <f>AND(Names!AH175,"AAAAAGr/P5o=")</f>
        <v>#VALUE!</v>
      </c>
      <c r="EZ100" t="e">
        <f>AND(Names!AI175,"AAAAAGr/P5s=")</f>
        <v>#VALUE!</v>
      </c>
      <c r="FA100" t="e">
        <f>AND(Names!AJ175,"AAAAAGr/P5w=")</f>
        <v>#VALUE!</v>
      </c>
      <c r="FB100" t="e">
        <f>AND(Names!AK175,"AAAAAGr/P50=")</f>
        <v>#VALUE!</v>
      </c>
      <c r="FC100" t="e">
        <f>AND(Names!AL175,"AAAAAGr/P54=")</f>
        <v>#VALUE!</v>
      </c>
      <c r="FD100" t="e">
        <f>AND(Names!AM175,"AAAAAGr/P58=")</f>
        <v>#VALUE!</v>
      </c>
      <c r="FE100">
        <f>IF(Names!176:176,"AAAAAGr/P6A=",0)</f>
        <v>0</v>
      </c>
      <c r="FF100" t="e">
        <f>AND(Names!A176,"AAAAAGr/P6E=")</f>
        <v>#VALUE!</v>
      </c>
      <c r="FG100" t="e">
        <f>AND(Names!B176,"AAAAAGr/P6I=")</f>
        <v>#VALUE!</v>
      </c>
      <c r="FH100" t="e">
        <f>AND(Names!C176,"AAAAAGr/P6M=")</f>
        <v>#VALUE!</v>
      </c>
      <c r="FI100" t="e">
        <f>AND(Names!D176,"AAAAAGr/P6Q=")</f>
        <v>#VALUE!</v>
      </c>
      <c r="FJ100" t="e">
        <f>AND(Names!E176,"AAAAAGr/P6U=")</f>
        <v>#VALUE!</v>
      </c>
      <c r="FK100" t="e">
        <f>AND(Names!F176,"AAAAAGr/P6Y=")</f>
        <v>#VALUE!</v>
      </c>
      <c r="FL100" t="e">
        <f>AND(Names!G176,"AAAAAGr/P6c=")</f>
        <v>#VALUE!</v>
      </c>
      <c r="FM100" t="e">
        <f>AND(Names!H176,"AAAAAGr/P6g=")</f>
        <v>#VALUE!</v>
      </c>
      <c r="FN100" t="e">
        <f>AND(Names!I176,"AAAAAGr/P6k=")</f>
        <v>#VALUE!</v>
      </c>
      <c r="FO100" t="e">
        <f>AND(Names!J176,"AAAAAGr/P6o=")</f>
        <v>#VALUE!</v>
      </c>
      <c r="FP100" t="e">
        <f>AND(Names!K176,"AAAAAGr/P6s=")</f>
        <v>#VALUE!</v>
      </c>
      <c r="FQ100" t="e">
        <f>AND(Names!L176,"AAAAAGr/P6w=")</f>
        <v>#VALUE!</v>
      </c>
      <c r="FR100" t="e">
        <f>AND(Names!M176,"AAAAAGr/P60=")</f>
        <v>#VALUE!</v>
      </c>
      <c r="FS100" t="e">
        <f>AND(Names!N176,"AAAAAGr/P64=")</f>
        <v>#VALUE!</v>
      </c>
      <c r="FT100" t="e">
        <f>AND(Names!O176,"AAAAAGr/P68=")</f>
        <v>#VALUE!</v>
      </c>
      <c r="FU100" t="e">
        <f>AND(Names!P176,"AAAAAGr/P7A=")</f>
        <v>#VALUE!</v>
      </c>
      <c r="FV100" t="e">
        <f>AND(Names!Q176,"AAAAAGr/P7E=")</f>
        <v>#VALUE!</v>
      </c>
      <c r="FW100" t="e">
        <f>AND(Names!R176,"AAAAAGr/P7I=")</f>
        <v>#VALUE!</v>
      </c>
      <c r="FX100" t="e">
        <f>AND(Names!S176,"AAAAAGr/P7M=")</f>
        <v>#VALUE!</v>
      </c>
      <c r="FY100" t="e">
        <f>AND(Names!T176,"AAAAAGr/P7Q=")</f>
        <v>#VALUE!</v>
      </c>
      <c r="FZ100" t="e">
        <f>AND(Names!U176,"AAAAAGr/P7U=")</f>
        <v>#VALUE!</v>
      </c>
      <c r="GA100" t="e">
        <f>AND(Names!V176,"AAAAAGr/P7Y=")</f>
        <v>#VALUE!</v>
      </c>
      <c r="GB100" t="e">
        <f>AND(Names!W176,"AAAAAGr/P7c=")</f>
        <v>#VALUE!</v>
      </c>
      <c r="GC100" t="e">
        <f>AND(Names!X176,"AAAAAGr/P7g=")</f>
        <v>#VALUE!</v>
      </c>
      <c r="GD100" t="e">
        <f>AND(Names!Y176,"AAAAAGr/P7k=")</f>
        <v>#VALUE!</v>
      </c>
      <c r="GE100" t="e">
        <f>AND(Names!Z176,"AAAAAGr/P7o=")</f>
        <v>#VALUE!</v>
      </c>
      <c r="GF100" t="e">
        <f>AND(Names!AA176,"AAAAAGr/P7s=")</f>
        <v>#VALUE!</v>
      </c>
      <c r="GG100" t="e">
        <f>AND(Names!AB176,"AAAAAGr/P7w=")</f>
        <v>#VALUE!</v>
      </c>
      <c r="GH100" t="e">
        <f>AND(Names!AC176,"AAAAAGr/P70=")</f>
        <v>#VALUE!</v>
      </c>
      <c r="GI100" t="e">
        <f>AND(Names!AD176,"AAAAAGr/P74=")</f>
        <v>#VALUE!</v>
      </c>
      <c r="GJ100" t="e">
        <f>AND(Names!AE176,"AAAAAGr/P78=")</f>
        <v>#VALUE!</v>
      </c>
      <c r="GK100" t="e">
        <f>AND(Names!AF176,"AAAAAGr/P8A=")</f>
        <v>#VALUE!</v>
      </c>
      <c r="GL100" t="e">
        <f>AND(Names!AG176,"AAAAAGr/P8E=")</f>
        <v>#VALUE!</v>
      </c>
      <c r="GM100" t="e">
        <f>AND(Names!AH176,"AAAAAGr/P8I=")</f>
        <v>#VALUE!</v>
      </c>
      <c r="GN100" t="e">
        <f>AND(Names!AI176,"AAAAAGr/P8M=")</f>
        <v>#VALUE!</v>
      </c>
      <c r="GO100" t="e">
        <f>AND(Names!AJ176,"AAAAAGr/P8Q=")</f>
        <v>#VALUE!</v>
      </c>
      <c r="GP100" t="e">
        <f>AND(Names!AK176,"AAAAAGr/P8U=")</f>
        <v>#VALUE!</v>
      </c>
      <c r="GQ100" t="e">
        <f>AND(Names!AL176,"AAAAAGr/P8Y=")</f>
        <v>#VALUE!</v>
      </c>
      <c r="GR100" t="e">
        <f>AND(Names!AM176,"AAAAAGr/P8c=")</f>
        <v>#VALUE!</v>
      </c>
      <c r="GS100">
        <f>IF(Names!177:177,"AAAAAGr/P8g=",0)</f>
        <v>0</v>
      </c>
      <c r="GT100" t="e">
        <f>AND(Names!A177,"AAAAAGr/P8k=")</f>
        <v>#VALUE!</v>
      </c>
      <c r="GU100" t="e">
        <f>AND(Names!B177,"AAAAAGr/P8o=")</f>
        <v>#VALUE!</v>
      </c>
      <c r="GV100" t="e">
        <f>AND(Names!C177,"AAAAAGr/P8s=")</f>
        <v>#VALUE!</v>
      </c>
      <c r="GW100" t="e">
        <f>AND(Names!D177,"AAAAAGr/P8w=")</f>
        <v>#VALUE!</v>
      </c>
      <c r="GX100" t="e">
        <f>AND(Names!E177,"AAAAAGr/P80=")</f>
        <v>#VALUE!</v>
      </c>
      <c r="GY100" t="e">
        <f>AND(Names!F177,"AAAAAGr/P84=")</f>
        <v>#VALUE!</v>
      </c>
      <c r="GZ100" t="e">
        <f>AND(Names!G177,"AAAAAGr/P88=")</f>
        <v>#VALUE!</v>
      </c>
      <c r="HA100" t="e">
        <f>AND(Names!H177,"AAAAAGr/P9A=")</f>
        <v>#VALUE!</v>
      </c>
      <c r="HB100" t="e">
        <f>AND(Names!I177,"AAAAAGr/P9E=")</f>
        <v>#VALUE!</v>
      </c>
      <c r="HC100" t="e">
        <f>AND(Names!J177,"AAAAAGr/P9I=")</f>
        <v>#VALUE!</v>
      </c>
      <c r="HD100" t="e">
        <f>AND(Names!K177,"AAAAAGr/P9M=")</f>
        <v>#VALUE!</v>
      </c>
      <c r="HE100" t="e">
        <f>AND(Names!L177,"AAAAAGr/P9Q=")</f>
        <v>#VALUE!</v>
      </c>
      <c r="HF100" t="e">
        <f>AND(Names!M177,"AAAAAGr/P9U=")</f>
        <v>#VALUE!</v>
      </c>
      <c r="HG100" t="e">
        <f>AND(Names!N177,"AAAAAGr/P9Y=")</f>
        <v>#VALUE!</v>
      </c>
      <c r="HH100" t="e">
        <f>AND(Names!O177,"AAAAAGr/P9c=")</f>
        <v>#VALUE!</v>
      </c>
      <c r="HI100" t="e">
        <f>AND(Names!P177,"AAAAAGr/P9g=")</f>
        <v>#VALUE!</v>
      </c>
      <c r="HJ100" t="e">
        <f>AND(Names!Q177,"AAAAAGr/P9k=")</f>
        <v>#VALUE!</v>
      </c>
      <c r="HK100" t="e">
        <f>AND(Names!R177,"AAAAAGr/P9o=")</f>
        <v>#VALUE!</v>
      </c>
      <c r="HL100" t="e">
        <f>AND(Names!S177,"AAAAAGr/P9s=")</f>
        <v>#VALUE!</v>
      </c>
      <c r="HM100" t="e">
        <f>AND(Names!T177,"AAAAAGr/P9w=")</f>
        <v>#VALUE!</v>
      </c>
      <c r="HN100" t="e">
        <f>AND(Names!U177,"AAAAAGr/P90=")</f>
        <v>#VALUE!</v>
      </c>
      <c r="HO100" t="e">
        <f>AND(Names!V177,"AAAAAGr/P94=")</f>
        <v>#VALUE!</v>
      </c>
      <c r="HP100" t="e">
        <f>AND(Names!W177,"AAAAAGr/P98=")</f>
        <v>#VALUE!</v>
      </c>
      <c r="HQ100" t="e">
        <f>AND(Names!X177,"AAAAAGr/P+A=")</f>
        <v>#VALUE!</v>
      </c>
      <c r="HR100" t="e">
        <f>AND(Names!Y177,"AAAAAGr/P+E=")</f>
        <v>#VALUE!</v>
      </c>
      <c r="HS100" t="e">
        <f>AND(Names!Z177,"AAAAAGr/P+I=")</f>
        <v>#VALUE!</v>
      </c>
      <c r="HT100" t="e">
        <f>AND(Names!AA177,"AAAAAGr/P+M=")</f>
        <v>#VALUE!</v>
      </c>
      <c r="HU100" t="e">
        <f>AND(Names!AB177,"AAAAAGr/P+Q=")</f>
        <v>#VALUE!</v>
      </c>
      <c r="HV100" t="e">
        <f>AND(Names!AC177,"AAAAAGr/P+U=")</f>
        <v>#VALUE!</v>
      </c>
      <c r="HW100" t="e">
        <f>AND(Names!AD177,"AAAAAGr/P+Y=")</f>
        <v>#VALUE!</v>
      </c>
      <c r="HX100" t="e">
        <f>AND(Names!AE177,"AAAAAGr/P+c=")</f>
        <v>#VALUE!</v>
      </c>
      <c r="HY100" t="e">
        <f>AND(Names!AF177,"AAAAAGr/P+g=")</f>
        <v>#VALUE!</v>
      </c>
      <c r="HZ100" t="e">
        <f>AND(Names!AG177,"AAAAAGr/P+k=")</f>
        <v>#VALUE!</v>
      </c>
      <c r="IA100" t="e">
        <f>AND(Names!AH177,"AAAAAGr/P+o=")</f>
        <v>#VALUE!</v>
      </c>
      <c r="IB100" t="e">
        <f>AND(Names!AI177,"AAAAAGr/P+s=")</f>
        <v>#VALUE!</v>
      </c>
      <c r="IC100" t="e">
        <f>AND(Names!AJ177,"AAAAAGr/P+w=")</f>
        <v>#VALUE!</v>
      </c>
      <c r="ID100" t="e">
        <f>AND(Names!AK177,"AAAAAGr/P+0=")</f>
        <v>#VALUE!</v>
      </c>
      <c r="IE100" t="e">
        <f>AND(Names!AL177,"AAAAAGr/P+4=")</f>
        <v>#VALUE!</v>
      </c>
      <c r="IF100" t="e">
        <f>AND(Names!AM177,"AAAAAGr/P+8=")</f>
        <v>#VALUE!</v>
      </c>
      <c r="IG100">
        <f>IF(Names!178:178,"AAAAAGr/P/A=",0)</f>
        <v>0</v>
      </c>
      <c r="IH100" t="e">
        <f>AND(Names!A178,"AAAAAGr/P/E=")</f>
        <v>#VALUE!</v>
      </c>
      <c r="II100" t="e">
        <f>AND(Names!B178,"AAAAAGr/P/I=")</f>
        <v>#VALUE!</v>
      </c>
      <c r="IJ100" t="e">
        <f>AND(Names!C178,"AAAAAGr/P/M=")</f>
        <v>#VALUE!</v>
      </c>
      <c r="IK100" t="e">
        <f>AND(Names!D178,"AAAAAGr/P/Q=")</f>
        <v>#VALUE!</v>
      </c>
      <c r="IL100" t="e">
        <f>AND(Names!E178,"AAAAAGr/P/U=")</f>
        <v>#VALUE!</v>
      </c>
      <c r="IM100" t="e">
        <f>AND(Names!F178,"AAAAAGr/P/Y=")</f>
        <v>#VALUE!</v>
      </c>
      <c r="IN100" t="e">
        <f>AND(Names!G178,"AAAAAGr/P/c=")</f>
        <v>#VALUE!</v>
      </c>
      <c r="IO100" t="e">
        <f>AND(Names!H178,"AAAAAGr/P/g=")</f>
        <v>#VALUE!</v>
      </c>
      <c r="IP100" t="e">
        <f>AND(Names!I178,"AAAAAGr/P/k=")</f>
        <v>#VALUE!</v>
      </c>
      <c r="IQ100" t="e">
        <f>AND(Names!J178,"AAAAAGr/P/o=")</f>
        <v>#VALUE!</v>
      </c>
      <c r="IR100" t="e">
        <f>AND(Names!K178,"AAAAAGr/P/s=")</f>
        <v>#VALUE!</v>
      </c>
      <c r="IS100" t="e">
        <f>AND(Names!L178,"AAAAAGr/P/w=")</f>
        <v>#VALUE!</v>
      </c>
      <c r="IT100" t="e">
        <f>AND(Names!M178,"AAAAAGr/P/0=")</f>
        <v>#VALUE!</v>
      </c>
      <c r="IU100" t="e">
        <f>AND(Names!N178,"AAAAAGr/P/4=")</f>
        <v>#VALUE!</v>
      </c>
      <c r="IV100" t="e">
        <f>AND(Names!O178,"AAAAAGr/P/8=")</f>
        <v>#VALUE!</v>
      </c>
    </row>
    <row r="101" spans="1:256" x14ac:dyDescent="0.15">
      <c r="A101" t="e">
        <f>AND(Names!P178,"AAAAADn3fwA=")</f>
        <v>#VALUE!</v>
      </c>
      <c r="B101" t="e">
        <f>AND(Names!Q178,"AAAAADn3fwE=")</f>
        <v>#VALUE!</v>
      </c>
      <c r="C101" t="e">
        <f>AND(Names!R178,"AAAAADn3fwI=")</f>
        <v>#VALUE!</v>
      </c>
      <c r="D101" t="e">
        <f>AND(Names!S178,"AAAAADn3fwM=")</f>
        <v>#VALUE!</v>
      </c>
      <c r="E101" t="e">
        <f>AND(Names!T178,"AAAAADn3fwQ=")</f>
        <v>#VALUE!</v>
      </c>
      <c r="F101" t="e">
        <f>AND(Names!U178,"AAAAADn3fwU=")</f>
        <v>#VALUE!</v>
      </c>
      <c r="G101" t="e">
        <f>AND(Names!V178,"AAAAADn3fwY=")</f>
        <v>#VALUE!</v>
      </c>
      <c r="H101" t="e">
        <f>AND(Names!W178,"AAAAADn3fwc=")</f>
        <v>#VALUE!</v>
      </c>
      <c r="I101" t="e">
        <f>AND(Names!X178,"AAAAADn3fwg=")</f>
        <v>#VALUE!</v>
      </c>
      <c r="J101" t="e">
        <f>AND(Names!Y178,"AAAAADn3fwk=")</f>
        <v>#VALUE!</v>
      </c>
      <c r="K101" t="e">
        <f>AND(Names!Z178,"AAAAADn3fwo=")</f>
        <v>#VALUE!</v>
      </c>
      <c r="L101" t="e">
        <f>AND(Names!AA178,"AAAAADn3fws=")</f>
        <v>#VALUE!</v>
      </c>
      <c r="M101" t="e">
        <f>AND(Names!AB178,"AAAAADn3fww=")</f>
        <v>#VALUE!</v>
      </c>
      <c r="N101" t="e">
        <f>AND(Names!AC178,"AAAAADn3fw0=")</f>
        <v>#VALUE!</v>
      </c>
      <c r="O101" t="e">
        <f>AND(Names!AD178,"AAAAADn3fw4=")</f>
        <v>#VALUE!</v>
      </c>
      <c r="P101" t="e">
        <f>AND(Names!AE178,"AAAAADn3fw8=")</f>
        <v>#VALUE!</v>
      </c>
      <c r="Q101" t="e">
        <f>AND(Names!AF178,"AAAAADn3fxA=")</f>
        <v>#VALUE!</v>
      </c>
      <c r="R101" t="e">
        <f>AND(Names!AG178,"AAAAADn3fxE=")</f>
        <v>#VALUE!</v>
      </c>
      <c r="S101" t="e">
        <f>AND(Names!AH178,"AAAAADn3fxI=")</f>
        <v>#VALUE!</v>
      </c>
      <c r="T101" t="e">
        <f>AND(Names!AI178,"AAAAADn3fxM=")</f>
        <v>#VALUE!</v>
      </c>
      <c r="U101" t="e">
        <f>AND(Names!AJ178,"AAAAADn3fxQ=")</f>
        <v>#VALUE!</v>
      </c>
      <c r="V101" t="e">
        <f>AND(Names!AK178,"AAAAADn3fxU=")</f>
        <v>#VALUE!</v>
      </c>
      <c r="W101" t="e">
        <f>AND(Names!AL178,"AAAAADn3fxY=")</f>
        <v>#VALUE!</v>
      </c>
      <c r="X101" t="e">
        <f>AND(Names!AM178,"AAAAADn3fxc=")</f>
        <v>#VALUE!</v>
      </c>
      <c r="Y101">
        <f>IF(Names!179:179,"AAAAADn3fxg=",0)</f>
        <v>0</v>
      </c>
      <c r="Z101" t="e">
        <f>AND(Names!A179,"AAAAADn3fxk=")</f>
        <v>#VALUE!</v>
      </c>
      <c r="AA101" t="e">
        <f>AND(Names!B179,"AAAAADn3fxo=")</f>
        <v>#VALUE!</v>
      </c>
      <c r="AB101" t="e">
        <f>AND(Names!C179,"AAAAADn3fxs=")</f>
        <v>#VALUE!</v>
      </c>
      <c r="AC101" t="e">
        <f>AND(Names!D179,"AAAAADn3fxw=")</f>
        <v>#VALUE!</v>
      </c>
      <c r="AD101" t="e">
        <f>AND(Names!E179,"AAAAADn3fx0=")</f>
        <v>#VALUE!</v>
      </c>
      <c r="AE101" t="e">
        <f>AND(Names!F179,"AAAAADn3fx4=")</f>
        <v>#VALUE!</v>
      </c>
      <c r="AF101" t="e">
        <f>AND(Names!G179,"AAAAADn3fx8=")</f>
        <v>#VALUE!</v>
      </c>
      <c r="AG101" t="e">
        <f>AND(Names!H179,"AAAAADn3fyA=")</f>
        <v>#VALUE!</v>
      </c>
      <c r="AH101" t="e">
        <f>AND(Names!I179,"AAAAADn3fyE=")</f>
        <v>#VALUE!</v>
      </c>
      <c r="AI101" t="e">
        <f>AND(Names!J179,"AAAAADn3fyI=")</f>
        <v>#VALUE!</v>
      </c>
      <c r="AJ101" t="e">
        <f>AND(Names!K179,"AAAAADn3fyM=")</f>
        <v>#VALUE!</v>
      </c>
      <c r="AK101" t="e">
        <f>AND(Names!L179,"AAAAADn3fyQ=")</f>
        <v>#VALUE!</v>
      </c>
      <c r="AL101" t="e">
        <f>AND(Names!M179,"AAAAADn3fyU=")</f>
        <v>#VALUE!</v>
      </c>
      <c r="AM101" t="e">
        <f>AND(Names!N179,"AAAAADn3fyY=")</f>
        <v>#VALUE!</v>
      </c>
      <c r="AN101" t="e">
        <f>AND(Names!O179,"AAAAADn3fyc=")</f>
        <v>#VALUE!</v>
      </c>
      <c r="AO101" t="e">
        <f>AND(Names!P179,"AAAAADn3fyg=")</f>
        <v>#VALUE!</v>
      </c>
      <c r="AP101" t="e">
        <f>AND(Names!Q179,"AAAAADn3fyk=")</f>
        <v>#VALUE!</v>
      </c>
      <c r="AQ101" t="e">
        <f>AND(Names!R179,"AAAAADn3fyo=")</f>
        <v>#VALUE!</v>
      </c>
      <c r="AR101" t="e">
        <f>AND(Names!S179,"AAAAADn3fys=")</f>
        <v>#VALUE!</v>
      </c>
      <c r="AS101" t="e">
        <f>AND(Names!T179,"AAAAADn3fyw=")</f>
        <v>#VALUE!</v>
      </c>
      <c r="AT101" t="e">
        <f>AND(Names!U179,"AAAAADn3fy0=")</f>
        <v>#VALUE!</v>
      </c>
      <c r="AU101" t="e">
        <f>AND(Names!V179,"AAAAADn3fy4=")</f>
        <v>#VALUE!</v>
      </c>
      <c r="AV101" t="e">
        <f>AND(Names!W179,"AAAAADn3fy8=")</f>
        <v>#VALUE!</v>
      </c>
      <c r="AW101" t="e">
        <f>AND(Names!X179,"AAAAADn3fzA=")</f>
        <v>#VALUE!</v>
      </c>
      <c r="AX101" t="e">
        <f>AND(Names!Y179,"AAAAADn3fzE=")</f>
        <v>#VALUE!</v>
      </c>
      <c r="AY101" t="e">
        <f>AND(Names!Z179,"AAAAADn3fzI=")</f>
        <v>#VALUE!</v>
      </c>
      <c r="AZ101" t="e">
        <f>AND(Names!AA179,"AAAAADn3fzM=")</f>
        <v>#VALUE!</v>
      </c>
      <c r="BA101" t="e">
        <f>AND(Names!AB179,"AAAAADn3fzQ=")</f>
        <v>#VALUE!</v>
      </c>
      <c r="BB101" t="e">
        <f>AND(Names!AC179,"AAAAADn3fzU=")</f>
        <v>#VALUE!</v>
      </c>
      <c r="BC101" t="e">
        <f>AND(Names!AD179,"AAAAADn3fzY=")</f>
        <v>#VALUE!</v>
      </c>
      <c r="BD101" t="e">
        <f>AND(Names!AE179,"AAAAADn3fzc=")</f>
        <v>#VALUE!</v>
      </c>
      <c r="BE101" t="e">
        <f>AND(Names!AF179,"AAAAADn3fzg=")</f>
        <v>#VALUE!</v>
      </c>
      <c r="BF101" t="e">
        <f>AND(Names!AG179,"AAAAADn3fzk=")</f>
        <v>#VALUE!</v>
      </c>
      <c r="BG101" t="e">
        <f>AND(Names!AH179,"AAAAADn3fzo=")</f>
        <v>#VALUE!</v>
      </c>
      <c r="BH101" t="e">
        <f>AND(Names!AI179,"AAAAADn3fzs=")</f>
        <v>#VALUE!</v>
      </c>
      <c r="BI101" t="e">
        <f>AND(Names!AJ179,"AAAAADn3fzw=")</f>
        <v>#VALUE!</v>
      </c>
      <c r="BJ101" t="e">
        <f>AND(Names!AK179,"AAAAADn3fz0=")</f>
        <v>#VALUE!</v>
      </c>
      <c r="BK101" t="e">
        <f>AND(Names!AL179,"AAAAADn3fz4=")</f>
        <v>#VALUE!</v>
      </c>
      <c r="BL101" t="e">
        <f>AND(Names!AM179,"AAAAADn3fz8=")</f>
        <v>#VALUE!</v>
      </c>
      <c r="BM101">
        <f>IF(Names!180:180,"AAAAADn3f0A=",0)</f>
        <v>0</v>
      </c>
      <c r="BN101" t="e">
        <f>AND(Names!A180,"AAAAADn3f0E=")</f>
        <v>#VALUE!</v>
      </c>
      <c r="BO101" t="e">
        <f>AND(Names!B180,"AAAAADn3f0I=")</f>
        <v>#VALUE!</v>
      </c>
      <c r="BP101" t="e">
        <f>AND(Names!C180,"AAAAADn3f0M=")</f>
        <v>#VALUE!</v>
      </c>
      <c r="BQ101" t="e">
        <f>AND(Names!D180,"AAAAADn3f0Q=")</f>
        <v>#VALUE!</v>
      </c>
      <c r="BR101" t="e">
        <f>AND(Names!E180,"AAAAADn3f0U=")</f>
        <v>#VALUE!</v>
      </c>
      <c r="BS101" t="e">
        <f>AND(Names!F180,"AAAAADn3f0Y=")</f>
        <v>#VALUE!</v>
      </c>
      <c r="BT101" t="e">
        <f>AND(Names!G180,"AAAAADn3f0c=")</f>
        <v>#VALUE!</v>
      </c>
      <c r="BU101" t="e">
        <f>AND(Names!H180,"AAAAADn3f0g=")</f>
        <v>#VALUE!</v>
      </c>
      <c r="BV101" t="e">
        <f>AND(Names!I180,"AAAAADn3f0k=")</f>
        <v>#VALUE!</v>
      </c>
      <c r="BW101" t="e">
        <f>AND(Names!J180,"AAAAADn3f0o=")</f>
        <v>#VALUE!</v>
      </c>
      <c r="BX101" t="e">
        <f>AND(Names!K180,"AAAAADn3f0s=")</f>
        <v>#VALUE!</v>
      </c>
      <c r="BY101" t="e">
        <f>AND(Names!L180,"AAAAADn3f0w=")</f>
        <v>#VALUE!</v>
      </c>
      <c r="BZ101" t="e">
        <f>AND(Names!M180,"AAAAADn3f00=")</f>
        <v>#VALUE!</v>
      </c>
      <c r="CA101" t="e">
        <f>AND(Names!N180,"AAAAADn3f04=")</f>
        <v>#VALUE!</v>
      </c>
      <c r="CB101" t="e">
        <f>AND(Names!O180,"AAAAADn3f08=")</f>
        <v>#VALUE!</v>
      </c>
      <c r="CC101" t="e">
        <f>AND(Names!P180,"AAAAADn3f1A=")</f>
        <v>#VALUE!</v>
      </c>
      <c r="CD101" t="e">
        <f>AND(Names!Q180,"AAAAADn3f1E=")</f>
        <v>#VALUE!</v>
      </c>
      <c r="CE101" t="e">
        <f>AND(Names!R180,"AAAAADn3f1I=")</f>
        <v>#VALUE!</v>
      </c>
      <c r="CF101" t="e">
        <f>AND(Names!S180,"AAAAADn3f1M=")</f>
        <v>#VALUE!</v>
      </c>
      <c r="CG101" t="e">
        <f>AND(Names!T180,"AAAAADn3f1Q=")</f>
        <v>#VALUE!</v>
      </c>
      <c r="CH101" t="e">
        <f>AND(Names!U180,"AAAAADn3f1U=")</f>
        <v>#VALUE!</v>
      </c>
      <c r="CI101" t="e">
        <f>AND(Names!V180,"AAAAADn3f1Y=")</f>
        <v>#VALUE!</v>
      </c>
      <c r="CJ101" t="e">
        <f>AND(Names!W180,"AAAAADn3f1c=")</f>
        <v>#VALUE!</v>
      </c>
      <c r="CK101" t="e">
        <f>AND(Names!X180,"AAAAADn3f1g=")</f>
        <v>#VALUE!</v>
      </c>
      <c r="CL101" t="e">
        <f>AND(Names!Y180,"AAAAADn3f1k=")</f>
        <v>#VALUE!</v>
      </c>
      <c r="CM101" t="e">
        <f>AND(Names!Z180,"AAAAADn3f1o=")</f>
        <v>#VALUE!</v>
      </c>
      <c r="CN101" t="e">
        <f>AND(Names!AA180,"AAAAADn3f1s=")</f>
        <v>#VALUE!</v>
      </c>
      <c r="CO101" t="e">
        <f>AND(Names!AB180,"AAAAADn3f1w=")</f>
        <v>#VALUE!</v>
      </c>
      <c r="CP101" t="e">
        <f>AND(Names!AC180,"AAAAADn3f10=")</f>
        <v>#VALUE!</v>
      </c>
      <c r="CQ101" t="e">
        <f>AND(Names!AD180,"AAAAADn3f14=")</f>
        <v>#VALUE!</v>
      </c>
      <c r="CR101" t="e">
        <f>AND(Names!AE180,"AAAAADn3f18=")</f>
        <v>#VALUE!</v>
      </c>
      <c r="CS101" t="e">
        <f>AND(Names!AF180,"AAAAADn3f2A=")</f>
        <v>#VALUE!</v>
      </c>
      <c r="CT101" t="e">
        <f>AND(Names!AG180,"AAAAADn3f2E=")</f>
        <v>#VALUE!</v>
      </c>
      <c r="CU101" t="e">
        <f>AND(Names!AH180,"AAAAADn3f2I=")</f>
        <v>#VALUE!</v>
      </c>
      <c r="CV101" t="e">
        <f>AND(Names!AI180,"AAAAADn3f2M=")</f>
        <v>#VALUE!</v>
      </c>
      <c r="CW101" t="e">
        <f>AND(Names!AJ180,"AAAAADn3f2Q=")</f>
        <v>#VALUE!</v>
      </c>
      <c r="CX101" t="e">
        <f>AND(Names!AK180,"AAAAADn3f2U=")</f>
        <v>#VALUE!</v>
      </c>
      <c r="CY101" t="e">
        <f>AND(Names!AL180,"AAAAADn3f2Y=")</f>
        <v>#VALUE!</v>
      </c>
      <c r="CZ101" t="e">
        <f>AND(Names!AM180,"AAAAADn3f2c=")</f>
        <v>#VALUE!</v>
      </c>
      <c r="DA101">
        <f>IF(Names!181:181,"AAAAADn3f2g=",0)</f>
        <v>0</v>
      </c>
      <c r="DB101" t="e">
        <f>AND(Names!A181,"AAAAADn3f2k=")</f>
        <v>#VALUE!</v>
      </c>
      <c r="DC101" t="e">
        <f>AND(Names!B181,"AAAAADn3f2o=")</f>
        <v>#VALUE!</v>
      </c>
      <c r="DD101" t="e">
        <f>AND(Names!C181,"AAAAADn3f2s=")</f>
        <v>#VALUE!</v>
      </c>
      <c r="DE101" t="e">
        <f>AND(Names!D181,"AAAAADn3f2w=")</f>
        <v>#VALUE!</v>
      </c>
      <c r="DF101" t="e">
        <f>AND(Names!E181,"AAAAADn3f20=")</f>
        <v>#VALUE!</v>
      </c>
      <c r="DG101" t="e">
        <f>AND(Names!F181,"AAAAADn3f24=")</f>
        <v>#VALUE!</v>
      </c>
      <c r="DH101" t="e">
        <f>AND(Names!G181,"AAAAADn3f28=")</f>
        <v>#VALUE!</v>
      </c>
      <c r="DI101" t="e">
        <f>AND(Names!H181,"AAAAADn3f3A=")</f>
        <v>#VALUE!</v>
      </c>
      <c r="DJ101" t="e">
        <f>AND(Names!I181,"AAAAADn3f3E=")</f>
        <v>#VALUE!</v>
      </c>
      <c r="DK101" t="e">
        <f>AND(Names!J181,"AAAAADn3f3I=")</f>
        <v>#VALUE!</v>
      </c>
      <c r="DL101" t="e">
        <f>AND(Names!K181,"AAAAADn3f3M=")</f>
        <v>#VALUE!</v>
      </c>
      <c r="DM101" t="e">
        <f>AND(Names!L181,"AAAAADn3f3Q=")</f>
        <v>#VALUE!</v>
      </c>
      <c r="DN101" t="e">
        <f>AND(Names!M181,"AAAAADn3f3U=")</f>
        <v>#VALUE!</v>
      </c>
      <c r="DO101" t="e">
        <f>AND(Names!N181,"AAAAADn3f3Y=")</f>
        <v>#VALUE!</v>
      </c>
      <c r="DP101" t="e">
        <f>AND(Names!O181,"AAAAADn3f3c=")</f>
        <v>#VALUE!</v>
      </c>
      <c r="DQ101" t="e">
        <f>AND(Names!P181,"AAAAADn3f3g=")</f>
        <v>#VALUE!</v>
      </c>
      <c r="DR101" t="e">
        <f>AND(Names!Q181,"AAAAADn3f3k=")</f>
        <v>#VALUE!</v>
      </c>
      <c r="DS101" t="e">
        <f>AND(Names!R181,"AAAAADn3f3o=")</f>
        <v>#VALUE!</v>
      </c>
      <c r="DT101" t="e">
        <f>AND(Names!S181,"AAAAADn3f3s=")</f>
        <v>#VALUE!</v>
      </c>
      <c r="DU101" t="e">
        <f>AND(Names!T181,"AAAAADn3f3w=")</f>
        <v>#VALUE!</v>
      </c>
      <c r="DV101" t="e">
        <f>AND(Names!U181,"AAAAADn3f30=")</f>
        <v>#VALUE!</v>
      </c>
      <c r="DW101" t="e">
        <f>AND(Names!V181,"AAAAADn3f34=")</f>
        <v>#VALUE!</v>
      </c>
      <c r="DX101" t="e">
        <f>AND(Names!W181,"AAAAADn3f38=")</f>
        <v>#VALUE!</v>
      </c>
      <c r="DY101" t="e">
        <f>AND(Names!X181,"AAAAADn3f4A=")</f>
        <v>#VALUE!</v>
      </c>
      <c r="DZ101" t="e">
        <f>AND(Names!Y181,"AAAAADn3f4E=")</f>
        <v>#VALUE!</v>
      </c>
      <c r="EA101" t="e">
        <f>AND(Names!Z181,"AAAAADn3f4I=")</f>
        <v>#VALUE!</v>
      </c>
      <c r="EB101" t="e">
        <f>AND(Names!AA181,"AAAAADn3f4M=")</f>
        <v>#VALUE!</v>
      </c>
      <c r="EC101" t="e">
        <f>AND(Names!AB181,"AAAAADn3f4Q=")</f>
        <v>#VALUE!</v>
      </c>
      <c r="ED101" t="e">
        <f>AND(Names!AC181,"AAAAADn3f4U=")</f>
        <v>#VALUE!</v>
      </c>
      <c r="EE101" t="e">
        <f>AND(Names!AD181,"AAAAADn3f4Y=")</f>
        <v>#VALUE!</v>
      </c>
      <c r="EF101" t="e">
        <f>AND(Names!AE181,"AAAAADn3f4c=")</f>
        <v>#VALUE!</v>
      </c>
      <c r="EG101" t="e">
        <f>AND(Names!AF181,"AAAAADn3f4g=")</f>
        <v>#VALUE!</v>
      </c>
      <c r="EH101" t="e">
        <f>AND(Names!AG181,"AAAAADn3f4k=")</f>
        <v>#VALUE!</v>
      </c>
      <c r="EI101" t="e">
        <f>AND(Names!AH181,"AAAAADn3f4o=")</f>
        <v>#VALUE!</v>
      </c>
      <c r="EJ101" t="e">
        <f>AND(Names!AI181,"AAAAADn3f4s=")</f>
        <v>#VALUE!</v>
      </c>
      <c r="EK101" t="e">
        <f>AND(Names!AJ181,"AAAAADn3f4w=")</f>
        <v>#VALUE!</v>
      </c>
      <c r="EL101" t="e">
        <f>AND(Names!AK181,"AAAAADn3f40=")</f>
        <v>#VALUE!</v>
      </c>
      <c r="EM101" t="e">
        <f>AND(Names!AL181,"AAAAADn3f44=")</f>
        <v>#VALUE!</v>
      </c>
      <c r="EN101" t="e">
        <f>AND(Names!AM181,"AAAAADn3f48=")</f>
        <v>#VALUE!</v>
      </c>
      <c r="EO101">
        <f>IF(Names!182:182,"AAAAADn3f5A=",0)</f>
        <v>0</v>
      </c>
      <c r="EP101" t="e">
        <f>AND(Names!A182,"AAAAADn3f5E=")</f>
        <v>#VALUE!</v>
      </c>
      <c r="EQ101" t="e">
        <f>AND(Names!B182,"AAAAADn3f5I=")</f>
        <v>#VALUE!</v>
      </c>
      <c r="ER101" t="e">
        <f>AND(Names!C182,"AAAAADn3f5M=")</f>
        <v>#VALUE!</v>
      </c>
      <c r="ES101" t="e">
        <f>AND(Names!D182,"AAAAADn3f5Q=")</f>
        <v>#VALUE!</v>
      </c>
      <c r="ET101" t="e">
        <f>AND(Names!E182,"AAAAADn3f5U=")</f>
        <v>#VALUE!</v>
      </c>
      <c r="EU101" t="e">
        <f>AND(Names!F182,"AAAAADn3f5Y=")</f>
        <v>#VALUE!</v>
      </c>
      <c r="EV101" t="e">
        <f>AND(Names!G182,"AAAAADn3f5c=")</f>
        <v>#VALUE!</v>
      </c>
      <c r="EW101" t="e">
        <f>AND(Names!H182,"AAAAADn3f5g=")</f>
        <v>#VALUE!</v>
      </c>
      <c r="EX101" t="e">
        <f>AND(Names!I182,"AAAAADn3f5k=")</f>
        <v>#VALUE!</v>
      </c>
      <c r="EY101" t="e">
        <f>AND(Names!J182,"AAAAADn3f5o=")</f>
        <v>#VALUE!</v>
      </c>
      <c r="EZ101" t="e">
        <f>AND(Names!K182,"AAAAADn3f5s=")</f>
        <v>#VALUE!</v>
      </c>
      <c r="FA101" t="e">
        <f>AND(Names!L182,"AAAAADn3f5w=")</f>
        <v>#VALUE!</v>
      </c>
      <c r="FB101" t="e">
        <f>AND(Names!M182,"AAAAADn3f50=")</f>
        <v>#VALUE!</v>
      </c>
      <c r="FC101" t="e">
        <f>AND(Names!N182,"AAAAADn3f54=")</f>
        <v>#VALUE!</v>
      </c>
      <c r="FD101" t="e">
        <f>AND(Names!O182,"AAAAADn3f58=")</f>
        <v>#VALUE!</v>
      </c>
      <c r="FE101" t="e">
        <f>AND(Names!P182,"AAAAADn3f6A=")</f>
        <v>#VALUE!</v>
      </c>
      <c r="FF101" t="e">
        <f>AND(Names!Q182,"AAAAADn3f6E=")</f>
        <v>#VALUE!</v>
      </c>
      <c r="FG101" t="e">
        <f>AND(Names!R182,"AAAAADn3f6I=")</f>
        <v>#VALUE!</v>
      </c>
      <c r="FH101" t="e">
        <f>AND(Names!S182,"AAAAADn3f6M=")</f>
        <v>#VALUE!</v>
      </c>
      <c r="FI101" t="e">
        <f>AND(Names!T182,"AAAAADn3f6Q=")</f>
        <v>#VALUE!</v>
      </c>
      <c r="FJ101" t="e">
        <f>AND(Names!U182,"AAAAADn3f6U=")</f>
        <v>#VALUE!</v>
      </c>
      <c r="FK101" t="e">
        <f>AND(Names!V182,"AAAAADn3f6Y=")</f>
        <v>#VALUE!</v>
      </c>
      <c r="FL101" t="e">
        <f>AND(Names!W182,"AAAAADn3f6c=")</f>
        <v>#VALUE!</v>
      </c>
      <c r="FM101" t="e">
        <f>AND(Names!X182,"AAAAADn3f6g=")</f>
        <v>#VALUE!</v>
      </c>
      <c r="FN101" t="e">
        <f>AND(Names!Y182,"AAAAADn3f6k=")</f>
        <v>#VALUE!</v>
      </c>
      <c r="FO101" t="e">
        <f>AND(Names!Z182,"AAAAADn3f6o=")</f>
        <v>#VALUE!</v>
      </c>
      <c r="FP101" t="e">
        <f>AND(Names!AA182,"AAAAADn3f6s=")</f>
        <v>#VALUE!</v>
      </c>
      <c r="FQ101" t="e">
        <f>AND(Names!AB182,"AAAAADn3f6w=")</f>
        <v>#VALUE!</v>
      </c>
      <c r="FR101" t="e">
        <f>AND(Names!AC182,"AAAAADn3f60=")</f>
        <v>#VALUE!</v>
      </c>
      <c r="FS101" t="e">
        <f>AND(Names!AD182,"AAAAADn3f64=")</f>
        <v>#VALUE!</v>
      </c>
      <c r="FT101" t="e">
        <f>AND(Names!AE182,"AAAAADn3f68=")</f>
        <v>#VALUE!</v>
      </c>
      <c r="FU101" t="e">
        <f>AND(Names!AF182,"AAAAADn3f7A=")</f>
        <v>#VALUE!</v>
      </c>
      <c r="FV101" t="e">
        <f>AND(Names!AG182,"AAAAADn3f7E=")</f>
        <v>#VALUE!</v>
      </c>
      <c r="FW101" t="e">
        <f>AND(Names!AH182,"AAAAADn3f7I=")</f>
        <v>#VALUE!</v>
      </c>
      <c r="FX101" t="e">
        <f>AND(Names!AI182,"AAAAADn3f7M=")</f>
        <v>#VALUE!</v>
      </c>
      <c r="FY101" t="e">
        <f>AND(Names!AJ182,"AAAAADn3f7Q=")</f>
        <v>#VALUE!</v>
      </c>
      <c r="FZ101" t="e">
        <f>AND(Names!AK182,"AAAAADn3f7U=")</f>
        <v>#VALUE!</v>
      </c>
      <c r="GA101" t="e">
        <f>AND(Names!AL182,"AAAAADn3f7Y=")</f>
        <v>#VALUE!</v>
      </c>
      <c r="GB101" t="e">
        <f>AND(Names!AM182,"AAAAADn3f7c=")</f>
        <v>#VALUE!</v>
      </c>
      <c r="GC101">
        <f>IF(Names!183:183,"AAAAADn3f7g=",0)</f>
        <v>0</v>
      </c>
      <c r="GD101" t="e">
        <f>AND(Names!A183,"AAAAADn3f7k=")</f>
        <v>#VALUE!</v>
      </c>
      <c r="GE101" t="e">
        <f>AND(Names!B183,"AAAAADn3f7o=")</f>
        <v>#VALUE!</v>
      </c>
      <c r="GF101" t="e">
        <f>AND(Names!C183,"AAAAADn3f7s=")</f>
        <v>#VALUE!</v>
      </c>
      <c r="GG101" t="e">
        <f>AND(Names!D183,"AAAAADn3f7w=")</f>
        <v>#VALUE!</v>
      </c>
      <c r="GH101" t="e">
        <f>AND(Names!E183,"AAAAADn3f70=")</f>
        <v>#VALUE!</v>
      </c>
      <c r="GI101" t="e">
        <f>AND(Names!F183,"AAAAADn3f74=")</f>
        <v>#VALUE!</v>
      </c>
      <c r="GJ101" t="e">
        <f>AND(Names!G183,"AAAAADn3f78=")</f>
        <v>#VALUE!</v>
      </c>
      <c r="GK101" t="e">
        <f>AND(Names!H183,"AAAAADn3f8A=")</f>
        <v>#VALUE!</v>
      </c>
      <c r="GL101" t="e">
        <f>AND(Names!I183,"AAAAADn3f8E=")</f>
        <v>#VALUE!</v>
      </c>
      <c r="GM101" t="e">
        <f>AND(Names!J183,"AAAAADn3f8I=")</f>
        <v>#VALUE!</v>
      </c>
      <c r="GN101" t="e">
        <f>AND(Names!K183,"AAAAADn3f8M=")</f>
        <v>#VALUE!</v>
      </c>
      <c r="GO101" t="e">
        <f>AND(Names!L183,"AAAAADn3f8Q=")</f>
        <v>#VALUE!</v>
      </c>
      <c r="GP101" t="e">
        <f>AND(Names!M183,"AAAAADn3f8U=")</f>
        <v>#VALUE!</v>
      </c>
      <c r="GQ101" t="e">
        <f>AND(Names!N183,"AAAAADn3f8Y=")</f>
        <v>#VALUE!</v>
      </c>
      <c r="GR101" t="e">
        <f>AND(Names!O183,"AAAAADn3f8c=")</f>
        <v>#VALUE!</v>
      </c>
      <c r="GS101" t="e">
        <f>AND(Names!P183,"AAAAADn3f8g=")</f>
        <v>#VALUE!</v>
      </c>
      <c r="GT101" t="e">
        <f>AND(Names!Q183,"AAAAADn3f8k=")</f>
        <v>#VALUE!</v>
      </c>
      <c r="GU101" t="e">
        <f>AND(Names!R183,"AAAAADn3f8o=")</f>
        <v>#VALUE!</v>
      </c>
      <c r="GV101" t="e">
        <f>AND(Names!S183,"AAAAADn3f8s=")</f>
        <v>#VALUE!</v>
      </c>
      <c r="GW101" t="e">
        <f>AND(Names!T183,"AAAAADn3f8w=")</f>
        <v>#VALUE!</v>
      </c>
      <c r="GX101" t="e">
        <f>AND(Names!U183,"AAAAADn3f80=")</f>
        <v>#VALUE!</v>
      </c>
      <c r="GY101" t="e">
        <f>AND(Names!V183,"AAAAADn3f84=")</f>
        <v>#VALUE!</v>
      </c>
      <c r="GZ101" t="e">
        <f>AND(Names!W183,"AAAAADn3f88=")</f>
        <v>#VALUE!</v>
      </c>
      <c r="HA101" t="e">
        <f>AND(Names!X183,"AAAAADn3f9A=")</f>
        <v>#VALUE!</v>
      </c>
      <c r="HB101" t="e">
        <f>AND(Names!Y183,"AAAAADn3f9E=")</f>
        <v>#VALUE!</v>
      </c>
      <c r="HC101" t="e">
        <f>AND(Names!Z183,"AAAAADn3f9I=")</f>
        <v>#VALUE!</v>
      </c>
      <c r="HD101" t="e">
        <f>AND(Names!AA183,"AAAAADn3f9M=")</f>
        <v>#VALUE!</v>
      </c>
      <c r="HE101" t="e">
        <f>AND(Names!AB183,"AAAAADn3f9Q=")</f>
        <v>#VALUE!</v>
      </c>
      <c r="HF101" t="e">
        <f>AND(Names!AC183,"AAAAADn3f9U=")</f>
        <v>#VALUE!</v>
      </c>
      <c r="HG101" t="e">
        <f>AND(Names!AD183,"AAAAADn3f9Y=")</f>
        <v>#VALUE!</v>
      </c>
      <c r="HH101" t="e">
        <f>AND(Names!AE183,"AAAAADn3f9c=")</f>
        <v>#VALUE!</v>
      </c>
      <c r="HI101" t="e">
        <f>AND(Names!AF183,"AAAAADn3f9g=")</f>
        <v>#VALUE!</v>
      </c>
      <c r="HJ101" t="e">
        <f>AND(Names!AG183,"AAAAADn3f9k=")</f>
        <v>#VALUE!</v>
      </c>
      <c r="HK101" t="e">
        <f>AND(Names!AH183,"AAAAADn3f9o=")</f>
        <v>#VALUE!</v>
      </c>
      <c r="HL101" t="e">
        <f>AND(Names!AI183,"AAAAADn3f9s=")</f>
        <v>#VALUE!</v>
      </c>
      <c r="HM101" t="e">
        <f>AND(Names!AJ183,"AAAAADn3f9w=")</f>
        <v>#VALUE!</v>
      </c>
      <c r="HN101" t="e">
        <f>AND(Names!AK183,"AAAAADn3f90=")</f>
        <v>#VALUE!</v>
      </c>
      <c r="HO101" t="e">
        <f>AND(Names!AL183,"AAAAADn3f94=")</f>
        <v>#VALUE!</v>
      </c>
      <c r="HP101" t="e">
        <f>AND(Names!AM183,"AAAAADn3f98=")</f>
        <v>#VALUE!</v>
      </c>
      <c r="HQ101">
        <f>IF(Names!184:184,"AAAAADn3f+A=",0)</f>
        <v>0</v>
      </c>
      <c r="HR101" t="e">
        <f>AND(Names!A184,"AAAAADn3f+E=")</f>
        <v>#VALUE!</v>
      </c>
      <c r="HS101" t="e">
        <f>AND(Names!B184,"AAAAADn3f+I=")</f>
        <v>#VALUE!</v>
      </c>
      <c r="HT101" t="e">
        <f>AND(Names!C184,"AAAAADn3f+M=")</f>
        <v>#VALUE!</v>
      </c>
      <c r="HU101" t="e">
        <f>AND(Names!D184,"AAAAADn3f+Q=")</f>
        <v>#VALUE!</v>
      </c>
      <c r="HV101" t="e">
        <f>AND(Names!E184,"AAAAADn3f+U=")</f>
        <v>#VALUE!</v>
      </c>
      <c r="HW101" t="e">
        <f>AND(Names!F184,"AAAAADn3f+Y=")</f>
        <v>#VALUE!</v>
      </c>
      <c r="HX101" t="e">
        <f>AND(Names!G184,"AAAAADn3f+c=")</f>
        <v>#VALUE!</v>
      </c>
      <c r="HY101" t="e">
        <f>AND(Names!H184,"AAAAADn3f+g=")</f>
        <v>#VALUE!</v>
      </c>
      <c r="HZ101" t="e">
        <f>AND(Names!I184,"AAAAADn3f+k=")</f>
        <v>#VALUE!</v>
      </c>
      <c r="IA101" t="e">
        <f>AND(Names!J184,"AAAAADn3f+o=")</f>
        <v>#VALUE!</v>
      </c>
      <c r="IB101" t="e">
        <f>AND(Names!K184,"AAAAADn3f+s=")</f>
        <v>#VALUE!</v>
      </c>
      <c r="IC101" t="e">
        <f>AND(Names!L184,"AAAAADn3f+w=")</f>
        <v>#VALUE!</v>
      </c>
      <c r="ID101" t="e">
        <f>AND(Names!M184,"AAAAADn3f+0=")</f>
        <v>#VALUE!</v>
      </c>
      <c r="IE101" t="e">
        <f>AND(Names!N184,"AAAAADn3f+4=")</f>
        <v>#VALUE!</v>
      </c>
      <c r="IF101" t="e">
        <f>AND(Names!O184,"AAAAADn3f+8=")</f>
        <v>#VALUE!</v>
      </c>
      <c r="IG101" t="e">
        <f>AND(Names!P184,"AAAAADn3f/A=")</f>
        <v>#VALUE!</v>
      </c>
      <c r="IH101" t="e">
        <f>AND(Names!Q184,"AAAAADn3f/E=")</f>
        <v>#VALUE!</v>
      </c>
      <c r="II101" t="e">
        <f>AND(Names!R184,"AAAAADn3f/I=")</f>
        <v>#VALUE!</v>
      </c>
      <c r="IJ101" t="e">
        <f>AND(Names!S184,"AAAAADn3f/M=")</f>
        <v>#VALUE!</v>
      </c>
      <c r="IK101" t="e">
        <f>AND(Names!T184,"AAAAADn3f/Q=")</f>
        <v>#VALUE!</v>
      </c>
      <c r="IL101" t="e">
        <f>AND(Names!U184,"AAAAADn3f/U=")</f>
        <v>#VALUE!</v>
      </c>
      <c r="IM101" t="e">
        <f>AND(Names!V184,"AAAAADn3f/Y=")</f>
        <v>#VALUE!</v>
      </c>
      <c r="IN101" t="e">
        <f>AND(Names!W184,"AAAAADn3f/c=")</f>
        <v>#VALUE!</v>
      </c>
      <c r="IO101" t="e">
        <f>AND(Names!X184,"AAAAADn3f/g=")</f>
        <v>#VALUE!</v>
      </c>
      <c r="IP101" t="e">
        <f>AND(Names!Y184,"AAAAADn3f/k=")</f>
        <v>#VALUE!</v>
      </c>
      <c r="IQ101" t="e">
        <f>AND(Names!Z184,"AAAAADn3f/o=")</f>
        <v>#VALUE!</v>
      </c>
      <c r="IR101" t="e">
        <f>AND(Names!AA184,"AAAAADn3f/s=")</f>
        <v>#VALUE!</v>
      </c>
      <c r="IS101" t="e">
        <f>AND(Names!AB184,"AAAAADn3f/w=")</f>
        <v>#VALUE!</v>
      </c>
      <c r="IT101" t="e">
        <f>AND(Names!AC184,"AAAAADn3f/0=")</f>
        <v>#VALUE!</v>
      </c>
      <c r="IU101" t="e">
        <f>AND(Names!AD184,"AAAAADn3f/4=")</f>
        <v>#VALUE!</v>
      </c>
      <c r="IV101" t="e">
        <f>AND(Names!AE184,"AAAAADn3f/8=")</f>
        <v>#VALUE!</v>
      </c>
    </row>
    <row r="102" spans="1:256" x14ac:dyDescent="0.15">
      <c r="A102" t="e">
        <f>AND(Names!AF184,"AAAAACpb9QA=")</f>
        <v>#VALUE!</v>
      </c>
      <c r="B102" t="e">
        <f>AND(Names!AG184,"AAAAACpb9QE=")</f>
        <v>#VALUE!</v>
      </c>
      <c r="C102" t="e">
        <f>AND(Names!AH184,"AAAAACpb9QI=")</f>
        <v>#VALUE!</v>
      </c>
      <c r="D102" t="e">
        <f>AND(Names!AI184,"AAAAACpb9QM=")</f>
        <v>#VALUE!</v>
      </c>
      <c r="E102" t="e">
        <f>AND(Names!AJ184,"AAAAACpb9QQ=")</f>
        <v>#VALUE!</v>
      </c>
      <c r="F102" t="e">
        <f>AND(Names!AK184,"AAAAACpb9QU=")</f>
        <v>#VALUE!</v>
      </c>
      <c r="G102" t="e">
        <f>AND(Names!AL184,"AAAAACpb9QY=")</f>
        <v>#VALUE!</v>
      </c>
      <c r="H102" t="e">
        <f>AND(Names!AM184,"AAAAACpb9Qc=")</f>
        <v>#VALUE!</v>
      </c>
      <c r="I102">
        <f>IF(Names!185:185,"AAAAACpb9Qg=",0)</f>
        <v>0</v>
      </c>
      <c r="J102" t="e">
        <f>AND(Names!A185,"AAAAACpb9Qk=")</f>
        <v>#VALUE!</v>
      </c>
      <c r="K102" t="e">
        <f>AND(Names!B185,"AAAAACpb9Qo=")</f>
        <v>#VALUE!</v>
      </c>
      <c r="L102" t="e">
        <f>AND(Names!C185,"AAAAACpb9Qs=")</f>
        <v>#VALUE!</v>
      </c>
      <c r="M102" t="e">
        <f>AND(Names!D185,"AAAAACpb9Qw=")</f>
        <v>#VALUE!</v>
      </c>
      <c r="N102" t="e">
        <f>AND(Names!E185,"AAAAACpb9Q0=")</f>
        <v>#VALUE!</v>
      </c>
      <c r="O102" t="e">
        <f>AND(Names!F185,"AAAAACpb9Q4=")</f>
        <v>#VALUE!</v>
      </c>
      <c r="P102" t="e">
        <f>AND(Names!G185,"AAAAACpb9Q8=")</f>
        <v>#VALUE!</v>
      </c>
      <c r="Q102" t="e">
        <f>AND(Names!H185,"AAAAACpb9RA=")</f>
        <v>#VALUE!</v>
      </c>
      <c r="R102" t="e">
        <f>AND(Names!I185,"AAAAACpb9RE=")</f>
        <v>#VALUE!</v>
      </c>
      <c r="S102" t="e">
        <f>AND(Names!J185,"AAAAACpb9RI=")</f>
        <v>#VALUE!</v>
      </c>
      <c r="T102" t="e">
        <f>AND(Names!K185,"AAAAACpb9RM=")</f>
        <v>#VALUE!</v>
      </c>
      <c r="U102" t="e">
        <f>AND(Names!L185,"AAAAACpb9RQ=")</f>
        <v>#VALUE!</v>
      </c>
      <c r="V102" t="e">
        <f>AND(Names!M185,"AAAAACpb9RU=")</f>
        <v>#VALUE!</v>
      </c>
      <c r="W102" t="e">
        <f>AND(Names!N185,"AAAAACpb9RY=")</f>
        <v>#VALUE!</v>
      </c>
      <c r="X102" t="e">
        <f>AND(Names!O185,"AAAAACpb9Rc=")</f>
        <v>#VALUE!</v>
      </c>
      <c r="Y102" t="e">
        <f>AND(Names!P185,"AAAAACpb9Rg=")</f>
        <v>#VALUE!</v>
      </c>
      <c r="Z102" t="e">
        <f>AND(Names!Q185,"AAAAACpb9Rk=")</f>
        <v>#VALUE!</v>
      </c>
      <c r="AA102" t="e">
        <f>AND(Names!R185,"AAAAACpb9Ro=")</f>
        <v>#VALUE!</v>
      </c>
      <c r="AB102" t="e">
        <f>AND(Names!S185,"AAAAACpb9Rs=")</f>
        <v>#VALUE!</v>
      </c>
      <c r="AC102" t="e">
        <f>AND(Names!T185,"AAAAACpb9Rw=")</f>
        <v>#VALUE!</v>
      </c>
      <c r="AD102" t="e">
        <f>AND(Names!U185,"AAAAACpb9R0=")</f>
        <v>#VALUE!</v>
      </c>
      <c r="AE102" t="e">
        <f>AND(Names!V185,"AAAAACpb9R4=")</f>
        <v>#VALUE!</v>
      </c>
      <c r="AF102" t="e">
        <f>AND(Names!W185,"AAAAACpb9R8=")</f>
        <v>#VALUE!</v>
      </c>
      <c r="AG102" t="e">
        <f>AND(Names!X185,"AAAAACpb9SA=")</f>
        <v>#VALUE!</v>
      </c>
      <c r="AH102" t="e">
        <f>AND(Names!Y185,"AAAAACpb9SE=")</f>
        <v>#VALUE!</v>
      </c>
      <c r="AI102" t="e">
        <f>AND(Names!Z185,"AAAAACpb9SI=")</f>
        <v>#VALUE!</v>
      </c>
      <c r="AJ102" t="e">
        <f>AND(Names!AA185,"AAAAACpb9SM=")</f>
        <v>#VALUE!</v>
      </c>
      <c r="AK102" t="e">
        <f>AND(Names!AB185,"AAAAACpb9SQ=")</f>
        <v>#VALUE!</v>
      </c>
      <c r="AL102" t="e">
        <f>AND(Names!AC185,"AAAAACpb9SU=")</f>
        <v>#VALUE!</v>
      </c>
      <c r="AM102" t="e">
        <f>AND(Names!AD185,"AAAAACpb9SY=")</f>
        <v>#VALUE!</v>
      </c>
      <c r="AN102" t="e">
        <f>AND(Names!AE185,"AAAAACpb9Sc=")</f>
        <v>#VALUE!</v>
      </c>
      <c r="AO102" t="e">
        <f>AND(Names!AF185,"AAAAACpb9Sg=")</f>
        <v>#VALUE!</v>
      </c>
      <c r="AP102" t="e">
        <f>AND(Names!AG185,"AAAAACpb9Sk=")</f>
        <v>#VALUE!</v>
      </c>
      <c r="AQ102" t="e">
        <f>AND(Names!AH185,"AAAAACpb9So=")</f>
        <v>#VALUE!</v>
      </c>
      <c r="AR102" t="e">
        <f>AND(Names!AI185,"AAAAACpb9Ss=")</f>
        <v>#VALUE!</v>
      </c>
      <c r="AS102" t="e">
        <f>AND(Names!AJ185,"AAAAACpb9Sw=")</f>
        <v>#VALUE!</v>
      </c>
      <c r="AT102" t="e">
        <f>AND(Names!AK185,"AAAAACpb9S0=")</f>
        <v>#VALUE!</v>
      </c>
      <c r="AU102" t="e">
        <f>AND(Names!AL185,"AAAAACpb9S4=")</f>
        <v>#VALUE!</v>
      </c>
      <c r="AV102" t="e">
        <f>AND(Names!AM185,"AAAAACpb9S8=")</f>
        <v>#VALUE!</v>
      </c>
      <c r="AW102">
        <f>IF(Names!186:186,"AAAAACpb9TA=",0)</f>
        <v>0</v>
      </c>
      <c r="AX102" t="e">
        <f>AND(Names!A186,"AAAAACpb9TE=")</f>
        <v>#VALUE!</v>
      </c>
      <c r="AY102" t="e">
        <f>AND(Names!B186,"AAAAACpb9TI=")</f>
        <v>#VALUE!</v>
      </c>
      <c r="AZ102" t="e">
        <f>AND(Names!C186,"AAAAACpb9TM=")</f>
        <v>#VALUE!</v>
      </c>
      <c r="BA102" t="e">
        <f>AND(Names!D186,"AAAAACpb9TQ=")</f>
        <v>#VALUE!</v>
      </c>
      <c r="BB102" t="e">
        <f>AND(Names!E186,"AAAAACpb9TU=")</f>
        <v>#VALUE!</v>
      </c>
      <c r="BC102" t="e">
        <f>AND(Names!F186,"AAAAACpb9TY=")</f>
        <v>#VALUE!</v>
      </c>
      <c r="BD102" t="e">
        <f>AND(Names!G186,"AAAAACpb9Tc=")</f>
        <v>#VALUE!</v>
      </c>
      <c r="BE102" t="e">
        <f>AND(Names!H186,"AAAAACpb9Tg=")</f>
        <v>#VALUE!</v>
      </c>
      <c r="BF102" t="e">
        <f>AND(Names!I186,"AAAAACpb9Tk=")</f>
        <v>#VALUE!</v>
      </c>
      <c r="BG102" t="e">
        <f>AND(Names!J186,"AAAAACpb9To=")</f>
        <v>#VALUE!</v>
      </c>
      <c r="BH102" t="e">
        <f>AND(Names!K186,"AAAAACpb9Ts=")</f>
        <v>#VALUE!</v>
      </c>
      <c r="BI102" t="e">
        <f>AND(Names!L186,"AAAAACpb9Tw=")</f>
        <v>#VALUE!</v>
      </c>
      <c r="BJ102" t="e">
        <f>AND(Names!M186,"AAAAACpb9T0=")</f>
        <v>#VALUE!</v>
      </c>
      <c r="BK102" t="e">
        <f>AND(Names!N186,"AAAAACpb9T4=")</f>
        <v>#VALUE!</v>
      </c>
      <c r="BL102" t="e">
        <f>AND(Names!O186,"AAAAACpb9T8=")</f>
        <v>#VALUE!</v>
      </c>
      <c r="BM102" t="e">
        <f>AND(Names!P186,"AAAAACpb9UA=")</f>
        <v>#VALUE!</v>
      </c>
      <c r="BN102" t="e">
        <f>AND(Names!Q186,"AAAAACpb9UE=")</f>
        <v>#VALUE!</v>
      </c>
      <c r="BO102" t="e">
        <f>AND(Names!R186,"AAAAACpb9UI=")</f>
        <v>#VALUE!</v>
      </c>
      <c r="BP102" t="e">
        <f>AND(Names!S186,"AAAAACpb9UM=")</f>
        <v>#VALUE!</v>
      </c>
      <c r="BQ102" t="e">
        <f>AND(Names!T186,"AAAAACpb9UQ=")</f>
        <v>#VALUE!</v>
      </c>
      <c r="BR102" t="e">
        <f>AND(Names!U186,"AAAAACpb9UU=")</f>
        <v>#VALUE!</v>
      </c>
      <c r="BS102" t="e">
        <f>AND(Names!V186,"AAAAACpb9UY=")</f>
        <v>#VALUE!</v>
      </c>
      <c r="BT102" t="e">
        <f>AND(Names!W186,"AAAAACpb9Uc=")</f>
        <v>#VALUE!</v>
      </c>
      <c r="BU102" t="e">
        <f>AND(Names!X186,"AAAAACpb9Ug=")</f>
        <v>#VALUE!</v>
      </c>
      <c r="BV102" t="e">
        <f>AND(Names!Y186,"AAAAACpb9Uk=")</f>
        <v>#VALUE!</v>
      </c>
      <c r="BW102" t="e">
        <f>AND(Names!Z186,"AAAAACpb9Uo=")</f>
        <v>#VALUE!</v>
      </c>
      <c r="BX102" t="e">
        <f>AND(Names!AA186,"AAAAACpb9Us=")</f>
        <v>#VALUE!</v>
      </c>
      <c r="BY102" t="e">
        <f>AND(Names!AB186,"AAAAACpb9Uw=")</f>
        <v>#VALUE!</v>
      </c>
      <c r="BZ102" t="e">
        <f>AND(Names!AC186,"AAAAACpb9U0=")</f>
        <v>#VALUE!</v>
      </c>
      <c r="CA102" t="e">
        <f>AND(Names!AD186,"AAAAACpb9U4=")</f>
        <v>#VALUE!</v>
      </c>
      <c r="CB102" t="e">
        <f>AND(Names!AE186,"AAAAACpb9U8=")</f>
        <v>#VALUE!</v>
      </c>
      <c r="CC102" t="e">
        <f>AND(Names!AF186,"AAAAACpb9VA=")</f>
        <v>#VALUE!</v>
      </c>
      <c r="CD102" t="e">
        <f>AND(Names!AG186,"AAAAACpb9VE=")</f>
        <v>#VALUE!</v>
      </c>
      <c r="CE102" t="e">
        <f>AND(Names!AH186,"AAAAACpb9VI=")</f>
        <v>#VALUE!</v>
      </c>
      <c r="CF102" t="e">
        <f>AND(Names!AI186,"AAAAACpb9VM=")</f>
        <v>#VALUE!</v>
      </c>
      <c r="CG102" t="e">
        <f>AND(Names!AJ186,"AAAAACpb9VQ=")</f>
        <v>#VALUE!</v>
      </c>
      <c r="CH102" t="e">
        <f>AND(Names!AK186,"AAAAACpb9VU=")</f>
        <v>#VALUE!</v>
      </c>
      <c r="CI102" t="e">
        <f>AND(Names!AL186,"AAAAACpb9VY=")</f>
        <v>#VALUE!</v>
      </c>
      <c r="CJ102" t="e">
        <f>AND(Names!AM186,"AAAAACpb9Vc=")</f>
        <v>#VALUE!</v>
      </c>
      <c r="CK102">
        <f>IF(Names!187:187,"AAAAACpb9Vg=",0)</f>
        <v>0</v>
      </c>
      <c r="CL102" t="e">
        <f>AND(Names!A187,"AAAAACpb9Vk=")</f>
        <v>#VALUE!</v>
      </c>
      <c r="CM102" t="e">
        <f>AND(Names!B187,"AAAAACpb9Vo=")</f>
        <v>#VALUE!</v>
      </c>
      <c r="CN102" t="e">
        <f>AND(Names!C187,"AAAAACpb9Vs=")</f>
        <v>#VALUE!</v>
      </c>
      <c r="CO102" t="e">
        <f>AND(Names!D187,"AAAAACpb9Vw=")</f>
        <v>#VALUE!</v>
      </c>
      <c r="CP102" t="e">
        <f>AND(Names!E187,"AAAAACpb9V0=")</f>
        <v>#VALUE!</v>
      </c>
      <c r="CQ102" t="e">
        <f>AND(Names!F187,"AAAAACpb9V4=")</f>
        <v>#VALUE!</v>
      </c>
      <c r="CR102" t="e">
        <f>AND(Names!G187,"AAAAACpb9V8=")</f>
        <v>#VALUE!</v>
      </c>
      <c r="CS102" t="e">
        <f>AND(Names!H187,"AAAAACpb9WA=")</f>
        <v>#VALUE!</v>
      </c>
      <c r="CT102" t="e">
        <f>AND(Names!I187,"AAAAACpb9WE=")</f>
        <v>#VALUE!</v>
      </c>
      <c r="CU102" t="e">
        <f>AND(Names!J187,"AAAAACpb9WI=")</f>
        <v>#VALUE!</v>
      </c>
      <c r="CV102" t="e">
        <f>AND(Names!K187,"AAAAACpb9WM=")</f>
        <v>#VALUE!</v>
      </c>
      <c r="CW102" t="e">
        <f>AND(Names!L187,"AAAAACpb9WQ=")</f>
        <v>#VALUE!</v>
      </c>
      <c r="CX102" t="e">
        <f>AND(Names!M187,"AAAAACpb9WU=")</f>
        <v>#VALUE!</v>
      </c>
      <c r="CY102" t="e">
        <f>AND(Names!N187,"AAAAACpb9WY=")</f>
        <v>#VALUE!</v>
      </c>
      <c r="CZ102" t="e">
        <f>AND(Names!O187,"AAAAACpb9Wc=")</f>
        <v>#VALUE!</v>
      </c>
      <c r="DA102" t="e">
        <f>AND(Names!P187,"AAAAACpb9Wg=")</f>
        <v>#VALUE!</v>
      </c>
      <c r="DB102" t="e">
        <f>AND(Names!Q187,"AAAAACpb9Wk=")</f>
        <v>#VALUE!</v>
      </c>
      <c r="DC102" t="e">
        <f>AND(Names!R187,"AAAAACpb9Wo=")</f>
        <v>#VALUE!</v>
      </c>
      <c r="DD102" t="e">
        <f>AND(Names!S187,"AAAAACpb9Ws=")</f>
        <v>#VALUE!</v>
      </c>
      <c r="DE102" t="e">
        <f>AND(Names!T187,"AAAAACpb9Ww=")</f>
        <v>#VALUE!</v>
      </c>
      <c r="DF102" t="e">
        <f>AND(Names!U187,"AAAAACpb9W0=")</f>
        <v>#VALUE!</v>
      </c>
      <c r="DG102" t="e">
        <f>AND(Names!V187,"AAAAACpb9W4=")</f>
        <v>#VALUE!</v>
      </c>
      <c r="DH102" t="e">
        <f>AND(Names!W187,"AAAAACpb9W8=")</f>
        <v>#VALUE!</v>
      </c>
      <c r="DI102" t="e">
        <f>AND(Names!X187,"AAAAACpb9XA=")</f>
        <v>#VALUE!</v>
      </c>
      <c r="DJ102" t="e">
        <f>AND(Names!Y187,"AAAAACpb9XE=")</f>
        <v>#VALUE!</v>
      </c>
      <c r="DK102" t="e">
        <f>AND(Names!Z187,"AAAAACpb9XI=")</f>
        <v>#VALUE!</v>
      </c>
      <c r="DL102" t="e">
        <f>AND(Names!AA187,"AAAAACpb9XM=")</f>
        <v>#VALUE!</v>
      </c>
      <c r="DM102" t="e">
        <f>AND(Names!AB187,"AAAAACpb9XQ=")</f>
        <v>#VALUE!</v>
      </c>
      <c r="DN102" t="e">
        <f>AND(Names!AC187,"AAAAACpb9XU=")</f>
        <v>#VALUE!</v>
      </c>
      <c r="DO102" t="e">
        <f>AND(Names!AD187,"AAAAACpb9XY=")</f>
        <v>#VALUE!</v>
      </c>
      <c r="DP102" t="e">
        <f>AND(Names!AE187,"AAAAACpb9Xc=")</f>
        <v>#VALUE!</v>
      </c>
      <c r="DQ102" t="e">
        <f>AND(Names!AF187,"AAAAACpb9Xg=")</f>
        <v>#VALUE!</v>
      </c>
      <c r="DR102" t="e">
        <f>AND(Names!AG187,"AAAAACpb9Xk=")</f>
        <v>#VALUE!</v>
      </c>
      <c r="DS102" t="e">
        <f>AND(Names!AH187,"AAAAACpb9Xo=")</f>
        <v>#VALUE!</v>
      </c>
      <c r="DT102" t="e">
        <f>AND(Names!AI187,"AAAAACpb9Xs=")</f>
        <v>#VALUE!</v>
      </c>
      <c r="DU102" t="e">
        <f>AND(Names!AJ187,"AAAAACpb9Xw=")</f>
        <v>#VALUE!</v>
      </c>
      <c r="DV102" t="e">
        <f>AND(Names!AK187,"AAAAACpb9X0=")</f>
        <v>#VALUE!</v>
      </c>
      <c r="DW102" t="e">
        <f>AND(Names!AL187,"AAAAACpb9X4=")</f>
        <v>#VALUE!</v>
      </c>
      <c r="DX102" t="e">
        <f>AND(Names!AM187,"AAAAACpb9X8=")</f>
        <v>#VALUE!</v>
      </c>
      <c r="DY102">
        <f>IF(Names!188:188,"AAAAACpb9YA=",0)</f>
        <v>0</v>
      </c>
      <c r="DZ102" t="e">
        <f>AND(Names!A188,"AAAAACpb9YE=")</f>
        <v>#VALUE!</v>
      </c>
      <c r="EA102" t="e">
        <f>AND(Names!B188,"AAAAACpb9YI=")</f>
        <v>#VALUE!</v>
      </c>
      <c r="EB102" t="e">
        <f>AND(Names!C188,"AAAAACpb9YM=")</f>
        <v>#VALUE!</v>
      </c>
      <c r="EC102" t="e">
        <f>AND(Names!D188,"AAAAACpb9YQ=")</f>
        <v>#VALUE!</v>
      </c>
      <c r="ED102" t="e">
        <f>AND(Names!E188,"AAAAACpb9YU=")</f>
        <v>#VALUE!</v>
      </c>
      <c r="EE102" t="e">
        <f>AND(Names!F188,"AAAAACpb9YY=")</f>
        <v>#VALUE!</v>
      </c>
      <c r="EF102" t="e">
        <f>AND(Names!G188,"AAAAACpb9Yc=")</f>
        <v>#VALUE!</v>
      </c>
      <c r="EG102" t="e">
        <f>AND(Names!H188,"AAAAACpb9Yg=")</f>
        <v>#VALUE!</v>
      </c>
      <c r="EH102" t="e">
        <f>AND(Names!I188,"AAAAACpb9Yk=")</f>
        <v>#VALUE!</v>
      </c>
      <c r="EI102" t="e">
        <f>AND(Names!J188,"AAAAACpb9Yo=")</f>
        <v>#VALUE!</v>
      </c>
      <c r="EJ102" t="e">
        <f>AND(Names!K188,"AAAAACpb9Ys=")</f>
        <v>#VALUE!</v>
      </c>
      <c r="EK102" t="e">
        <f>AND(Names!L188,"AAAAACpb9Yw=")</f>
        <v>#VALUE!</v>
      </c>
      <c r="EL102" t="e">
        <f>AND(Names!M188,"AAAAACpb9Y0=")</f>
        <v>#VALUE!</v>
      </c>
      <c r="EM102" t="e">
        <f>AND(Names!N188,"AAAAACpb9Y4=")</f>
        <v>#VALUE!</v>
      </c>
      <c r="EN102" t="e">
        <f>AND(Names!O188,"AAAAACpb9Y8=")</f>
        <v>#VALUE!</v>
      </c>
      <c r="EO102" t="e">
        <f>AND(Names!P188,"AAAAACpb9ZA=")</f>
        <v>#VALUE!</v>
      </c>
      <c r="EP102" t="e">
        <f>AND(Names!Q188,"AAAAACpb9ZE=")</f>
        <v>#VALUE!</v>
      </c>
      <c r="EQ102" t="e">
        <f>AND(Names!R188,"AAAAACpb9ZI=")</f>
        <v>#VALUE!</v>
      </c>
      <c r="ER102" t="e">
        <f>AND(Names!S188,"AAAAACpb9ZM=")</f>
        <v>#VALUE!</v>
      </c>
      <c r="ES102" t="e">
        <f>AND(Names!T188,"AAAAACpb9ZQ=")</f>
        <v>#VALUE!</v>
      </c>
      <c r="ET102" t="e">
        <f>AND(Names!U188,"AAAAACpb9ZU=")</f>
        <v>#VALUE!</v>
      </c>
      <c r="EU102" t="e">
        <f>AND(Names!V188,"AAAAACpb9ZY=")</f>
        <v>#VALUE!</v>
      </c>
      <c r="EV102" t="e">
        <f>AND(Names!W188,"AAAAACpb9Zc=")</f>
        <v>#VALUE!</v>
      </c>
      <c r="EW102" t="e">
        <f>AND(Names!X188,"AAAAACpb9Zg=")</f>
        <v>#VALUE!</v>
      </c>
      <c r="EX102" t="e">
        <f>AND(Names!Y188,"AAAAACpb9Zk=")</f>
        <v>#VALUE!</v>
      </c>
      <c r="EY102" t="e">
        <f>AND(Names!Z188,"AAAAACpb9Zo=")</f>
        <v>#VALUE!</v>
      </c>
      <c r="EZ102" t="e">
        <f>AND(Names!AA188,"AAAAACpb9Zs=")</f>
        <v>#VALUE!</v>
      </c>
      <c r="FA102" t="e">
        <f>AND(Names!AB188,"AAAAACpb9Zw=")</f>
        <v>#VALUE!</v>
      </c>
      <c r="FB102" t="e">
        <f>AND(Names!AC188,"AAAAACpb9Z0=")</f>
        <v>#VALUE!</v>
      </c>
      <c r="FC102" t="e">
        <f>AND(Names!AD188,"AAAAACpb9Z4=")</f>
        <v>#VALUE!</v>
      </c>
      <c r="FD102" t="e">
        <f>AND(Names!AE188,"AAAAACpb9Z8=")</f>
        <v>#VALUE!</v>
      </c>
      <c r="FE102" t="e">
        <f>AND(Names!AF188,"AAAAACpb9aA=")</f>
        <v>#VALUE!</v>
      </c>
      <c r="FF102" t="e">
        <f>AND(Names!AG188,"AAAAACpb9aE=")</f>
        <v>#VALUE!</v>
      </c>
      <c r="FG102" t="e">
        <f>AND(Names!AH188,"AAAAACpb9aI=")</f>
        <v>#VALUE!</v>
      </c>
      <c r="FH102" t="e">
        <f>AND(Names!AI188,"AAAAACpb9aM=")</f>
        <v>#VALUE!</v>
      </c>
      <c r="FI102" t="e">
        <f>AND(Names!AJ188,"AAAAACpb9aQ=")</f>
        <v>#VALUE!</v>
      </c>
      <c r="FJ102" t="e">
        <f>AND(Names!AK188,"AAAAACpb9aU=")</f>
        <v>#VALUE!</v>
      </c>
      <c r="FK102" t="e">
        <f>AND(Names!AL188,"AAAAACpb9aY=")</f>
        <v>#VALUE!</v>
      </c>
      <c r="FL102" t="e">
        <f>AND(Names!AM188,"AAAAACpb9ac=")</f>
        <v>#VALUE!</v>
      </c>
      <c r="FM102">
        <f>IF(Names!189:189,"AAAAACpb9ag=",0)</f>
        <v>0</v>
      </c>
      <c r="FN102" t="e">
        <f>AND(Names!A189,"AAAAACpb9ak=")</f>
        <v>#VALUE!</v>
      </c>
      <c r="FO102" t="e">
        <f>AND(Names!B189,"AAAAACpb9ao=")</f>
        <v>#VALUE!</v>
      </c>
      <c r="FP102" t="e">
        <f>AND(Names!C189,"AAAAACpb9as=")</f>
        <v>#VALUE!</v>
      </c>
      <c r="FQ102" t="e">
        <f>AND(Names!D189,"AAAAACpb9aw=")</f>
        <v>#VALUE!</v>
      </c>
      <c r="FR102" t="e">
        <f>AND(Names!E189,"AAAAACpb9a0=")</f>
        <v>#VALUE!</v>
      </c>
      <c r="FS102" t="e">
        <f>AND(Names!F189,"AAAAACpb9a4=")</f>
        <v>#VALUE!</v>
      </c>
      <c r="FT102" t="e">
        <f>AND(Names!G189,"AAAAACpb9a8=")</f>
        <v>#VALUE!</v>
      </c>
      <c r="FU102" t="e">
        <f>AND(Names!H189,"AAAAACpb9bA=")</f>
        <v>#VALUE!</v>
      </c>
      <c r="FV102" t="e">
        <f>AND(Names!I189,"AAAAACpb9bE=")</f>
        <v>#VALUE!</v>
      </c>
      <c r="FW102" t="e">
        <f>AND(Names!J189,"AAAAACpb9bI=")</f>
        <v>#VALUE!</v>
      </c>
      <c r="FX102" t="e">
        <f>AND(Names!K189,"AAAAACpb9bM=")</f>
        <v>#VALUE!</v>
      </c>
      <c r="FY102" t="e">
        <f>AND(Names!L189,"AAAAACpb9bQ=")</f>
        <v>#VALUE!</v>
      </c>
      <c r="FZ102" t="e">
        <f>AND(Names!M189,"AAAAACpb9bU=")</f>
        <v>#VALUE!</v>
      </c>
      <c r="GA102" t="e">
        <f>AND(Names!N189,"AAAAACpb9bY=")</f>
        <v>#VALUE!</v>
      </c>
      <c r="GB102" t="e">
        <f>AND(Names!O189,"AAAAACpb9bc=")</f>
        <v>#VALUE!</v>
      </c>
      <c r="GC102" t="e">
        <f>AND(Names!P189,"AAAAACpb9bg=")</f>
        <v>#VALUE!</v>
      </c>
      <c r="GD102" t="e">
        <f>AND(Names!Q189,"AAAAACpb9bk=")</f>
        <v>#VALUE!</v>
      </c>
      <c r="GE102" t="e">
        <f>AND(Names!R189,"AAAAACpb9bo=")</f>
        <v>#VALUE!</v>
      </c>
      <c r="GF102" t="e">
        <f>AND(Names!S189,"AAAAACpb9bs=")</f>
        <v>#VALUE!</v>
      </c>
      <c r="GG102" t="e">
        <f>AND(Names!T189,"AAAAACpb9bw=")</f>
        <v>#VALUE!</v>
      </c>
      <c r="GH102" t="e">
        <f>AND(Names!U189,"AAAAACpb9b0=")</f>
        <v>#VALUE!</v>
      </c>
      <c r="GI102" t="e">
        <f>AND(Names!V189,"AAAAACpb9b4=")</f>
        <v>#VALUE!</v>
      </c>
      <c r="GJ102" t="e">
        <f>AND(Names!W189,"AAAAACpb9b8=")</f>
        <v>#VALUE!</v>
      </c>
      <c r="GK102" t="e">
        <f>AND(Names!X189,"AAAAACpb9cA=")</f>
        <v>#VALUE!</v>
      </c>
      <c r="GL102" t="e">
        <f>AND(Names!Y189,"AAAAACpb9cE=")</f>
        <v>#VALUE!</v>
      </c>
      <c r="GM102" t="e">
        <f>AND(Names!Z189,"AAAAACpb9cI=")</f>
        <v>#VALUE!</v>
      </c>
      <c r="GN102" t="e">
        <f>AND(Names!AA189,"AAAAACpb9cM=")</f>
        <v>#VALUE!</v>
      </c>
      <c r="GO102" t="e">
        <f>AND(Names!AB189,"AAAAACpb9cQ=")</f>
        <v>#VALUE!</v>
      </c>
      <c r="GP102" t="e">
        <f>AND(Names!AC189,"AAAAACpb9cU=")</f>
        <v>#VALUE!</v>
      </c>
      <c r="GQ102" t="e">
        <f>AND(Names!AD189,"AAAAACpb9cY=")</f>
        <v>#VALUE!</v>
      </c>
      <c r="GR102" t="e">
        <f>AND(Names!AE189,"AAAAACpb9cc=")</f>
        <v>#VALUE!</v>
      </c>
      <c r="GS102" t="e">
        <f>AND(Names!AF189,"AAAAACpb9cg=")</f>
        <v>#VALUE!</v>
      </c>
      <c r="GT102" t="e">
        <f>AND(Names!AG189,"AAAAACpb9ck=")</f>
        <v>#VALUE!</v>
      </c>
      <c r="GU102" t="e">
        <f>AND(Names!AH189,"AAAAACpb9co=")</f>
        <v>#VALUE!</v>
      </c>
      <c r="GV102" t="e">
        <f>AND(Names!AI189,"AAAAACpb9cs=")</f>
        <v>#VALUE!</v>
      </c>
      <c r="GW102" t="e">
        <f>AND(Names!AJ189,"AAAAACpb9cw=")</f>
        <v>#VALUE!</v>
      </c>
      <c r="GX102" t="e">
        <f>AND(Names!AK189,"AAAAACpb9c0=")</f>
        <v>#VALUE!</v>
      </c>
      <c r="GY102" t="e">
        <f>AND(Names!AL189,"AAAAACpb9c4=")</f>
        <v>#VALUE!</v>
      </c>
      <c r="GZ102" t="e">
        <f>AND(Names!AM189,"AAAAACpb9c8=")</f>
        <v>#VALUE!</v>
      </c>
      <c r="HA102">
        <f>IF(Names!190:190,"AAAAACpb9dA=",0)</f>
        <v>0</v>
      </c>
      <c r="HB102" t="e">
        <f>AND(Names!A190,"AAAAACpb9dE=")</f>
        <v>#VALUE!</v>
      </c>
      <c r="HC102" t="e">
        <f>AND(Names!B190,"AAAAACpb9dI=")</f>
        <v>#VALUE!</v>
      </c>
      <c r="HD102" t="e">
        <f>AND(Names!C190,"AAAAACpb9dM=")</f>
        <v>#VALUE!</v>
      </c>
      <c r="HE102" t="e">
        <f>AND(Names!D190,"AAAAACpb9dQ=")</f>
        <v>#VALUE!</v>
      </c>
      <c r="HF102" t="e">
        <f>AND(Names!E190,"AAAAACpb9dU=")</f>
        <v>#VALUE!</v>
      </c>
      <c r="HG102" t="e">
        <f>AND(Names!F190,"AAAAACpb9dY=")</f>
        <v>#VALUE!</v>
      </c>
      <c r="HH102" t="e">
        <f>AND(Names!G190,"AAAAACpb9dc=")</f>
        <v>#VALUE!</v>
      </c>
      <c r="HI102" t="e">
        <f>AND(Names!H190,"AAAAACpb9dg=")</f>
        <v>#VALUE!</v>
      </c>
      <c r="HJ102" t="e">
        <f>AND(Names!I190,"AAAAACpb9dk=")</f>
        <v>#VALUE!</v>
      </c>
      <c r="HK102" t="e">
        <f>AND(Names!J190,"AAAAACpb9do=")</f>
        <v>#VALUE!</v>
      </c>
      <c r="HL102" t="e">
        <f>AND(Names!K190,"AAAAACpb9ds=")</f>
        <v>#VALUE!</v>
      </c>
      <c r="HM102" t="e">
        <f>AND(Names!L190,"AAAAACpb9dw=")</f>
        <v>#VALUE!</v>
      </c>
      <c r="HN102" t="e">
        <f>AND(Names!M190,"AAAAACpb9d0=")</f>
        <v>#VALUE!</v>
      </c>
      <c r="HO102" t="e">
        <f>AND(Names!N190,"AAAAACpb9d4=")</f>
        <v>#VALUE!</v>
      </c>
      <c r="HP102" t="e">
        <f>AND(Names!O190,"AAAAACpb9d8=")</f>
        <v>#VALUE!</v>
      </c>
      <c r="HQ102" t="e">
        <f>AND(Names!P190,"AAAAACpb9eA=")</f>
        <v>#VALUE!</v>
      </c>
      <c r="HR102" t="e">
        <f>AND(Names!Q190,"AAAAACpb9eE=")</f>
        <v>#VALUE!</v>
      </c>
      <c r="HS102" t="e">
        <f>AND(Names!R190,"AAAAACpb9eI=")</f>
        <v>#VALUE!</v>
      </c>
      <c r="HT102" t="e">
        <f>AND(Names!S190,"AAAAACpb9eM=")</f>
        <v>#VALUE!</v>
      </c>
      <c r="HU102" t="e">
        <f>AND(Names!T190,"AAAAACpb9eQ=")</f>
        <v>#VALUE!</v>
      </c>
      <c r="HV102" t="e">
        <f>AND(Names!U190,"AAAAACpb9eU=")</f>
        <v>#VALUE!</v>
      </c>
      <c r="HW102" t="e">
        <f>AND(Names!V190,"AAAAACpb9eY=")</f>
        <v>#VALUE!</v>
      </c>
      <c r="HX102" t="e">
        <f>AND(Names!W190,"AAAAACpb9ec=")</f>
        <v>#VALUE!</v>
      </c>
      <c r="HY102" t="e">
        <f>AND(Names!X190,"AAAAACpb9eg=")</f>
        <v>#VALUE!</v>
      </c>
      <c r="HZ102" t="e">
        <f>AND(Names!Y190,"AAAAACpb9ek=")</f>
        <v>#VALUE!</v>
      </c>
      <c r="IA102" t="e">
        <f>AND(Names!Z190,"AAAAACpb9eo=")</f>
        <v>#VALUE!</v>
      </c>
      <c r="IB102" t="e">
        <f>AND(Names!AA190,"AAAAACpb9es=")</f>
        <v>#VALUE!</v>
      </c>
      <c r="IC102" t="e">
        <f>AND(Names!AB190,"AAAAACpb9ew=")</f>
        <v>#VALUE!</v>
      </c>
      <c r="ID102" t="e">
        <f>AND(Names!AC190,"AAAAACpb9e0=")</f>
        <v>#VALUE!</v>
      </c>
      <c r="IE102" t="e">
        <f>AND(Names!AD190,"AAAAACpb9e4=")</f>
        <v>#VALUE!</v>
      </c>
      <c r="IF102" t="e">
        <f>AND(Names!AE190,"AAAAACpb9e8=")</f>
        <v>#VALUE!</v>
      </c>
      <c r="IG102" t="e">
        <f>AND(Names!AF190,"AAAAACpb9fA=")</f>
        <v>#VALUE!</v>
      </c>
      <c r="IH102" t="e">
        <f>AND(Names!AG190,"AAAAACpb9fE=")</f>
        <v>#VALUE!</v>
      </c>
      <c r="II102" t="e">
        <f>AND(Names!AH190,"AAAAACpb9fI=")</f>
        <v>#VALUE!</v>
      </c>
      <c r="IJ102" t="e">
        <f>AND(Names!AI190,"AAAAACpb9fM=")</f>
        <v>#VALUE!</v>
      </c>
      <c r="IK102" t="e">
        <f>AND(Names!AJ190,"AAAAACpb9fQ=")</f>
        <v>#VALUE!</v>
      </c>
      <c r="IL102" t="e">
        <f>AND(Names!AK190,"AAAAACpb9fU=")</f>
        <v>#VALUE!</v>
      </c>
      <c r="IM102" t="e">
        <f>AND(Names!AL190,"AAAAACpb9fY=")</f>
        <v>#VALUE!</v>
      </c>
      <c r="IN102" t="e">
        <f>AND(Names!AM190,"AAAAACpb9fc=")</f>
        <v>#VALUE!</v>
      </c>
      <c r="IO102">
        <f>IF(Names!191:191,"AAAAACpb9fg=",0)</f>
        <v>0</v>
      </c>
      <c r="IP102" t="e">
        <f>AND(Names!A191,"AAAAACpb9fk=")</f>
        <v>#VALUE!</v>
      </c>
      <c r="IQ102" t="e">
        <f>AND(Names!B191,"AAAAACpb9fo=")</f>
        <v>#VALUE!</v>
      </c>
      <c r="IR102" t="e">
        <f>AND(Names!C191,"AAAAACpb9fs=")</f>
        <v>#VALUE!</v>
      </c>
      <c r="IS102" t="e">
        <f>AND(Names!D191,"AAAAACpb9fw=")</f>
        <v>#VALUE!</v>
      </c>
      <c r="IT102" t="e">
        <f>AND(Names!E191,"AAAAACpb9f0=")</f>
        <v>#VALUE!</v>
      </c>
      <c r="IU102" t="e">
        <f>AND(Names!F191,"AAAAACpb9f4=")</f>
        <v>#VALUE!</v>
      </c>
      <c r="IV102" t="e">
        <f>AND(Names!G191,"AAAAACpb9f8=")</f>
        <v>#VALUE!</v>
      </c>
    </row>
    <row r="103" spans="1:256" x14ac:dyDescent="0.15">
      <c r="A103" t="e">
        <f>AND(Names!H191,"AAAAAE9//gA=")</f>
        <v>#VALUE!</v>
      </c>
      <c r="B103" t="e">
        <f>AND(Names!I191,"AAAAAE9//gE=")</f>
        <v>#VALUE!</v>
      </c>
      <c r="C103" t="e">
        <f>AND(Names!J191,"AAAAAE9//gI=")</f>
        <v>#VALUE!</v>
      </c>
      <c r="D103" t="e">
        <f>AND(Names!K191,"AAAAAE9//gM=")</f>
        <v>#VALUE!</v>
      </c>
      <c r="E103" t="e">
        <f>AND(Names!L191,"AAAAAE9//gQ=")</f>
        <v>#VALUE!</v>
      </c>
      <c r="F103" t="e">
        <f>AND(Names!M191,"AAAAAE9//gU=")</f>
        <v>#VALUE!</v>
      </c>
      <c r="G103" t="e">
        <f>AND(Names!N191,"AAAAAE9//gY=")</f>
        <v>#VALUE!</v>
      </c>
      <c r="H103" t="e">
        <f>AND(Names!O191,"AAAAAE9//gc=")</f>
        <v>#VALUE!</v>
      </c>
      <c r="I103" t="e">
        <f>AND(Names!P191,"AAAAAE9//gg=")</f>
        <v>#VALUE!</v>
      </c>
      <c r="J103" t="e">
        <f>AND(Names!Q191,"AAAAAE9//gk=")</f>
        <v>#VALUE!</v>
      </c>
      <c r="K103" t="e">
        <f>AND(Names!R191,"AAAAAE9//go=")</f>
        <v>#VALUE!</v>
      </c>
      <c r="L103" t="e">
        <f>AND(Names!S191,"AAAAAE9//gs=")</f>
        <v>#VALUE!</v>
      </c>
      <c r="M103" t="e">
        <f>AND(Names!T191,"AAAAAE9//gw=")</f>
        <v>#VALUE!</v>
      </c>
      <c r="N103" t="e">
        <f>AND(Names!U191,"AAAAAE9//g0=")</f>
        <v>#VALUE!</v>
      </c>
      <c r="O103" t="e">
        <f>AND(Names!V191,"AAAAAE9//g4=")</f>
        <v>#VALUE!</v>
      </c>
      <c r="P103" t="e">
        <f>AND(Names!W191,"AAAAAE9//g8=")</f>
        <v>#VALUE!</v>
      </c>
      <c r="Q103" t="e">
        <f>AND(Names!X191,"AAAAAE9//hA=")</f>
        <v>#VALUE!</v>
      </c>
      <c r="R103" t="e">
        <f>AND(Names!Y191,"AAAAAE9//hE=")</f>
        <v>#VALUE!</v>
      </c>
      <c r="S103" t="e">
        <f>AND(Names!Z191,"AAAAAE9//hI=")</f>
        <v>#VALUE!</v>
      </c>
      <c r="T103" t="e">
        <f>AND(Names!AA191,"AAAAAE9//hM=")</f>
        <v>#VALUE!</v>
      </c>
      <c r="U103" t="e">
        <f>AND(Names!AB191,"AAAAAE9//hQ=")</f>
        <v>#VALUE!</v>
      </c>
      <c r="V103" t="e">
        <f>AND(Names!AC191,"AAAAAE9//hU=")</f>
        <v>#VALUE!</v>
      </c>
      <c r="W103" t="e">
        <f>AND(Names!AD191,"AAAAAE9//hY=")</f>
        <v>#VALUE!</v>
      </c>
      <c r="X103" t="e">
        <f>AND(Names!AE191,"AAAAAE9//hc=")</f>
        <v>#VALUE!</v>
      </c>
      <c r="Y103" t="e">
        <f>AND(Names!AF191,"AAAAAE9//hg=")</f>
        <v>#VALUE!</v>
      </c>
      <c r="Z103" t="e">
        <f>AND(Names!AG191,"AAAAAE9//hk=")</f>
        <v>#VALUE!</v>
      </c>
      <c r="AA103" t="e">
        <f>AND(Names!AH191,"AAAAAE9//ho=")</f>
        <v>#VALUE!</v>
      </c>
      <c r="AB103" t="e">
        <f>AND(Names!AI191,"AAAAAE9//hs=")</f>
        <v>#VALUE!</v>
      </c>
      <c r="AC103" t="e">
        <f>AND(Names!AJ191,"AAAAAE9//hw=")</f>
        <v>#VALUE!</v>
      </c>
      <c r="AD103" t="e">
        <f>AND(Names!AK191,"AAAAAE9//h0=")</f>
        <v>#VALUE!</v>
      </c>
      <c r="AE103" t="e">
        <f>AND(Names!AL191,"AAAAAE9//h4=")</f>
        <v>#VALUE!</v>
      </c>
      <c r="AF103" t="e">
        <f>AND(Names!AM191,"AAAAAE9//h8=")</f>
        <v>#VALUE!</v>
      </c>
      <c r="AG103">
        <f>IF(Names!192:192,"AAAAAE9//iA=",0)</f>
        <v>0</v>
      </c>
      <c r="AH103" t="e">
        <f>AND(Names!A192,"AAAAAE9//iE=")</f>
        <v>#VALUE!</v>
      </c>
      <c r="AI103" t="e">
        <f>AND(Names!B192,"AAAAAE9//iI=")</f>
        <v>#VALUE!</v>
      </c>
      <c r="AJ103" t="e">
        <f>AND(Names!C192,"AAAAAE9//iM=")</f>
        <v>#VALUE!</v>
      </c>
      <c r="AK103" t="e">
        <f>AND(Names!D192,"AAAAAE9//iQ=")</f>
        <v>#VALUE!</v>
      </c>
      <c r="AL103" t="e">
        <f>AND(Names!E192,"AAAAAE9//iU=")</f>
        <v>#VALUE!</v>
      </c>
      <c r="AM103" t="e">
        <f>AND(Names!F192,"AAAAAE9//iY=")</f>
        <v>#VALUE!</v>
      </c>
      <c r="AN103" t="e">
        <f>AND(Names!G192,"AAAAAE9//ic=")</f>
        <v>#VALUE!</v>
      </c>
      <c r="AO103" t="e">
        <f>AND(Names!H192,"AAAAAE9//ig=")</f>
        <v>#VALUE!</v>
      </c>
      <c r="AP103" t="e">
        <f>AND(Names!I192,"AAAAAE9//ik=")</f>
        <v>#VALUE!</v>
      </c>
      <c r="AQ103" t="e">
        <f>AND(Names!J192,"AAAAAE9//io=")</f>
        <v>#VALUE!</v>
      </c>
      <c r="AR103" t="e">
        <f>AND(Names!K192,"AAAAAE9//is=")</f>
        <v>#VALUE!</v>
      </c>
      <c r="AS103" t="e">
        <f>AND(Names!L192,"AAAAAE9//iw=")</f>
        <v>#VALUE!</v>
      </c>
      <c r="AT103" t="e">
        <f>AND(Names!M192,"AAAAAE9//i0=")</f>
        <v>#VALUE!</v>
      </c>
      <c r="AU103" t="e">
        <f>AND(Names!N192,"AAAAAE9//i4=")</f>
        <v>#VALUE!</v>
      </c>
      <c r="AV103" t="e">
        <f>AND(Names!O192,"AAAAAE9//i8=")</f>
        <v>#VALUE!</v>
      </c>
      <c r="AW103" t="e">
        <f>AND(Names!P192,"AAAAAE9//jA=")</f>
        <v>#VALUE!</v>
      </c>
      <c r="AX103" t="e">
        <f>AND(Names!Q192,"AAAAAE9//jE=")</f>
        <v>#VALUE!</v>
      </c>
      <c r="AY103" t="e">
        <f>AND(Names!R192,"AAAAAE9//jI=")</f>
        <v>#VALUE!</v>
      </c>
      <c r="AZ103" t="e">
        <f>AND(Names!S192,"AAAAAE9//jM=")</f>
        <v>#VALUE!</v>
      </c>
      <c r="BA103" t="e">
        <f>AND(Names!T192,"AAAAAE9//jQ=")</f>
        <v>#VALUE!</v>
      </c>
      <c r="BB103" t="e">
        <f>AND(Names!U192,"AAAAAE9//jU=")</f>
        <v>#VALUE!</v>
      </c>
      <c r="BC103" t="e">
        <f>AND(Names!V192,"AAAAAE9//jY=")</f>
        <v>#VALUE!</v>
      </c>
      <c r="BD103" t="e">
        <f>AND(Names!W192,"AAAAAE9//jc=")</f>
        <v>#VALUE!</v>
      </c>
      <c r="BE103" t="e">
        <f>AND(Names!X192,"AAAAAE9//jg=")</f>
        <v>#VALUE!</v>
      </c>
      <c r="BF103" t="e">
        <f>AND(Names!Y192,"AAAAAE9//jk=")</f>
        <v>#VALUE!</v>
      </c>
      <c r="BG103" t="e">
        <f>AND(Names!Z192,"AAAAAE9//jo=")</f>
        <v>#VALUE!</v>
      </c>
      <c r="BH103" t="e">
        <f>AND(Names!AA192,"AAAAAE9//js=")</f>
        <v>#VALUE!</v>
      </c>
      <c r="BI103" t="e">
        <f>AND(Names!AB192,"AAAAAE9//jw=")</f>
        <v>#VALUE!</v>
      </c>
      <c r="BJ103" t="e">
        <f>AND(Names!AC192,"AAAAAE9//j0=")</f>
        <v>#VALUE!</v>
      </c>
      <c r="BK103" t="e">
        <f>AND(Names!AD192,"AAAAAE9//j4=")</f>
        <v>#VALUE!</v>
      </c>
      <c r="BL103" t="e">
        <f>AND(Names!AE192,"AAAAAE9//j8=")</f>
        <v>#VALUE!</v>
      </c>
      <c r="BM103" t="e">
        <f>AND(Names!AF192,"AAAAAE9//kA=")</f>
        <v>#VALUE!</v>
      </c>
      <c r="BN103" t="e">
        <f>AND(Names!AG192,"AAAAAE9//kE=")</f>
        <v>#VALUE!</v>
      </c>
      <c r="BO103" t="e">
        <f>AND(Names!AH192,"AAAAAE9//kI=")</f>
        <v>#VALUE!</v>
      </c>
      <c r="BP103" t="e">
        <f>AND(Names!AI192,"AAAAAE9//kM=")</f>
        <v>#VALUE!</v>
      </c>
      <c r="BQ103" t="e">
        <f>AND(Names!AJ192,"AAAAAE9//kQ=")</f>
        <v>#VALUE!</v>
      </c>
      <c r="BR103" t="e">
        <f>AND(Names!AK192,"AAAAAE9//kU=")</f>
        <v>#VALUE!</v>
      </c>
      <c r="BS103" t="e">
        <f>AND(Names!AL192,"AAAAAE9//kY=")</f>
        <v>#VALUE!</v>
      </c>
      <c r="BT103" t="e">
        <f>AND(Names!AM192,"AAAAAE9//kc=")</f>
        <v>#VALUE!</v>
      </c>
      <c r="BU103">
        <f>IF(Names!193:193,"AAAAAE9//kg=",0)</f>
        <v>0</v>
      </c>
      <c r="BV103" t="e">
        <f>AND(Names!A193,"AAAAAE9//kk=")</f>
        <v>#VALUE!</v>
      </c>
      <c r="BW103" t="e">
        <f>AND(Names!B193,"AAAAAE9//ko=")</f>
        <v>#VALUE!</v>
      </c>
      <c r="BX103" t="e">
        <f>AND(Names!C193,"AAAAAE9//ks=")</f>
        <v>#VALUE!</v>
      </c>
      <c r="BY103" t="e">
        <f>AND(Names!D193,"AAAAAE9//kw=")</f>
        <v>#VALUE!</v>
      </c>
      <c r="BZ103" t="e">
        <f>AND(Names!E193,"AAAAAE9//k0=")</f>
        <v>#VALUE!</v>
      </c>
      <c r="CA103" t="e">
        <f>AND(Names!F193,"AAAAAE9//k4=")</f>
        <v>#VALUE!</v>
      </c>
      <c r="CB103" t="e">
        <f>AND(Names!G193,"AAAAAE9//k8=")</f>
        <v>#VALUE!</v>
      </c>
      <c r="CC103" t="e">
        <f>AND(Names!H193,"AAAAAE9//lA=")</f>
        <v>#VALUE!</v>
      </c>
      <c r="CD103" t="e">
        <f>AND(Names!I193,"AAAAAE9//lE=")</f>
        <v>#VALUE!</v>
      </c>
      <c r="CE103" t="e">
        <f>AND(Names!J193,"AAAAAE9//lI=")</f>
        <v>#VALUE!</v>
      </c>
      <c r="CF103" t="e">
        <f>AND(Names!K193,"AAAAAE9//lM=")</f>
        <v>#VALUE!</v>
      </c>
      <c r="CG103" t="e">
        <f>AND(Names!L193,"AAAAAE9//lQ=")</f>
        <v>#VALUE!</v>
      </c>
      <c r="CH103" t="e">
        <f>AND(Names!M193,"AAAAAE9//lU=")</f>
        <v>#VALUE!</v>
      </c>
      <c r="CI103" t="e">
        <f>AND(Names!N193,"AAAAAE9//lY=")</f>
        <v>#VALUE!</v>
      </c>
      <c r="CJ103" t="e">
        <f>AND(Names!O193,"AAAAAE9//lc=")</f>
        <v>#VALUE!</v>
      </c>
      <c r="CK103" t="e">
        <f>AND(Names!P193,"AAAAAE9//lg=")</f>
        <v>#VALUE!</v>
      </c>
      <c r="CL103" t="e">
        <f>AND(Names!Q193,"AAAAAE9//lk=")</f>
        <v>#VALUE!</v>
      </c>
      <c r="CM103" t="e">
        <f>AND(Names!R193,"AAAAAE9//lo=")</f>
        <v>#VALUE!</v>
      </c>
      <c r="CN103" t="e">
        <f>AND(Names!S193,"AAAAAE9//ls=")</f>
        <v>#VALUE!</v>
      </c>
      <c r="CO103" t="e">
        <f>AND(Names!T193,"AAAAAE9//lw=")</f>
        <v>#VALUE!</v>
      </c>
      <c r="CP103" t="e">
        <f>AND(Names!U193,"AAAAAE9//l0=")</f>
        <v>#VALUE!</v>
      </c>
      <c r="CQ103" t="e">
        <f>AND(Names!V193,"AAAAAE9//l4=")</f>
        <v>#VALUE!</v>
      </c>
      <c r="CR103" t="e">
        <f>AND(Names!W193,"AAAAAE9//l8=")</f>
        <v>#VALUE!</v>
      </c>
      <c r="CS103" t="e">
        <f>AND(Names!X193,"AAAAAE9//mA=")</f>
        <v>#VALUE!</v>
      </c>
      <c r="CT103" t="e">
        <f>AND(Names!Y193,"AAAAAE9//mE=")</f>
        <v>#VALUE!</v>
      </c>
      <c r="CU103" t="e">
        <f>AND(Names!Z193,"AAAAAE9//mI=")</f>
        <v>#VALUE!</v>
      </c>
      <c r="CV103" t="e">
        <f>AND(Names!AA193,"AAAAAE9//mM=")</f>
        <v>#VALUE!</v>
      </c>
      <c r="CW103" t="e">
        <f>AND(Names!AB193,"AAAAAE9//mQ=")</f>
        <v>#VALUE!</v>
      </c>
      <c r="CX103" t="e">
        <f>AND(Names!AC193,"AAAAAE9//mU=")</f>
        <v>#VALUE!</v>
      </c>
      <c r="CY103" t="e">
        <f>AND(Names!AD193,"AAAAAE9//mY=")</f>
        <v>#VALUE!</v>
      </c>
      <c r="CZ103" t="e">
        <f>AND(Names!AE193,"AAAAAE9//mc=")</f>
        <v>#VALUE!</v>
      </c>
      <c r="DA103" t="e">
        <f>AND(Names!AF193,"AAAAAE9//mg=")</f>
        <v>#VALUE!</v>
      </c>
      <c r="DB103" t="e">
        <f>AND(Names!AG193,"AAAAAE9//mk=")</f>
        <v>#VALUE!</v>
      </c>
      <c r="DC103" t="e">
        <f>AND(Names!AH193,"AAAAAE9//mo=")</f>
        <v>#VALUE!</v>
      </c>
      <c r="DD103" t="e">
        <f>AND(Names!AI193,"AAAAAE9//ms=")</f>
        <v>#VALUE!</v>
      </c>
      <c r="DE103" t="e">
        <f>AND(Names!AJ193,"AAAAAE9//mw=")</f>
        <v>#VALUE!</v>
      </c>
      <c r="DF103" t="e">
        <f>AND(Names!AK193,"AAAAAE9//m0=")</f>
        <v>#VALUE!</v>
      </c>
      <c r="DG103" t="e">
        <f>AND(Names!AL193,"AAAAAE9//m4=")</f>
        <v>#VALUE!</v>
      </c>
      <c r="DH103" t="e">
        <f>AND(Names!AM193,"AAAAAE9//m8=")</f>
        <v>#VALUE!</v>
      </c>
      <c r="DI103">
        <f>IF(Names!194:194,"AAAAAE9//nA=",0)</f>
        <v>0</v>
      </c>
      <c r="DJ103" t="e">
        <f>AND(Names!A194,"AAAAAE9//nE=")</f>
        <v>#VALUE!</v>
      </c>
      <c r="DK103" t="e">
        <f>AND(Names!B194,"AAAAAE9//nI=")</f>
        <v>#VALUE!</v>
      </c>
      <c r="DL103" t="e">
        <f>AND(Names!C194,"AAAAAE9//nM=")</f>
        <v>#VALUE!</v>
      </c>
      <c r="DM103" t="e">
        <f>AND(Names!D194,"AAAAAE9//nQ=")</f>
        <v>#VALUE!</v>
      </c>
      <c r="DN103" t="e">
        <f>AND(Names!E194,"AAAAAE9//nU=")</f>
        <v>#VALUE!</v>
      </c>
      <c r="DO103" t="e">
        <f>AND(Names!F194,"AAAAAE9//nY=")</f>
        <v>#VALUE!</v>
      </c>
      <c r="DP103" t="e">
        <f>AND(Names!G194,"AAAAAE9//nc=")</f>
        <v>#VALUE!</v>
      </c>
      <c r="DQ103" t="e">
        <f>AND(Names!H194,"AAAAAE9//ng=")</f>
        <v>#VALUE!</v>
      </c>
      <c r="DR103" t="e">
        <f>AND(Names!I194,"AAAAAE9//nk=")</f>
        <v>#VALUE!</v>
      </c>
      <c r="DS103" t="e">
        <f>AND(Names!J194,"AAAAAE9//no=")</f>
        <v>#VALUE!</v>
      </c>
      <c r="DT103" t="e">
        <f>AND(Names!K194,"AAAAAE9//ns=")</f>
        <v>#VALUE!</v>
      </c>
      <c r="DU103" t="e">
        <f>AND(Names!L194,"AAAAAE9//nw=")</f>
        <v>#VALUE!</v>
      </c>
      <c r="DV103" t="e">
        <f>AND(Names!M194,"AAAAAE9//n0=")</f>
        <v>#VALUE!</v>
      </c>
      <c r="DW103" t="e">
        <f>AND(Names!N194,"AAAAAE9//n4=")</f>
        <v>#VALUE!</v>
      </c>
      <c r="DX103" t="e">
        <f>AND(Names!O194,"AAAAAE9//n8=")</f>
        <v>#VALUE!</v>
      </c>
      <c r="DY103" t="e">
        <f>AND(Names!P194,"AAAAAE9//oA=")</f>
        <v>#VALUE!</v>
      </c>
      <c r="DZ103" t="e">
        <f>AND(Names!Q194,"AAAAAE9//oE=")</f>
        <v>#VALUE!</v>
      </c>
      <c r="EA103" t="e">
        <f>AND(Names!R194,"AAAAAE9//oI=")</f>
        <v>#VALUE!</v>
      </c>
      <c r="EB103" t="e">
        <f>AND(Names!S194,"AAAAAE9//oM=")</f>
        <v>#VALUE!</v>
      </c>
      <c r="EC103" t="e">
        <f>AND(Names!T194,"AAAAAE9//oQ=")</f>
        <v>#VALUE!</v>
      </c>
      <c r="ED103" t="e">
        <f>AND(Names!U194,"AAAAAE9//oU=")</f>
        <v>#VALUE!</v>
      </c>
      <c r="EE103" t="e">
        <f>AND(Names!V194,"AAAAAE9//oY=")</f>
        <v>#VALUE!</v>
      </c>
      <c r="EF103" t="e">
        <f>AND(Names!W194,"AAAAAE9//oc=")</f>
        <v>#VALUE!</v>
      </c>
      <c r="EG103" t="e">
        <f>AND(Names!X194,"AAAAAE9//og=")</f>
        <v>#VALUE!</v>
      </c>
      <c r="EH103" t="e">
        <f>AND(Names!Y194,"AAAAAE9//ok=")</f>
        <v>#VALUE!</v>
      </c>
      <c r="EI103" t="e">
        <f>AND(Names!Z194,"AAAAAE9//oo=")</f>
        <v>#VALUE!</v>
      </c>
      <c r="EJ103" t="e">
        <f>AND(Names!AA194,"AAAAAE9//os=")</f>
        <v>#VALUE!</v>
      </c>
      <c r="EK103" t="e">
        <f>AND(Names!AB194,"AAAAAE9//ow=")</f>
        <v>#VALUE!</v>
      </c>
      <c r="EL103" t="e">
        <f>AND(Names!AC194,"AAAAAE9//o0=")</f>
        <v>#VALUE!</v>
      </c>
      <c r="EM103" t="e">
        <f>AND(Names!AD194,"AAAAAE9//o4=")</f>
        <v>#VALUE!</v>
      </c>
      <c r="EN103" t="e">
        <f>AND(Names!AE194,"AAAAAE9//o8=")</f>
        <v>#VALUE!</v>
      </c>
      <c r="EO103" t="e">
        <f>AND(Names!AF194,"AAAAAE9//pA=")</f>
        <v>#VALUE!</v>
      </c>
      <c r="EP103" t="e">
        <f>AND(Names!AG194,"AAAAAE9//pE=")</f>
        <v>#VALUE!</v>
      </c>
      <c r="EQ103" t="e">
        <f>AND(Names!AH194,"AAAAAE9//pI=")</f>
        <v>#VALUE!</v>
      </c>
      <c r="ER103" t="e">
        <f>AND(Names!AI194,"AAAAAE9//pM=")</f>
        <v>#VALUE!</v>
      </c>
      <c r="ES103" t="e">
        <f>AND(Names!AJ194,"AAAAAE9//pQ=")</f>
        <v>#VALUE!</v>
      </c>
      <c r="ET103" t="e">
        <f>AND(Names!AK194,"AAAAAE9//pU=")</f>
        <v>#VALUE!</v>
      </c>
      <c r="EU103" t="e">
        <f>AND(Names!AL194,"AAAAAE9//pY=")</f>
        <v>#VALUE!</v>
      </c>
      <c r="EV103" t="e">
        <f>AND(Names!AM194,"AAAAAE9//pc=")</f>
        <v>#VALUE!</v>
      </c>
      <c r="EW103">
        <f>IF(Names!195:195,"AAAAAE9//pg=",0)</f>
        <v>0</v>
      </c>
      <c r="EX103" t="e">
        <f>AND(Names!A195,"AAAAAE9//pk=")</f>
        <v>#VALUE!</v>
      </c>
      <c r="EY103" t="e">
        <f>AND(Names!B195,"AAAAAE9//po=")</f>
        <v>#VALUE!</v>
      </c>
      <c r="EZ103" t="e">
        <f>AND(Names!C195,"AAAAAE9//ps=")</f>
        <v>#VALUE!</v>
      </c>
      <c r="FA103" t="e">
        <f>AND(Names!D195,"AAAAAE9//pw=")</f>
        <v>#VALUE!</v>
      </c>
      <c r="FB103" t="e">
        <f>AND(Names!E195,"AAAAAE9//p0=")</f>
        <v>#VALUE!</v>
      </c>
      <c r="FC103" t="e">
        <f>AND(Names!F195,"AAAAAE9//p4=")</f>
        <v>#VALUE!</v>
      </c>
      <c r="FD103" t="e">
        <f>AND(Names!G195,"AAAAAE9//p8=")</f>
        <v>#VALUE!</v>
      </c>
      <c r="FE103" t="e">
        <f>AND(Names!H195,"AAAAAE9//qA=")</f>
        <v>#VALUE!</v>
      </c>
      <c r="FF103" t="e">
        <f>AND(Names!I195,"AAAAAE9//qE=")</f>
        <v>#VALUE!</v>
      </c>
      <c r="FG103" t="e">
        <f>AND(Names!J195,"AAAAAE9//qI=")</f>
        <v>#VALUE!</v>
      </c>
      <c r="FH103" t="e">
        <f>AND(Names!K195,"AAAAAE9//qM=")</f>
        <v>#VALUE!</v>
      </c>
      <c r="FI103" t="e">
        <f>AND(Names!L195,"AAAAAE9//qQ=")</f>
        <v>#VALUE!</v>
      </c>
      <c r="FJ103" t="e">
        <f>AND(Names!M195,"AAAAAE9//qU=")</f>
        <v>#VALUE!</v>
      </c>
      <c r="FK103" t="e">
        <f>AND(Names!N195,"AAAAAE9//qY=")</f>
        <v>#VALUE!</v>
      </c>
      <c r="FL103" t="e">
        <f>AND(Names!O195,"AAAAAE9//qc=")</f>
        <v>#VALUE!</v>
      </c>
      <c r="FM103" t="e">
        <f>AND(Names!P195,"AAAAAE9//qg=")</f>
        <v>#VALUE!</v>
      </c>
      <c r="FN103" t="e">
        <f>AND(Names!Q195,"AAAAAE9//qk=")</f>
        <v>#VALUE!</v>
      </c>
      <c r="FO103" t="e">
        <f>AND(Names!R195,"AAAAAE9//qo=")</f>
        <v>#VALUE!</v>
      </c>
      <c r="FP103" t="e">
        <f>AND(Names!S195,"AAAAAE9//qs=")</f>
        <v>#VALUE!</v>
      </c>
      <c r="FQ103" t="e">
        <f>AND(Names!T195,"AAAAAE9//qw=")</f>
        <v>#VALUE!</v>
      </c>
      <c r="FR103" t="e">
        <f>AND(Names!U195,"AAAAAE9//q0=")</f>
        <v>#VALUE!</v>
      </c>
      <c r="FS103" t="e">
        <f>AND(Names!V195,"AAAAAE9//q4=")</f>
        <v>#VALUE!</v>
      </c>
      <c r="FT103" t="e">
        <f>AND(Names!W195,"AAAAAE9//q8=")</f>
        <v>#VALUE!</v>
      </c>
      <c r="FU103" t="e">
        <f>AND(Names!X195,"AAAAAE9//rA=")</f>
        <v>#VALUE!</v>
      </c>
      <c r="FV103" t="e">
        <f>AND(Names!Y195,"AAAAAE9//rE=")</f>
        <v>#VALUE!</v>
      </c>
      <c r="FW103" t="e">
        <f>AND(Names!Z195,"AAAAAE9//rI=")</f>
        <v>#VALUE!</v>
      </c>
      <c r="FX103" t="e">
        <f>AND(Names!AA195,"AAAAAE9//rM=")</f>
        <v>#VALUE!</v>
      </c>
      <c r="FY103" t="e">
        <f>AND(Names!AB195,"AAAAAE9//rQ=")</f>
        <v>#VALUE!</v>
      </c>
      <c r="FZ103" t="e">
        <f>AND(Names!AC195,"AAAAAE9//rU=")</f>
        <v>#VALUE!</v>
      </c>
      <c r="GA103" t="e">
        <f>AND(Names!AD195,"AAAAAE9//rY=")</f>
        <v>#VALUE!</v>
      </c>
      <c r="GB103" t="e">
        <f>AND(Names!AE195,"AAAAAE9//rc=")</f>
        <v>#VALUE!</v>
      </c>
      <c r="GC103" t="e">
        <f>AND(Names!AF195,"AAAAAE9//rg=")</f>
        <v>#VALUE!</v>
      </c>
      <c r="GD103" t="e">
        <f>AND(Names!AG195,"AAAAAE9//rk=")</f>
        <v>#VALUE!</v>
      </c>
      <c r="GE103" t="e">
        <f>AND(Names!AH195,"AAAAAE9//ro=")</f>
        <v>#VALUE!</v>
      </c>
      <c r="GF103" t="e">
        <f>AND(Names!AI195,"AAAAAE9//rs=")</f>
        <v>#VALUE!</v>
      </c>
      <c r="GG103" t="e">
        <f>AND(Names!AJ195,"AAAAAE9//rw=")</f>
        <v>#VALUE!</v>
      </c>
      <c r="GH103" t="e">
        <f>AND(Names!AK195,"AAAAAE9//r0=")</f>
        <v>#VALUE!</v>
      </c>
      <c r="GI103" t="e">
        <f>AND(Names!AL195,"AAAAAE9//r4=")</f>
        <v>#VALUE!</v>
      </c>
      <c r="GJ103" t="e">
        <f>AND(Names!AM195,"AAAAAE9//r8=")</f>
        <v>#VALUE!</v>
      </c>
      <c r="GK103">
        <f>IF(Names!196:196,"AAAAAE9//sA=",0)</f>
        <v>0</v>
      </c>
      <c r="GL103" t="e">
        <f>AND(Names!A196,"AAAAAE9//sE=")</f>
        <v>#VALUE!</v>
      </c>
      <c r="GM103" t="e">
        <f>AND(Names!B196,"AAAAAE9//sI=")</f>
        <v>#VALUE!</v>
      </c>
      <c r="GN103" t="e">
        <f>AND(Names!C196,"AAAAAE9//sM=")</f>
        <v>#VALUE!</v>
      </c>
      <c r="GO103" t="e">
        <f>AND(Names!D196,"AAAAAE9//sQ=")</f>
        <v>#VALUE!</v>
      </c>
      <c r="GP103" t="e">
        <f>AND(Names!E196,"AAAAAE9//sU=")</f>
        <v>#VALUE!</v>
      </c>
      <c r="GQ103" t="e">
        <f>AND(Names!F196,"AAAAAE9//sY=")</f>
        <v>#VALUE!</v>
      </c>
      <c r="GR103" t="e">
        <f>AND(Names!G196,"AAAAAE9//sc=")</f>
        <v>#VALUE!</v>
      </c>
      <c r="GS103" t="e">
        <f>AND(Names!H196,"AAAAAE9//sg=")</f>
        <v>#VALUE!</v>
      </c>
      <c r="GT103" t="e">
        <f>AND(Names!I196,"AAAAAE9//sk=")</f>
        <v>#VALUE!</v>
      </c>
      <c r="GU103" t="e">
        <f>AND(Names!J196,"AAAAAE9//so=")</f>
        <v>#VALUE!</v>
      </c>
      <c r="GV103" t="e">
        <f>AND(Names!K196,"AAAAAE9//ss=")</f>
        <v>#VALUE!</v>
      </c>
      <c r="GW103" t="e">
        <f>AND(Names!L196,"AAAAAE9//sw=")</f>
        <v>#VALUE!</v>
      </c>
      <c r="GX103" t="e">
        <f>AND(Names!M196,"AAAAAE9//s0=")</f>
        <v>#VALUE!</v>
      </c>
      <c r="GY103" t="e">
        <f>AND(Names!N196,"AAAAAE9//s4=")</f>
        <v>#VALUE!</v>
      </c>
      <c r="GZ103" t="e">
        <f>AND(Names!O196,"AAAAAE9//s8=")</f>
        <v>#VALUE!</v>
      </c>
      <c r="HA103" t="e">
        <f>AND(Names!P196,"AAAAAE9//tA=")</f>
        <v>#VALUE!</v>
      </c>
      <c r="HB103" t="e">
        <f>AND(Names!Q196,"AAAAAE9//tE=")</f>
        <v>#VALUE!</v>
      </c>
      <c r="HC103" t="e">
        <f>AND(Names!R196,"AAAAAE9//tI=")</f>
        <v>#VALUE!</v>
      </c>
      <c r="HD103" t="e">
        <f>AND(Names!S196,"AAAAAE9//tM=")</f>
        <v>#VALUE!</v>
      </c>
      <c r="HE103" t="e">
        <f>AND(Names!T196,"AAAAAE9//tQ=")</f>
        <v>#VALUE!</v>
      </c>
      <c r="HF103" t="e">
        <f>AND(Names!U196,"AAAAAE9//tU=")</f>
        <v>#VALUE!</v>
      </c>
      <c r="HG103" t="e">
        <f>AND(Names!V196,"AAAAAE9//tY=")</f>
        <v>#VALUE!</v>
      </c>
      <c r="HH103" t="e">
        <f>AND(Names!W196,"AAAAAE9//tc=")</f>
        <v>#VALUE!</v>
      </c>
      <c r="HI103" t="e">
        <f>AND(Names!X196,"AAAAAE9//tg=")</f>
        <v>#VALUE!</v>
      </c>
      <c r="HJ103" t="e">
        <f>AND(Names!Y196,"AAAAAE9//tk=")</f>
        <v>#VALUE!</v>
      </c>
      <c r="HK103" t="e">
        <f>AND(Names!Z196,"AAAAAE9//to=")</f>
        <v>#VALUE!</v>
      </c>
      <c r="HL103" t="e">
        <f>AND(Names!AA196,"AAAAAE9//ts=")</f>
        <v>#VALUE!</v>
      </c>
      <c r="HM103" t="e">
        <f>AND(Names!AB196,"AAAAAE9//tw=")</f>
        <v>#VALUE!</v>
      </c>
      <c r="HN103" t="e">
        <f>AND(Names!AC196,"AAAAAE9//t0=")</f>
        <v>#VALUE!</v>
      </c>
      <c r="HO103" t="e">
        <f>AND(Names!AD196,"AAAAAE9//t4=")</f>
        <v>#VALUE!</v>
      </c>
      <c r="HP103" t="e">
        <f>AND(Names!AE196,"AAAAAE9//t8=")</f>
        <v>#VALUE!</v>
      </c>
      <c r="HQ103" t="e">
        <f>AND(Names!AF196,"AAAAAE9//uA=")</f>
        <v>#VALUE!</v>
      </c>
      <c r="HR103" t="e">
        <f>AND(Names!AG196,"AAAAAE9//uE=")</f>
        <v>#VALUE!</v>
      </c>
      <c r="HS103" t="e">
        <f>AND(Names!AH196,"AAAAAE9//uI=")</f>
        <v>#VALUE!</v>
      </c>
      <c r="HT103" t="e">
        <f>AND(Names!AI196,"AAAAAE9//uM=")</f>
        <v>#VALUE!</v>
      </c>
      <c r="HU103" t="e">
        <f>AND(Names!AJ196,"AAAAAE9//uQ=")</f>
        <v>#VALUE!</v>
      </c>
      <c r="HV103" t="e">
        <f>AND(Names!AK196,"AAAAAE9//uU=")</f>
        <v>#VALUE!</v>
      </c>
      <c r="HW103" t="e">
        <f>AND(Names!AL196,"AAAAAE9//uY=")</f>
        <v>#VALUE!</v>
      </c>
      <c r="HX103" t="e">
        <f>AND(Names!AM196,"AAAAAE9//uc=")</f>
        <v>#VALUE!</v>
      </c>
      <c r="HY103">
        <f>IF(Names!197:197,"AAAAAE9//ug=",0)</f>
        <v>0</v>
      </c>
      <c r="HZ103" t="e">
        <f>AND(Names!A197,"AAAAAE9//uk=")</f>
        <v>#VALUE!</v>
      </c>
      <c r="IA103" t="e">
        <f>AND(Names!B197,"AAAAAE9//uo=")</f>
        <v>#VALUE!</v>
      </c>
      <c r="IB103" t="e">
        <f>AND(Names!C197,"AAAAAE9//us=")</f>
        <v>#VALUE!</v>
      </c>
      <c r="IC103" t="e">
        <f>AND(Names!D197,"AAAAAE9//uw=")</f>
        <v>#VALUE!</v>
      </c>
      <c r="ID103" t="e">
        <f>AND(Names!E197,"AAAAAE9//u0=")</f>
        <v>#VALUE!</v>
      </c>
      <c r="IE103" t="e">
        <f>AND(Names!F197,"AAAAAE9//u4=")</f>
        <v>#VALUE!</v>
      </c>
      <c r="IF103" t="e">
        <f>AND(Names!G197,"AAAAAE9//u8=")</f>
        <v>#VALUE!</v>
      </c>
      <c r="IG103" t="e">
        <f>AND(Names!H197,"AAAAAE9//vA=")</f>
        <v>#VALUE!</v>
      </c>
      <c r="IH103" t="e">
        <f>AND(Names!I197,"AAAAAE9//vE=")</f>
        <v>#VALUE!</v>
      </c>
      <c r="II103" t="e">
        <f>AND(Names!J197,"AAAAAE9//vI=")</f>
        <v>#VALUE!</v>
      </c>
      <c r="IJ103" t="e">
        <f>AND(Names!K197,"AAAAAE9//vM=")</f>
        <v>#VALUE!</v>
      </c>
      <c r="IK103" t="e">
        <f>AND(Names!L197,"AAAAAE9//vQ=")</f>
        <v>#VALUE!</v>
      </c>
      <c r="IL103" t="e">
        <f>AND(Names!M197,"AAAAAE9//vU=")</f>
        <v>#VALUE!</v>
      </c>
      <c r="IM103" t="e">
        <f>AND(Names!N197,"AAAAAE9//vY=")</f>
        <v>#VALUE!</v>
      </c>
      <c r="IN103" t="e">
        <f>AND(Names!O197,"AAAAAE9//vc=")</f>
        <v>#VALUE!</v>
      </c>
      <c r="IO103" t="e">
        <f>AND(Names!P197,"AAAAAE9//vg=")</f>
        <v>#VALUE!</v>
      </c>
      <c r="IP103" t="e">
        <f>AND(Names!Q197,"AAAAAE9//vk=")</f>
        <v>#VALUE!</v>
      </c>
      <c r="IQ103" t="e">
        <f>AND(Names!R197,"AAAAAE9//vo=")</f>
        <v>#VALUE!</v>
      </c>
      <c r="IR103" t="e">
        <f>AND(Names!S197,"AAAAAE9//vs=")</f>
        <v>#VALUE!</v>
      </c>
      <c r="IS103" t="e">
        <f>AND(Names!T197,"AAAAAE9//vw=")</f>
        <v>#VALUE!</v>
      </c>
      <c r="IT103" t="e">
        <f>AND(Names!U197,"AAAAAE9//v0=")</f>
        <v>#VALUE!</v>
      </c>
      <c r="IU103" t="e">
        <f>AND(Names!V197,"AAAAAE9//v4=")</f>
        <v>#VALUE!</v>
      </c>
      <c r="IV103" t="e">
        <f>AND(Names!W197,"AAAAAE9//v8=")</f>
        <v>#VALUE!</v>
      </c>
    </row>
    <row r="104" spans="1:256" x14ac:dyDescent="0.15">
      <c r="A104" t="e">
        <f>AND(Names!X197,"AAAAAG893wA=")</f>
        <v>#VALUE!</v>
      </c>
      <c r="B104" t="e">
        <f>AND(Names!Y197,"AAAAAG893wE=")</f>
        <v>#VALUE!</v>
      </c>
      <c r="C104" t="e">
        <f>AND(Names!Z197,"AAAAAG893wI=")</f>
        <v>#VALUE!</v>
      </c>
      <c r="D104" t="e">
        <f>AND(Names!AA197,"AAAAAG893wM=")</f>
        <v>#VALUE!</v>
      </c>
      <c r="E104" t="e">
        <f>AND(Names!AB197,"AAAAAG893wQ=")</f>
        <v>#VALUE!</v>
      </c>
      <c r="F104" t="e">
        <f>AND(Names!AC197,"AAAAAG893wU=")</f>
        <v>#VALUE!</v>
      </c>
      <c r="G104" t="e">
        <f>AND(Names!AD197,"AAAAAG893wY=")</f>
        <v>#VALUE!</v>
      </c>
      <c r="H104" t="e">
        <f>AND(Names!AE197,"AAAAAG893wc=")</f>
        <v>#VALUE!</v>
      </c>
      <c r="I104" t="e">
        <f>AND(Names!AF197,"AAAAAG893wg=")</f>
        <v>#VALUE!</v>
      </c>
      <c r="J104" t="e">
        <f>AND(Names!AG197,"AAAAAG893wk=")</f>
        <v>#VALUE!</v>
      </c>
      <c r="K104" t="e">
        <f>AND(Names!AH197,"AAAAAG893wo=")</f>
        <v>#VALUE!</v>
      </c>
      <c r="L104" t="e">
        <f>AND(Names!AI197,"AAAAAG893ws=")</f>
        <v>#VALUE!</v>
      </c>
      <c r="M104" t="e">
        <f>AND(Names!AJ197,"AAAAAG893ww=")</f>
        <v>#VALUE!</v>
      </c>
      <c r="N104" t="e">
        <f>AND(Names!AK197,"AAAAAG893w0=")</f>
        <v>#VALUE!</v>
      </c>
      <c r="O104" t="e">
        <f>AND(Names!AL197,"AAAAAG893w4=")</f>
        <v>#VALUE!</v>
      </c>
      <c r="P104" t="e">
        <f>AND(Names!AM197,"AAAAAG893w8=")</f>
        <v>#VALUE!</v>
      </c>
      <c r="Q104">
        <f>IF(Names!198:198,"AAAAAG893xA=",0)</f>
        <v>0</v>
      </c>
      <c r="R104" t="e">
        <f>AND(Names!A198,"AAAAAG893xE=")</f>
        <v>#VALUE!</v>
      </c>
      <c r="S104" t="e">
        <f>AND(Names!B198,"AAAAAG893xI=")</f>
        <v>#VALUE!</v>
      </c>
      <c r="T104" t="e">
        <f>AND(Names!C198,"AAAAAG893xM=")</f>
        <v>#VALUE!</v>
      </c>
      <c r="U104" t="e">
        <f>AND(Names!D198,"AAAAAG893xQ=")</f>
        <v>#VALUE!</v>
      </c>
      <c r="V104" t="e">
        <f>AND(Names!E198,"AAAAAG893xU=")</f>
        <v>#VALUE!</v>
      </c>
      <c r="W104" t="e">
        <f>AND(Names!F198,"AAAAAG893xY=")</f>
        <v>#VALUE!</v>
      </c>
      <c r="X104" t="e">
        <f>AND(Names!G198,"AAAAAG893xc=")</f>
        <v>#VALUE!</v>
      </c>
      <c r="Y104" t="e">
        <f>AND(Names!H198,"AAAAAG893xg=")</f>
        <v>#VALUE!</v>
      </c>
      <c r="Z104" t="e">
        <f>AND(Names!I198,"AAAAAG893xk=")</f>
        <v>#VALUE!</v>
      </c>
      <c r="AA104" t="e">
        <f>AND(Names!J198,"AAAAAG893xo=")</f>
        <v>#VALUE!</v>
      </c>
      <c r="AB104" t="e">
        <f>AND(Names!K198,"AAAAAG893xs=")</f>
        <v>#VALUE!</v>
      </c>
      <c r="AC104" t="e">
        <f>AND(Names!L198,"AAAAAG893xw=")</f>
        <v>#VALUE!</v>
      </c>
      <c r="AD104" t="e">
        <f>AND(Names!M198,"AAAAAG893x0=")</f>
        <v>#VALUE!</v>
      </c>
      <c r="AE104" t="e">
        <f>AND(Names!N198,"AAAAAG893x4=")</f>
        <v>#VALUE!</v>
      </c>
      <c r="AF104" t="e">
        <f>AND(Names!O198,"AAAAAG893x8=")</f>
        <v>#VALUE!</v>
      </c>
      <c r="AG104" t="e">
        <f>AND(Names!P198,"AAAAAG893yA=")</f>
        <v>#VALUE!</v>
      </c>
      <c r="AH104" t="e">
        <f>AND(Names!Q198,"AAAAAG893yE=")</f>
        <v>#VALUE!</v>
      </c>
      <c r="AI104" t="e">
        <f>AND(Names!R198,"AAAAAG893yI=")</f>
        <v>#VALUE!</v>
      </c>
      <c r="AJ104" t="e">
        <f>AND(Names!S198,"AAAAAG893yM=")</f>
        <v>#VALUE!</v>
      </c>
      <c r="AK104" t="e">
        <f>AND(Names!T198,"AAAAAG893yQ=")</f>
        <v>#VALUE!</v>
      </c>
      <c r="AL104" t="e">
        <f>AND(Names!U198,"AAAAAG893yU=")</f>
        <v>#VALUE!</v>
      </c>
      <c r="AM104" t="e">
        <f>AND(Names!V198,"AAAAAG893yY=")</f>
        <v>#VALUE!</v>
      </c>
      <c r="AN104" t="e">
        <f>AND(Names!W198,"AAAAAG893yc=")</f>
        <v>#VALUE!</v>
      </c>
      <c r="AO104" t="e">
        <f>AND(Names!X198,"AAAAAG893yg=")</f>
        <v>#VALUE!</v>
      </c>
      <c r="AP104" t="e">
        <f>AND(Names!Y198,"AAAAAG893yk=")</f>
        <v>#VALUE!</v>
      </c>
      <c r="AQ104" t="e">
        <f>AND(Names!Z198,"AAAAAG893yo=")</f>
        <v>#VALUE!</v>
      </c>
      <c r="AR104" t="e">
        <f>AND(Names!AA198,"AAAAAG893ys=")</f>
        <v>#VALUE!</v>
      </c>
      <c r="AS104" t="e">
        <f>AND(Names!AB198,"AAAAAG893yw=")</f>
        <v>#VALUE!</v>
      </c>
      <c r="AT104" t="e">
        <f>AND(Names!AC198,"AAAAAG893y0=")</f>
        <v>#VALUE!</v>
      </c>
      <c r="AU104" t="e">
        <f>AND(Names!AD198,"AAAAAG893y4=")</f>
        <v>#VALUE!</v>
      </c>
      <c r="AV104" t="e">
        <f>AND(Names!AE198,"AAAAAG893y8=")</f>
        <v>#VALUE!</v>
      </c>
      <c r="AW104" t="e">
        <f>AND(Names!AF198,"AAAAAG893zA=")</f>
        <v>#VALUE!</v>
      </c>
      <c r="AX104" t="e">
        <f>AND(Names!AG198,"AAAAAG893zE=")</f>
        <v>#VALUE!</v>
      </c>
      <c r="AY104" t="e">
        <f>AND(Names!AH198,"AAAAAG893zI=")</f>
        <v>#VALUE!</v>
      </c>
      <c r="AZ104" t="e">
        <f>AND(Names!AI198,"AAAAAG893zM=")</f>
        <v>#VALUE!</v>
      </c>
      <c r="BA104" t="e">
        <f>AND(Names!AJ198,"AAAAAG893zQ=")</f>
        <v>#VALUE!</v>
      </c>
      <c r="BB104" t="e">
        <f>AND(Names!AK198,"AAAAAG893zU=")</f>
        <v>#VALUE!</v>
      </c>
      <c r="BC104" t="e">
        <f>AND(Names!AL198,"AAAAAG893zY=")</f>
        <v>#VALUE!</v>
      </c>
      <c r="BD104" t="e">
        <f>AND(Names!AM198,"AAAAAG893zc=")</f>
        <v>#VALUE!</v>
      </c>
      <c r="BE104">
        <f>IF(Names!199:199,"AAAAAG893zg=",0)</f>
        <v>0</v>
      </c>
      <c r="BF104" t="e">
        <f>AND(Names!A199,"AAAAAG893zk=")</f>
        <v>#VALUE!</v>
      </c>
      <c r="BG104" t="e">
        <f>AND(Names!B199,"AAAAAG893zo=")</f>
        <v>#VALUE!</v>
      </c>
      <c r="BH104" t="e">
        <f>AND(Names!C199,"AAAAAG893zs=")</f>
        <v>#VALUE!</v>
      </c>
      <c r="BI104" t="e">
        <f>AND(Names!D199,"AAAAAG893zw=")</f>
        <v>#VALUE!</v>
      </c>
      <c r="BJ104" t="e">
        <f>AND(Names!E199,"AAAAAG893z0=")</f>
        <v>#VALUE!</v>
      </c>
      <c r="BK104" t="e">
        <f>AND(Names!F199,"AAAAAG893z4=")</f>
        <v>#VALUE!</v>
      </c>
      <c r="BL104" t="e">
        <f>AND(Names!G199,"AAAAAG893z8=")</f>
        <v>#VALUE!</v>
      </c>
      <c r="BM104" t="e">
        <f>AND(Names!H199,"AAAAAG8930A=")</f>
        <v>#VALUE!</v>
      </c>
      <c r="BN104" t="e">
        <f>AND(Names!I199,"AAAAAG8930E=")</f>
        <v>#VALUE!</v>
      </c>
      <c r="BO104" t="e">
        <f>AND(Names!J199,"AAAAAG8930I=")</f>
        <v>#VALUE!</v>
      </c>
      <c r="BP104" t="e">
        <f>AND(Names!K199,"AAAAAG8930M=")</f>
        <v>#VALUE!</v>
      </c>
      <c r="BQ104" t="e">
        <f>AND(Names!L199,"AAAAAG8930Q=")</f>
        <v>#VALUE!</v>
      </c>
      <c r="BR104" t="e">
        <f>AND(Names!M199,"AAAAAG8930U=")</f>
        <v>#VALUE!</v>
      </c>
      <c r="BS104" t="e">
        <f>AND(Names!N199,"AAAAAG8930Y=")</f>
        <v>#VALUE!</v>
      </c>
      <c r="BT104" t="e">
        <f>AND(Names!O199,"AAAAAG8930c=")</f>
        <v>#VALUE!</v>
      </c>
      <c r="BU104" t="e">
        <f>AND(Names!P199,"AAAAAG8930g=")</f>
        <v>#VALUE!</v>
      </c>
      <c r="BV104" t="e">
        <f>AND(Names!Q199,"AAAAAG8930k=")</f>
        <v>#VALUE!</v>
      </c>
      <c r="BW104" t="e">
        <f>AND(Names!R199,"AAAAAG8930o=")</f>
        <v>#VALUE!</v>
      </c>
      <c r="BX104" t="e">
        <f>AND(Names!S199,"AAAAAG8930s=")</f>
        <v>#VALUE!</v>
      </c>
      <c r="BY104" t="e">
        <f>AND(Names!T199,"AAAAAG8930w=")</f>
        <v>#VALUE!</v>
      </c>
      <c r="BZ104" t="e">
        <f>AND(Names!U199,"AAAAAG89300=")</f>
        <v>#VALUE!</v>
      </c>
      <c r="CA104" t="e">
        <f>AND(Names!V199,"AAAAAG89304=")</f>
        <v>#VALUE!</v>
      </c>
      <c r="CB104" t="e">
        <f>AND(Names!W199,"AAAAAG89308=")</f>
        <v>#VALUE!</v>
      </c>
      <c r="CC104" t="e">
        <f>AND(Names!X199,"AAAAAG8931A=")</f>
        <v>#VALUE!</v>
      </c>
      <c r="CD104" t="e">
        <f>AND(Names!Y199,"AAAAAG8931E=")</f>
        <v>#VALUE!</v>
      </c>
      <c r="CE104" t="e">
        <f>AND(Names!Z199,"AAAAAG8931I=")</f>
        <v>#VALUE!</v>
      </c>
      <c r="CF104" t="e">
        <f>AND(Names!AA199,"AAAAAG8931M=")</f>
        <v>#VALUE!</v>
      </c>
      <c r="CG104" t="e">
        <f>AND(Names!AB199,"AAAAAG8931Q=")</f>
        <v>#VALUE!</v>
      </c>
      <c r="CH104" t="e">
        <f>AND(Names!AC199,"AAAAAG8931U=")</f>
        <v>#VALUE!</v>
      </c>
      <c r="CI104" t="e">
        <f>AND(Names!AD199,"AAAAAG8931Y=")</f>
        <v>#VALUE!</v>
      </c>
      <c r="CJ104" t="e">
        <f>AND(Names!AE199,"AAAAAG8931c=")</f>
        <v>#VALUE!</v>
      </c>
      <c r="CK104" t="e">
        <f>AND(Names!AF199,"AAAAAG8931g=")</f>
        <v>#VALUE!</v>
      </c>
      <c r="CL104" t="e">
        <f>AND(Names!AG199,"AAAAAG8931k=")</f>
        <v>#VALUE!</v>
      </c>
      <c r="CM104" t="e">
        <f>AND(Names!AH199,"AAAAAG8931o=")</f>
        <v>#VALUE!</v>
      </c>
      <c r="CN104" t="e">
        <f>AND(Names!AI199,"AAAAAG8931s=")</f>
        <v>#VALUE!</v>
      </c>
      <c r="CO104" t="e">
        <f>AND(Names!AJ199,"AAAAAG8931w=")</f>
        <v>#VALUE!</v>
      </c>
      <c r="CP104" t="e">
        <f>AND(Names!AK199,"AAAAAG89310=")</f>
        <v>#VALUE!</v>
      </c>
      <c r="CQ104" t="e">
        <f>AND(Names!AL199,"AAAAAG89314=")</f>
        <v>#VALUE!</v>
      </c>
      <c r="CR104" t="e">
        <f>AND(Names!AM199,"AAAAAG89318=")</f>
        <v>#VALUE!</v>
      </c>
      <c r="CS104">
        <f>IF(Names!200:200,"AAAAAG8932A=",0)</f>
        <v>0</v>
      </c>
      <c r="CT104" t="e">
        <f>AND(Names!A200,"AAAAAG8932E=")</f>
        <v>#VALUE!</v>
      </c>
      <c r="CU104" t="e">
        <f>AND(Names!B200,"AAAAAG8932I=")</f>
        <v>#VALUE!</v>
      </c>
      <c r="CV104" t="e">
        <f>AND(Names!C200,"AAAAAG8932M=")</f>
        <v>#VALUE!</v>
      </c>
      <c r="CW104" t="e">
        <f>AND(Names!D200,"AAAAAG8932Q=")</f>
        <v>#VALUE!</v>
      </c>
      <c r="CX104" t="e">
        <f>AND(Names!E200,"AAAAAG8932U=")</f>
        <v>#VALUE!</v>
      </c>
      <c r="CY104" t="e">
        <f>AND(Names!F200,"AAAAAG8932Y=")</f>
        <v>#VALUE!</v>
      </c>
      <c r="CZ104" t="e">
        <f>AND(Names!G200,"AAAAAG8932c=")</f>
        <v>#VALUE!</v>
      </c>
      <c r="DA104" t="e">
        <f>AND(Names!H200,"AAAAAG8932g=")</f>
        <v>#VALUE!</v>
      </c>
      <c r="DB104" t="e">
        <f>AND(Names!I200,"AAAAAG8932k=")</f>
        <v>#VALUE!</v>
      </c>
      <c r="DC104" t="e">
        <f>AND(Names!J200,"AAAAAG8932o=")</f>
        <v>#VALUE!</v>
      </c>
      <c r="DD104" t="e">
        <f>AND(Names!K200,"AAAAAG8932s=")</f>
        <v>#VALUE!</v>
      </c>
      <c r="DE104" t="e">
        <f>AND(Names!L200,"AAAAAG8932w=")</f>
        <v>#VALUE!</v>
      </c>
      <c r="DF104" t="e">
        <f>AND(Names!M200,"AAAAAG89320=")</f>
        <v>#VALUE!</v>
      </c>
      <c r="DG104" t="e">
        <f>AND(Names!N200,"AAAAAG89324=")</f>
        <v>#VALUE!</v>
      </c>
      <c r="DH104" t="e">
        <f>AND(Names!O200,"AAAAAG89328=")</f>
        <v>#VALUE!</v>
      </c>
      <c r="DI104" t="e">
        <f>AND(Names!P200,"AAAAAG8933A=")</f>
        <v>#VALUE!</v>
      </c>
      <c r="DJ104" t="e">
        <f>AND(Names!Q200,"AAAAAG8933E=")</f>
        <v>#VALUE!</v>
      </c>
      <c r="DK104" t="e">
        <f>AND(Names!R200,"AAAAAG8933I=")</f>
        <v>#VALUE!</v>
      </c>
      <c r="DL104" t="e">
        <f>AND(Names!S200,"AAAAAG8933M=")</f>
        <v>#VALUE!</v>
      </c>
      <c r="DM104" t="e">
        <f>AND(Names!T200,"AAAAAG8933Q=")</f>
        <v>#VALUE!</v>
      </c>
      <c r="DN104" t="e">
        <f>AND(Names!U200,"AAAAAG8933U=")</f>
        <v>#VALUE!</v>
      </c>
      <c r="DO104" t="e">
        <f>AND(Names!V200,"AAAAAG8933Y=")</f>
        <v>#VALUE!</v>
      </c>
      <c r="DP104" t="e">
        <f>AND(Names!W200,"AAAAAG8933c=")</f>
        <v>#VALUE!</v>
      </c>
      <c r="DQ104" t="e">
        <f>AND(Names!X200,"AAAAAG8933g=")</f>
        <v>#VALUE!</v>
      </c>
      <c r="DR104" t="e">
        <f>AND(Names!Y200,"AAAAAG8933k=")</f>
        <v>#VALUE!</v>
      </c>
      <c r="DS104" t="e">
        <f>AND(Names!Z200,"AAAAAG8933o=")</f>
        <v>#VALUE!</v>
      </c>
      <c r="DT104" t="e">
        <f>AND(Names!AA200,"AAAAAG8933s=")</f>
        <v>#VALUE!</v>
      </c>
      <c r="DU104" t="e">
        <f>AND(Names!AB200,"AAAAAG8933w=")</f>
        <v>#VALUE!</v>
      </c>
      <c r="DV104" t="e">
        <f>AND(Names!AC200,"AAAAAG89330=")</f>
        <v>#VALUE!</v>
      </c>
      <c r="DW104" t="e">
        <f>AND(Names!AD200,"AAAAAG89334=")</f>
        <v>#VALUE!</v>
      </c>
      <c r="DX104" t="e">
        <f>AND(Names!AE200,"AAAAAG89338=")</f>
        <v>#VALUE!</v>
      </c>
      <c r="DY104" t="e">
        <f>AND(Names!AF200,"AAAAAG8934A=")</f>
        <v>#VALUE!</v>
      </c>
      <c r="DZ104" t="e">
        <f>AND(Names!AG200,"AAAAAG8934E=")</f>
        <v>#VALUE!</v>
      </c>
      <c r="EA104" t="e">
        <f>AND(Names!AH200,"AAAAAG8934I=")</f>
        <v>#VALUE!</v>
      </c>
      <c r="EB104" t="e">
        <f>AND(Names!AI200,"AAAAAG8934M=")</f>
        <v>#VALUE!</v>
      </c>
      <c r="EC104" t="e">
        <f>AND(Names!AJ200,"AAAAAG8934Q=")</f>
        <v>#VALUE!</v>
      </c>
      <c r="ED104" t="e">
        <f>AND(Names!AK200,"AAAAAG8934U=")</f>
        <v>#VALUE!</v>
      </c>
      <c r="EE104" t="e">
        <f>AND(Names!AL200,"AAAAAG8934Y=")</f>
        <v>#VALUE!</v>
      </c>
      <c r="EF104" t="e">
        <f>AND(Names!AM200,"AAAAAG8934c=")</f>
        <v>#VALUE!</v>
      </c>
      <c r="EG104">
        <f>IF(Names!201:201,"AAAAAG8934g=",0)</f>
        <v>0</v>
      </c>
      <c r="EH104" t="e">
        <f>AND(Names!A201,"AAAAAG8934k=")</f>
        <v>#VALUE!</v>
      </c>
      <c r="EI104" t="e">
        <f>AND(Names!B201,"AAAAAG8934o=")</f>
        <v>#VALUE!</v>
      </c>
      <c r="EJ104" t="e">
        <f>AND(Names!C201,"AAAAAG8934s=")</f>
        <v>#VALUE!</v>
      </c>
      <c r="EK104" t="e">
        <f>AND(Names!D201,"AAAAAG8934w=")</f>
        <v>#VALUE!</v>
      </c>
      <c r="EL104" t="e">
        <f>AND(Names!E201,"AAAAAG89340=")</f>
        <v>#VALUE!</v>
      </c>
      <c r="EM104" t="e">
        <f>AND(Names!F201,"AAAAAG89344=")</f>
        <v>#VALUE!</v>
      </c>
      <c r="EN104" t="e">
        <f>AND(Names!G201,"AAAAAG89348=")</f>
        <v>#VALUE!</v>
      </c>
      <c r="EO104" t="e">
        <f>AND(Names!H201,"AAAAAG8935A=")</f>
        <v>#VALUE!</v>
      </c>
      <c r="EP104" t="e">
        <f>AND(Names!I201,"AAAAAG8935E=")</f>
        <v>#VALUE!</v>
      </c>
      <c r="EQ104" t="e">
        <f>AND(Names!J201,"AAAAAG8935I=")</f>
        <v>#VALUE!</v>
      </c>
      <c r="ER104" t="e">
        <f>AND(Names!K201,"AAAAAG8935M=")</f>
        <v>#VALUE!</v>
      </c>
      <c r="ES104" t="e">
        <f>AND(Names!L201,"AAAAAG8935Q=")</f>
        <v>#VALUE!</v>
      </c>
      <c r="ET104" t="e">
        <f>AND(Names!M201,"AAAAAG8935U=")</f>
        <v>#VALUE!</v>
      </c>
      <c r="EU104" t="e">
        <f>AND(Names!N201,"AAAAAG8935Y=")</f>
        <v>#VALUE!</v>
      </c>
      <c r="EV104" t="e">
        <f>AND(Names!O201,"AAAAAG8935c=")</f>
        <v>#VALUE!</v>
      </c>
      <c r="EW104" t="e">
        <f>AND(Names!P201,"AAAAAG8935g=")</f>
        <v>#VALUE!</v>
      </c>
      <c r="EX104" t="e">
        <f>AND(Names!Q201,"AAAAAG8935k=")</f>
        <v>#VALUE!</v>
      </c>
      <c r="EY104" t="e">
        <f>AND(Names!R201,"AAAAAG8935o=")</f>
        <v>#VALUE!</v>
      </c>
      <c r="EZ104" t="e">
        <f>AND(Names!S201,"AAAAAG8935s=")</f>
        <v>#VALUE!</v>
      </c>
      <c r="FA104" t="e">
        <f>AND(Names!T201,"AAAAAG8935w=")</f>
        <v>#VALUE!</v>
      </c>
      <c r="FB104" t="e">
        <f>AND(Names!U201,"AAAAAG89350=")</f>
        <v>#VALUE!</v>
      </c>
      <c r="FC104" t="e">
        <f>AND(Names!V201,"AAAAAG89354=")</f>
        <v>#VALUE!</v>
      </c>
      <c r="FD104" t="e">
        <f>AND(Names!W201,"AAAAAG89358=")</f>
        <v>#VALUE!</v>
      </c>
      <c r="FE104" t="e">
        <f>AND(Names!X201,"AAAAAG8936A=")</f>
        <v>#VALUE!</v>
      </c>
      <c r="FF104" t="e">
        <f>AND(Names!Y201,"AAAAAG8936E=")</f>
        <v>#VALUE!</v>
      </c>
      <c r="FG104" t="e">
        <f>AND(Names!Z201,"AAAAAG8936I=")</f>
        <v>#VALUE!</v>
      </c>
      <c r="FH104" t="e">
        <f>AND(Names!AA201,"AAAAAG8936M=")</f>
        <v>#VALUE!</v>
      </c>
      <c r="FI104" t="e">
        <f>AND(Names!AB201,"AAAAAG8936Q=")</f>
        <v>#VALUE!</v>
      </c>
      <c r="FJ104" t="e">
        <f>AND(Names!AC201,"AAAAAG8936U=")</f>
        <v>#VALUE!</v>
      </c>
      <c r="FK104" t="e">
        <f>AND(Names!AD201,"AAAAAG8936Y=")</f>
        <v>#VALUE!</v>
      </c>
      <c r="FL104" t="e">
        <f>AND(Names!AE201,"AAAAAG8936c=")</f>
        <v>#VALUE!</v>
      </c>
      <c r="FM104" t="e">
        <f>AND(Names!AF201,"AAAAAG8936g=")</f>
        <v>#VALUE!</v>
      </c>
      <c r="FN104" t="e">
        <f>AND(Names!AG201,"AAAAAG8936k=")</f>
        <v>#VALUE!</v>
      </c>
      <c r="FO104" t="e">
        <f>AND(Names!AH201,"AAAAAG8936o=")</f>
        <v>#VALUE!</v>
      </c>
      <c r="FP104" t="e">
        <f>AND(Names!AI201,"AAAAAG8936s=")</f>
        <v>#VALUE!</v>
      </c>
      <c r="FQ104" t="e">
        <f>AND(Names!AJ201,"AAAAAG8936w=")</f>
        <v>#VALUE!</v>
      </c>
      <c r="FR104" t="e">
        <f>AND(Names!AK201,"AAAAAG89360=")</f>
        <v>#VALUE!</v>
      </c>
      <c r="FS104" t="e">
        <f>AND(Names!AL201,"AAAAAG89364=")</f>
        <v>#VALUE!</v>
      </c>
      <c r="FT104" t="e">
        <f>AND(Names!AM201,"AAAAAG89368=")</f>
        <v>#VALUE!</v>
      </c>
      <c r="FU104">
        <f>IF(Names!202:202,"AAAAAG8937A=",0)</f>
        <v>0</v>
      </c>
      <c r="FV104" t="e">
        <f>AND(Names!A202,"AAAAAG8937E=")</f>
        <v>#VALUE!</v>
      </c>
      <c r="FW104" t="e">
        <f>AND(Names!B202,"AAAAAG8937I=")</f>
        <v>#VALUE!</v>
      </c>
      <c r="FX104" t="e">
        <f>AND(Names!C202,"AAAAAG8937M=")</f>
        <v>#VALUE!</v>
      </c>
      <c r="FY104" t="e">
        <f>AND(Names!D202,"AAAAAG8937Q=")</f>
        <v>#VALUE!</v>
      </c>
      <c r="FZ104" t="e">
        <f>AND(Names!E202,"AAAAAG8937U=")</f>
        <v>#VALUE!</v>
      </c>
      <c r="GA104" t="e">
        <f>AND(Names!F202,"AAAAAG8937Y=")</f>
        <v>#VALUE!</v>
      </c>
      <c r="GB104" t="e">
        <f>AND(Names!G202,"AAAAAG8937c=")</f>
        <v>#VALUE!</v>
      </c>
      <c r="GC104" t="e">
        <f>AND(Names!H202,"AAAAAG8937g=")</f>
        <v>#VALUE!</v>
      </c>
      <c r="GD104" t="e">
        <f>AND(Names!I202,"AAAAAG8937k=")</f>
        <v>#VALUE!</v>
      </c>
      <c r="GE104" t="e">
        <f>AND(Names!J202,"AAAAAG8937o=")</f>
        <v>#VALUE!</v>
      </c>
      <c r="GF104" t="e">
        <f>AND(Names!K202,"AAAAAG8937s=")</f>
        <v>#VALUE!</v>
      </c>
      <c r="GG104" t="e">
        <f>AND(Names!L202,"AAAAAG8937w=")</f>
        <v>#VALUE!</v>
      </c>
      <c r="GH104" t="e">
        <f>AND(Names!M202,"AAAAAG89370=")</f>
        <v>#VALUE!</v>
      </c>
      <c r="GI104" t="e">
        <f>AND(Names!N202,"AAAAAG89374=")</f>
        <v>#VALUE!</v>
      </c>
      <c r="GJ104" t="e">
        <f>AND(Names!O202,"AAAAAG89378=")</f>
        <v>#VALUE!</v>
      </c>
      <c r="GK104" t="e">
        <f>AND(Names!P202,"AAAAAG8938A=")</f>
        <v>#VALUE!</v>
      </c>
      <c r="GL104" t="e">
        <f>AND(Names!Q202,"AAAAAG8938E=")</f>
        <v>#VALUE!</v>
      </c>
      <c r="GM104" t="e">
        <f>AND(Names!R202,"AAAAAG8938I=")</f>
        <v>#VALUE!</v>
      </c>
      <c r="GN104" t="e">
        <f>AND(Names!S202,"AAAAAG8938M=")</f>
        <v>#VALUE!</v>
      </c>
      <c r="GO104" t="e">
        <f>AND(Names!T202,"AAAAAG8938Q=")</f>
        <v>#VALUE!</v>
      </c>
      <c r="GP104" t="e">
        <f>AND(Names!U202,"AAAAAG8938U=")</f>
        <v>#VALUE!</v>
      </c>
      <c r="GQ104" t="e">
        <f>AND(Names!V202,"AAAAAG8938Y=")</f>
        <v>#VALUE!</v>
      </c>
      <c r="GR104" t="e">
        <f>AND(Names!W202,"AAAAAG8938c=")</f>
        <v>#VALUE!</v>
      </c>
      <c r="GS104" t="e">
        <f>AND(Names!X202,"AAAAAG8938g=")</f>
        <v>#VALUE!</v>
      </c>
      <c r="GT104" t="e">
        <f>AND(Names!Y202,"AAAAAG8938k=")</f>
        <v>#VALUE!</v>
      </c>
      <c r="GU104" t="e">
        <f>AND(Names!Z202,"AAAAAG8938o=")</f>
        <v>#VALUE!</v>
      </c>
      <c r="GV104" t="e">
        <f>AND(Names!AA202,"AAAAAG8938s=")</f>
        <v>#VALUE!</v>
      </c>
      <c r="GW104" t="e">
        <f>AND(Names!AB202,"AAAAAG8938w=")</f>
        <v>#VALUE!</v>
      </c>
      <c r="GX104" t="e">
        <f>AND(Names!AC202,"AAAAAG89380=")</f>
        <v>#VALUE!</v>
      </c>
      <c r="GY104" t="e">
        <f>AND(Names!AD202,"AAAAAG89384=")</f>
        <v>#VALUE!</v>
      </c>
      <c r="GZ104" t="e">
        <f>AND(Names!AE202,"AAAAAG89388=")</f>
        <v>#VALUE!</v>
      </c>
      <c r="HA104" t="e">
        <f>AND(Names!AF202,"AAAAAG8939A=")</f>
        <v>#VALUE!</v>
      </c>
      <c r="HB104" t="e">
        <f>AND(Names!AG202,"AAAAAG8939E=")</f>
        <v>#VALUE!</v>
      </c>
      <c r="HC104" t="e">
        <f>AND(Names!AH202,"AAAAAG8939I=")</f>
        <v>#VALUE!</v>
      </c>
      <c r="HD104" t="e">
        <f>AND(Names!AI202,"AAAAAG8939M=")</f>
        <v>#VALUE!</v>
      </c>
      <c r="HE104" t="e">
        <f>AND(Names!AJ202,"AAAAAG8939Q=")</f>
        <v>#VALUE!</v>
      </c>
      <c r="HF104" t="e">
        <f>AND(Names!AK202,"AAAAAG8939U=")</f>
        <v>#VALUE!</v>
      </c>
      <c r="HG104" t="e">
        <f>AND(Names!AL202,"AAAAAG8939Y=")</f>
        <v>#VALUE!</v>
      </c>
      <c r="HH104" t="e">
        <f>AND(Names!AM202,"AAAAAG8939c=")</f>
        <v>#VALUE!</v>
      </c>
      <c r="HI104">
        <f>IF(Names!203:203,"AAAAAG8939g=",0)</f>
        <v>0</v>
      </c>
      <c r="HJ104" t="e">
        <f>AND(Names!A203,"AAAAAG8939k=")</f>
        <v>#VALUE!</v>
      </c>
      <c r="HK104" t="e">
        <f>AND(Names!B203,"AAAAAG8939o=")</f>
        <v>#VALUE!</v>
      </c>
      <c r="HL104" t="e">
        <f>AND(Names!C203,"AAAAAG8939s=")</f>
        <v>#VALUE!</v>
      </c>
      <c r="HM104" t="e">
        <f>AND(Names!D203,"AAAAAG8939w=")</f>
        <v>#VALUE!</v>
      </c>
      <c r="HN104" t="e">
        <f>AND(Names!E203,"AAAAAG89390=")</f>
        <v>#VALUE!</v>
      </c>
      <c r="HO104" t="e">
        <f>AND(Names!F203,"AAAAAG89394=")</f>
        <v>#VALUE!</v>
      </c>
      <c r="HP104" t="e">
        <f>AND(Names!G203,"AAAAAG89398=")</f>
        <v>#VALUE!</v>
      </c>
      <c r="HQ104" t="e">
        <f>AND(Names!H203,"AAAAAG893+A=")</f>
        <v>#VALUE!</v>
      </c>
      <c r="HR104" t="e">
        <f>AND(Names!I203,"AAAAAG893+E=")</f>
        <v>#VALUE!</v>
      </c>
      <c r="HS104" t="e">
        <f>AND(Names!J203,"AAAAAG893+I=")</f>
        <v>#VALUE!</v>
      </c>
      <c r="HT104" t="e">
        <f>AND(Names!K203,"AAAAAG893+M=")</f>
        <v>#VALUE!</v>
      </c>
      <c r="HU104" t="e">
        <f>AND(Names!L203,"AAAAAG893+Q=")</f>
        <v>#VALUE!</v>
      </c>
      <c r="HV104" t="e">
        <f>AND(Names!M203,"AAAAAG893+U=")</f>
        <v>#VALUE!</v>
      </c>
      <c r="HW104" t="e">
        <f>AND(Names!N203,"AAAAAG893+Y=")</f>
        <v>#VALUE!</v>
      </c>
      <c r="HX104" t="e">
        <f>AND(Names!O203,"AAAAAG893+c=")</f>
        <v>#VALUE!</v>
      </c>
      <c r="HY104" t="e">
        <f>AND(Names!P203,"AAAAAG893+g=")</f>
        <v>#VALUE!</v>
      </c>
      <c r="HZ104" t="e">
        <f>AND(Names!Q203,"AAAAAG893+k=")</f>
        <v>#VALUE!</v>
      </c>
      <c r="IA104" t="e">
        <f>AND(Names!R203,"AAAAAG893+o=")</f>
        <v>#VALUE!</v>
      </c>
      <c r="IB104" t="e">
        <f>AND(Names!S203,"AAAAAG893+s=")</f>
        <v>#VALUE!</v>
      </c>
      <c r="IC104" t="e">
        <f>AND(Names!T203,"AAAAAG893+w=")</f>
        <v>#VALUE!</v>
      </c>
      <c r="ID104" t="e">
        <f>AND(Names!U203,"AAAAAG893+0=")</f>
        <v>#VALUE!</v>
      </c>
      <c r="IE104" t="e">
        <f>AND(Names!V203,"AAAAAG893+4=")</f>
        <v>#VALUE!</v>
      </c>
      <c r="IF104" t="e">
        <f>AND(Names!W203,"AAAAAG893+8=")</f>
        <v>#VALUE!</v>
      </c>
      <c r="IG104" t="e">
        <f>AND(Names!X203,"AAAAAG893/A=")</f>
        <v>#VALUE!</v>
      </c>
      <c r="IH104" t="e">
        <f>AND(Names!Y203,"AAAAAG893/E=")</f>
        <v>#VALUE!</v>
      </c>
      <c r="II104" t="e">
        <f>AND(Names!Z203,"AAAAAG893/I=")</f>
        <v>#VALUE!</v>
      </c>
      <c r="IJ104" t="e">
        <f>AND(Names!AA203,"AAAAAG893/M=")</f>
        <v>#VALUE!</v>
      </c>
      <c r="IK104" t="e">
        <f>AND(Names!AB203,"AAAAAG893/Q=")</f>
        <v>#VALUE!</v>
      </c>
      <c r="IL104" t="e">
        <f>AND(Names!AC203,"AAAAAG893/U=")</f>
        <v>#VALUE!</v>
      </c>
      <c r="IM104" t="e">
        <f>AND(Names!AD203,"AAAAAG893/Y=")</f>
        <v>#VALUE!</v>
      </c>
      <c r="IN104" t="e">
        <f>AND(Names!AE203,"AAAAAG893/c=")</f>
        <v>#VALUE!</v>
      </c>
      <c r="IO104" t="e">
        <f>AND(Names!AF203,"AAAAAG893/g=")</f>
        <v>#VALUE!</v>
      </c>
      <c r="IP104" t="e">
        <f>AND(Names!AG203,"AAAAAG893/k=")</f>
        <v>#VALUE!</v>
      </c>
      <c r="IQ104" t="e">
        <f>AND(Names!AH203,"AAAAAG893/o=")</f>
        <v>#VALUE!</v>
      </c>
      <c r="IR104" t="e">
        <f>AND(Names!AI203,"AAAAAG893/s=")</f>
        <v>#VALUE!</v>
      </c>
      <c r="IS104" t="e">
        <f>AND(Names!AJ203,"AAAAAG893/w=")</f>
        <v>#VALUE!</v>
      </c>
      <c r="IT104" t="e">
        <f>AND(Names!AK203,"AAAAAG893/0=")</f>
        <v>#VALUE!</v>
      </c>
      <c r="IU104" t="e">
        <f>AND(Names!AL203,"AAAAAG893/4=")</f>
        <v>#VALUE!</v>
      </c>
      <c r="IV104" t="e">
        <f>AND(Names!AM203,"AAAAAG893/8=")</f>
        <v>#VALUE!</v>
      </c>
    </row>
    <row r="105" spans="1:256" x14ac:dyDescent="0.15">
      <c r="A105">
        <f>IF(Names!204:204,"AAAAADvzzwA=",0)</f>
        <v>0</v>
      </c>
      <c r="B105" t="e">
        <f>AND(Names!A204,"AAAAADvzzwE=")</f>
        <v>#VALUE!</v>
      </c>
      <c r="C105" t="e">
        <f>AND(Names!B204,"AAAAADvzzwI=")</f>
        <v>#VALUE!</v>
      </c>
      <c r="D105" t="e">
        <f>AND(Names!C204,"AAAAADvzzwM=")</f>
        <v>#VALUE!</v>
      </c>
      <c r="E105" t="e">
        <f>AND(Names!D204,"AAAAADvzzwQ=")</f>
        <v>#VALUE!</v>
      </c>
      <c r="F105" t="e">
        <f>AND(Names!E204,"AAAAADvzzwU=")</f>
        <v>#VALUE!</v>
      </c>
      <c r="G105" t="e">
        <f>AND(Names!F204,"AAAAADvzzwY=")</f>
        <v>#VALUE!</v>
      </c>
      <c r="H105" t="e">
        <f>AND(Names!G204,"AAAAADvzzwc=")</f>
        <v>#VALUE!</v>
      </c>
      <c r="I105" t="e">
        <f>AND(Names!H204,"AAAAADvzzwg=")</f>
        <v>#VALUE!</v>
      </c>
      <c r="J105" t="e">
        <f>AND(Names!I204,"AAAAADvzzwk=")</f>
        <v>#VALUE!</v>
      </c>
      <c r="K105" t="e">
        <f>AND(Names!J204,"AAAAADvzzwo=")</f>
        <v>#VALUE!</v>
      </c>
      <c r="L105" t="e">
        <f>AND(Names!K204,"AAAAADvzzws=")</f>
        <v>#VALUE!</v>
      </c>
      <c r="M105" t="e">
        <f>AND(Names!L204,"AAAAADvzzww=")</f>
        <v>#VALUE!</v>
      </c>
      <c r="N105" t="e">
        <f>AND(Names!M204,"AAAAADvzzw0=")</f>
        <v>#VALUE!</v>
      </c>
      <c r="O105" t="e">
        <f>AND(Names!N204,"AAAAADvzzw4=")</f>
        <v>#VALUE!</v>
      </c>
      <c r="P105" t="e">
        <f>AND(Names!O204,"AAAAADvzzw8=")</f>
        <v>#VALUE!</v>
      </c>
      <c r="Q105" t="e">
        <f>AND(Names!P204,"AAAAADvzzxA=")</f>
        <v>#VALUE!</v>
      </c>
      <c r="R105" t="e">
        <f>AND(Names!Q204,"AAAAADvzzxE=")</f>
        <v>#VALUE!</v>
      </c>
      <c r="S105" t="e">
        <f>AND(Names!R204,"AAAAADvzzxI=")</f>
        <v>#VALUE!</v>
      </c>
      <c r="T105" t="e">
        <f>AND(Names!S204,"AAAAADvzzxM=")</f>
        <v>#VALUE!</v>
      </c>
      <c r="U105" t="e">
        <f>AND(Names!T204,"AAAAADvzzxQ=")</f>
        <v>#VALUE!</v>
      </c>
      <c r="V105" t="e">
        <f>AND(Names!U204,"AAAAADvzzxU=")</f>
        <v>#VALUE!</v>
      </c>
      <c r="W105" t="e">
        <f>AND(Names!V204,"AAAAADvzzxY=")</f>
        <v>#VALUE!</v>
      </c>
      <c r="X105" t="e">
        <f>AND(Names!W204,"AAAAADvzzxc=")</f>
        <v>#VALUE!</v>
      </c>
      <c r="Y105" t="e">
        <f>AND(Names!X204,"AAAAADvzzxg=")</f>
        <v>#VALUE!</v>
      </c>
      <c r="Z105" t="e">
        <f>AND(Names!Y204,"AAAAADvzzxk=")</f>
        <v>#VALUE!</v>
      </c>
      <c r="AA105" t="e">
        <f>AND(Names!Z204,"AAAAADvzzxo=")</f>
        <v>#VALUE!</v>
      </c>
      <c r="AB105" t="e">
        <f>AND(Names!AA204,"AAAAADvzzxs=")</f>
        <v>#VALUE!</v>
      </c>
      <c r="AC105" t="e">
        <f>AND(Names!AB204,"AAAAADvzzxw=")</f>
        <v>#VALUE!</v>
      </c>
      <c r="AD105" t="e">
        <f>AND(Names!AC204,"AAAAADvzzx0=")</f>
        <v>#VALUE!</v>
      </c>
      <c r="AE105" t="e">
        <f>AND(Names!AD204,"AAAAADvzzx4=")</f>
        <v>#VALUE!</v>
      </c>
      <c r="AF105" t="e">
        <f>AND(Names!AE204,"AAAAADvzzx8=")</f>
        <v>#VALUE!</v>
      </c>
      <c r="AG105" t="e">
        <f>AND(Names!AF204,"AAAAADvzzyA=")</f>
        <v>#VALUE!</v>
      </c>
      <c r="AH105" t="e">
        <f>AND(Names!AG204,"AAAAADvzzyE=")</f>
        <v>#VALUE!</v>
      </c>
      <c r="AI105" t="e">
        <f>AND(Names!AH204,"AAAAADvzzyI=")</f>
        <v>#VALUE!</v>
      </c>
      <c r="AJ105" t="e">
        <f>AND(Names!AI204,"AAAAADvzzyM=")</f>
        <v>#VALUE!</v>
      </c>
      <c r="AK105" t="e">
        <f>AND(Names!AJ204,"AAAAADvzzyQ=")</f>
        <v>#VALUE!</v>
      </c>
      <c r="AL105" t="e">
        <f>AND(Names!AK204,"AAAAADvzzyU=")</f>
        <v>#VALUE!</v>
      </c>
      <c r="AM105" t="e">
        <f>AND(Names!AL204,"AAAAADvzzyY=")</f>
        <v>#VALUE!</v>
      </c>
      <c r="AN105" t="e">
        <f>AND(Names!AM204,"AAAAADvzzyc=")</f>
        <v>#VALUE!</v>
      </c>
      <c r="AO105">
        <f>IF(Names!205:205,"AAAAADvzzyg=",0)</f>
        <v>0</v>
      </c>
      <c r="AP105" t="e">
        <f>AND(Names!A205,"AAAAADvzzyk=")</f>
        <v>#VALUE!</v>
      </c>
      <c r="AQ105" t="e">
        <f>AND(Names!B205,"AAAAADvzzyo=")</f>
        <v>#VALUE!</v>
      </c>
      <c r="AR105" t="e">
        <f>AND(Names!C205,"AAAAADvzzys=")</f>
        <v>#VALUE!</v>
      </c>
      <c r="AS105" t="e">
        <f>AND(Names!D205,"AAAAADvzzyw=")</f>
        <v>#VALUE!</v>
      </c>
      <c r="AT105" t="e">
        <f>AND(Names!E205,"AAAAADvzzy0=")</f>
        <v>#VALUE!</v>
      </c>
      <c r="AU105" t="e">
        <f>AND(Names!F205,"AAAAADvzzy4=")</f>
        <v>#VALUE!</v>
      </c>
      <c r="AV105" t="e">
        <f>AND(Names!G205,"AAAAADvzzy8=")</f>
        <v>#VALUE!</v>
      </c>
      <c r="AW105" t="e">
        <f>AND(Names!H205,"AAAAADvzzzA=")</f>
        <v>#VALUE!</v>
      </c>
      <c r="AX105" t="e">
        <f>AND(Names!I205,"AAAAADvzzzE=")</f>
        <v>#VALUE!</v>
      </c>
      <c r="AY105" t="e">
        <f>AND(Names!J205,"AAAAADvzzzI=")</f>
        <v>#VALUE!</v>
      </c>
      <c r="AZ105" t="e">
        <f>AND(Names!K205,"AAAAADvzzzM=")</f>
        <v>#VALUE!</v>
      </c>
      <c r="BA105" t="e">
        <f>AND(Names!L205,"AAAAADvzzzQ=")</f>
        <v>#VALUE!</v>
      </c>
      <c r="BB105" t="e">
        <f>AND(Names!M205,"AAAAADvzzzU=")</f>
        <v>#VALUE!</v>
      </c>
      <c r="BC105" t="e">
        <f>AND(Names!N205,"AAAAADvzzzY=")</f>
        <v>#VALUE!</v>
      </c>
      <c r="BD105" t="e">
        <f>AND(Names!O205,"AAAAADvzzzc=")</f>
        <v>#VALUE!</v>
      </c>
      <c r="BE105" t="e">
        <f>AND(Names!P205,"AAAAADvzzzg=")</f>
        <v>#VALUE!</v>
      </c>
      <c r="BF105" t="e">
        <f>AND(Names!Q205,"AAAAADvzzzk=")</f>
        <v>#VALUE!</v>
      </c>
      <c r="BG105" t="e">
        <f>AND(Names!R205,"AAAAADvzzzo=")</f>
        <v>#VALUE!</v>
      </c>
      <c r="BH105" t="e">
        <f>AND(Names!S205,"AAAAADvzzzs=")</f>
        <v>#VALUE!</v>
      </c>
      <c r="BI105" t="e">
        <f>AND(Names!T205,"AAAAADvzzzw=")</f>
        <v>#VALUE!</v>
      </c>
      <c r="BJ105" t="e">
        <f>AND(Names!U205,"AAAAADvzzz0=")</f>
        <v>#VALUE!</v>
      </c>
      <c r="BK105" t="e">
        <f>AND(Names!V205,"AAAAADvzzz4=")</f>
        <v>#VALUE!</v>
      </c>
      <c r="BL105" t="e">
        <f>AND(Names!W205,"AAAAADvzzz8=")</f>
        <v>#VALUE!</v>
      </c>
      <c r="BM105" t="e">
        <f>AND(Names!X205,"AAAAADvzz0A=")</f>
        <v>#VALUE!</v>
      </c>
      <c r="BN105" t="e">
        <f>AND(Names!Y205,"AAAAADvzz0E=")</f>
        <v>#VALUE!</v>
      </c>
      <c r="BO105" t="e">
        <f>AND(Names!Z205,"AAAAADvzz0I=")</f>
        <v>#VALUE!</v>
      </c>
      <c r="BP105" t="e">
        <f>AND(Names!AA205,"AAAAADvzz0M=")</f>
        <v>#VALUE!</v>
      </c>
      <c r="BQ105" t="e">
        <f>AND(Names!AB205,"AAAAADvzz0Q=")</f>
        <v>#VALUE!</v>
      </c>
      <c r="BR105" t="e">
        <f>AND(Names!AC205,"AAAAADvzz0U=")</f>
        <v>#VALUE!</v>
      </c>
      <c r="BS105" t="e">
        <f>AND(Names!AD205,"AAAAADvzz0Y=")</f>
        <v>#VALUE!</v>
      </c>
      <c r="BT105" t="e">
        <f>AND(Names!AE205,"AAAAADvzz0c=")</f>
        <v>#VALUE!</v>
      </c>
      <c r="BU105" t="e">
        <f>AND(Names!AF205,"AAAAADvzz0g=")</f>
        <v>#VALUE!</v>
      </c>
      <c r="BV105" t="e">
        <f>AND(Names!AG205,"AAAAADvzz0k=")</f>
        <v>#VALUE!</v>
      </c>
      <c r="BW105" t="e">
        <f>AND(Names!AH205,"AAAAADvzz0o=")</f>
        <v>#VALUE!</v>
      </c>
      <c r="BX105" t="e">
        <f>AND(Names!AI205,"AAAAADvzz0s=")</f>
        <v>#VALUE!</v>
      </c>
      <c r="BY105" t="e">
        <f>AND(Names!AJ205,"AAAAADvzz0w=")</f>
        <v>#VALUE!</v>
      </c>
      <c r="BZ105" t="e">
        <f>AND(Names!AK205,"AAAAADvzz00=")</f>
        <v>#VALUE!</v>
      </c>
      <c r="CA105" t="e">
        <f>AND(Names!AL205,"AAAAADvzz04=")</f>
        <v>#VALUE!</v>
      </c>
      <c r="CB105" t="e">
        <f>AND(Names!AM205,"AAAAADvzz08=")</f>
        <v>#VALUE!</v>
      </c>
      <c r="CC105">
        <f>IF(Names!206:206,"AAAAADvzz1A=",0)</f>
        <v>0</v>
      </c>
      <c r="CD105" t="e">
        <f>AND(Names!A206,"AAAAADvzz1E=")</f>
        <v>#VALUE!</v>
      </c>
      <c r="CE105" t="e">
        <f>AND(Names!B206,"AAAAADvzz1I=")</f>
        <v>#VALUE!</v>
      </c>
      <c r="CF105" t="e">
        <f>AND(Names!C206,"AAAAADvzz1M=")</f>
        <v>#VALUE!</v>
      </c>
      <c r="CG105" t="e">
        <f>AND(Names!D206,"AAAAADvzz1Q=")</f>
        <v>#VALUE!</v>
      </c>
      <c r="CH105" t="e">
        <f>AND(Names!E206,"AAAAADvzz1U=")</f>
        <v>#VALUE!</v>
      </c>
      <c r="CI105" t="e">
        <f>AND(Names!F206,"AAAAADvzz1Y=")</f>
        <v>#VALUE!</v>
      </c>
      <c r="CJ105" t="e">
        <f>AND(Names!G206,"AAAAADvzz1c=")</f>
        <v>#VALUE!</v>
      </c>
      <c r="CK105" t="e">
        <f>AND(Names!H206,"AAAAADvzz1g=")</f>
        <v>#VALUE!</v>
      </c>
      <c r="CL105" t="e">
        <f>AND(Names!I206,"AAAAADvzz1k=")</f>
        <v>#VALUE!</v>
      </c>
      <c r="CM105" t="e">
        <f>AND(Names!J206,"AAAAADvzz1o=")</f>
        <v>#VALUE!</v>
      </c>
      <c r="CN105" t="e">
        <f>AND(Names!K206,"AAAAADvzz1s=")</f>
        <v>#VALUE!</v>
      </c>
      <c r="CO105" t="e">
        <f>AND(Names!L206,"AAAAADvzz1w=")</f>
        <v>#VALUE!</v>
      </c>
      <c r="CP105" t="e">
        <f>AND(Names!M206,"AAAAADvzz10=")</f>
        <v>#VALUE!</v>
      </c>
      <c r="CQ105" t="e">
        <f>AND(Names!N206,"AAAAADvzz14=")</f>
        <v>#VALUE!</v>
      </c>
      <c r="CR105" t="e">
        <f>AND(Names!O206,"AAAAADvzz18=")</f>
        <v>#VALUE!</v>
      </c>
      <c r="CS105" t="e">
        <f>AND(Names!P206,"AAAAADvzz2A=")</f>
        <v>#VALUE!</v>
      </c>
      <c r="CT105" t="e">
        <f>AND(Names!Q206,"AAAAADvzz2E=")</f>
        <v>#VALUE!</v>
      </c>
      <c r="CU105" t="e">
        <f>AND(Names!R206,"AAAAADvzz2I=")</f>
        <v>#VALUE!</v>
      </c>
      <c r="CV105" t="e">
        <f>AND(Names!S206,"AAAAADvzz2M=")</f>
        <v>#VALUE!</v>
      </c>
      <c r="CW105" t="e">
        <f>AND(Names!T206,"AAAAADvzz2Q=")</f>
        <v>#VALUE!</v>
      </c>
      <c r="CX105" t="e">
        <f>AND(Names!U206,"AAAAADvzz2U=")</f>
        <v>#VALUE!</v>
      </c>
      <c r="CY105" t="e">
        <f>AND(Names!V206,"AAAAADvzz2Y=")</f>
        <v>#VALUE!</v>
      </c>
      <c r="CZ105" t="e">
        <f>AND(Names!W206,"AAAAADvzz2c=")</f>
        <v>#VALUE!</v>
      </c>
      <c r="DA105" t="e">
        <f>AND(Names!X206,"AAAAADvzz2g=")</f>
        <v>#VALUE!</v>
      </c>
      <c r="DB105" t="e">
        <f>AND(Names!Y206,"AAAAADvzz2k=")</f>
        <v>#VALUE!</v>
      </c>
      <c r="DC105" t="e">
        <f>AND(Names!Z206,"AAAAADvzz2o=")</f>
        <v>#VALUE!</v>
      </c>
      <c r="DD105" t="e">
        <f>AND(Names!AA206,"AAAAADvzz2s=")</f>
        <v>#VALUE!</v>
      </c>
      <c r="DE105" t="e">
        <f>AND(Names!AB206,"AAAAADvzz2w=")</f>
        <v>#VALUE!</v>
      </c>
      <c r="DF105" t="e">
        <f>AND(Names!AC206,"AAAAADvzz20=")</f>
        <v>#VALUE!</v>
      </c>
      <c r="DG105" t="e">
        <f>AND(Names!AD206,"AAAAADvzz24=")</f>
        <v>#VALUE!</v>
      </c>
      <c r="DH105" t="e">
        <f>AND(Names!AE206,"AAAAADvzz28=")</f>
        <v>#VALUE!</v>
      </c>
      <c r="DI105" t="e">
        <f>AND(Names!AF206,"AAAAADvzz3A=")</f>
        <v>#VALUE!</v>
      </c>
      <c r="DJ105" t="e">
        <f>AND(Names!AG206,"AAAAADvzz3E=")</f>
        <v>#VALUE!</v>
      </c>
      <c r="DK105" t="e">
        <f>AND(Names!AH206,"AAAAADvzz3I=")</f>
        <v>#VALUE!</v>
      </c>
      <c r="DL105" t="e">
        <f>AND(Names!AI206,"AAAAADvzz3M=")</f>
        <v>#VALUE!</v>
      </c>
      <c r="DM105" t="e">
        <f>AND(Names!AJ206,"AAAAADvzz3Q=")</f>
        <v>#VALUE!</v>
      </c>
      <c r="DN105" t="e">
        <f>AND(Names!AK206,"AAAAADvzz3U=")</f>
        <v>#VALUE!</v>
      </c>
      <c r="DO105" t="e">
        <f>AND(Names!AL206,"AAAAADvzz3Y=")</f>
        <v>#VALUE!</v>
      </c>
      <c r="DP105" t="e">
        <f>AND(Names!AM206,"AAAAADvzz3c=")</f>
        <v>#VALUE!</v>
      </c>
      <c r="DQ105">
        <f>IF(Names!207:207,"AAAAADvzz3g=",0)</f>
        <v>0</v>
      </c>
      <c r="DR105" t="e">
        <f>AND(Names!A207,"AAAAADvzz3k=")</f>
        <v>#VALUE!</v>
      </c>
      <c r="DS105" t="e">
        <f>AND(Names!B207,"AAAAADvzz3o=")</f>
        <v>#VALUE!</v>
      </c>
      <c r="DT105" t="e">
        <f>AND(Names!C207,"AAAAADvzz3s=")</f>
        <v>#VALUE!</v>
      </c>
      <c r="DU105" t="e">
        <f>AND(Names!D207,"AAAAADvzz3w=")</f>
        <v>#VALUE!</v>
      </c>
      <c r="DV105" t="e">
        <f>AND(Names!E207,"AAAAADvzz30=")</f>
        <v>#VALUE!</v>
      </c>
      <c r="DW105" t="e">
        <f>AND(Names!F207,"AAAAADvzz34=")</f>
        <v>#VALUE!</v>
      </c>
      <c r="DX105" t="e">
        <f>AND(Names!G207,"AAAAADvzz38=")</f>
        <v>#VALUE!</v>
      </c>
      <c r="DY105" t="e">
        <f>AND(Names!H207,"AAAAADvzz4A=")</f>
        <v>#VALUE!</v>
      </c>
      <c r="DZ105" t="e">
        <f>AND(Names!I207,"AAAAADvzz4E=")</f>
        <v>#VALUE!</v>
      </c>
      <c r="EA105" t="e">
        <f>AND(Names!J207,"AAAAADvzz4I=")</f>
        <v>#VALUE!</v>
      </c>
      <c r="EB105" t="e">
        <f>AND(Names!K207,"AAAAADvzz4M=")</f>
        <v>#VALUE!</v>
      </c>
      <c r="EC105" t="e">
        <f>AND(Names!L207,"AAAAADvzz4Q=")</f>
        <v>#VALUE!</v>
      </c>
      <c r="ED105" t="e">
        <f>AND(Names!M207,"AAAAADvzz4U=")</f>
        <v>#VALUE!</v>
      </c>
      <c r="EE105" t="e">
        <f>AND(Names!N207,"AAAAADvzz4Y=")</f>
        <v>#VALUE!</v>
      </c>
      <c r="EF105" t="e">
        <f>AND(Names!O207,"AAAAADvzz4c=")</f>
        <v>#VALUE!</v>
      </c>
      <c r="EG105" t="e">
        <f>AND(Names!P207,"AAAAADvzz4g=")</f>
        <v>#VALUE!</v>
      </c>
      <c r="EH105" t="e">
        <f>AND(Names!Q207,"AAAAADvzz4k=")</f>
        <v>#VALUE!</v>
      </c>
      <c r="EI105" t="e">
        <f>AND(Names!R207,"AAAAADvzz4o=")</f>
        <v>#VALUE!</v>
      </c>
      <c r="EJ105" t="e">
        <f>AND(Names!S207,"AAAAADvzz4s=")</f>
        <v>#VALUE!</v>
      </c>
      <c r="EK105" t="e">
        <f>AND(Names!T207,"AAAAADvzz4w=")</f>
        <v>#VALUE!</v>
      </c>
      <c r="EL105" t="e">
        <f>AND(Names!U207,"AAAAADvzz40=")</f>
        <v>#VALUE!</v>
      </c>
      <c r="EM105" t="e">
        <f>AND(Names!V207,"AAAAADvzz44=")</f>
        <v>#VALUE!</v>
      </c>
      <c r="EN105" t="e">
        <f>AND(Names!W207,"AAAAADvzz48=")</f>
        <v>#VALUE!</v>
      </c>
      <c r="EO105" t="e">
        <f>AND(Names!X207,"AAAAADvzz5A=")</f>
        <v>#VALUE!</v>
      </c>
      <c r="EP105" t="e">
        <f>AND(Names!Y207,"AAAAADvzz5E=")</f>
        <v>#VALUE!</v>
      </c>
      <c r="EQ105" t="e">
        <f>AND(Names!Z207,"AAAAADvzz5I=")</f>
        <v>#VALUE!</v>
      </c>
      <c r="ER105" t="e">
        <f>AND(Names!AA207,"AAAAADvzz5M=")</f>
        <v>#VALUE!</v>
      </c>
      <c r="ES105" t="e">
        <f>AND(Names!AB207,"AAAAADvzz5Q=")</f>
        <v>#VALUE!</v>
      </c>
      <c r="ET105" t="e">
        <f>AND(Names!AC207,"AAAAADvzz5U=")</f>
        <v>#VALUE!</v>
      </c>
      <c r="EU105" t="e">
        <f>AND(Names!AD207,"AAAAADvzz5Y=")</f>
        <v>#VALUE!</v>
      </c>
      <c r="EV105" t="e">
        <f>AND(Names!AE207,"AAAAADvzz5c=")</f>
        <v>#VALUE!</v>
      </c>
      <c r="EW105" t="e">
        <f>AND(Names!AF207,"AAAAADvzz5g=")</f>
        <v>#VALUE!</v>
      </c>
      <c r="EX105" t="e">
        <f>AND(Names!AG207,"AAAAADvzz5k=")</f>
        <v>#VALUE!</v>
      </c>
      <c r="EY105" t="e">
        <f>AND(Names!AH207,"AAAAADvzz5o=")</f>
        <v>#VALUE!</v>
      </c>
      <c r="EZ105" t="e">
        <f>AND(Names!AI207,"AAAAADvzz5s=")</f>
        <v>#VALUE!</v>
      </c>
      <c r="FA105" t="e">
        <f>AND(Names!AJ207,"AAAAADvzz5w=")</f>
        <v>#VALUE!</v>
      </c>
      <c r="FB105" t="e">
        <f>AND(Names!AK207,"AAAAADvzz50=")</f>
        <v>#VALUE!</v>
      </c>
      <c r="FC105" t="e">
        <f>AND(Names!AL207,"AAAAADvzz54=")</f>
        <v>#VALUE!</v>
      </c>
      <c r="FD105" t="e">
        <f>AND(Names!AM207,"AAAAADvzz58=")</f>
        <v>#VALUE!</v>
      </c>
      <c r="FE105">
        <f>IF(Names!208:208,"AAAAADvzz6A=",0)</f>
        <v>0</v>
      </c>
      <c r="FF105" t="e">
        <f>AND(Names!A208,"AAAAADvzz6E=")</f>
        <v>#VALUE!</v>
      </c>
      <c r="FG105" t="e">
        <f>AND(Names!B208,"AAAAADvzz6I=")</f>
        <v>#VALUE!</v>
      </c>
      <c r="FH105" t="e">
        <f>AND(Names!C208,"AAAAADvzz6M=")</f>
        <v>#VALUE!</v>
      </c>
      <c r="FI105" t="e">
        <f>AND(Names!D208,"AAAAADvzz6Q=")</f>
        <v>#VALUE!</v>
      </c>
      <c r="FJ105" t="e">
        <f>AND(Names!E208,"AAAAADvzz6U=")</f>
        <v>#VALUE!</v>
      </c>
      <c r="FK105" t="e">
        <f>AND(Names!F208,"AAAAADvzz6Y=")</f>
        <v>#VALUE!</v>
      </c>
      <c r="FL105" t="e">
        <f>AND(Names!G208,"AAAAADvzz6c=")</f>
        <v>#VALUE!</v>
      </c>
      <c r="FM105" t="e">
        <f>AND(Names!H208,"AAAAADvzz6g=")</f>
        <v>#VALUE!</v>
      </c>
      <c r="FN105" t="e">
        <f>AND(Names!I208,"AAAAADvzz6k=")</f>
        <v>#VALUE!</v>
      </c>
      <c r="FO105" t="e">
        <f>AND(Names!J208,"AAAAADvzz6o=")</f>
        <v>#VALUE!</v>
      </c>
      <c r="FP105" t="e">
        <f>AND(Names!K208,"AAAAADvzz6s=")</f>
        <v>#VALUE!</v>
      </c>
      <c r="FQ105" t="e">
        <f>AND(Names!L208,"AAAAADvzz6w=")</f>
        <v>#VALUE!</v>
      </c>
      <c r="FR105" t="e">
        <f>AND(Names!M208,"AAAAADvzz60=")</f>
        <v>#VALUE!</v>
      </c>
      <c r="FS105" t="e">
        <f>AND(Names!N208,"AAAAADvzz64=")</f>
        <v>#VALUE!</v>
      </c>
      <c r="FT105" t="e">
        <f>AND(Names!O208,"AAAAADvzz68=")</f>
        <v>#VALUE!</v>
      </c>
      <c r="FU105" t="e">
        <f>AND(Names!P208,"AAAAADvzz7A=")</f>
        <v>#VALUE!</v>
      </c>
      <c r="FV105" t="e">
        <f>AND(Names!Q208,"AAAAADvzz7E=")</f>
        <v>#VALUE!</v>
      </c>
      <c r="FW105" t="e">
        <f>AND(Names!R208,"AAAAADvzz7I=")</f>
        <v>#VALUE!</v>
      </c>
      <c r="FX105" t="e">
        <f>AND(Names!S208,"AAAAADvzz7M=")</f>
        <v>#VALUE!</v>
      </c>
      <c r="FY105" t="e">
        <f>AND(Names!T208,"AAAAADvzz7Q=")</f>
        <v>#VALUE!</v>
      </c>
      <c r="FZ105" t="e">
        <f>AND(Names!U208,"AAAAADvzz7U=")</f>
        <v>#VALUE!</v>
      </c>
      <c r="GA105" t="e">
        <f>AND(Names!V208,"AAAAADvzz7Y=")</f>
        <v>#VALUE!</v>
      </c>
      <c r="GB105" t="e">
        <f>AND(Names!W208,"AAAAADvzz7c=")</f>
        <v>#VALUE!</v>
      </c>
      <c r="GC105" t="e">
        <f>AND(Names!X208,"AAAAADvzz7g=")</f>
        <v>#VALUE!</v>
      </c>
      <c r="GD105" t="e">
        <f>AND(Names!Y208,"AAAAADvzz7k=")</f>
        <v>#VALUE!</v>
      </c>
      <c r="GE105" t="e">
        <f>AND(Names!Z208,"AAAAADvzz7o=")</f>
        <v>#VALUE!</v>
      </c>
      <c r="GF105" t="e">
        <f>AND(Names!AA208,"AAAAADvzz7s=")</f>
        <v>#VALUE!</v>
      </c>
      <c r="GG105" t="e">
        <f>AND(Names!AB208,"AAAAADvzz7w=")</f>
        <v>#VALUE!</v>
      </c>
      <c r="GH105" t="e">
        <f>AND(Names!AC208,"AAAAADvzz70=")</f>
        <v>#VALUE!</v>
      </c>
      <c r="GI105" t="e">
        <f>AND(Names!AD208,"AAAAADvzz74=")</f>
        <v>#VALUE!</v>
      </c>
      <c r="GJ105" t="e">
        <f>AND(Names!AE208,"AAAAADvzz78=")</f>
        <v>#VALUE!</v>
      </c>
      <c r="GK105" t="e">
        <f>AND(Names!AF208,"AAAAADvzz8A=")</f>
        <v>#VALUE!</v>
      </c>
      <c r="GL105" t="e">
        <f>AND(Names!AG208,"AAAAADvzz8E=")</f>
        <v>#VALUE!</v>
      </c>
      <c r="GM105" t="e">
        <f>AND(Names!AH208,"AAAAADvzz8I=")</f>
        <v>#VALUE!</v>
      </c>
      <c r="GN105" t="e">
        <f>AND(Names!AI208,"AAAAADvzz8M=")</f>
        <v>#VALUE!</v>
      </c>
      <c r="GO105" t="e">
        <f>AND(Names!AJ208,"AAAAADvzz8Q=")</f>
        <v>#VALUE!</v>
      </c>
      <c r="GP105" t="e">
        <f>AND(Names!AK208,"AAAAADvzz8U=")</f>
        <v>#VALUE!</v>
      </c>
      <c r="GQ105" t="e">
        <f>AND(Names!AL208,"AAAAADvzz8Y=")</f>
        <v>#VALUE!</v>
      </c>
      <c r="GR105" t="e">
        <f>AND(Names!AM208,"AAAAADvzz8c=")</f>
        <v>#VALUE!</v>
      </c>
      <c r="GS105">
        <f>IF(Names!209:209,"AAAAADvzz8g=",0)</f>
        <v>0</v>
      </c>
      <c r="GT105" t="e">
        <f>AND(Names!A209,"AAAAADvzz8k=")</f>
        <v>#VALUE!</v>
      </c>
      <c r="GU105" t="e">
        <f>AND(Names!B209,"AAAAADvzz8o=")</f>
        <v>#VALUE!</v>
      </c>
      <c r="GV105" t="e">
        <f>AND(Names!C209,"AAAAADvzz8s=")</f>
        <v>#VALUE!</v>
      </c>
      <c r="GW105" t="e">
        <f>AND(Names!D209,"AAAAADvzz8w=")</f>
        <v>#VALUE!</v>
      </c>
      <c r="GX105" t="e">
        <f>AND(Names!E209,"AAAAADvzz80=")</f>
        <v>#VALUE!</v>
      </c>
      <c r="GY105" t="e">
        <f>AND(Names!F209,"AAAAADvzz84=")</f>
        <v>#VALUE!</v>
      </c>
      <c r="GZ105" t="e">
        <f>AND(Names!G209,"AAAAADvzz88=")</f>
        <v>#VALUE!</v>
      </c>
      <c r="HA105" t="e">
        <f>AND(Names!H209,"AAAAADvzz9A=")</f>
        <v>#VALUE!</v>
      </c>
      <c r="HB105" t="e">
        <f>AND(Names!I209,"AAAAADvzz9E=")</f>
        <v>#VALUE!</v>
      </c>
      <c r="HC105" t="e">
        <f>AND(Names!J209,"AAAAADvzz9I=")</f>
        <v>#VALUE!</v>
      </c>
      <c r="HD105" t="e">
        <f>AND(Names!K209,"AAAAADvzz9M=")</f>
        <v>#VALUE!</v>
      </c>
      <c r="HE105" t="e">
        <f>AND(Names!L209,"AAAAADvzz9Q=")</f>
        <v>#VALUE!</v>
      </c>
      <c r="HF105" t="e">
        <f>AND(Names!M209,"AAAAADvzz9U=")</f>
        <v>#VALUE!</v>
      </c>
      <c r="HG105" t="e">
        <f>AND(Names!N209,"AAAAADvzz9Y=")</f>
        <v>#VALUE!</v>
      </c>
      <c r="HH105" t="e">
        <f>AND(Names!O209,"AAAAADvzz9c=")</f>
        <v>#VALUE!</v>
      </c>
      <c r="HI105" t="e">
        <f>AND(Names!P209,"AAAAADvzz9g=")</f>
        <v>#VALUE!</v>
      </c>
      <c r="HJ105" t="e">
        <f>AND(Names!Q209,"AAAAADvzz9k=")</f>
        <v>#VALUE!</v>
      </c>
      <c r="HK105" t="e">
        <f>AND(Names!R209,"AAAAADvzz9o=")</f>
        <v>#VALUE!</v>
      </c>
      <c r="HL105" t="e">
        <f>AND(Names!S209,"AAAAADvzz9s=")</f>
        <v>#VALUE!</v>
      </c>
      <c r="HM105" t="e">
        <f>AND(Names!T209,"AAAAADvzz9w=")</f>
        <v>#VALUE!</v>
      </c>
      <c r="HN105" t="e">
        <f>AND(Names!U209,"AAAAADvzz90=")</f>
        <v>#VALUE!</v>
      </c>
      <c r="HO105" t="e">
        <f>AND(Names!V209,"AAAAADvzz94=")</f>
        <v>#VALUE!</v>
      </c>
      <c r="HP105" t="e">
        <f>AND(Names!W209,"AAAAADvzz98=")</f>
        <v>#VALUE!</v>
      </c>
      <c r="HQ105" t="e">
        <f>AND(Names!X209,"AAAAADvzz+A=")</f>
        <v>#VALUE!</v>
      </c>
      <c r="HR105" t="e">
        <f>AND(Names!Y209,"AAAAADvzz+E=")</f>
        <v>#VALUE!</v>
      </c>
      <c r="HS105" t="e">
        <f>AND(Names!Z209,"AAAAADvzz+I=")</f>
        <v>#VALUE!</v>
      </c>
      <c r="HT105" t="e">
        <f>AND(Names!AA209,"AAAAADvzz+M=")</f>
        <v>#VALUE!</v>
      </c>
      <c r="HU105" t="e">
        <f>AND(Names!AB209,"AAAAADvzz+Q=")</f>
        <v>#VALUE!</v>
      </c>
      <c r="HV105" t="e">
        <f>AND(Names!AC209,"AAAAADvzz+U=")</f>
        <v>#VALUE!</v>
      </c>
      <c r="HW105" t="e">
        <f>AND(Names!AD209,"AAAAADvzz+Y=")</f>
        <v>#VALUE!</v>
      </c>
      <c r="HX105" t="e">
        <f>AND(Names!AE209,"AAAAADvzz+c=")</f>
        <v>#VALUE!</v>
      </c>
      <c r="HY105" t="e">
        <f>AND(Names!AF209,"AAAAADvzz+g=")</f>
        <v>#VALUE!</v>
      </c>
      <c r="HZ105" t="e">
        <f>AND(Names!AG209,"AAAAADvzz+k=")</f>
        <v>#VALUE!</v>
      </c>
      <c r="IA105" t="e">
        <f>AND(Names!AH209,"AAAAADvzz+o=")</f>
        <v>#VALUE!</v>
      </c>
      <c r="IB105" t="e">
        <f>AND(Names!AI209,"AAAAADvzz+s=")</f>
        <v>#VALUE!</v>
      </c>
      <c r="IC105" t="e">
        <f>AND(Names!AJ209,"AAAAADvzz+w=")</f>
        <v>#VALUE!</v>
      </c>
      <c r="ID105" t="e">
        <f>AND(Names!AK209,"AAAAADvzz+0=")</f>
        <v>#VALUE!</v>
      </c>
      <c r="IE105" t="e">
        <f>AND(Names!AL209,"AAAAADvzz+4=")</f>
        <v>#VALUE!</v>
      </c>
      <c r="IF105" t="e">
        <f>AND(Names!AM209,"AAAAADvzz+8=")</f>
        <v>#VALUE!</v>
      </c>
      <c r="IG105">
        <f>IF(Names!210:210,"AAAAADvzz/A=",0)</f>
        <v>0</v>
      </c>
      <c r="IH105" t="e">
        <f>AND(Names!A210,"AAAAADvzz/E=")</f>
        <v>#VALUE!</v>
      </c>
      <c r="II105" t="e">
        <f>AND(Names!B210,"AAAAADvzz/I=")</f>
        <v>#VALUE!</v>
      </c>
      <c r="IJ105" t="e">
        <f>AND(Names!C210,"AAAAADvzz/M=")</f>
        <v>#VALUE!</v>
      </c>
      <c r="IK105" t="e">
        <f>AND(Names!D210,"AAAAADvzz/Q=")</f>
        <v>#VALUE!</v>
      </c>
      <c r="IL105" t="e">
        <f>AND(Names!E210,"AAAAADvzz/U=")</f>
        <v>#VALUE!</v>
      </c>
      <c r="IM105" t="e">
        <f>AND(Names!F210,"AAAAADvzz/Y=")</f>
        <v>#VALUE!</v>
      </c>
      <c r="IN105" t="e">
        <f>AND(Names!G210,"AAAAADvzz/c=")</f>
        <v>#VALUE!</v>
      </c>
      <c r="IO105" t="e">
        <f>AND(Names!H210,"AAAAADvzz/g=")</f>
        <v>#VALUE!</v>
      </c>
      <c r="IP105" t="e">
        <f>AND(Names!I210,"AAAAADvzz/k=")</f>
        <v>#VALUE!</v>
      </c>
      <c r="IQ105" t="e">
        <f>AND(Names!J210,"AAAAADvzz/o=")</f>
        <v>#VALUE!</v>
      </c>
      <c r="IR105" t="e">
        <f>AND(Names!K210,"AAAAADvzz/s=")</f>
        <v>#VALUE!</v>
      </c>
      <c r="IS105" t="e">
        <f>AND(Names!L210,"AAAAADvzz/w=")</f>
        <v>#VALUE!</v>
      </c>
      <c r="IT105" t="e">
        <f>AND(Names!M210,"AAAAADvzz/0=")</f>
        <v>#VALUE!</v>
      </c>
      <c r="IU105" t="e">
        <f>AND(Names!N210,"AAAAADvzz/4=")</f>
        <v>#VALUE!</v>
      </c>
      <c r="IV105" t="e">
        <f>AND(Names!O210,"AAAAADvzz/8=")</f>
        <v>#VALUE!</v>
      </c>
    </row>
    <row r="106" spans="1:256" x14ac:dyDescent="0.15">
      <c r="A106" t="e">
        <f>AND(Names!P210,"AAAAAH6f+QA=")</f>
        <v>#VALUE!</v>
      </c>
      <c r="B106" t="e">
        <f>AND(Names!Q210,"AAAAAH6f+QE=")</f>
        <v>#VALUE!</v>
      </c>
      <c r="C106" t="e">
        <f>AND(Names!R210,"AAAAAH6f+QI=")</f>
        <v>#VALUE!</v>
      </c>
      <c r="D106" t="e">
        <f>AND(Names!S210,"AAAAAH6f+QM=")</f>
        <v>#VALUE!</v>
      </c>
      <c r="E106" t="e">
        <f>AND(Names!T210,"AAAAAH6f+QQ=")</f>
        <v>#VALUE!</v>
      </c>
      <c r="F106" t="e">
        <f>AND(Names!U210,"AAAAAH6f+QU=")</f>
        <v>#VALUE!</v>
      </c>
      <c r="G106" t="e">
        <f>AND(Names!V210,"AAAAAH6f+QY=")</f>
        <v>#VALUE!</v>
      </c>
      <c r="H106" t="e">
        <f>AND(Names!W210,"AAAAAH6f+Qc=")</f>
        <v>#VALUE!</v>
      </c>
      <c r="I106" t="e">
        <f>AND(Names!X210,"AAAAAH6f+Qg=")</f>
        <v>#VALUE!</v>
      </c>
      <c r="J106" t="e">
        <f>AND(Names!Y210,"AAAAAH6f+Qk=")</f>
        <v>#VALUE!</v>
      </c>
      <c r="K106" t="e">
        <f>AND(Names!Z210,"AAAAAH6f+Qo=")</f>
        <v>#VALUE!</v>
      </c>
      <c r="L106" t="e">
        <f>AND(Names!AA210,"AAAAAH6f+Qs=")</f>
        <v>#VALUE!</v>
      </c>
      <c r="M106" t="e">
        <f>AND(Names!AB210,"AAAAAH6f+Qw=")</f>
        <v>#VALUE!</v>
      </c>
      <c r="N106" t="e">
        <f>AND(Names!AC210,"AAAAAH6f+Q0=")</f>
        <v>#VALUE!</v>
      </c>
      <c r="O106" t="e">
        <f>AND(Names!AD210,"AAAAAH6f+Q4=")</f>
        <v>#VALUE!</v>
      </c>
      <c r="P106" t="e">
        <f>AND(Names!AE210,"AAAAAH6f+Q8=")</f>
        <v>#VALUE!</v>
      </c>
      <c r="Q106" t="e">
        <f>AND(Names!AF210,"AAAAAH6f+RA=")</f>
        <v>#VALUE!</v>
      </c>
      <c r="R106" t="e">
        <f>AND(Names!AG210,"AAAAAH6f+RE=")</f>
        <v>#VALUE!</v>
      </c>
      <c r="S106" t="e">
        <f>AND(Names!AH210,"AAAAAH6f+RI=")</f>
        <v>#VALUE!</v>
      </c>
      <c r="T106" t="e">
        <f>AND(Names!AI210,"AAAAAH6f+RM=")</f>
        <v>#VALUE!</v>
      </c>
      <c r="U106" t="e">
        <f>AND(Names!AJ210,"AAAAAH6f+RQ=")</f>
        <v>#VALUE!</v>
      </c>
      <c r="V106" t="e">
        <f>AND(Names!AK210,"AAAAAH6f+RU=")</f>
        <v>#VALUE!</v>
      </c>
      <c r="W106" t="e">
        <f>AND(Names!AL210,"AAAAAH6f+RY=")</f>
        <v>#VALUE!</v>
      </c>
      <c r="X106" t="e">
        <f>AND(Names!AM210,"AAAAAH6f+Rc=")</f>
        <v>#VALUE!</v>
      </c>
      <c r="Y106">
        <f>IF(Names!211:211,"AAAAAH6f+Rg=",0)</f>
        <v>0</v>
      </c>
      <c r="Z106" t="e">
        <f>AND(Names!A211,"AAAAAH6f+Rk=")</f>
        <v>#VALUE!</v>
      </c>
      <c r="AA106" t="e">
        <f>AND(Names!B211,"AAAAAH6f+Ro=")</f>
        <v>#VALUE!</v>
      </c>
      <c r="AB106" t="e">
        <f>AND(Names!C211,"AAAAAH6f+Rs=")</f>
        <v>#VALUE!</v>
      </c>
      <c r="AC106" t="e">
        <f>AND(Names!D211,"AAAAAH6f+Rw=")</f>
        <v>#VALUE!</v>
      </c>
      <c r="AD106" t="e">
        <f>AND(Names!E211,"AAAAAH6f+R0=")</f>
        <v>#VALUE!</v>
      </c>
      <c r="AE106" t="e">
        <f>AND(Names!F211,"AAAAAH6f+R4=")</f>
        <v>#VALUE!</v>
      </c>
      <c r="AF106" t="e">
        <f>AND(Names!G211,"AAAAAH6f+R8=")</f>
        <v>#VALUE!</v>
      </c>
      <c r="AG106" t="e">
        <f>AND(Names!H211,"AAAAAH6f+SA=")</f>
        <v>#VALUE!</v>
      </c>
      <c r="AH106" t="e">
        <f>AND(Names!I211,"AAAAAH6f+SE=")</f>
        <v>#VALUE!</v>
      </c>
      <c r="AI106" t="e">
        <f>AND(Names!J211,"AAAAAH6f+SI=")</f>
        <v>#VALUE!</v>
      </c>
      <c r="AJ106" t="e">
        <f>AND(Names!K211,"AAAAAH6f+SM=")</f>
        <v>#VALUE!</v>
      </c>
      <c r="AK106" t="e">
        <f>AND(Names!L211,"AAAAAH6f+SQ=")</f>
        <v>#VALUE!</v>
      </c>
      <c r="AL106" t="e">
        <f>AND(Names!M211,"AAAAAH6f+SU=")</f>
        <v>#VALUE!</v>
      </c>
      <c r="AM106" t="e">
        <f>AND(Names!N211,"AAAAAH6f+SY=")</f>
        <v>#VALUE!</v>
      </c>
      <c r="AN106" t="e">
        <f>AND(Names!O211,"AAAAAH6f+Sc=")</f>
        <v>#VALUE!</v>
      </c>
      <c r="AO106" t="e">
        <f>AND(Names!P211,"AAAAAH6f+Sg=")</f>
        <v>#VALUE!</v>
      </c>
      <c r="AP106" t="e">
        <f>AND(Names!Q211,"AAAAAH6f+Sk=")</f>
        <v>#VALUE!</v>
      </c>
      <c r="AQ106" t="e">
        <f>AND(Names!R211,"AAAAAH6f+So=")</f>
        <v>#VALUE!</v>
      </c>
      <c r="AR106" t="e">
        <f>AND(Names!S211,"AAAAAH6f+Ss=")</f>
        <v>#VALUE!</v>
      </c>
      <c r="AS106" t="e">
        <f>AND(Names!T211,"AAAAAH6f+Sw=")</f>
        <v>#VALUE!</v>
      </c>
      <c r="AT106" t="e">
        <f>AND(Names!U211,"AAAAAH6f+S0=")</f>
        <v>#VALUE!</v>
      </c>
      <c r="AU106" t="e">
        <f>AND(Names!V211,"AAAAAH6f+S4=")</f>
        <v>#VALUE!</v>
      </c>
      <c r="AV106" t="e">
        <f>AND(Names!W211,"AAAAAH6f+S8=")</f>
        <v>#VALUE!</v>
      </c>
      <c r="AW106" t="e">
        <f>AND(Names!X211,"AAAAAH6f+TA=")</f>
        <v>#VALUE!</v>
      </c>
      <c r="AX106" t="e">
        <f>AND(Names!Y211,"AAAAAH6f+TE=")</f>
        <v>#VALUE!</v>
      </c>
      <c r="AY106" t="e">
        <f>AND(Names!Z211,"AAAAAH6f+TI=")</f>
        <v>#VALUE!</v>
      </c>
      <c r="AZ106" t="e">
        <f>AND(Names!AA211,"AAAAAH6f+TM=")</f>
        <v>#VALUE!</v>
      </c>
      <c r="BA106" t="e">
        <f>AND(Names!AB211,"AAAAAH6f+TQ=")</f>
        <v>#VALUE!</v>
      </c>
      <c r="BB106" t="e">
        <f>AND(Names!AC211,"AAAAAH6f+TU=")</f>
        <v>#VALUE!</v>
      </c>
      <c r="BC106" t="e">
        <f>AND(Names!AD211,"AAAAAH6f+TY=")</f>
        <v>#VALUE!</v>
      </c>
      <c r="BD106" t="e">
        <f>AND(Names!AE211,"AAAAAH6f+Tc=")</f>
        <v>#VALUE!</v>
      </c>
      <c r="BE106" t="e">
        <f>AND(Names!AF211,"AAAAAH6f+Tg=")</f>
        <v>#VALUE!</v>
      </c>
      <c r="BF106" t="e">
        <f>AND(Names!AG211,"AAAAAH6f+Tk=")</f>
        <v>#VALUE!</v>
      </c>
      <c r="BG106" t="e">
        <f>AND(Names!AH211,"AAAAAH6f+To=")</f>
        <v>#VALUE!</v>
      </c>
      <c r="BH106" t="e">
        <f>AND(Names!AI211,"AAAAAH6f+Ts=")</f>
        <v>#VALUE!</v>
      </c>
      <c r="BI106" t="e">
        <f>AND(Names!AJ211,"AAAAAH6f+Tw=")</f>
        <v>#VALUE!</v>
      </c>
      <c r="BJ106" t="e">
        <f>AND(Names!AK211,"AAAAAH6f+T0=")</f>
        <v>#VALUE!</v>
      </c>
      <c r="BK106" t="e">
        <f>AND(Names!AL211,"AAAAAH6f+T4=")</f>
        <v>#VALUE!</v>
      </c>
      <c r="BL106" t="e">
        <f>AND(Names!AM211,"AAAAAH6f+T8=")</f>
        <v>#VALUE!</v>
      </c>
      <c r="BM106">
        <f>IF(Names!212:212,"AAAAAH6f+UA=",0)</f>
        <v>0</v>
      </c>
      <c r="BN106" t="e">
        <f>AND(Names!A212,"AAAAAH6f+UE=")</f>
        <v>#VALUE!</v>
      </c>
      <c r="BO106" t="e">
        <f>AND(Names!B212,"AAAAAH6f+UI=")</f>
        <v>#VALUE!</v>
      </c>
      <c r="BP106" t="e">
        <f>AND(Names!C212,"AAAAAH6f+UM=")</f>
        <v>#VALUE!</v>
      </c>
      <c r="BQ106" t="e">
        <f>AND(Names!D212,"AAAAAH6f+UQ=")</f>
        <v>#VALUE!</v>
      </c>
      <c r="BR106" t="e">
        <f>AND(Names!E212,"AAAAAH6f+UU=")</f>
        <v>#VALUE!</v>
      </c>
      <c r="BS106" t="e">
        <f>AND(Names!F212,"AAAAAH6f+UY=")</f>
        <v>#VALUE!</v>
      </c>
      <c r="BT106" t="e">
        <f>AND(Names!G212,"AAAAAH6f+Uc=")</f>
        <v>#VALUE!</v>
      </c>
      <c r="BU106" t="e">
        <f>AND(Names!H212,"AAAAAH6f+Ug=")</f>
        <v>#VALUE!</v>
      </c>
      <c r="BV106" t="e">
        <f>AND(Names!I212,"AAAAAH6f+Uk=")</f>
        <v>#VALUE!</v>
      </c>
      <c r="BW106" t="e">
        <f>AND(Names!J212,"AAAAAH6f+Uo=")</f>
        <v>#VALUE!</v>
      </c>
      <c r="BX106" t="e">
        <f>AND(Names!K212,"AAAAAH6f+Us=")</f>
        <v>#VALUE!</v>
      </c>
      <c r="BY106" t="e">
        <f>AND(Names!L212,"AAAAAH6f+Uw=")</f>
        <v>#VALUE!</v>
      </c>
      <c r="BZ106" t="e">
        <f>AND(Names!M212,"AAAAAH6f+U0=")</f>
        <v>#VALUE!</v>
      </c>
      <c r="CA106" t="e">
        <f>AND(Names!N212,"AAAAAH6f+U4=")</f>
        <v>#VALUE!</v>
      </c>
      <c r="CB106" t="e">
        <f>AND(Names!O212,"AAAAAH6f+U8=")</f>
        <v>#VALUE!</v>
      </c>
      <c r="CC106" t="e">
        <f>AND(Names!P212,"AAAAAH6f+VA=")</f>
        <v>#VALUE!</v>
      </c>
      <c r="CD106" t="e">
        <f>AND(Names!Q212,"AAAAAH6f+VE=")</f>
        <v>#VALUE!</v>
      </c>
      <c r="CE106" t="e">
        <f>AND(Names!R212,"AAAAAH6f+VI=")</f>
        <v>#VALUE!</v>
      </c>
      <c r="CF106" t="e">
        <f>AND(Names!S212,"AAAAAH6f+VM=")</f>
        <v>#VALUE!</v>
      </c>
      <c r="CG106" t="e">
        <f>AND(Names!T212,"AAAAAH6f+VQ=")</f>
        <v>#VALUE!</v>
      </c>
      <c r="CH106" t="e">
        <f>AND(Names!U212,"AAAAAH6f+VU=")</f>
        <v>#VALUE!</v>
      </c>
      <c r="CI106" t="e">
        <f>AND(Names!V212,"AAAAAH6f+VY=")</f>
        <v>#VALUE!</v>
      </c>
      <c r="CJ106" t="e">
        <f>AND(Names!W212,"AAAAAH6f+Vc=")</f>
        <v>#VALUE!</v>
      </c>
      <c r="CK106" t="e">
        <f>AND(Names!X212,"AAAAAH6f+Vg=")</f>
        <v>#VALUE!</v>
      </c>
      <c r="CL106" t="e">
        <f>AND(Names!Y212,"AAAAAH6f+Vk=")</f>
        <v>#VALUE!</v>
      </c>
      <c r="CM106" t="e">
        <f>AND(Names!Z212,"AAAAAH6f+Vo=")</f>
        <v>#VALUE!</v>
      </c>
      <c r="CN106" t="e">
        <f>AND(Names!AA212,"AAAAAH6f+Vs=")</f>
        <v>#VALUE!</v>
      </c>
      <c r="CO106" t="e">
        <f>AND(Names!AB212,"AAAAAH6f+Vw=")</f>
        <v>#VALUE!</v>
      </c>
      <c r="CP106" t="e">
        <f>AND(Names!AC212,"AAAAAH6f+V0=")</f>
        <v>#VALUE!</v>
      </c>
      <c r="CQ106" t="e">
        <f>AND(Names!AD212,"AAAAAH6f+V4=")</f>
        <v>#VALUE!</v>
      </c>
      <c r="CR106" t="e">
        <f>AND(Names!AE212,"AAAAAH6f+V8=")</f>
        <v>#VALUE!</v>
      </c>
      <c r="CS106" t="e">
        <f>AND(Names!AF212,"AAAAAH6f+WA=")</f>
        <v>#VALUE!</v>
      </c>
      <c r="CT106" t="e">
        <f>AND(Names!AG212,"AAAAAH6f+WE=")</f>
        <v>#VALUE!</v>
      </c>
      <c r="CU106" t="e">
        <f>AND(Names!AH212,"AAAAAH6f+WI=")</f>
        <v>#VALUE!</v>
      </c>
      <c r="CV106" t="e">
        <f>AND(Names!AI212,"AAAAAH6f+WM=")</f>
        <v>#VALUE!</v>
      </c>
      <c r="CW106" t="e">
        <f>AND(Names!AJ212,"AAAAAH6f+WQ=")</f>
        <v>#VALUE!</v>
      </c>
      <c r="CX106" t="e">
        <f>AND(Names!AK212,"AAAAAH6f+WU=")</f>
        <v>#VALUE!</v>
      </c>
      <c r="CY106" t="e">
        <f>AND(Names!AL212,"AAAAAH6f+WY=")</f>
        <v>#VALUE!</v>
      </c>
      <c r="CZ106" t="e">
        <f>AND(Names!AM212,"AAAAAH6f+Wc=")</f>
        <v>#VALUE!</v>
      </c>
      <c r="DA106">
        <f>IF(Names!213:213,"AAAAAH6f+Wg=",0)</f>
        <v>0</v>
      </c>
      <c r="DB106" t="e">
        <f>AND(Names!A213,"AAAAAH6f+Wk=")</f>
        <v>#VALUE!</v>
      </c>
      <c r="DC106" t="e">
        <f>AND(Names!B213,"AAAAAH6f+Wo=")</f>
        <v>#VALUE!</v>
      </c>
      <c r="DD106" t="e">
        <f>AND(Names!C213,"AAAAAH6f+Ws=")</f>
        <v>#VALUE!</v>
      </c>
      <c r="DE106" t="e">
        <f>AND(Names!D213,"AAAAAH6f+Ww=")</f>
        <v>#VALUE!</v>
      </c>
      <c r="DF106" t="e">
        <f>AND(Names!E213,"AAAAAH6f+W0=")</f>
        <v>#VALUE!</v>
      </c>
      <c r="DG106" t="e">
        <f>AND(Names!F213,"AAAAAH6f+W4=")</f>
        <v>#VALUE!</v>
      </c>
      <c r="DH106" t="e">
        <f>AND(Names!G213,"AAAAAH6f+W8=")</f>
        <v>#VALUE!</v>
      </c>
      <c r="DI106" t="e">
        <f>AND(Names!H213,"AAAAAH6f+XA=")</f>
        <v>#VALUE!</v>
      </c>
      <c r="DJ106" t="e">
        <f>AND(Names!I213,"AAAAAH6f+XE=")</f>
        <v>#VALUE!</v>
      </c>
      <c r="DK106" t="e">
        <f>AND(Names!J213,"AAAAAH6f+XI=")</f>
        <v>#VALUE!</v>
      </c>
      <c r="DL106" t="e">
        <f>AND(Names!K213,"AAAAAH6f+XM=")</f>
        <v>#VALUE!</v>
      </c>
      <c r="DM106" t="e">
        <f>AND(Names!L213,"AAAAAH6f+XQ=")</f>
        <v>#VALUE!</v>
      </c>
      <c r="DN106" t="e">
        <f>AND(Names!M213,"AAAAAH6f+XU=")</f>
        <v>#VALUE!</v>
      </c>
      <c r="DO106" t="e">
        <f>AND(Names!N213,"AAAAAH6f+XY=")</f>
        <v>#VALUE!</v>
      </c>
      <c r="DP106" t="e">
        <f>AND(Names!O213,"AAAAAH6f+Xc=")</f>
        <v>#VALUE!</v>
      </c>
      <c r="DQ106" t="e">
        <f>AND(Names!P213,"AAAAAH6f+Xg=")</f>
        <v>#VALUE!</v>
      </c>
      <c r="DR106" t="e">
        <f>AND(Names!Q213,"AAAAAH6f+Xk=")</f>
        <v>#VALUE!</v>
      </c>
      <c r="DS106" t="e">
        <f>AND(Names!R213,"AAAAAH6f+Xo=")</f>
        <v>#VALUE!</v>
      </c>
      <c r="DT106" t="e">
        <f>AND(Names!S213,"AAAAAH6f+Xs=")</f>
        <v>#VALUE!</v>
      </c>
      <c r="DU106" t="e">
        <f>AND(Names!T213,"AAAAAH6f+Xw=")</f>
        <v>#VALUE!</v>
      </c>
      <c r="DV106" t="e">
        <f>AND(Names!U213,"AAAAAH6f+X0=")</f>
        <v>#VALUE!</v>
      </c>
      <c r="DW106" t="e">
        <f>AND(Names!V213,"AAAAAH6f+X4=")</f>
        <v>#VALUE!</v>
      </c>
      <c r="DX106" t="e">
        <f>AND(Names!W213,"AAAAAH6f+X8=")</f>
        <v>#VALUE!</v>
      </c>
      <c r="DY106" t="e">
        <f>AND(Names!X213,"AAAAAH6f+YA=")</f>
        <v>#VALUE!</v>
      </c>
      <c r="DZ106" t="e">
        <f>AND(Names!Y213,"AAAAAH6f+YE=")</f>
        <v>#VALUE!</v>
      </c>
      <c r="EA106" t="e">
        <f>AND(Names!Z213,"AAAAAH6f+YI=")</f>
        <v>#VALUE!</v>
      </c>
      <c r="EB106" t="e">
        <f>AND(Names!AA213,"AAAAAH6f+YM=")</f>
        <v>#VALUE!</v>
      </c>
      <c r="EC106" t="e">
        <f>AND(Names!AB213,"AAAAAH6f+YQ=")</f>
        <v>#VALUE!</v>
      </c>
      <c r="ED106" t="e">
        <f>AND(Names!AC213,"AAAAAH6f+YU=")</f>
        <v>#VALUE!</v>
      </c>
      <c r="EE106" t="e">
        <f>AND(Names!AD213,"AAAAAH6f+YY=")</f>
        <v>#VALUE!</v>
      </c>
      <c r="EF106" t="e">
        <f>AND(Names!AE213,"AAAAAH6f+Yc=")</f>
        <v>#VALUE!</v>
      </c>
      <c r="EG106" t="e">
        <f>AND(Names!AF213,"AAAAAH6f+Yg=")</f>
        <v>#VALUE!</v>
      </c>
      <c r="EH106" t="e">
        <f>AND(Names!AG213,"AAAAAH6f+Yk=")</f>
        <v>#VALUE!</v>
      </c>
      <c r="EI106" t="e">
        <f>AND(Names!AH213,"AAAAAH6f+Yo=")</f>
        <v>#VALUE!</v>
      </c>
      <c r="EJ106" t="e">
        <f>AND(Names!AI213,"AAAAAH6f+Ys=")</f>
        <v>#VALUE!</v>
      </c>
      <c r="EK106" t="e">
        <f>AND(Names!AJ213,"AAAAAH6f+Yw=")</f>
        <v>#VALUE!</v>
      </c>
      <c r="EL106" t="e">
        <f>AND(Names!AK213,"AAAAAH6f+Y0=")</f>
        <v>#VALUE!</v>
      </c>
      <c r="EM106" t="e">
        <f>AND(Names!AL213,"AAAAAH6f+Y4=")</f>
        <v>#VALUE!</v>
      </c>
      <c r="EN106" t="e">
        <f>AND(Names!AM213,"AAAAAH6f+Y8=")</f>
        <v>#VALUE!</v>
      </c>
      <c r="EO106">
        <f>IF(Names!214:214,"AAAAAH6f+ZA=",0)</f>
        <v>0</v>
      </c>
      <c r="EP106" t="e">
        <f>AND(Names!A214,"AAAAAH6f+ZE=")</f>
        <v>#VALUE!</v>
      </c>
      <c r="EQ106" t="e">
        <f>AND(Names!B214,"AAAAAH6f+ZI=")</f>
        <v>#VALUE!</v>
      </c>
      <c r="ER106" t="e">
        <f>AND(Names!C214,"AAAAAH6f+ZM=")</f>
        <v>#VALUE!</v>
      </c>
      <c r="ES106" t="e">
        <f>AND(Names!D214,"AAAAAH6f+ZQ=")</f>
        <v>#VALUE!</v>
      </c>
      <c r="ET106" t="e">
        <f>AND(Names!E214,"AAAAAH6f+ZU=")</f>
        <v>#VALUE!</v>
      </c>
      <c r="EU106" t="e">
        <f>AND(Names!F214,"AAAAAH6f+ZY=")</f>
        <v>#VALUE!</v>
      </c>
      <c r="EV106" t="e">
        <f>AND(Names!G214,"AAAAAH6f+Zc=")</f>
        <v>#VALUE!</v>
      </c>
      <c r="EW106" t="e">
        <f>AND(Names!H214,"AAAAAH6f+Zg=")</f>
        <v>#VALUE!</v>
      </c>
      <c r="EX106" t="e">
        <f>AND(Names!I214,"AAAAAH6f+Zk=")</f>
        <v>#VALUE!</v>
      </c>
      <c r="EY106" t="e">
        <f>AND(Names!J214,"AAAAAH6f+Zo=")</f>
        <v>#VALUE!</v>
      </c>
      <c r="EZ106" t="e">
        <f>AND(Names!K214,"AAAAAH6f+Zs=")</f>
        <v>#VALUE!</v>
      </c>
      <c r="FA106" t="e">
        <f>AND(Names!L214,"AAAAAH6f+Zw=")</f>
        <v>#VALUE!</v>
      </c>
      <c r="FB106" t="e">
        <f>AND(Names!M214,"AAAAAH6f+Z0=")</f>
        <v>#VALUE!</v>
      </c>
      <c r="FC106" t="e">
        <f>AND(Names!N214,"AAAAAH6f+Z4=")</f>
        <v>#VALUE!</v>
      </c>
      <c r="FD106" t="e">
        <f>AND(Names!O214,"AAAAAH6f+Z8=")</f>
        <v>#VALUE!</v>
      </c>
      <c r="FE106" t="e">
        <f>AND(Names!P214,"AAAAAH6f+aA=")</f>
        <v>#VALUE!</v>
      </c>
      <c r="FF106" t="e">
        <f>AND(Names!Q214,"AAAAAH6f+aE=")</f>
        <v>#VALUE!</v>
      </c>
      <c r="FG106" t="e">
        <f>AND(Names!R214,"AAAAAH6f+aI=")</f>
        <v>#VALUE!</v>
      </c>
      <c r="FH106" t="e">
        <f>AND(Names!S214,"AAAAAH6f+aM=")</f>
        <v>#VALUE!</v>
      </c>
      <c r="FI106" t="e">
        <f>AND(Names!T214,"AAAAAH6f+aQ=")</f>
        <v>#VALUE!</v>
      </c>
      <c r="FJ106" t="e">
        <f>AND(Names!U214,"AAAAAH6f+aU=")</f>
        <v>#VALUE!</v>
      </c>
      <c r="FK106" t="e">
        <f>AND(Names!V214,"AAAAAH6f+aY=")</f>
        <v>#VALUE!</v>
      </c>
      <c r="FL106" t="e">
        <f>AND(Names!W214,"AAAAAH6f+ac=")</f>
        <v>#VALUE!</v>
      </c>
      <c r="FM106" t="e">
        <f>AND(Names!X214,"AAAAAH6f+ag=")</f>
        <v>#VALUE!</v>
      </c>
      <c r="FN106" t="e">
        <f>AND(Names!Y214,"AAAAAH6f+ak=")</f>
        <v>#VALUE!</v>
      </c>
      <c r="FO106" t="e">
        <f>AND(Names!Z214,"AAAAAH6f+ao=")</f>
        <v>#VALUE!</v>
      </c>
      <c r="FP106" t="e">
        <f>AND(Names!AA214,"AAAAAH6f+as=")</f>
        <v>#VALUE!</v>
      </c>
      <c r="FQ106" t="e">
        <f>AND(Names!AB214,"AAAAAH6f+aw=")</f>
        <v>#VALUE!</v>
      </c>
      <c r="FR106" t="e">
        <f>AND(Names!AC214,"AAAAAH6f+a0=")</f>
        <v>#VALUE!</v>
      </c>
      <c r="FS106" t="e">
        <f>AND(Names!AD214,"AAAAAH6f+a4=")</f>
        <v>#VALUE!</v>
      </c>
      <c r="FT106" t="e">
        <f>AND(Names!AE214,"AAAAAH6f+a8=")</f>
        <v>#VALUE!</v>
      </c>
      <c r="FU106" t="e">
        <f>AND(Names!AF214,"AAAAAH6f+bA=")</f>
        <v>#VALUE!</v>
      </c>
      <c r="FV106" t="e">
        <f>AND(Names!AG214,"AAAAAH6f+bE=")</f>
        <v>#VALUE!</v>
      </c>
      <c r="FW106" t="e">
        <f>AND(Names!AH214,"AAAAAH6f+bI=")</f>
        <v>#VALUE!</v>
      </c>
      <c r="FX106" t="e">
        <f>AND(Names!AI214,"AAAAAH6f+bM=")</f>
        <v>#VALUE!</v>
      </c>
      <c r="FY106" t="e">
        <f>AND(Names!AJ214,"AAAAAH6f+bQ=")</f>
        <v>#VALUE!</v>
      </c>
      <c r="FZ106" t="e">
        <f>AND(Names!AK214,"AAAAAH6f+bU=")</f>
        <v>#VALUE!</v>
      </c>
      <c r="GA106" t="e">
        <f>AND(Names!AL214,"AAAAAH6f+bY=")</f>
        <v>#VALUE!</v>
      </c>
      <c r="GB106" t="e">
        <f>AND(Names!AM214,"AAAAAH6f+bc=")</f>
        <v>#VALUE!</v>
      </c>
      <c r="GC106">
        <f>IF(Names!215:215,"AAAAAH6f+bg=",0)</f>
        <v>0</v>
      </c>
      <c r="GD106" t="e">
        <f>AND(Names!A215,"AAAAAH6f+bk=")</f>
        <v>#VALUE!</v>
      </c>
      <c r="GE106" t="e">
        <f>AND(Names!B215,"AAAAAH6f+bo=")</f>
        <v>#VALUE!</v>
      </c>
      <c r="GF106" t="e">
        <f>AND(Names!C215,"AAAAAH6f+bs=")</f>
        <v>#VALUE!</v>
      </c>
      <c r="GG106" t="e">
        <f>AND(Names!D215,"AAAAAH6f+bw=")</f>
        <v>#VALUE!</v>
      </c>
      <c r="GH106" t="e">
        <f>AND(Names!E215,"AAAAAH6f+b0=")</f>
        <v>#VALUE!</v>
      </c>
      <c r="GI106" t="e">
        <f>AND(Names!F215,"AAAAAH6f+b4=")</f>
        <v>#VALUE!</v>
      </c>
      <c r="GJ106" t="e">
        <f>AND(Names!G215,"AAAAAH6f+b8=")</f>
        <v>#VALUE!</v>
      </c>
      <c r="GK106" t="e">
        <f>AND(Names!H215,"AAAAAH6f+cA=")</f>
        <v>#VALUE!</v>
      </c>
      <c r="GL106" t="e">
        <f>AND(Names!I215,"AAAAAH6f+cE=")</f>
        <v>#VALUE!</v>
      </c>
      <c r="GM106" t="e">
        <f>AND(Names!J215,"AAAAAH6f+cI=")</f>
        <v>#VALUE!</v>
      </c>
      <c r="GN106" t="e">
        <f>AND(Names!K215,"AAAAAH6f+cM=")</f>
        <v>#VALUE!</v>
      </c>
      <c r="GO106" t="e">
        <f>AND(Names!L215,"AAAAAH6f+cQ=")</f>
        <v>#VALUE!</v>
      </c>
      <c r="GP106" t="e">
        <f>AND(Names!M215,"AAAAAH6f+cU=")</f>
        <v>#VALUE!</v>
      </c>
      <c r="GQ106" t="e">
        <f>AND(Names!N215,"AAAAAH6f+cY=")</f>
        <v>#VALUE!</v>
      </c>
      <c r="GR106" t="e">
        <f>AND(Names!O215,"AAAAAH6f+cc=")</f>
        <v>#VALUE!</v>
      </c>
      <c r="GS106" t="e">
        <f>AND(Names!P215,"AAAAAH6f+cg=")</f>
        <v>#VALUE!</v>
      </c>
      <c r="GT106" t="e">
        <f>AND(Names!Q215,"AAAAAH6f+ck=")</f>
        <v>#VALUE!</v>
      </c>
      <c r="GU106" t="e">
        <f>AND(Names!R215,"AAAAAH6f+co=")</f>
        <v>#VALUE!</v>
      </c>
      <c r="GV106" t="e">
        <f>AND(Names!S215,"AAAAAH6f+cs=")</f>
        <v>#VALUE!</v>
      </c>
      <c r="GW106" t="e">
        <f>AND(Names!T215,"AAAAAH6f+cw=")</f>
        <v>#VALUE!</v>
      </c>
      <c r="GX106" t="e">
        <f>AND(Names!U215,"AAAAAH6f+c0=")</f>
        <v>#VALUE!</v>
      </c>
      <c r="GY106" t="e">
        <f>AND(Names!V215,"AAAAAH6f+c4=")</f>
        <v>#VALUE!</v>
      </c>
      <c r="GZ106" t="e">
        <f>AND(Names!W215,"AAAAAH6f+c8=")</f>
        <v>#VALUE!</v>
      </c>
      <c r="HA106" t="e">
        <f>AND(Names!X215,"AAAAAH6f+dA=")</f>
        <v>#VALUE!</v>
      </c>
      <c r="HB106" t="e">
        <f>AND(Names!Y215,"AAAAAH6f+dE=")</f>
        <v>#VALUE!</v>
      </c>
      <c r="HC106" t="e">
        <f>AND(Names!Z215,"AAAAAH6f+dI=")</f>
        <v>#VALUE!</v>
      </c>
      <c r="HD106" t="e">
        <f>AND(Names!AA215,"AAAAAH6f+dM=")</f>
        <v>#VALUE!</v>
      </c>
      <c r="HE106" t="e">
        <f>AND(Names!AB215,"AAAAAH6f+dQ=")</f>
        <v>#VALUE!</v>
      </c>
      <c r="HF106" t="e">
        <f>AND(Names!AC215,"AAAAAH6f+dU=")</f>
        <v>#VALUE!</v>
      </c>
      <c r="HG106" t="e">
        <f>AND(Names!AD215,"AAAAAH6f+dY=")</f>
        <v>#VALUE!</v>
      </c>
      <c r="HH106" t="e">
        <f>AND(Names!AE215,"AAAAAH6f+dc=")</f>
        <v>#VALUE!</v>
      </c>
      <c r="HI106" t="e">
        <f>AND(Names!AF215,"AAAAAH6f+dg=")</f>
        <v>#VALUE!</v>
      </c>
      <c r="HJ106" t="e">
        <f>AND(Names!AG215,"AAAAAH6f+dk=")</f>
        <v>#VALUE!</v>
      </c>
      <c r="HK106" t="e">
        <f>AND(Names!AH215,"AAAAAH6f+do=")</f>
        <v>#VALUE!</v>
      </c>
      <c r="HL106" t="e">
        <f>AND(Names!AI215,"AAAAAH6f+ds=")</f>
        <v>#VALUE!</v>
      </c>
      <c r="HM106" t="e">
        <f>AND(Names!AJ215,"AAAAAH6f+dw=")</f>
        <v>#VALUE!</v>
      </c>
      <c r="HN106" t="e">
        <f>AND(Names!AK215,"AAAAAH6f+d0=")</f>
        <v>#VALUE!</v>
      </c>
      <c r="HO106" t="e">
        <f>AND(Names!AL215,"AAAAAH6f+d4=")</f>
        <v>#VALUE!</v>
      </c>
      <c r="HP106" t="e">
        <f>AND(Names!AM215,"AAAAAH6f+d8=")</f>
        <v>#VALUE!</v>
      </c>
      <c r="HQ106">
        <f>IF(Names!216:216,"AAAAAH6f+eA=",0)</f>
        <v>0</v>
      </c>
      <c r="HR106" t="e">
        <f>AND(Names!A216,"AAAAAH6f+eE=")</f>
        <v>#VALUE!</v>
      </c>
      <c r="HS106" t="e">
        <f>AND(Names!B216,"AAAAAH6f+eI=")</f>
        <v>#VALUE!</v>
      </c>
      <c r="HT106" t="e">
        <f>AND(Names!C216,"AAAAAH6f+eM=")</f>
        <v>#VALUE!</v>
      </c>
      <c r="HU106" t="e">
        <f>AND(Names!D216,"AAAAAH6f+eQ=")</f>
        <v>#VALUE!</v>
      </c>
      <c r="HV106" t="e">
        <f>AND(Names!E216,"AAAAAH6f+eU=")</f>
        <v>#VALUE!</v>
      </c>
      <c r="HW106" t="e">
        <f>AND(Names!F216,"AAAAAH6f+eY=")</f>
        <v>#VALUE!</v>
      </c>
      <c r="HX106" t="e">
        <f>AND(Names!G216,"AAAAAH6f+ec=")</f>
        <v>#VALUE!</v>
      </c>
      <c r="HY106" t="e">
        <f>AND(Names!H216,"AAAAAH6f+eg=")</f>
        <v>#VALUE!</v>
      </c>
      <c r="HZ106" t="e">
        <f>AND(Names!I216,"AAAAAH6f+ek=")</f>
        <v>#VALUE!</v>
      </c>
      <c r="IA106" t="e">
        <f>AND(Names!J216,"AAAAAH6f+eo=")</f>
        <v>#VALUE!</v>
      </c>
      <c r="IB106" t="e">
        <f>AND(Names!K216,"AAAAAH6f+es=")</f>
        <v>#VALUE!</v>
      </c>
      <c r="IC106" t="e">
        <f>AND(Names!L216,"AAAAAH6f+ew=")</f>
        <v>#VALUE!</v>
      </c>
      <c r="ID106" t="e">
        <f>AND(Names!M216,"AAAAAH6f+e0=")</f>
        <v>#VALUE!</v>
      </c>
      <c r="IE106" t="e">
        <f>AND(Names!N216,"AAAAAH6f+e4=")</f>
        <v>#VALUE!</v>
      </c>
      <c r="IF106" t="e">
        <f>AND(Names!O216,"AAAAAH6f+e8=")</f>
        <v>#VALUE!</v>
      </c>
      <c r="IG106" t="e">
        <f>AND(Names!P216,"AAAAAH6f+fA=")</f>
        <v>#VALUE!</v>
      </c>
      <c r="IH106" t="e">
        <f>AND(Names!Q216,"AAAAAH6f+fE=")</f>
        <v>#VALUE!</v>
      </c>
      <c r="II106" t="e">
        <f>AND(Names!R216,"AAAAAH6f+fI=")</f>
        <v>#VALUE!</v>
      </c>
      <c r="IJ106" t="e">
        <f>AND(Names!S216,"AAAAAH6f+fM=")</f>
        <v>#VALUE!</v>
      </c>
      <c r="IK106" t="e">
        <f>AND(Names!T216,"AAAAAH6f+fQ=")</f>
        <v>#VALUE!</v>
      </c>
      <c r="IL106" t="e">
        <f>AND(Names!U216,"AAAAAH6f+fU=")</f>
        <v>#VALUE!</v>
      </c>
      <c r="IM106" t="e">
        <f>AND(Names!V216,"AAAAAH6f+fY=")</f>
        <v>#VALUE!</v>
      </c>
      <c r="IN106" t="e">
        <f>AND(Names!W216,"AAAAAH6f+fc=")</f>
        <v>#VALUE!</v>
      </c>
      <c r="IO106" t="e">
        <f>AND(Names!X216,"AAAAAH6f+fg=")</f>
        <v>#VALUE!</v>
      </c>
      <c r="IP106" t="e">
        <f>AND(Names!Y216,"AAAAAH6f+fk=")</f>
        <v>#VALUE!</v>
      </c>
      <c r="IQ106" t="e">
        <f>AND(Names!Z216,"AAAAAH6f+fo=")</f>
        <v>#VALUE!</v>
      </c>
      <c r="IR106" t="e">
        <f>AND(Names!AA216,"AAAAAH6f+fs=")</f>
        <v>#VALUE!</v>
      </c>
      <c r="IS106" t="e">
        <f>AND(Names!AB216,"AAAAAH6f+fw=")</f>
        <v>#VALUE!</v>
      </c>
      <c r="IT106" t="e">
        <f>AND(Names!AC216,"AAAAAH6f+f0=")</f>
        <v>#VALUE!</v>
      </c>
      <c r="IU106" t="e">
        <f>AND(Names!AD216,"AAAAAH6f+f4=")</f>
        <v>#VALUE!</v>
      </c>
      <c r="IV106" t="e">
        <f>AND(Names!AE216,"AAAAAH6f+f8=")</f>
        <v>#VALUE!</v>
      </c>
    </row>
    <row r="107" spans="1:256" x14ac:dyDescent="0.15">
      <c r="A107" t="e">
        <f>AND(Names!AF216,"AAAAAC1vigA=")</f>
        <v>#VALUE!</v>
      </c>
      <c r="B107" t="e">
        <f>AND(Names!AG216,"AAAAAC1vigE=")</f>
        <v>#VALUE!</v>
      </c>
      <c r="C107" t="e">
        <f>AND(Names!AH216,"AAAAAC1vigI=")</f>
        <v>#VALUE!</v>
      </c>
      <c r="D107" t="e">
        <f>AND(Names!AI216,"AAAAAC1vigM=")</f>
        <v>#VALUE!</v>
      </c>
      <c r="E107" t="e">
        <f>AND(Names!AJ216,"AAAAAC1vigQ=")</f>
        <v>#VALUE!</v>
      </c>
      <c r="F107" t="e">
        <f>AND(Names!AK216,"AAAAAC1vigU=")</f>
        <v>#VALUE!</v>
      </c>
      <c r="G107" t="e">
        <f>AND(Names!AL216,"AAAAAC1vigY=")</f>
        <v>#VALUE!</v>
      </c>
      <c r="H107" t="e">
        <f>AND(Names!AM216,"AAAAAC1vigc=")</f>
        <v>#VALUE!</v>
      </c>
      <c r="I107">
        <f>IF(Names!217:217,"AAAAAC1vigg=",0)</f>
        <v>0</v>
      </c>
      <c r="J107" t="e">
        <f>AND(Names!A217,"AAAAAC1vigk=")</f>
        <v>#VALUE!</v>
      </c>
      <c r="K107" t="e">
        <f>AND(Names!B217,"AAAAAC1vigo=")</f>
        <v>#VALUE!</v>
      </c>
      <c r="L107" t="e">
        <f>AND(Names!C217,"AAAAAC1vigs=")</f>
        <v>#VALUE!</v>
      </c>
      <c r="M107" t="e">
        <f>AND(Names!D217,"AAAAAC1vigw=")</f>
        <v>#VALUE!</v>
      </c>
      <c r="N107" t="e">
        <f>AND(Names!E217,"AAAAAC1vig0=")</f>
        <v>#VALUE!</v>
      </c>
      <c r="O107" t="e">
        <f>AND(Names!F217,"AAAAAC1vig4=")</f>
        <v>#VALUE!</v>
      </c>
      <c r="P107" t="e">
        <f>AND(Names!G217,"AAAAAC1vig8=")</f>
        <v>#VALUE!</v>
      </c>
      <c r="Q107" t="e">
        <f>AND(Names!H217,"AAAAAC1vihA=")</f>
        <v>#VALUE!</v>
      </c>
      <c r="R107" t="e">
        <f>AND(Names!I217,"AAAAAC1vihE=")</f>
        <v>#VALUE!</v>
      </c>
      <c r="S107" t="e">
        <f>AND(Names!J217,"AAAAAC1vihI=")</f>
        <v>#VALUE!</v>
      </c>
      <c r="T107" t="e">
        <f>AND(Names!K217,"AAAAAC1vihM=")</f>
        <v>#VALUE!</v>
      </c>
      <c r="U107" t="e">
        <f>AND(Names!L217,"AAAAAC1vihQ=")</f>
        <v>#VALUE!</v>
      </c>
      <c r="V107" t="e">
        <f>AND(Names!M217,"AAAAAC1vihU=")</f>
        <v>#VALUE!</v>
      </c>
      <c r="W107" t="e">
        <f>AND(Names!N217,"AAAAAC1vihY=")</f>
        <v>#VALUE!</v>
      </c>
      <c r="X107" t="e">
        <f>AND(Names!O217,"AAAAAC1vihc=")</f>
        <v>#VALUE!</v>
      </c>
      <c r="Y107" t="e">
        <f>AND(Names!P217,"AAAAAC1vihg=")</f>
        <v>#VALUE!</v>
      </c>
      <c r="Z107" t="e">
        <f>AND(Names!Q217,"AAAAAC1vihk=")</f>
        <v>#VALUE!</v>
      </c>
      <c r="AA107" t="e">
        <f>AND(Names!R217,"AAAAAC1viho=")</f>
        <v>#VALUE!</v>
      </c>
      <c r="AB107" t="e">
        <f>AND(Names!S217,"AAAAAC1vihs=")</f>
        <v>#VALUE!</v>
      </c>
      <c r="AC107" t="e">
        <f>AND(Names!T217,"AAAAAC1vihw=")</f>
        <v>#VALUE!</v>
      </c>
      <c r="AD107" t="e">
        <f>AND(Names!U217,"AAAAAC1vih0=")</f>
        <v>#VALUE!</v>
      </c>
      <c r="AE107" t="e">
        <f>AND(Names!V217,"AAAAAC1vih4=")</f>
        <v>#VALUE!</v>
      </c>
      <c r="AF107" t="e">
        <f>AND(Names!W217,"AAAAAC1vih8=")</f>
        <v>#VALUE!</v>
      </c>
      <c r="AG107" t="e">
        <f>AND(Names!X217,"AAAAAC1viiA=")</f>
        <v>#VALUE!</v>
      </c>
      <c r="AH107" t="e">
        <f>AND(Names!Y217,"AAAAAC1viiE=")</f>
        <v>#VALUE!</v>
      </c>
      <c r="AI107" t="e">
        <f>AND(Names!Z217,"AAAAAC1viiI=")</f>
        <v>#VALUE!</v>
      </c>
      <c r="AJ107" t="e">
        <f>AND(Names!AA217,"AAAAAC1viiM=")</f>
        <v>#VALUE!</v>
      </c>
      <c r="AK107" t="e">
        <f>AND(Names!AB217,"AAAAAC1viiQ=")</f>
        <v>#VALUE!</v>
      </c>
      <c r="AL107" t="e">
        <f>AND(Names!AC217,"AAAAAC1viiU=")</f>
        <v>#VALUE!</v>
      </c>
      <c r="AM107" t="e">
        <f>AND(Names!AD217,"AAAAAC1viiY=")</f>
        <v>#VALUE!</v>
      </c>
      <c r="AN107" t="e">
        <f>AND(Names!AE217,"AAAAAC1viic=")</f>
        <v>#VALUE!</v>
      </c>
      <c r="AO107" t="e">
        <f>AND(Names!AF217,"AAAAAC1viig=")</f>
        <v>#VALUE!</v>
      </c>
      <c r="AP107" t="e">
        <f>AND(Names!AG217,"AAAAAC1viik=")</f>
        <v>#VALUE!</v>
      </c>
      <c r="AQ107" t="e">
        <f>AND(Names!AH217,"AAAAAC1viio=")</f>
        <v>#VALUE!</v>
      </c>
      <c r="AR107" t="e">
        <f>AND(Names!AI217,"AAAAAC1viis=")</f>
        <v>#VALUE!</v>
      </c>
      <c r="AS107" t="e">
        <f>AND(Names!AJ217,"AAAAAC1viiw=")</f>
        <v>#VALUE!</v>
      </c>
      <c r="AT107" t="e">
        <f>AND(Names!AK217,"AAAAAC1vii0=")</f>
        <v>#VALUE!</v>
      </c>
      <c r="AU107" t="e">
        <f>AND(Names!AL217,"AAAAAC1vii4=")</f>
        <v>#VALUE!</v>
      </c>
      <c r="AV107" t="e">
        <f>AND(Names!AM217,"AAAAAC1vii8=")</f>
        <v>#VALUE!</v>
      </c>
      <c r="AW107">
        <f>IF(Names!218:218,"AAAAAC1vijA=",0)</f>
        <v>0</v>
      </c>
      <c r="AX107" t="e">
        <f>AND(Names!A218,"AAAAAC1vijE=")</f>
        <v>#VALUE!</v>
      </c>
      <c r="AY107" t="e">
        <f>AND(Names!B218,"AAAAAC1vijI=")</f>
        <v>#VALUE!</v>
      </c>
      <c r="AZ107" t="e">
        <f>AND(Names!C218,"AAAAAC1vijM=")</f>
        <v>#VALUE!</v>
      </c>
      <c r="BA107" t="e">
        <f>AND(Names!D218,"AAAAAC1vijQ=")</f>
        <v>#VALUE!</v>
      </c>
      <c r="BB107" t="e">
        <f>AND(Names!E218,"AAAAAC1vijU=")</f>
        <v>#VALUE!</v>
      </c>
      <c r="BC107" t="e">
        <f>AND(Names!F218,"AAAAAC1vijY=")</f>
        <v>#VALUE!</v>
      </c>
      <c r="BD107" t="e">
        <f>AND(Names!G218,"AAAAAC1vijc=")</f>
        <v>#VALUE!</v>
      </c>
      <c r="BE107" t="e">
        <f>AND(Names!H218,"AAAAAC1vijg=")</f>
        <v>#VALUE!</v>
      </c>
      <c r="BF107" t="e">
        <f>AND(Names!I218,"AAAAAC1vijk=")</f>
        <v>#VALUE!</v>
      </c>
      <c r="BG107" t="e">
        <f>AND(Names!J218,"AAAAAC1vijo=")</f>
        <v>#VALUE!</v>
      </c>
      <c r="BH107" t="e">
        <f>AND(Names!K218,"AAAAAC1vijs=")</f>
        <v>#VALUE!</v>
      </c>
      <c r="BI107" t="e">
        <f>AND(Names!L218,"AAAAAC1vijw=")</f>
        <v>#VALUE!</v>
      </c>
      <c r="BJ107" t="e">
        <f>AND(Names!M218,"AAAAAC1vij0=")</f>
        <v>#VALUE!</v>
      </c>
      <c r="BK107" t="e">
        <f>AND(Names!N218,"AAAAAC1vij4=")</f>
        <v>#VALUE!</v>
      </c>
      <c r="BL107" t="e">
        <f>AND(Names!O218,"AAAAAC1vij8=")</f>
        <v>#VALUE!</v>
      </c>
      <c r="BM107" t="e">
        <f>AND(Names!P218,"AAAAAC1vikA=")</f>
        <v>#VALUE!</v>
      </c>
      <c r="BN107" t="e">
        <f>AND(Names!Q218,"AAAAAC1vikE=")</f>
        <v>#VALUE!</v>
      </c>
      <c r="BO107" t="e">
        <f>AND(Names!R218,"AAAAAC1vikI=")</f>
        <v>#VALUE!</v>
      </c>
      <c r="BP107" t="e">
        <f>AND(Names!S218,"AAAAAC1vikM=")</f>
        <v>#VALUE!</v>
      </c>
      <c r="BQ107" t="e">
        <f>AND(Names!T218,"AAAAAC1vikQ=")</f>
        <v>#VALUE!</v>
      </c>
      <c r="BR107" t="e">
        <f>AND(Names!U218,"AAAAAC1vikU=")</f>
        <v>#VALUE!</v>
      </c>
      <c r="BS107" t="e">
        <f>AND(Names!V218,"AAAAAC1vikY=")</f>
        <v>#VALUE!</v>
      </c>
      <c r="BT107" t="e">
        <f>AND(Names!W218,"AAAAAC1vikc=")</f>
        <v>#VALUE!</v>
      </c>
      <c r="BU107" t="e">
        <f>AND(Names!X218,"AAAAAC1vikg=")</f>
        <v>#VALUE!</v>
      </c>
      <c r="BV107" t="e">
        <f>AND(Names!Y218,"AAAAAC1vikk=")</f>
        <v>#VALUE!</v>
      </c>
      <c r="BW107" t="e">
        <f>AND(Names!Z218,"AAAAAC1viko=")</f>
        <v>#VALUE!</v>
      </c>
      <c r="BX107" t="e">
        <f>AND(Names!AA218,"AAAAAC1viks=")</f>
        <v>#VALUE!</v>
      </c>
      <c r="BY107" t="e">
        <f>AND(Names!AB218,"AAAAAC1vikw=")</f>
        <v>#VALUE!</v>
      </c>
      <c r="BZ107" t="e">
        <f>AND(Names!AC218,"AAAAAC1vik0=")</f>
        <v>#VALUE!</v>
      </c>
      <c r="CA107" t="e">
        <f>AND(Names!AD218,"AAAAAC1vik4=")</f>
        <v>#VALUE!</v>
      </c>
      <c r="CB107" t="e">
        <f>AND(Names!AE218,"AAAAAC1vik8=")</f>
        <v>#VALUE!</v>
      </c>
      <c r="CC107" t="e">
        <f>AND(Names!AF218,"AAAAAC1vilA=")</f>
        <v>#VALUE!</v>
      </c>
      <c r="CD107" t="e">
        <f>AND(Names!AG218,"AAAAAC1vilE=")</f>
        <v>#VALUE!</v>
      </c>
      <c r="CE107" t="e">
        <f>AND(Names!AH218,"AAAAAC1vilI=")</f>
        <v>#VALUE!</v>
      </c>
      <c r="CF107" t="e">
        <f>AND(Names!AI218,"AAAAAC1vilM=")</f>
        <v>#VALUE!</v>
      </c>
      <c r="CG107" t="e">
        <f>AND(Names!AJ218,"AAAAAC1vilQ=")</f>
        <v>#VALUE!</v>
      </c>
      <c r="CH107" t="e">
        <f>AND(Names!AK218,"AAAAAC1vilU=")</f>
        <v>#VALUE!</v>
      </c>
      <c r="CI107" t="e">
        <f>AND(Names!AL218,"AAAAAC1vilY=")</f>
        <v>#VALUE!</v>
      </c>
      <c r="CJ107" t="e">
        <f>AND(Names!AM218,"AAAAAC1vilc=")</f>
        <v>#VALUE!</v>
      </c>
      <c r="CK107">
        <f>IF(Names!219:219,"AAAAAC1vilg=",0)</f>
        <v>0</v>
      </c>
      <c r="CL107" t="e">
        <f>AND(Names!A219,"AAAAAC1vilk=")</f>
        <v>#VALUE!</v>
      </c>
      <c r="CM107" t="e">
        <f>AND(Names!B219,"AAAAAC1vilo=")</f>
        <v>#VALUE!</v>
      </c>
      <c r="CN107" t="e">
        <f>AND(Names!C219,"AAAAAC1vils=")</f>
        <v>#VALUE!</v>
      </c>
      <c r="CO107" t="e">
        <f>AND(Names!D219,"AAAAAC1vilw=")</f>
        <v>#VALUE!</v>
      </c>
      <c r="CP107" t="e">
        <f>AND(Names!E219,"AAAAAC1vil0=")</f>
        <v>#VALUE!</v>
      </c>
      <c r="CQ107" t="e">
        <f>AND(Names!F219,"AAAAAC1vil4=")</f>
        <v>#VALUE!</v>
      </c>
      <c r="CR107" t="e">
        <f>AND(Names!G219,"AAAAAC1vil8=")</f>
        <v>#VALUE!</v>
      </c>
      <c r="CS107" t="e">
        <f>AND(Names!H219,"AAAAAC1vimA=")</f>
        <v>#VALUE!</v>
      </c>
      <c r="CT107" t="e">
        <f>AND(Names!I219,"AAAAAC1vimE=")</f>
        <v>#VALUE!</v>
      </c>
      <c r="CU107" t="e">
        <f>AND(Names!J219,"AAAAAC1vimI=")</f>
        <v>#VALUE!</v>
      </c>
      <c r="CV107" t="e">
        <f>AND(Names!K219,"AAAAAC1vimM=")</f>
        <v>#VALUE!</v>
      </c>
      <c r="CW107" t="e">
        <f>AND(Names!L219,"AAAAAC1vimQ=")</f>
        <v>#VALUE!</v>
      </c>
      <c r="CX107" t="e">
        <f>AND(Names!M219,"AAAAAC1vimU=")</f>
        <v>#VALUE!</v>
      </c>
      <c r="CY107" t="e">
        <f>AND(Names!N219,"AAAAAC1vimY=")</f>
        <v>#VALUE!</v>
      </c>
      <c r="CZ107" t="e">
        <f>AND(Names!O219,"AAAAAC1vimc=")</f>
        <v>#VALUE!</v>
      </c>
      <c r="DA107" t="e">
        <f>AND(Names!P219,"AAAAAC1vimg=")</f>
        <v>#VALUE!</v>
      </c>
      <c r="DB107" t="e">
        <f>AND(Names!Q219,"AAAAAC1vimk=")</f>
        <v>#VALUE!</v>
      </c>
      <c r="DC107" t="e">
        <f>AND(Names!R219,"AAAAAC1vimo=")</f>
        <v>#VALUE!</v>
      </c>
      <c r="DD107" t="e">
        <f>AND(Names!S219,"AAAAAC1vims=")</f>
        <v>#VALUE!</v>
      </c>
      <c r="DE107" t="e">
        <f>AND(Names!T219,"AAAAAC1vimw=")</f>
        <v>#VALUE!</v>
      </c>
      <c r="DF107" t="e">
        <f>AND(Names!U219,"AAAAAC1vim0=")</f>
        <v>#VALUE!</v>
      </c>
      <c r="DG107" t="e">
        <f>AND(Names!V219,"AAAAAC1vim4=")</f>
        <v>#VALUE!</v>
      </c>
      <c r="DH107" t="e">
        <f>AND(Names!W219,"AAAAAC1vim8=")</f>
        <v>#VALUE!</v>
      </c>
      <c r="DI107" t="e">
        <f>AND(Names!X219,"AAAAAC1vinA=")</f>
        <v>#VALUE!</v>
      </c>
      <c r="DJ107" t="e">
        <f>AND(Names!Y219,"AAAAAC1vinE=")</f>
        <v>#VALUE!</v>
      </c>
      <c r="DK107" t="e">
        <f>AND(Names!Z219,"AAAAAC1vinI=")</f>
        <v>#VALUE!</v>
      </c>
      <c r="DL107" t="e">
        <f>AND(Names!AA219,"AAAAAC1vinM=")</f>
        <v>#VALUE!</v>
      </c>
      <c r="DM107" t="e">
        <f>AND(Names!AB219,"AAAAAC1vinQ=")</f>
        <v>#VALUE!</v>
      </c>
      <c r="DN107" t="e">
        <f>AND(Names!AC219,"AAAAAC1vinU=")</f>
        <v>#VALUE!</v>
      </c>
      <c r="DO107" t="e">
        <f>AND(Names!AD219,"AAAAAC1vinY=")</f>
        <v>#VALUE!</v>
      </c>
      <c r="DP107" t="e">
        <f>AND(Names!AE219,"AAAAAC1vinc=")</f>
        <v>#VALUE!</v>
      </c>
      <c r="DQ107" t="e">
        <f>AND(Names!AF219,"AAAAAC1ving=")</f>
        <v>#VALUE!</v>
      </c>
      <c r="DR107" t="e">
        <f>AND(Names!AG219,"AAAAAC1vink=")</f>
        <v>#VALUE!</v>
      </c>
      <c r="DS107" t="e">
        <f>AND(Names!AH219,"AAAAAC1vino=")</f>
        <v>#VALUE!</v>
      </c>
      <c r="DT107" t="e">
        <f>AND(Names!AI219,"AAAAAC1vins=")</f>
        <v>#VALUE!</v>
      </c>
      <c r="DU107" t="e">
        <f>AND(Names!AJ219,"AAAAAC1vinw=")</f>
        <v>#VALUE!</v>
      </c>
      <c r="DV107" t="e">
        <f>AND(Names!AK219,"AAAAAC1vin0=")</f>
        <v>#VALUE!</v>
      </c>
      <c r="DW107" t="e">
        <f>AND(Names!AL219,"AAAAAC1vin4=")</f>
        <v>#VALUE!</v>
      </c>
      <c r="DX107" t="e">
        <f>AND(Names!AM219,"AAAAAC1vin8=")</f>
        <v>#VALUE!</v>
      </c>
      <c r="DY107">
        <f>IF(Names!220:220,"AAAAAC1vioA=",0)</f>
        <v>0</v>
      </c>
      <c r="DZ107" t="e">
        <f>AND(Names!A220,"AAAAAC1vioE=")</f>
        <v>#VALUE!</v>
      </c>
      <c r="EA107" t="e">
        <f>AND(Names!B220,"AAAAAC1vioI=")</f>
        <v>#VALUE!</v>
      </c>
      <c r="EB107" t="e">
        <f>AND(Names!C220,"AAAAAC1vioM=")</f>
        <v>#VALUE!</v>
      </c>
      <c r="EC107" t="e">
        <f>AND(Names!D220,"AAAAAC1vioQ=")</f>
        <v>#VALUE!</v>
      </c>
      <c r="ED107" t="e">
        <f>AND(Names!E220,"AAAAAC1vioU=")</f>
        <v>#VALUE!</v>
      </c>
      <c r="EE107" t="e">
        <f>AND(Names!F220,"AAAAAC1vioY=")</f>
        <v>#VALUE!</v>
      </c>
      <c r="EF107" t="e">
        <f>AND(Names!G220,"AAAAAC1vioc=")</f>
        <v>#VALUE!</v>
      </c>
      <c r="EG107" t="e">
        <f>AND(Names!H220,"AAAAAC1viog=")</f>
        <v>#VALUE!</v>
      </c>
      <c r="EH107" t="e">
        <f>AND(Names!I220,"AAAAAC1viok=")</f>
        <v>#VALUE!</v>
      </c>
      <c r="EI107" t="e">
        <f>AND(Names!J220,"AAAAAC1vioo=")</f>
        <v>#VALUE!</v>
      </c>
      <c r="EJ107" t="e">
        <f>AND(Names!K220,"AAAAAC1vios=")</f>
        <v>#VALUE!</v>
      </c>
      <c r="EK107" t="e">
        <f>AND(Names!L220,"AAAAAC1viow=")</f>
        <v>#VALUE!</v>
      </c>
      <c r="EL107" t="e">
        <f>AND(Names!M220,"AAAAAC1vio0=")</f>
        <v>#VALUE!</v>
      </c>
      <c r="EM107" t="e">
        <f>AND(Names!N220,"AAAAAC1vio4=")</f>
        <v>#VALUE!</v>
      </c>
      <c r="EN107" t="e">
        <f>AND(Names!O220,"AAAAAC1vio8=")</f>
        <v>#VALUE!</v>
      </c>
      <c r="EO107" t="e">
        <f>AND(Names!P220,"AAAAAC1vipA=")</f>
        <v>#VALUE!</v>
      </c>
      <c r="EP107" t="e">
        <f>AND(Names!Q220,"AAAAAC1vipE=")</f>
        <v>#VALUE!</v>
      </c>
      <c r="EQ107" t="e">
        <f>AND(Names!R220,"AAAAAC1vipI=")</f>
        <v>#VALUE!</v>
      </c>
      <c r="ER107" t="e">
        <f>AND(Names!S220,"AAAAAC1vipM=")</f>
        <v>#VALUE!</v>
      </c>
      <c r="ES107" t="e">
        <f>AND(Names!T220,"AAAAAC1vipQ=")</f>
        <v>#VALUE!</v>
      </c>
      <c r="ET107" t="e">
        <f>AND(Names!U220,"AAAAAC1vipU=")</f>
        <v>#VALUE!</v>
      </c>
      <c r="EU107" t="e">
        <f>AND(Names!V220,"AAAAAC1vipY=")</f>
        <v>#VALUE!</v>
      </c>
      <c r="EV107" t="e">
        <f>AND(Names!W220,"AAAAAC1vipc=")</f>
        <v>#VALUE!</v>
      </c>
      <c r="EW107" t="e">
        <f>AND(Names!X220,"AAAAAC1vipg=")</f>
        <v>#VALUE!</v>
      </c>
      <c r="EX107" t="e">
        <f>AND(Names!Y220,"AAAAAC1vipk=")</f>
        <v>#VALUE!</v>
      </c>
      <c r="EY107" t="e">
        <f>AND(Names!Z220,"AAAAAC1vipo=")</f>
        <v>#VALUE!</v>
      </c>
      <c r="EZ107" t="e">
        <f>AND(Names!AA220,"AAAAAC1vips=")</f>
        <v>#VALUE!</v>
      </c>
      <c r="FA107" t="e">
        <f>AND(Names!AB220,"AAAAAC1vipw=")</f>
        <v>#VALUE!</v>
      </c>
      <c r="FB107" t="e">
        <f>AND(Names!AC220,"AAAAAC1vip0=")</f>
        <v>#VALUE!</v>
      </c>
      <c r="FC107" t="e">
        <f>AND(Names!AD220,"AAAAAC1vip4=")</f>
        <v>#VALUE!</v>
      </c>
      <c r="FD107" t="e">
        <f>AND(Names!AE220,"AAAAAC1vip8=")</f>
        <v>#VALUE!</v>
      </c>
      <c r="FE107" t="e">
        <f>AND(Names!AF220,"AAAAAC1viqA=")</f>
        <v>#VALUE!</v>
      </c>
      <c r="FF107" t="e">
        <f>AND(Names!AG220,"AAAAAC1viqE=")</f>
        <v>#VALUE!</v>
      </c>
      <c r="FG107" t="e">
        <f>AND(Names!AH220,"AAAAAC1viqI=")</f>
        <v>#VALUE!</v>
      </c>
      <c r="FH107" t="e">
        <f>AND(Names!AI220,"AAAAAC1viqM=")</f>
        <v>#VALUE!</v>
      </c>
      <c r="FI107" t="e">
        <f>AND(Names!AJ220,"AAAAAC1viqQ=")</f>
        <v>#VALUE!</v>
      </c>
      <c r="FJ107" t="e">
        <f>AND(Names!AK220,"AAAAAC1viqU=")</f>
        <v>#VALUE!</v>
      </c>
      <c r="FK107" t="e">
        <f>AND(Names!AL220,"AAAAAC1viqY=")</f>
        <v>#VALUE!</v>
      </c>
      <c r="FL107" t="e">
        <f>AND(Names!AM220,"AAAAAC1viqc=")</f>
        <v>#VALUE!</v>
      </c>
      <c r="FM107">
        <f>IF(Names!221:221,"AAAAAC1viqg=",0)</f>
        <v>0</v>
      </c>
      <c r="FN107" t="e">
        <f>AND(Names!A221,"AAAAAC1viqk=")</f>
        <v>#VALUE!</v>
      </c>
      <c r="FO107" t="e">
        <f>AND(Names!B221,"AAAAAC1viqo=")</f>
        <v>#VALUE!</v>
      </c>
      <c r="FP107" t="e">
        <f>AND(Names!C221,"AAAAAC1viqs=")</f>
        <v>#VALUE!</v>
      </c>
      <c r="FQ107" t="e">
        <f>AND(Names!D221,"AAAAAC1viqw=")</f>
        <v>#VALUE!</v>
      </c>
      <c r="FR107" t="e">
        <f>AND(Names!E221,"AAAAAC1viq0=")</f>
        <v>#VALUE!</v>
      </c>
      <c r="FS107" t="e">
        <f>AND(Names!F221,"AAAAAC1viq4=")</f>
        <v>#VALUE!</v>
      </c>
      <c r="FT107" t="e">
        <f>AND(Names!G221,"AAAAAC1viq8=")</f>
        <v>#VALUE!</v>
      </c>
      <c r="FU107" t="e">
        <f>AND(Names!H221,"AAAAAC1virA=")</f>
        <v>#VALUE!</v>
      </c>
      <c r="FV107" t="e">
        <f>AND(Names!I221,"AAAAAC1virE=")</f>
        <v>#VALUE!</v>
      </c>
      <c r="FW107" t="e">
        <f>AND(Names!J221,"AAAAAC1virI=")</f>
        <v>#VALUE!</v>
      </c>
      <c r="FX107" t="e">
        <f>AND(Names!K221,"AAAAAC1virM=")</f>
        <v>#VALUE!</v>
      </c>
      <c r="FY107" t="e">
        <f>AND(Names!L221,"AAAAAC1virQ=")</f>
        <v>#VALUE!</v>
      </c>
      <c r="FZ107" t="e">
        <f>AND(Names!M221,"AAAAAC1virU=")</f>
        <v>#VALUE!</v>
      </c>
      <c r="GA107" t="e">
        <f>AND(Names!N221,"AAAAAC1virY=")</f>
        <v>#VALUE!</v>
      </c>
      <c r="GB107" t="e">
        <f>AND(Names!O221,"AAAAAC1virc=")</f>
        <v>#VALUE!</v>
      </c>
      <c r="GC107" t="e">
        <f>AND(Names!P221,"AAAAAC1virg=")</f>
        <v>#VALUE!</v>
      </c>
      <c r="GD107" t="e">
        <f>AND(Names!Q221,"AAAAAC1virk=")</f>
        <v>#VALUE!</v>
      </c>
      <c r="GE107" t="e">
        <f>AND(Names!R221,"AAAAAC1viro=")</f>
        <v>#VALUE!</v>
      </c>
      <c r="GF107" t="e">
        <f>AND(Names!S221,"AAAAAC1virs=")</f>
        <v>#VALUE!</v>
      </c>
      <c r="GG107" t="e">
        <f>AND(Names!T221,"AAAAAC1virw=")</f>
        <v>#VALUE!</v>
      </c>
      <c r="GH107" t="e">
        <f>AND(Names!U221,"AAAAAC1vir0=")</f>
        <v>#VALUE!</v>
      </c>
      <c r="GI107" t="e">
        <f>AND(Names!V221,"AAAAAC1vir4=")</f>
        <v>#VALUE!</v>
      </c>
      <c r="GJ107" t="e">
        <f>AND(Names!W221,"AAAAAC1vir8=")</f>
        <v>#VALUE!</v>
      </c>
      <c r="GK107" t="e">
        <f>AND(Names!X221,"AAAAAC1visA=")</f>
        <v>#VALUE!</v>
      </c>
      <c r="GL107" t="e">
        <f>AND(Names!Y221,"AAAAAC1visE=")</f>
        <v>#VALUE!</v>
      </c>
      <c r="GM107" t="e">
        <f>AND(Names!Z221,"AAAAAC1visI=")</f>
        <v>#VALUE!</v>
      </c>
      <c r="GN107" t="e">
        <f>AND(Names!AA221,"AAAAAC1visM=")</f>
        <v>#VALUE!</v>
      </c>
      <c r="GO107" t="e">
        <f>AND(Names!AB221,"AAAAAC1visQ=")</f>
        <v>#VALUE!</v>
      </c>
      <c r="GP107" t="e">
        <f>AND(Names!AC221,"AAAAAC1visU=")</f>
        <v>#VALUE!</v>
      </c>
      <c r="GQ107" t="e">
        <f>AND(Names!AD221,"AAAAAC1visY=")</f>
        <v>#VALUE!</v>
      </c>
      <c r="GR107" t="e">
        <f>AND(Names!AE221,"AAAAAC1visc=")</f>
        <v>#VALUE!</v>
      </c>
      <c r="GS107" t="e">
        <f>AND(Names!AF221,"AAAAAC1visg=")</f>
        <v>#VALUE!</v>
      </c>
      <c r="GT107" t="e">
        <f>AND(Names!AG221,"AAAAAC1visk=")</f>
        <v>#VALUE!</v>
      </c>
      <c r="GU107" t="e">
        <f>AND(Names!AH221,"AAAAAC1viso=")</f>
        <v>#VALUE!</v>
      </c>
      <c r="GV107" t="e">
        <f>AND(Names!AI221,"AAAAAC1viss=")</f>
        <v>#VALUE!</v>
      </c>
      <c r="GW107" t="e">
        <f>AND(Names!AJ221,"AAAAAC1visw=")</f>
        <v>#VALUE!</v>
      </c>
      <c r="GX107" t="e">
        <f>AND(Names!AK221,"AAAAAC1vis0=")</f>
        <v>#VALUE!</v>
      </c>
      <c r="GY107" t="e">
        <f>AND(Names!AL221,"AAAAAC1vis4=")</f>
        <v>#VALUE!</v>
      </c>
      <c r="GZ107" t="e">
        <f>AND(Names!AM221,"AAAAAC1vis8=")</f>
        <v>#VALUE!</v>
      </c>
      <c r="HA107">
        <f>IF(Names!222:222,"AAAAAC1vitA=",0)</f>
        <v>0</v>
      </c>
      <c r="HB107" t="e">
        <f>AND(Names!A222,"AAAAAC1vitE=")</f>
        <v>#VALUE!</v>
      </c>
      <c r="HC107" t="e">
        <f>AND(Names!B222,"AAAAAC1vitI=")</f>
        <v>#VALUE!</v>
      </c>
      <c r="HD107" t="e">
        <f>AND(Names!C222,"AAAAAC1vitM=")</f>
        <v>#VALUE!</v>
      </c>
      <c r="HE107" t="e">
        <f>AND(Names!D222,"AAAAAC1vitQ=")</f>
        <v>#VALUE!</v>
      </c>
      <c r="HF107" t="e">
        <f>AND(Names!E222,"AAAAAC1vitU=")</f>
        <v>#VALUE!</v>
      </c>
      <c r="HG107" t="e">
        <f>AND(Names!F222,"AAAAAC1vitY=")</f>
        <v>#VALUE!</v>
      </c>
      <c r="HH107" t="e">
        <f>AND(Names!G222,"AAAAAC1vitc=")</f>
        <v>#VALUE!</v>
      </c>
      <c r="HI107" t="e">
        <f>AND(Names!H222,"AAAAAC1vitg=")</f>
        <v>#VALUE!</v>
      </c>
      <c r="HJ107" t="e">
        <f>AND(Names!I222,"AAAAAC1vitk=")</f>
        <v>#VALUE!</v>
      </c>
      <c r="HK107" t="e">
        <f>AND(Names!J222,"AAAAAC1vito=")</f>
        <v>#VALUE!</v>
      </c>
      <c r="HL107" t="e">
        <f>AND(Names!K222,"AAAAAC1vits=")</f>
        <v>#VALUE!</v>
      </c>
      <c r="HM107" t="e">
        <f>AND(Names!L222,"AAAAAC1vitw=")</f>
        <v>#VALUE!</v>
      </c>
      <c r="HN107" t="e">
        <f>AND(Names!M222,"AAAAAC1vit0=")</f>
        <v>#VALUE!</v>
      </c>
      <c r="HO107" t="e">
        <f>AND(Names!N222,"AAAAAC1vit4=")</f>
        <v>#VALUE!</v>
      </c>
      <c r="HP107" t="e">
        <f>AND(Names!O222,"AAAAAC1vit8=")</f>
        <v>#VALUE!</v>
      </c>
      <c r="HQ107" t="e">
        <f>AND(Names!P222,"AAAAAC1viuA=")</f>
        <v>#VALUE!</v>
      </c>
      <c r="HR107" t="e">
        <f>AND(Names!Q222,"AAAAAC1viuE=")</f>
        <v>#VALUE!</v>
      </c>
      <c r="HS107" t="e">
        <f>AND(Names!R222,"AAAAAC1viuI=")</f>
        <v>#VALUE!</v>
      </c>
      <c r="HT107" t="e">
        <f>AND(Names!S222,"AAAAAC1viuM=")</f>
        <v>#VALUE!</v>
      </c>
      <c r="HU107" t="e">
        <f>AND(Names!T222,"AAAAAC1viuQ=")</f>
        <v>#VALUE!</v>
      </c>
      <c r="HV107" t="e">
        <f>AND(Names!U222,"AAAAAC1viuU=")</f>
        <v>#VALUE!</v>
      </c>
      <c r="HW107" t="e">
        <f>AND(Names!V222,"AAAAAC1viuY=")</f>
        <v>#VALUE!</v>
      </c>
      <c r="HX107" t="e">
        <f>AND(Names!W222,"AAAAAC1viuc=")</f>
        <v>#VALUE!</v>
      </c>
      <c r="HY107" t="e">
        <f>AND(Names!X222,"AAAAAC1viug=")</f>
        <v>#VALUE!</v>
      </c>
      <c r="HZ107" t="e">
        <f>AND(Names!Y222,"AAAAAC1viuk=")</f>
        <v>#VALUE!</v>
      </c>
      <c r="IA107" t="e">
        <f>AND(Names!Z222,"AAAAAC1viuo=")</f>
        <v>#VALUE!</v>
      </c>
      <c r="IB107" t="e">
        <f>AND(Names!AA222,"AAAAAC1vius=")</f>
        <v>#VALUE!</v>
      </c>
      <c r="IC107" t="e">
        <f>AND(Names!AB222,"AAAAAC1viuw=")</f>
        <v>#VALUE!</v>
      </c>
      <c r="ID107" t="e">
        <f>AND(Names!AC222,"AAAAAC1viu0=")</f>
        <v>#VALUE!</v>
      </c>
      <c r="IE107" t="e">
        <f>AND(Names!AD222,"AAAAAC1viu4=")</f>
        <v>#VALUE!</v>
      </c>
      <c r="IF107" t="e">
        <f>AND(Names!AE222,"AAAAAC1viu8=")</f>
        <v>#VALUE!</v>
      </c>
      <c r="IG107" t="e">
        <f>AND(Names!AF222,"AAAAAC1vivA=")</f>
        <v>#VALUE!</v>
      </c>
      <c r="IH107" t="e">
        <f>AND(Names!AG222,"AAAAAC1vivE=")</f>
        <v>#VALUE!</v>
      </c>
      <c r="II107" t="e">
        <f>AND(Names!AH222,"AAAAAC1vivI=")</f>
        <v>#VALUE!</v>
      </c>
      <c r="IJ107" t="e">
        <f>AND(Names!AI222,"AAAAAC1vivM=")</f>
        <v>#VALUE!</v>
      </c>
      <c r="IK107" t="e">
        <f>AND(Names!AJ222,"AAAAAC1vivQ=")</f>
        <v>#VALUE!</v>
      </c>
      <c r="IL107" t="e">
        <f>AND(Names!AK222,"AAAAAC1vivU=")</f>
        <v>#VALUE!</v>
      </c>
      <c r="IM107" t="e">
        <f>AND(Names!AL222,"AAAAAC1vivY=")</f>
        <v>#VALUE!</v>
      </c>
      <c r="IN107" t="e">
        <f>AND(Names!AM222,"AAAAAC1vivc=")</f>
        <v>#VALUE!</v>
      </c>
      <c r="IO107">
        <f>IF(Names!223:223,"AAAAAC1vivg=",0)</f>
        <v>0</v>
      </c>
      <c r="IP107" t="e">
        <f>AND(Names!A223,"AAAAAC1vivk=")</f>
        <v>#VALUE!</v>
      </c>
      <c r="IQ107" t="e">
        <f>AND(Names!B223,"AAAAAC1vivo=")</f>
        <v>#VALUE!</v>
      </c>
      <c r="IR107" t="e">
        <f>AND(Names!C223,"AAAAAC1vivs=")</f>
        <v>#VALUE!</v>
      </c>
      <c r="IS107" t="e">
        <f>AND(Names!D223,"AAAAAC1vivw=")</f>
        <v>#VALUE!</v>
      </c>
      <c r="IT107" t="e">
        <f>AND(Names!E223,"AAAAAC1viv0=")</f>
        <v>#VALUE!</v>
      </c>
      <c r="IU107" t="e">
        <f>AND(Names!F223,"AAAAAC1viv4=")</f>
        <v>#VALUE!</v>
      </c>
      <c r="IV107" t="e">
        <f>AND(Names!G223,"AAAAAC1viv8=")</f>
        <v>#VALUE!</v>
      </c>
    </row>
    <row r="108" spans="1:256" x14ac:dyDescent="0.15">
      <c r="A108" t="e">
        <f>AND(Names!H223,"AAAAAA3O/wA=")</f>
        <v>#VALUE!</v>
      </c>
      <c r="B108" t="e">
        <f>AND(Names!I223,"AAAAAA3O/wE=")</f>
        <v>#VALUE!</v>
      </c>
      <c r="C108" t="e">
        <f>AND(Names!J223,"AAAAAA3O/wI=")</f>
        <v>#VALUE!</v>
      </c>
      <c r="D108" t="e">
        <f>AND(Names!K223,"AAAAAA3O/wM=")</f>
        <v>#VALUE!</v>
      </c>
      <c r="E108" t="e">
        <f>AND(Names!L223,"AAAAAA3O/wQ=")</f>
        <v>#VALUE!</v>
      </c>
      <c r="F108" t="e">
        <f>AND(Names!M223,"AAAAAA3O/wU=")</f>
        <v>#VALUE!</v>
      </c>
      <c r="G108" t="e">
        <f>AND(Names!N223,"AAAAAA3O/wY=")</f>
        <v>#VALUE!</v>
      </c>
      <c r="H108" t="e">
        <f>AND(Names!O223,"AAAAAA3O/wc=")</f>
        <v>#VALUE!</v>
      </c>
      <c r="I108" t="e">
        <f>AND(Names!P223,"AAAAAA3O/wg=")</f>
        <v>#VALUE!</v>
      </c>
      <c r="J108" t="e">
        <f>AND(Names!Q223,"AAAAAA3O/wk=")</f>
        <v>#VALUE!</v>
      </c>
      <c r="K108" t="e">
        <f>AND(Names!R223,"AAAAAA3O/wo=")</f>
        <v>#VALUE!</v>
      </c>
      <c r="L108" t="e">
        <f>AND(Names!S223,"AAAAAA3O/ws=")</f>
        <v>#VALUE!</v>
      </c>
      <c r="M108" t="e">
        <f>AND(Names!T223,"AAAAAA3O/ww=")</f>
        <v>#VALUE!</v>
      </c>
      <c r="N108" t="e">
        <f>AND(Names!U223,"AAAAAA3O/w0=")</f>
        <v>#VALUE!</v>
      </c>
      <c r="O108" t="e">
        <f>AND(Names!V223,"AAAAAA3O/w4=")</f>
        <v>#VALUE!</v>
      </c>
      <c r="P108" t="e">
        <f>AND(Names!W223,"AAAAAA3O/w8=")</f>
        <v>#VALUE!</v>
      </c>
      <c r="Q108" t="e">
        <f>AND(Names!X223,"AAAAAA3O/xA=")</f>
        <v>#VALUE!</v>
      </c>
      <c r="R108" t="e">
        <f>AND(Names!Y223,"AAAAAA3O/xE=")</f>
        <v>#VALUE!</v>
      </c>
      <c r="S108" t="e">
        <f>AND(Names!Z223,"AAAAAA3O/xI=")</f>
        <v>#VALUE!</v>
      </c>
      <c r="T108" t="e">
        <f>AND(Names!AA223,"AAAAAA3O/xM=")</f>
        <v>#VALUE!</v>
      </c>
      <c r="U108" t="e">
        <f>AND(Names!AB223,"AAAAAA3O/xQ=")</f>
        <v>#VALUE!</v>
      </c>
      <c r="V108" t="e">
        <f>AND(Names!AC223,"AAAAAA3O/xU=")</f>
        <v>#VALUE!</v>
      </c>
      <c r="W108" t="e">
        <f>AND(Names!AD223,"AAAAAA3O/xY=")</f>
        <v>#VALUE!</v>
      </c>
      <c r="X108" t="e">
        <f>AND(Names!AE223,"AAAAAA3O/xc=")</f>
        <v>#VALUE!</v>
      </c>
      <c r="Y108" t="e">
        <f>AND(Names!AF223,"AAAAAA3O/xg=")</f>
        <v>#VALUE!</v>
      </c>
      <c r="Z108" t="e">
        <f>AND(Names!AG223,"AAAAAA3O/xk=")</f>
        <v>#VALUE!</v>
      </c>
      <c r="AA108" t="e">
        <f>AND(Names!AH223,"AAAAAA3O/xo=")</f>
        <v>#VALUE!</v>
      </c>
      <c r="AB108" t="e">
        <f>AND(Names!AI223,"AAAAAA3O/xs=")</f>
        <v>#VALUE!</v>
      </c>
      <c r="AC108" t="e">
        <f>AND(Names!AJ223,"AAAAAA3O/xw=")</f>
        <v>#VALUE!</v>
      </c>
      <c r="AD108" t="e">
        <f>AND(Names!AK223,"AAAAAA3O/x0=")</f>
        <v>#VALUE!</v>
      </c>
      <c r="AE108" t="e">
        <f>AND(Names!AL223,"AAAAAA3O/x4=")</f>
        <v>#VALUE!</v>
      </c>
      <c r="AF108" t="e">
        <f>AND(Names!AM223,"AAAAAA3O/x8=")</f>
        <v>#VALUE!</v>
      </c>
      <c r="AG108">
        <f>IF(Names!224:224,"AAAAAA3O/yA=",0)</f>
        <v>0</v>
      </c>
      <c r="AH108" t="e">
        <f>AND(Names!A224,"AAAAAA3O/yE=")</f>
        <v>#VALUE!</v>
      </c>
      <c r="AI108" t="e">
        <f>AND(Names!B224,"AAAAAA3O/yI=")</f>
        <v>#VALUE!</v>
      </c>
      <c r="AJ108" t="e">
        <f>AND(Names!C224,"AAAAAA3O/yM=")</f>
        <v>#VALUE!</v>
      </c>
      <c r="AK108" t="e">
        <f>AND(Names!D224,"AAAAAA3O/yQ=")</f>
        <v>#VALUE!</v>
      </c>
      <c r="AL108" t="e">
        <f>AND(Names!E224,"AAAAAA3O/yU=")</f>
        <v>#VALUE!</v>
      </c>
      <c r="AM108" t="e">
        <f>AND(Names!F224,"AAAAAA3O/yY=")</f>
        <v>#VALUE!</v>
      </c>
      <c r="AN108" t="e">
        <f>AND(Names!G224,"AAAAAA3O/yc=")</f>
        <v>#VALUE!</v>
      </c>
      <c r="AO108" t="e">
        <f>AND(Names!H224,"AAAAAA3O/yg=")</f>
        <v>#VALUE!</v>
      </c>
      <c r="AP108" t="e">
        <f>AND(Names!I224,"AAAAAA3O/yk=")</f>
        <v>#VALUE!</v>
      </c>
      <c r="AQ108" t="e">
        <f>AND(Names!J224,"AAAAAA3O/yo=")</f>
        <v>#VALUE!</v>
      </c>
      <c r="AR108" t="e">
        <f>AND(Names!K224,"AAAAAA3O/ys=")</f>
        <v>#VALUE!</v>
      </c>
      <c r="AS108" t="e">
        <f>AND(Names!L224,"AAAAAA3O/yw=")</f>
        <v>#VALUE!</v>
      </c>
      <c r="AT108" t="e">
        <f>AND(Names!M224,"AAAAAA3O/y0=")</f>
        <v>#VALUE!</v>
      </c>
      <c r="AU108" t="e">
        <f>AND(Names!N224,"AAAAAA3O/y4=")</f>
        <v>#VALUE!</v>
      </c>
      <c r="AV108" t="e">
        <f>AND(Names!O224,"AAAAAA3O/y8=")</f>
        <v>#VALUE!</v>
      </c>
      <c r="AW108" t="e">
        <f>AND(Names!P224,"AAAAAA3O/zA=")</f>
        <v>#VALUE!</v>
      </c>
      <c r="AX108" t="e">
        <f>AND(Names!Q224,"AAAAAA3O/zE=")</f>
        <v>#VALUE!</v>
      </c>
      <c r="AY108" t="e">
        <f>AND(Names!R224,"AAAAAA3O/zI=")</f>
        <v>#VALUE!</v>
      </c>
      <c r="AZ108" t="e">
        <f>AND(Names!S224,"AAAAAA3O/zM=")</f>
        <v>#VALUE!</v>
      </c>
      <c r="BA108" t="e">
        <f>AND(Names!T224,"AAAAAA3O/zQ=")</f>
        <v>#VALUE!</v>
      </c>
      <c r="BB108" t="e">
        <f>AND(Names!U224,"AAAAAA3O/zU=")</f>
        <v>#VALUE!</v>
      </c>
      <c r="BC108" t="e">
        <f>AND(Names!V224,"AAAAAA3O/zY=")</f>
        <v>#VALUE!</v>
      </c>
      <c r="BD108" t="e">
        <f>AND(Names!W224,"AAAAAA3O/zc=")</f>
        <v>#VALUE!</v>
      </c>
      <c r="BE108" t="e">
        <f>AND(Names!X224,"AAAAAA3O/zg=")</f>
        <v>#VALUE!</v>
      </c>
      <c r="BF108" t="e">
        <f>AND(Names!Y224,"AAAAAA3O/zk=")</f>
        <v>#VALUE!</v>
      </c>
      <c r="BG108" t="e">
        <f>AND(Names!Z224,"AAAAAA3O/zo=")</f>
        <v>#VALUE!</v>
      </c>
      <c r="BH108" t="e">
        <f>AND(Names!AA224,"AAAAAA3O/zs=")</f>
        <v>#VALUE!</v>
      </c>
      <c r="BI108" t="e">
        <f>AND(Names!AB224,"AAAAAA3O/zw=")</f>
        <v>#VALUE!</v>
      </c>
      <c r="BJ108" t="e">
        <f>AND(Names!AC224,"AAAAAA3O/z0=")</f>
        <v>#VALUE!</v>
      </c>
      <c r="BK108" t="e">
        <f>AND(Names!AD224,"AAAAAA3O/z4=")</f>
        <v>#VALUE!</v>
      </c>
      <c r="BL108" t="e">
        <f>AND(Names!AE224,"AAAAAA3O/z8=")</f>
        <v>#VALUE!</v>
      </c>
      <c r="BM108" t="e">
        <f>AND(Names!AF224,"AAAAAA3O/0A=")</f>
        <v>#VALUE!</v>
      </c>
      <c r="BN108" t="e">
        <f>AND(Names!AG224,"AAAAAA3O/0E=")</f>
        <v>#VALUE!</v>
      </c>
      <c r="BO108" t="e">
        <f>AND(Names!AH224,"AAAAAA3O/0I=")</f>
        <v>#VALUE!</v>
      </c>
      <c r="BP108" t="e">
        <f>AND(Names!AI224,"AAAAAA3O/0M=")</f>
        <v>#VALUE!</v>
      </c>
      <c r="BQ108" t="e">
        <f>AND(Names!AJ224,"AAAAAA3O/0Q=")</f>
        <v>#VALUE!</v>
      </c>
      <c r="BR108" t="e">
        <f>AND(Names!AK224,"AAAAAA3O/0U=")</f>
        <v>#VALUE!</v>
      </c>
      <c r="BS108" t="e">
        <f>AND(Names!AL224,"AAAAAA3O/0Y=")</f>
        <v>#VALUE!</v>
      </c>
      <c r="BT108" t="e">
        <f>AND(Names!AM224,"AAAAAA3O/0c=")</f>
        <v>#VALUE!</v>
      </c>
      <c r="BU108">
        <f>IF(Names!225:225,"AAAAAA3O/0g=",0)</f>
        <v>0</v>
      </c>
      <c r="BV108" t="e">
        <f>AND(Names!A225,"AAAAAA3O/0k=")</f>
        <v>#VALUE!</v>
      </c>
      <c r="BW108" t="e">
        <f>AND(Names!B225,"AAAAAA3O/0o=")</f>
        <v>#VALUE!</v>
      </c>
      <c r="BX108" t="e">
        <f>AND(Names!C225,"AAAAAA3O/0s=")</f>
        <v>#VALUE!</v>
      </c>
      <c r="BY108" t="e">
        <f>AND(Names!D225,"AAAAAA3O/0w=")</f>
        <v>#VALUE!</v>
      </c>
      <c r="BZ108" t="e">
        <f>AND(Names!E225,"AAAAAA3O/00=")</f>
        <v>#VALUE!</v>
      </c>
      <c r="CA108" t="e">
        <f>AND(Names!F225,"AAAAAA3O/04=")</f>
        <v>#VALUE!</v>
      </c>
      <c r="CB108" t="e">
        <f>AND(Names!G225,"AAAAAA3O/08=")</f>
        <v>#VALUE!</v>
      </c>
      <c r="CC108" t="e">
        <f>AND(Names!H225,"AAAAAA3O/1A=")</f>
        <v>#VALUE!</v>
      </c>
      <c r="CD108" t="e">
        <f>AND(Names!I225,"AAAAAA3O/1E=")</f>
        <v>#VALUE!</v>
      </c>
      <c r="CE108" t="e">
        <f>AND(Names!J225,"AAAAAA3O/1I=")</f>
        <v>#VALUE!</v>
      </c>
      <c r="CF108" t="e">
        <f>AND(Names!K225,"AAAAAA3O/1M=")</f>
        <v>#VALUE!</v>
      </c>
      <c r="CG108" t="e">
        <f>AND(Names!L225,"AAAAAA3O/1Q=")</f>
        <v>#VALUE!</v>
      </c>
      <c r="CH108" t="e">
        <f>AND(Names!M225,"AAAAAA3O/1U=")</f>
        <v>#VALUE!</v>
      </c>
      <c r="CI108" t="e">
        <f>AND(Names!N225,"AAAAAA3O/1Y=")</f>
        <v>#VALUE!</v>
      </c>
      <c r="CJ108" t="e">
        <f>AND(Names!O225,"AAAAAA3O/1c=")</f>
        <v>#VALUE!</v>
      </c>
      <c r="CK108" t="e">
        <f>AND(Names!P225,"AAAAAA3O/1g=")</f>
        <v>#VALUE!</v>
      </c>
      <c r="CL108" t="e">
        <f>AND(Names!Q225,"AAAAAA3O/1k=")</f>
        <v>#VALUE!</v>
      </c>
      <c r="CM108" t="e">
        <f>AND(Names!R225,"AAAAAA3O/1o=")</f>
        <v>#VALUE!</v>
      </c>
      <c r="CN108" t="e">
        <f>AND(Names!S225,"AAAAAA3O/1s=")</f>
        <v>#VALUE!</v>
      </c>
      <c r="CO108" t="e">
        <f>AND(Names!T225,"AAAAAA3O/1w=")</f>
        <v>#VALUE!</v>
      </c>
      <c r="CP108" t="e">
        <f>AND(Names!U225,"AAAAAA3O/10=")</f>
        <v>#VALUE!</v>
      </c>
      <c r="CQ108" t="e">
        <f>AND(Names!V225,"AAAAAA3O/14=")</f>
        <v>#VALUE!</v>
      </c>
      <c r="CR108" t="e">
        <f>AND(Names!W225,"AAAAAA3O/18=")</f>
        <v>#VALUE!</v>
      </c>
      <c r="CS108" t="e">
        <f>AND(Names!X225,"AAAAAA3O/2A=")</f>
        <v>#VALUE!</v>
      </c>
      <c r="CT108" t="e">
        <f>AND(Names!Y225,"AAAAAA3O/2E=")</f>
        <v>#VALUE!</v>
      </c>
      <c r="CU108" t="e">
        <f>AND(Names!Z225,"AAAAAA3O/2I=")</f>
        <v>#VALUE!</v>
      </c>
      <c r="CV108" t="e">
        <f>AND(Names!AA225,"AAAAAA3O/2M=")</f>
        <v>#VALUE!</v>
      </c>
      <c r="CW108" t="e">
        <f>AND(Names!AB225,"AAAAAA3O/2Q=")</f>
        <v>#VALUE!</v>
      </c>
      <c r="CX108" t="e">
        <f>AND(Names!AC225,"AAAAAA3O/2U=")</f>
        <v>#VALUE!</v>
      </c>
      <c r="CY108" t="e">
        <f>AND(Names!AD225,"AAAAAA3O/2Y=")</f>
        <v>#VALUE!</v>
      </c>
      <c r="CZ108" t="e">
        <f>AND(Names!AE225,"AAAAAA3O/2c=")</f>
        <v>#VALUE!</v>
      </c>
      <c r="DA108" t="e">
        <f>AND(Names!AF225,"AAAAAA3O/2g=")</f>
        <v>#VALUE!</v>
      </c>
      <c r="DB108" t="e">
        <f>AND(Names!AG225,"AAAAAA3O/2k=")</f>
        <v>#VALUE!</v>
      </c>
      <c r="DC108" t="e">
        <f>AND(Names!AH225,"AAAAAA3O/2o=")</f>
        <v>#VALUE!</v>
      </c>
      <c r="DD108" t="e">
        <f>AND(Names!AI225,"AAAAAA3O/2s=")</f>
        <v>#VALUE!</v>
      </c>
      <c r="DE108" t="e">
        <f>AND(Names!AJ225,"AAAAAA3O/2w=")</f>
        <v>#VALUE!</v>
      </c>
      <c r="DF108" t="e">
        <f>AND(Names!AK225,"AAAAAA3O/20=")</f>
        <v>#VALUE!</v>
      </c>
      <c r="DG108" t="e">
        <f>AND(Names!AL225,"AAAAAA3O/24=")</f>
        <v>#VALUE!</v>
      </c>
      <c r="DH108" t="e">
        <f>AND(Names!AM225,"AAAAAA3O/28=")</f>
        <v>#VALUE!</v>
      </c>
      <c r="DI108">
        <f>IF(Names!226:226,"AAAAAA3O/3A=",0)</f>
        <v>0</v>
      </c>
      <c r="DJ108" t="e">
        <f>AND(Names!A226,"AAAAAA3O/3E=")</f>
        <v>#VALUE!</v>
      </c>
      <c r="DK108" t="e">
        <f>AND(Names!B226,"AAAAAA3O/3I=")</f>
        <v>#VALUE!</v>
      </c>
      <c r="DL108" t="e">
        <f>AND(Names!C226,"AAAAAA3O/3M=")</f>
        <v>#VALUE!</v>
      </c>
      <c r="DM108" t="e">
        <f>AND(Names!D226,"AAAAAA3O/3Q=")</f>
        <v>#VALUE!</v>
      </c>
      <c r="DN108" t="e">
        <f>AND(Names!E226,"AAAAAA3O/3U=")</f>
        <v>#VALUE!</v>
      </c>
      <c r="DO108" t="e">
        <f>AND(Names!F226,"AAAAAA3O/3Y=")</f>
        <v>#VALUE!</v>
      </c>
      <c r="DP108" t="e">
        <f>AND(Names!G226,"AAAAAA3O/3c=")</f>
        <v>#VALUE!</v>
      </c>
      <c r="DQ108" t="e">
        <f>AND(Names!H226,"AAAAAA3O/3g=")</f>
        <v>#VALUE!</v>
      </c>
      <c r="DR108" t="e">
        <f>AND(Names!I226,"AAAAAA3O/3k=")</f>
        <v>#VALUE!</v>
      </c>
      <c r="DS108" t="e">
        <f>AND(Names!J226,"AAAAAA3O/3o=")</f>
        <v>#VALUE!</v>
      </c>
      <c r="DT108" t="e">
        <f>AND(Names!K226,"AAAAAA3O/3s=")</f>
        <v>#VALUE!</v>
      </c>
      <c r="DU108" t="e">
        <f>AND(Names!L226,"AAAAAA3O/3w=")</f>
        <v>#VALUE!</v>
      </c>
      <c r="DV108" t="e">
        <f>AND(Names!M226,"AAAAAA3O/30=")</f>
        <v>#VALUE!</v>
      </c>
      <c r="DW108" t="e">
        <f>AND(Names!N226,"AAAAAA3O/34=")</f>
        <v>#VALUE!</v>
      </c>
      <c r="DX108" t="e">
        <f>AND(Names!O226,"AAAAAA3O/38=")</f>
        <v>#VALUE!</v>
      </c>
      <c r="DY108" t="e">
        <f>AND(Names!P226,"AAAAAA3O/4A=")</f>
        <v>#VALUE!</v>
      </c>
      <c r="DZ108" t="e">
        <f>AND(Names!Q226,"AAAAAA3O/4E=")</f>
        <v>#VALUE!</v>
      </c>
      <c r="EA108" t="e">
        <f>AND(Names!R226,"AAAAAA3O/4I=")</f>
        <v>#VALUE!</v>
      </c>
      <c r="EB108" t="e">
        <f>AND(Names!S226,"AAAAAA3O/4M=")</f>
        <v>#VALUE!</v>
      </c>
      <c r="EC108" t="e">
        <f>AND(Names!T226,"AAAAAA3O/4Q=")</f>
        <v>#VALUE!</v>
      </c>
      <c r="ED108" t="e">
        <f>AND(Names!U226,"AAAAAA3O/4U=")</f>
        <v>#VALUE!</v>
      </c>
      <c r="EE108" t="e">
        <f>AND(Names!V226,"AAAAAA3O/4Y=")</f>
        <v>#VALUE!</v>
      </c>
      <c r="EF108" t="e">
        <f>AND(Names!W226,"AAAAAA3O/4c=")</f>
        <v>#VALUE!</v>
      </c>
      <c r="EG108" t="e">
        <f>AND(Names!X226,"AAAAAA3O/4g=")</f>
        <v>#VALUE!</v>
      </c>
      <c r="EH108" t="e">
        <f>AND(Names!Y226,"AAAAAA3O/4k=")</f>
        <v>#VALUE!</v>
      </c>
      <c r="EI108" t="e">
        <f>AND(Names!Z226,"AAAAAA3O/4o=")</f>
        <v>#VALUE!</v>
      </c>
      <c r="EJ108" t="e">
        <f>AND(Names!AA226,"AAAAAA3O/4s=")</f>
        <v>#VALUE!</v>
      </c>
      <c r="EK108" t="e">
        <f>AND(Names!AB226,"AAAAAA3O/4w=")</f>
        <v>#VALUE!</v>
      </c>
      <c r="EL108" t="e">
        <f>AND(Names!AC226,"AAAAAA3O/40=")</f>
        <v>#VALUE!</v>
      </c>
      <c r="EM108" t="e">
        <f>AND(Names!AD226,"AAAAAA3O/44=")</f>
        <v>#VALUE!</v>
      </c>
      <c r="EN108" t="e">
        <f>AND(Names!AE226,"AAAAAA3O/48=")</f>
        <v>#VALUE!</v>
      </c>
      <c r="EO108" t="e">
        <f>AND(Names!AF226,"AAAAAA3O/5A=")</f>
        <v>#VALUE!</v>
      </c>
      <c r="EP108" t="e">
        <f>AND(Names!AG226,"AAAAAA3O/5E=")</f>
        <v>#VALUE!</v>
      </c>
      <c r="EQ108" t="e">
        <f>AND(Names!AH226,"AAAAAA3O/5I=")</f>
        <v>#VALUE!</v>
      </c>
      <c r="ER108" t="e">
        <f>AND(Names!AI226,"AAAAAA3O/5M=")</f>
        <v>#VALUE!</v>
      </c>
      <c r="ES108" t="e">
        <f>AND(Names!AJ226,"AAAAAA3O/5Q=")</f>
        <v>#VALUE!</v>
      </c>
      <c r="ET108" t="e">
        <f>AND(Names!AK226,"AAAAAA3O/5U=")</f>
        <v>#VALUE!</v>
      </c>
      <c r="EU108" t="e">
        <f>AND(Names!AL226,"AAAAAA3O/5Y=")</f>
        <v>#VALUE!</v>
      </c>
      <c r="EV108" t="e">
        <f>AND(Names!AM226,"AAAAAA3O/5c=")</f>
        <v>#VALUE!</v>
      </c>
      <c r="EW108">
        <f>IF(Names!227:227,"AAAAAA3O/5g=",0)</f>
        <v>0</v>
      </c>
      <c r="EX108" t="e">
        <f>AND(Names!A227,"AAAAAA3O/5k=")</f>
        <v>#VALUE!</v>
      </c>
      <c r="EY108" t="e">
        <f>AND(Names!B227,"AAAAAA3O/5o=")</f>
        <v>#VALUE!</v>
      </c>
      <c r="EZ108" t="e">
        <f>AND(Names!C227,"AAAAAA3O/5s=")</f>
        <v>#VALUE!</v>
      </c>
      <c r="FA108" t="e">
        <f>AND(Names!D227,"AAAAAA3O/5w=")</f>
        <v>#VALUE!</v>
      </c>
      <c r="FB108" t="e">
        <f>AND(Names!E227,"AAAAAA3O/50=")</f>
        <v>#VALUE!</v>
      </c>
      <c r="FC108" t="e">
        <f>AND(Names!F227,"AAAAAA3O/54=")</f>
        <v>#VALUE!</v>
      </c>
      <c r="FD108" t="e">
        <f>AND(Names!G227,"AAAAAA3O/58=")</f>
        <v>#VALUE!</v>
      </c>
      <c r="FE108" t="e">
        <f>AND(Names!H227,"AAAAAA3O/6A=")</f>
        <v>#VALUE!</v>
      </c>
      <c r="FF108" t="e">
        <f>AND(Names!I227,"AAAAAA3O/6E=")</f>
        <v>#VALUE!</v>
      </c>
      <c r="FG108" t="e">
        <f>AND(Names!J227,"AAAAAA3O/6I=")</f>
        <v>#VALUE!</v>
      </c>
      <c r="FH108" t="e">
        <f>AND(Names!K227,"AAAAAA3O/6M=")</f>
        <v>#VALUE!</v>
      </c>
      <c r="FI108" t="e">
        <f>AND(Names!L227,"AAAAAA3O/6Q=")</f>
        <v>#VALUE!</v>
      </c>
      <c r="FJ108" t="e">
        <f>AND(Names!M227,"AAAAAA3O/6U=")</f>
        <v>#VALUE!</v>
      </c>
      <c r="FK108" t="e">
        <f>AND(Names!N227,"AAAAAA3O/6Y=")</f>
        <v>#VALUE!</v>
      </c>
      <c r="FL108" t="e">
        <f>AND(Names!O227,"AAAAAA3O/6c=")</f>
        <v>#VALUE!</v>
      </c>
      <c r="FM108" t="e">
        <f>AND(Names!P227,"AAAAAA3O/6g=")</f>
        <v>#VALUE!</v>
      </c>
      <c r="FN108" t="e">
        <f>AND(Names!Q227,"AAAAAA3O/6k=")</f>
        <v>#VALUE!</v>
      </c>
      <c r="FO108" t="e">
        <f>AND(Names!R227,"AAAAAA3O/6o=")</f>
        <v>#VALUE!</v>
      </c>
      <c r="FP108" t="e">
        <f>AND(Names!S227,"AAAAAA3O/6s=")</f>
        <v>#VALUE!</v>
      </c>
      <c r="FQ108" t="e">
        <f>AND(Names!T227,"AAAAAA3O/6w=")</f>
        <v>#VALUE!</v>
      </c>
      <c r="FR108" t="e">
        <f>AND(Names!U227,"AAAAAA3O/60=")</f>
        <v>#VALUE!</v>
      </c>
      <c r="FS108" t="e">
        <f>AND(Names!V227,"AAAAAA3O/64=")</f>
        <v>#VALUE!</v>
      </c>
      <c r="FT108" t="e">
        <f>AND(Names!W227,"AAAAAA3O/68=")</f>
        <v>#VALUE!</v>
      </c>
      <c r="FU108" t="e">
        <f>AND(Names!X227,"AAAAAA3O/7A=")</f>
        <v>#VALUE!</v>
      </c>
      <c r="FV108" t="e">
        <f>AND(Names!Y227,"AAAAAA3O/7E=")</f>
        <v>#VALUE!</v>
      </c>
      <c r="FW108" t="e">
        <f>AND(Names!Z227,"AAAAAA3O/7I=")</f>
        <v>#VALUE!</v>
      </c>
      <c r="FX108" t="e">
        <f>AND(Names!AA227,"AAAAAA3O/7M=")</f>
        <v>#VALUE!</v>
      </c>
      <c r="FY108" t="e">
        <f>AND(Names!AB227,"AAAAAA3O/7Q=")</f>
        <v>#VALUE!</v>
      </c>
      <c r="FZ108" t="e">
        <f>AND(Names!AC227,"AAAAAA3O/7U=")</f>
        <v>#VALUE!</v>
      </c>
      <c r="GA108" t="e">
        <f>AND(Names!AD227,"AAAAAA3O/7Y=")</f>
        <v>#VALUE!</v>
      </c>
      <c r="GB108" t="e">
        <f>AND(Names!AE227,"AAAAAA3O/7c=")</f>
        <v>#VALUE!</v>
      </c>
      <c r="GC108" t="e">
        <f>AND(Names!AF227,"AAAAAA3O/7g=")</f>
        <v>#VALUE!</v>
      </c>
      <c r="GD108" t="e">
        <f>AND(Names!AG227,"AAAAAA3O/7k=")</f>
        <v>#VALUE!</v>
      </c>
      <c r="GE108" t="e">
        <f>AND(Names!AH227,"AAAAAA3O/7o=")</f>
        <v>#VALUE!</v>
      </c>
      <c r="GF108" t="e">
        <f>AND(Names!AI227,"AAAAAA3O/7s=")</f>
        <v>#VALUE!</v>
      </c>
      <c r="GG108" t="e">
        <f>AND(Names!AJ227,"AAAAAA3O/7w=")</f>
        <v>#VALUE!</v>
      </c>
      <c r="GH108" t="e">
        <f>AND(Names!AK227,"AAAAAA3O/70=")</f>
        <v>#VALUE!</v>
      </c>
      <c r="GI108" t="e">
        <f>AND(Names!AL227,"AAAAAA3O/74=")</f>
        <v>#VALUE!</v>
      </c>
      <c r="GJ108" t="e">
        <f>AND(Names!AM227,"AAAAAA3O/78=")</f>
        <v>#VALUE!</v>
      </c>
      <c r="GK108">
        <f>IF(Names!228:228,"AAAAAA3O/8A=",0)</f>
        <v>0</v>
      </c>
      <c r="GL108" t="e">
        <f>AND(Names!A228,"AAAAAA3O/8E=")</f>
        <v>#VALUE!</v>
      </c>
      <c r="GM108" t="e">
        <f>AND(Names!B228,"AAAAAA3O/8I=")</f>
        <v>#VALUE!</v>
      </c>
      <c r="GN108" t="e">
        <f>AND(Names!C228,"AAAAAA3O/8M=")</f>
        <v>#VALUE!</v>
      </c>
      <c r="GO108" t="e">
        <f>AND(Names!D228,"AAAAAA3O/8Q=")</f>
        <v>#VALUE!</v>
      </c>
      <c r="GP108" t="e">
        <f>AND(Names!E228,"AAAAAA3O/8U=")</f>
        <v>#VALUE!</v>
      </c>
      <c r="GQ108" t="e">
        <f>AND(Names!F228,"AAAAAA3O/8Y=")</f>
        <v>#VALUE!</v>
      </c>
      <c r="GR108" t="e">
        <f>AND(Names!G228,"AAAAAA3O/8c=")</f>
        <v>#VALUE!</v>
      </c>
      <c r="GS108" t="e">
        <f>AND(Names!H228,"AAAAAA3O/8g=")</f>
        <v>#VALUE!</v>
      </c>
      <c r="GT108" t="e">
        <f>AND(Names!I228,"AAAAAA3O/8k=")</f>
        <v>#VALUE!</v>
      </c>
      <c r="GU108" t="e">
        <f>AND(Names!J228,"AAAAAA3O/8o=")</f>
        <v>#VALUE!</v>
      </c>
      <c r="GV108" t="e">
        <f>AND(Names!K228,"AAAAAA3O/8s=")</f>
        <v>#VALUE!</v>
      </c>
      <c r="GW108" t="e">
        <f>AND(Names!L228,"AAAAAA3O/8w=")</f>
        <v>#VALUE!</v>
      </c>
      <c r="GX108" t="e">
        <f>AND(Names!M228,"AAAAAA3O/80=")</f>
        <v>#VALUE!</v>
      </c>
      <c r="GY108" t="e">
        <f>AND(Names!N228,"AAAAAA3O/84=")</f>
        <v>#VALUE!</v>
      </c>
      <c r="GZ108" t="e">
        <f>AND(Names!O228,"AAAAAA3O/88=")</f>
        <v>#VALUE!</v>
      </c>
      <c r="HA108" t="e">
        <f>AND(Names!P228,"AAAAAA3O/9A=")</f>
        <v>#VALUE!</v>
      </c>
      <c r="HB108" t="e">
        <f>AND(Names!Q228,"AAAAAA3O/9E=")</f>
        <v>#VALUE!</v>
      </c>
      <c r="HC108">
        <f>IF(Names!A:A,"AAAAAA3O/9I=",0)</f>
        <v>0</v>
      </c>
      <c r="HD108">
        <f>IF(Names!B:B,"AAAAAA3O/9M=",0)</f>
        <v>0</v>
      </c>
      <c r="HE108">
        <f>IF(Names!C:C,"AAAAAA3O/9Q=",0)</f>
        <v>0</v>
      </c>
      <c r="HF108">
        <f>IF(Names!D:D,"AAAAAA3O/9U=",0)</f>
        <v>0</v>
      </c>
      <c r="HG108">
        <f>IF(Names!E:E,"AAAAAA3O/9Y=",0)</f>
        <v>0</v>
      </c>
      <c r="HH108">
        <f>IF(Names!F:F,"AAAAAA3O/9c=",0)</f>
        <v>0</v>
      </c>
      <c r="HI108">
        <f>IF(Names!G:G,"AAAAAA3O/9g=",0)</f>
        <v>0</v>
      </c>
      <c r="HJ108">
        <f>IF(Names!H:H,"AAAAAA3O/9k=",0)</f>
        <v>0</v>
      </c>
      <c r="HK108">
        <f>IF(Names!I:I,"AAAAAA3O/9o=",0)</f>
        <v>0</v>
      </c>
      <c r="HL108">
        <f>IF(Names!J:J,"AAAAAA3O/9s=",0)</f>
        <v>0</v>
      </c>
      <c r="HM108">
        <f>IF(Names!K:K,"AAAAAA3O/9w=",0)</f>
        <v>0</v>
      </c>
      <c r="HN108">
        <f>IF(Names!L:L,"AAAAAA3O/90=",0)</f>
        <v>0</v>
      </c>
      <c r="HO108">
        <f>IF(Names!M:M,"AAAAAA3O/94=",0)</f>
        <v>0</v>
      </c>
      <c r="HP108">
        <f>IF(Names!N:N,"AAAAAA3O/98=",0)</f>
        <v>0</v>
      </c>
      <c r="HQ108">
        <f>IF(Names!O:O,"AAAAAA3O/+A=",0)</f>
        <v>0</v>
      </c>
      <c r="HR108">
        <f>IF(Names!P:P,"AAAAAA3O/+E=",0)</f>
        <v>0</v>
      </c>
      <c r="HS108">
        <f>IF(Names!Q:Q,"AAAAAA3O/+I=",0)</f>
        <v>0</v>
      </c>
      <c r="HT108">
        <f>IF(Names!R:R,"AAAAAA3O/+M=",0)</f>
        <v>0</v>
      </c>
      <c r="HU108">
        <f>IF(Names!S:S,"AAAAAA3O/+Q=",0)</f>
        <v>0</v>
      </c>
      <c r="HV108">
        <f>IF(Names!T:T,"AAAAAA3O/+U=",0)</f>
        <v>0</v>
      </c>
      <c r="HW108">
        <f>IF(Names!U:U,"AAAAAA3O/+Y=",0)</f>
        <v>0</v>
      </c>
      <c r="HX108">
        <f>IF(Names!V:V,"AAAAAA3O/+c=",0)</f>
        <v>0</v>
      </c>
      <c r="HY108">
        <f>IF(Names!W:W,"AAAAAA3O/+g=",0)</f>
        <v>0</v>
      </c>
      <c r="HZ108">
        <f>IF(Names!X:X,"AAAAAA3O/+k=",0)</f>
        <v>0</v>
      </c>
      <c r="IA108">
        <f>IF(Names!Y:Y,"AAAAAA3O/+o=",0)</f>
        <v>0</v>
      </c>
      <c r="IB108">
        <f>IF(Names!Z:Z,"AAAAAA3O/+s=",0)</f>
        <v>0</v>
      </c>
      <c r="IC108">
        <f>IF(Names!AA:AA,"AAAAAA3O/+w=",0)</f>
        <v>0</v>
      </c>
      <c r="ID108">
        <f>IF(Names!AB:AB,"AAAAAA3O/+0=",0)</f>
        <v>0</v>
      </c>
      <c r="IE108">
        <f>IF(Names!AC:AC,"AAAAAA3O/+4=",0)</f>
        <v>0</v>
      </c>
      <c r="IF108">
        <f>IF(Names!AD:AD,"AAAAAA3O/+8=",0)</f>
        <v>0</v>
      </c>
      <c r="IG108">
        <f>IF(Names!AE:AE,"AAAAAA3O//A=",0)</f>
        <v>0</v>
      </c>
      <c r="IH108">
        <f>IF(Names!AF:AF,"AAAAAA3O//E=",0)</f>
        <v>0</v>
      </c>
      <c r="II108">
        <f>IF(Names!AG:AG,"AAAAAA3O//I=",0)</f>
        <v>0</v>
      </c>
      <c r="IJ108">
        <f>IF(Names!AH:AH,"AAAAAA3O//M=",0)</f>
        <v>0</v>
      </c>
      <c r="IK108">
        <f>IF(Names!AI:AI,"AAAAAA3O//Q=",0)</f>
        <v>0</v>
      </c>
      <c r="IL108">
        <f>IF(Names!AJ:AJ,"AAAAAA3O//U=",0)</f>
        <v>0</v>
      </c>
      <c r="IM108">
        <f>IF(Names!AK:AK,"AAAAAA3O//Y=",0)</f>
        <v>0</v>
      </c>
      <c r="IN108">
        <f>IF(Names!AL:AL,"AAAAAA3O//c=",0)</f>
        <v>0</v>
      </c>
      <c r="IO108">
        <f>IF(Names!AM:AM,"AAAAAA3O//g=",0)</f>
        <v>0</v>
      </c>
      <c r="IP108">
        <f>IF(temp!1:1,"AAAAAA3O//k=",0)</f>
        <v>0</v>
      </c>
      <c r="IQ108" t="e">
        <f>AND(temp!A1,"AAAAAA3O//o=")</f>
        <v>#VALUE!</v>
      </c>
      <c r="IR108" t="e">
        <f>AND(temp!B1,"AAAAAA3O//s=")</f>
        <v>#VALUE!</v>
      </c>
      <c r="IS108" t="e">
        <f>AND(temp!C1,"AAAAAA3O//w=")</f>
        <v>#VALUE!</v>
      </c>
      <c r="IT108" t="e">
        <f>AND(temp!D1,"AAAAAA3O//0=")</f>
        <v>#VALUE!</v>
      </c>
      <c r="IU108">
        <f>IF(temp!2:2,"AAAAAA3O//4=",0)</f>
        <v>0</v>
      </c>
      <c r="IV108" t="e">
        <f>AND(temp!A2,"AAAAAA3O//8=")</f>
        <v>#VALUE!</v>
      </c>
    </row>
    <row r="109" spans="1:256" x14ac:dyDescent="0.15">
      <c r="A109" t="e">
        <f>AND(temp!B2,"AAAAADf/ewA=")</f>
        <v>#VALUE!</v>
      </c>
      <c r="B109" t="e">
        <f>AND(temp!C2,"AAAAADf/ewE=")</f>
        <v>#VALUE!</v>
      </c>
      <c r="C109" t="e">
        <f>AND(temp!D2,"AAAAADf/ewI=")</f>
        <v>#VALUE!</v>
      </c>
      <c r="D109">
        <f>IF(temp!3:3,"AAAAADf/ewM=",0)</f>
        <v>0</v>
      </c>
      <c r="E109" t="e">
        <f>AND(temp!A3,"AAAAADf/ewQ=")</f>
        <v>#VALUE!</v>
      </c>
      <c r="F109" t="e">
        <f>AND(temp!B3,"AAAAADf/ewU=")</f>
        <v>#VALUE!</v>
      </c>
      <c r="G109" t="e">
        <f>AND(temp!C3,"AAAAADf/ewY=")</f>
        <v>#VALUE!</v>
      </c>
      <c r="H109" t="e">
        <f>AND(temp!D3,"AAAAADf/ewc=")</f>
        <v>#VALUE!</v>
      </c>
      <c r="I109">
        <f>IF(temp!4:4,"AAAAADf/ewg=",0)</f>
        <v>0</v>
      </c>
      <c r="J109" t="e">
        <f>AND(temp!A4,"AAAAADf/ewk=")</f>
        <v>#VALUE!</v>
      </c>
      <c r="K109" t="e">
        <f>AND(temp!B4,"AAAAADf/ewo=")</f>
        <v>#VALUE!</v>
      </c>
      <c r="L109" t="e">
        <f>AND(temp!C4,"AAAAADf/ews=")</f>
        <v>#VALUE!</v>
      </c>
      <c r="M109" t="e">
        <f>AND(temp!D4,"AAAAADf/eww=")</f>
        <v>#VALUE!</v>
      </c>
      <c r="N109">
        <f>IF(temp!5:5,"AAAAADf/ew0=",0)</f>
        <v>0</v>
      </c>
      <c r="O109" t="e">
        <f>AND(temp!A5,"AAAAADf/ew4=")</f>
        <v>#VALUE!</v>
      </c>
      <c r="P109" t="e">
        <f>AND(temp!B5,"AAAAADf/ew8=")</f>
        <v>#VALUE!</v>
      </c>
      <c r="Q109" t="e">
        <f>AND(temp!C5,"AAAAADf/exA=")</f>
        <v>#VALUE!</v>
      </c>
      <c r="R109" t="e">
        <f>AND(temp!D5,"AAAAADf/exE=")</f>
        <v>#VALUE!</v>
      </c>
      <c r="S109">
        <f>IF(temp!6:6,"AAAAADf/exI=",0)</f>
        <v>0</v>
      </c>
      <c r="T109" t="e">
        <f>AND(temp!A6,"AAAAADf/exM=")</f>
        <v>#VALUE!</v>
      </c>
      <c r="U109" t="e">
        <f>AND(temp!B6,"AAAAADf/exQ=")</f>
        <v>#VALUE!</v>
      </c>
      <c r="V109" t="e">
        <f>AND(temp!C6,"AAAAADf/exU=")</f>
        <v>#VALUE!</v>
      </c>
      <c r="W109" t="e">
        <f>AND(temp!D6,"AAAAADf/exY=")</f>
        <v>#VALUE!</v>
      </c>
      <c r="X109">
        <f>IF(temp!7:7,"AAAAADf/exc=",0)</f>
        <v>0</v>
      </c>
      <c r="Y109" t="e">
        <f>AND(temp!A7,"AAAAADf/exg=")</f>
        <v>#VALUE!</v>
      </c>
      <c r="Z109" t="e">
        <f>AND(temp!B7,"AAAAADf/exk=")</f>
        <v>#VALUE!</v>
      </c>
      <c r="AA109" t="e">
        <f>AND(temp!C7,"AAAAADf/exo=")</f>
        <v>#VALUE!</v>
      </c>
      <c r="AB109" t="e">
        <f>AND(temp!D7,"AAAAADf/exs=")</f>
        <v>#VALUE!</v>
      </c>
      <c r="AC109">
        <f>IF(temp!8:8,"AAAAADf/exw=",0)</f>
        <v>0</v>
      </c>
      <c r="AD109" t="e">
        <f>AND(temp!A8,"AAAAADf/ex0=")</f>
        <v>#VALUE!</v>
      </c>
      <c r="AE109" t="e">
        <f>AND(temp!B8,"AAAAADf/ex4=")</f>
        <v>#VALUE!</v>
      </c>
      <c r="AF109" t="e">
        <f>AND(temp!C8,"AAAAADf/ex8=")</f>
        <v>#VALUE!</v>
      </c>
      <c r="AG109" t="e">
        <f>AND(temp!D8,"AAAAADf/eyA=")</f>
        <v>#VALUE!</v>
      </c>
      <c r="AH109">
        <f>IF(temp!9:9,"AAAAADf/eyE=",0)</f>
        <v>0</v>
      </c>
      <c r="AI109" t="e">
        <f>AND(temp!A9,"AAAAADf/eyI=")</f>
        <v>#VALUE!</v>
      </c>
      <c r="AJ109" t="e">
        <f>AND(temp!B9,"AAAAADf/eyM=")</f>
        <v>#VALUE!</v>
      </c>
      <c r="AK109" t="e">
        <f>AND(temp!C9,"AAAAADf/eyQ=")</f>
        <v>#VALUE!</v>
      </c>
      <c r="AL109" t="e">
        <f>AND(temp!D9,"AAAAADf/eyU=")</f>
        <v>#VALUE!</v>
      </c>
      <c r="AM109">
        <f>IF(temp!10:10,"AAAAADf/eyY=",0)</f>
        <v>0</v>
      </c>
      <c r="AN109" t="e">
        <f>AND(temp!A10,"AAAAADf/eyc=")</f>
        <v>#VALUE!</v>
      </c>
      <c r="AO109" t="e">
        <f>AND(temp!B10,"AAAAADf/eyg=")</f>
        <v>#VALUE!</v>
      </c>
      <c r="AP109" t="e">
        <f>AND(temp!C10,"AAAAADf/eyk=")</f>
        <v>#VALUE!</v>
      </c>
      <c r="AQ109" t="e">
        <f>AND(temp!D10,"AAAAADf/eyo=")</f>
        <v>#VALUE!</v>
      </c>
      <c r="AR109">
        <f>IF(temp!11:11,"AAAAADf/eys=",0)</f>
        <v>0</v>
      </c>
      <c r="AS109" t="e">
        <f>AND(temp!A11,"AAAAADf/eyw=")</f>
        <v>#VALUE!</v>
      </c>
      <c r="AT109" t="e">
        <f>AND(temp!B11,"AAAAADf/ey0=")</f>
        <v>#VALUE!</v>
      </c>
      <c r="AU109" t="e">
        <f>AND(temp!C11,"AAAAADf/ey4=")</f>
        <v>#VALUE!</v>
      </c>
      <c r="AV109" t="e">
        <f>AND(temp!D11,"AAAAADf/ey8=")</f>
        <v>#VALUE!</v>
      </c>
      <c r="AW109">
        <f>IF(temp!12:12,"AAAAADf/ezA=",0)</f>
        <v>0</v>
      </c>
      <c r="AX109" t="e">
        <f>AND(temp!A12,"AAAAADf/ezE=")</f>
        <v>#VALUE!</v>
      </c>
      <c r="AY109" t="e">
        <f>AND(temp!B12,"AAAAADf/ezI=")</f>
        <v>#VALUE!</v>
      </c>
      <c r="AZ109" t="e">
        <f>AND(temp!C12,"AAAAADf/ezM=")</f>
        <v>#VALUE!</v>
      </c>
      <c r="BA109" t="e">
        <f>AND(temp!D12,"AAAAADf/ezQ=")</f>
        <v>#VALUE!</v>
      </c>
      <c r="BB109">
        <f>IF(temp!13:13,"AAAAADf/ezU=",0)</f>
        <v>0</v>
      </c>
      <c r="BC109" t="e">
        <f>AND(temp!A13,"AAAAADf/ezY=")</f>
        <v>#VALUE!</v>
      </c>
      <c r="BD109" t="e">
        <f>AND(temp!B13,"AAAAADf/ezc=")</f>
        <v>#VALUE!</v>
      </c>
      <c r="BE109" t="e">
        <f>AND(temp!C13,"AAAAADf/ezg=")</f>
        <v>#VALUE!</v>
      </c>
      <c r="BF109" t="e">
        <f>AND(temp!D13,"AAAAADf/ezk=")</f>
        <v>#VALUE!</v>
      </c>
      <c r="BG109">
        <f>IF(temp!14:14,"AAAAADf/ezo=",0)</f>
        <v>0</v>
      </c>
      <c r="BH109" t="e">
        <f>AND(temp!A14,"AAAAADf/ezs=")</f>
        <v>#VALUE!</v>
      </c>
      <c r="BI109" t="e">
        <f>AND(temp!B14,"AAAAADf/ezw=")</f>
        <v>#VALUE!</v>
      </c>
      <c r="BJ109" t="e">
        <f>AND(temp!C14,"AAAAADf/ez0=")</f>
        <v>#VALUE!</v>
      </c>
      <c r="BK109" t="e">
        <f>AND(temp!D14,"AAAAADf/ez4=")</f>
        <v>#VALUE!</v>
      </c>
      <c r="BL109">
        <f>IF(temp!15:15,"AAAAADf/ez8=",0)</f>
        <v>0</v>
      </c>
      <c r="BM109" t="e">
        <f>AND(temp!A15,"AAAAADf/e0A=")</f>
        <v>#VALUE!</v>
      </c>
      <c r="BN109" t="e">
        <f>AND(temp!B15,"AAAAADf/e0E=")</f>
        <v>#VALUE!</v>
      </c>
      <c r="BO109" t="e">
        <f>AND(temp!C15,"AAAAADf/e0I=")</f>
        <v>#VALUE!</v>
      </c>
      <c r="BP109" t="e">
        <f>AND(temp!D15,"AAAAADf/e0M=")</f>
        <v>#VALUE!</v>
      </c>
      <c r="BQ109">
        <f>IF(temp!16:16,"AAAAADf/e0Q=",0)</f>
        <v>0</v>
      </c>
      <c r="BR109" t="e">
        <f>AND(temp!A16,"AAAAADf/e0U=")</f>
        <v>#VALUE!</v>
      </c>
      <c r="BS109" t="e">
        <f>AND(temp!B16,"AAAAADf/e0Y=")</f>
        <v>#VALUE!</v>
      </c>
      <c r="BT109" t="e">
        <f>AND(temp!C16,"AAAAADf/e0c=")</f>
        <v>#VALUE!</v>
      </c>
      <c r="BU109" t="e">
        <f>AND(temp!D16,"AAAAADf/e0g=")</f>
        <v>#VALUE!</v>
      </c>
      <c r="BV109">
        <f>IF(temp!17:17,"AAAAADf/e0k=",0)</f>
        <v>0</v>
      </c>
      <c r="BW109" t="e">
        <f>AND(temp!A17,"AAAAADf/e0o=")</f>
        <v>#VALUE!</v>
      </c>
      <c r="BX109" t="e">
        <f>AND(temp!B17,"AAAAADf/e0s=")</f>
        <v>#VALUE!</v>
      </c>
      <c r="BY109" t="e">
        <f>AND(temp!C17,"AAAAADf/e0w=")</f>
        <v>#VALUE!</v>
      </c>
      <c r="BZ109" t="e">
        <f>AND(temp!D17,"AAAAADf/e00=")</f>
        <v>#VALUE!</v>
      </c>
      <c r="CA109">
        <f>IF(temp!18:18,"AAAAADf/e04=",0)</f>
        <v>0</v>
      </c>
      <c r="CB109" t="e">
        <f>AND(temp!A18,"AAAAADf/e08=")</f>
        <v>#VALUE!</v>
      </c>
      <c r="CC109" t="e">
        <f>AND(temp!B18,"AAAAADf/e1A=")</f>
        <v>#VALUE!</v>
      </c>
      <c r="CD109" t="e">
        <f>AND(temp!C18,"AAAAADf/e1E=")</f>
        <v>#VALUE!</v>
      </c>
      <c r="CE109" t="e">
        <f>AND(temp!D18,"AAAAADf/e1I=")</f>
        <v>#VALUE!</v>
      </c>
      <c r="CF109">
        <f>IF(temp!19:19,"AAAAADf/e1M=",0)</f>
        <v>0</v>
      </c>
      <c r="CG109" t="e">
        <f>AND(temp!A19,"AAAAADf/e1Q=")</f>
        <v>#VALUE!</v>
      </c>
      <c r="CH109" t="e">
        <f>AND(temp!B19,"AAAAADf/e1U=")</f>
        <v>#VALUE!</v>
      </c>
      <c r="CI109" t="e">
        <f>AND(temp!C19,"AAAAADf/e1Y=")</f>
        <v>#VALUE!</v>
      </c>
      <c r="CJ109" t="e">
        <f>AND(temp!D19,"AAAAADf/e1c=")</f>
        <v>#VALUE!</v>
      </c>
      <c r="CK109">
        <f>IF(temp!20:20,"AAAAADf/e1g=",0)</f>
        <v>0</v>
      </c>
      <c r="CL109" t="e">
        <f>AND(temp!A20,"AAAAADf/e1k=")</f>
        <v>#VALUE!</v>
      </c>
      <c r="CM109" t="e">
        <f>AND(temp!B20,"AAAAADf/e1o=")</f>
        <v>#VALUE!</v>
      </c>
      <c r="CN109" t="e">
        <f>AND(temp!C20,"AAAAADf/e1s=")</f>
        <v>#VALUE!</v>
      </c>
      <c r="CO109" t="e">
        <f>AND(temp!D20,"AAAAADf/e1w=")</f>
        <v>#VALUE!</v>
      </c>
      <c r="CP109">
        <f>IF(temp!21:21,"AAAAADf/e10=",0)</f>
        <v>0</v>
      </c>
      <c r="CQ109" t="e">
        <f>AND(temp!A21,"AAAAADf/e14=")</f>
        <v>#VALUE!</v>
      </c>
      <c r="CR109" t="e">
        <f>AND(temp!B21,"AAAAADf/e18=")</f>
        <v>#VALUE!</v>
      </c>
      <c r="CS109" t="e">
        <f>AND(temp!C21,"AAAAADf/e2A=")</f>
        <v>#VALUE!</v>
      </c>
      <c r="CT109" t="e">
        <f>AND(temp!D21,"AAAAADf/e2E=")</f>
        <v>#VALUE!</v>
      </c>
      <c r="CU109">
        <f>IF(temp!22:22,"AAAAADf/e2I=",0)</f>
        <v>0</v>
      </c>
      <c r="CV109" t="e">
        <f>AND(temp!A22,"AAAAADf/e2M=")</f>
        <v>#VALUE!</v>
      </c>
      <c r="CW109" t="e">
        <f>AND(temp!B22,"AAAAADf/e2Q=")</f>
        <v>#VALUE!</v>
      </c>
      <c r="CX109" t="e">
        <f>AND(temp!C22,"AAAAADf/e2U=")</f>
        <v>#VALUE!</v>
      </c>
      <c r="CY109" t="e">
        <f>AND(temp!D22,"AAAAADf/e2Y=")</f>
        <v>#VALUE!</v>
      </c>
      <c r="CZ109">
        <f>IF(temp!23:23,"AAAAADf/e2c=",0)</f>
        <v>0</v>
      </c>
      <c r="DA109" t="e">
        <f>AND(temp!A23,"AAAAADf/e2g=")</f>
        <v>#VALUE!</v>
      </c>
      <c r="DB109" t="e">
        <f>AND(temp!B23,"AAAAADf/e2k=")</f>
        <v>#VALUE!</v>
      </c>
      <c r="DC109" t="e">
        <f>AND(temp!C23,"AAAAADf/e2o=")</f>
        <v>#VALUE!</v>
      </c>
      <c r="DD109" t="e">
        <f>AND(temp!D23,"AAAAADf/e2s=")</f>
        <v>#VALUE!</v>
      </c>
      <c r="DE109">
        <f>IF(temp!24:24,"AAAAADf/e2w=",0)</f>
        <v>0</v>
      </c>
      <c r="DF109" t="e">
        <f>AND(temp!A24,"AAAAADf/e20=")</f>
        <v>#VALUE!</v>
      </c>
      <c r="DG109" t="e">
        <f>AND(temp!B24,"AAAAADf/e24=")</f>
        <v>#VALUE!</v>
      </c>
      <c r="DH109" t="e">
        <f>AND(temp!C24,"AAAAADf/e28=")</f>
        <v>#VALUE!</v>
      </c>
      <c r="DI109" t="e">
        <f>AND(temp!D24,"AAAAADf/e3A=")</f>
        <v>#VALUE!</v>
      </c>
      <c r="DJ109">
        <f>IF(temp!25:25,"AAAAADf/e3E=",0)</f>
        <v>0</v>
      </c>
      <c r="DK109" t="e">
        <f>AND(temp!A25,"AAAAADf/e3I=")</f>
        <v>#VALUE!</v>
      </c>
      <c r="DL109" t="e">
        <f>AND(temp!B25,"AAAAADf/e3M=")</f>
        <v>#VALUE!</v>
      </c>
      <c r="DM109" t="e">
        <f>AND(temp!C25,"AAAAADf/e3Q=")</f>
        <v>#VALUE!</v>
      </c>
      <c r="DN109" t="e">
        <f>AND(temp!D25,"AAAAADf/e3U=")</f>
        <v>#VALUE!</v>
      </c>
      <c r="DO109">
        <f>IF(temp!26:26,"AAAAADf/e3Y=",0)</f>
        <v>0</v>
      </c>
      <c r="DP109" t="e">
        <f>AND(temp!A26,"AAAAADf/e3c=")</f>
        <v>#VALUE!</v>
      </c>
      <c r="DQ109" t="e">
        <f>AND(temp!B26,"AAAAADf/e3g=")</f>
        <v>#VALUE!</v>
      </c>
      <c r="DR109" t="e">
        <f>AND(temp!C26,"AAAAADf/e3k=")</f>
        <v>#VALUE!</v>
      </c>
      <c r="DS109" t="e">
        <f>AND(temp!D26,"AAAAADf/e3o=")</f>
        <v>#VALUE!</v>
      </c>
      <c r="DT109">
        <f>IF(temp!27:27,"AAAAADf/e3s=",0)</f>
        <v>0</v>
      </c>
      <c r="DU109" t="e">
        <f>AND(temp!A27,"AAAAADf/e3w=")</f>
        <v>#VALUE!</v>
      </c>
      <c r="DV109" t="e">
        <f>AND(temp!B27,"AAAAADf/e30=")</f>
        <v>#VALUE!</v>
      </c>
      <c r="DW109" t="e">
        <f>AND(temp!C27,"AAAAADf/e34=")</f>
        <v>#VALUE!</v>
      </c>
      <c r="DX109" t="e">
        <f>AND(temp!D27,"AAAAADf/e38=")</f>
        <v>#VALUE!</v>
      </c>
      <c r="DY109">
        <f>IF(temp!28:28,"AAAAADf/e4A=",0)</f>
        <v>0</v>
      </c>
      <c r="DZ109" t="e">
        <f>AND(temp!A28,"AAAAADf/e4E=")</f>
        <v>#VALUE!</v>
      </c>
      <c r="EA109" t="e">
        <f>AND(temp!B28,"AAAAADf/e4I=")</f>
        <v>#VALUE!</v>
      </c>
      <c r="EB109" t="e">
        <f>AND(temp!C28,"AAAAADf/e4M=")</f>
        <v>#VALUE!</v>
      </c>
      <c r="EC109" t="e">
        <f>AND(temp!D28,"AAAAADf/e4Q=")</f>
        <v>#VALUE!</v>
      </c>
      <c r="ED109">
        <f>IF(temp!29:29,"AAAAADf/e4U=",0)</f>
        <v>0</v>
      </c>
      <c r="EE109" t="e">
        <f>AND(temp!A29,"AAAAADf/e4Y=")</f>
        <v>#VALUE!</v>
      </c>
      <c r="EF109" t="e">
        <f>AND(temp!B29,"AAAAADf/e4c=")</f>
        <v>#VALUE!</v>
      </c>
      <c r="EG109" t="e">
        <f>AND(temp!C29,"AAAAADf/e4g=")</f>
        <v>#VALUE!</v>
      </c>
      <c r="EH109" t="e">
        <f>AND(temp!D29,"AAAAADf/e4k=")</f>
        <v>#VALUE!</v>
      </c>
      <c r="EI109">
        <f>IF(temp!30:30,"AAAAADf/e4o=",0)</f>
        <v>0</v>
      </c>
      <c r="EJ109" t="e">
        <f>AND(temp!A30,"AAAAADf/e4s=")</f>
        <v>#VALUE!</v>
      </c>
      <c r="EK109" t="e">
        <f>AND(temp!B30,"AAAAADf/e4w=")</f>
        <v>#VALUE!</v>
      </c>
      <c r="EL109" t="e">
        <f>AND(temp!C30,"AAAAADf/e40=")</f>
        <v>#VALUE!</v>
      </c>
      <c r="EM109" t="e">
        <f>AND(temp!D30,"AAAAADf/e44=")</f>
        <v>#VALUE!</v>
      </c>
      <c r="EN109">
        <f>IF(temp!31:31,"AAAAADf/e48=",0)</f>
        <v>0</v>
      </c>
      <c r="EO109" t="e">
        <f>AND(temp!A31,"AAAAADf/e5A=")</f>
        <v>#VALUE!</v>
      </c>
      <c r="EP109" t="e">
        <f>AND(temp!B31,"AAAAADf/e5E=")</f>
        <v>#VALUE!</v>
      </c>
      <c r="EQ109" t="e">
        <f>AND(temp!C31,"AAAAADf/e5I=")</f>
        <v>#VALUE!</v>
      </c>
      <c r="ER109" t="e">
        <f>AND(temp!D31,"AAAAADf/e5M=")</f>
        <v>#VALUE!</v>
      </c>
      <c r="ES109">
        <f>IF(temp!32:32,"AAAAADf/e5Q=",0)</f>
        <v>0</v>
      </c>
      <c r="ET109" t="e">
        <f>AND(temp!A32,"AAAAADf/e5U=")</f>
        <v>#VALUE!</v>
      </c>
      <c r="EU109" t="e">
        <f>AND(temp!B32,"AAAAADf/e5Y=")</f>
        <v>#VALUE!</v>
      </c>
      <c r="EV109" t="e">
        <f>AND(temp!C32,"AAAAADf/e5c=")</f>
        <v>#VALUE!</v>
      </c>
      <c r="EW109" t="e">
        <f>AND(temp!D32,"AAAAADf/e5g=")</f>
        <v>#VALUE!</v>
      </c>
      <c r="EX109">
        <f>IF(temp!33:33,"AAAAADf/e5k=",0)</f>
        <v>0</v>
      </c>
      <c r="EY109" t="e">
        <f>AND(temp!A33,"AAAAADf/e5o=")</f>
        <v>#VALUE!</v>
      </c>
      <c r="EZ109" t="e">
        <f>AND(temp!B33,"AAAAADf/e5s=")</f>
        <v>#VALUE!</v>
      </c>
      <c r="FA109" t="e">
        <f>AND(temp!C33,"AAAAADf/e5w=")</f>
        <v>#VALUE!</v>
      </c>
      <c r="FB109" t="e">
        <f>AND(temp!D33,"AAAAADf/e50=")</f>
        <v>#VALUE!</v>
      </c>
      <c r="FC109">
        <f>IF(temp!34:34,"AAAAADf/e54=",0)</f>
        <v>0</v>
      </c>
      <c r="FD109" t="e">
        <f>AND(temp!A34,"AAAAADf/e58=")</f>
        <v>#VALUE!</v>
      </c>
      <c r="FE109" t="e">
        <f>AND(temp!B34,"AAAAADf/e6A=")</f>
        <v>#VALUE!</v>
      </c>
      <c r="FF109" t="e">
        <f>AND(temp!C34,"AAAAADf/e6E=")</f>
        <v>#VALUE!</v>
      </c>
      <c r="FG109" t="e">
        <f>AND(temp!D34,"AAAAADf/e6I=")</f>
        <v>#VALUE!</v>
      </c>
      <c r="FH109">
        <f>IF(temp!35:35,"AAAAADf/e6M=",0)</f>
        <v>0</v>
      </c>
      <c r="FI109" t="e">
        <f>AND(temp!A35,"AAAAADf/e6Q=")</f>
        <v>#VALUE!</v>
      </c>
      <c r="FJ109" t="e">
        <f>AND(temp!B35,"AAAAADf/e6U=")</f>
        <v>#VALUE!</v>
      </c>
      <c r="FK109" t="e">
        <f>AND(temp!C35,"AAAAADf/e6Y=")</f>
        <v>#VALUE!</v>
      </c>
      <c r="FL109" t="e">
        <f>AND(temp!D35,"AAAAADf/e6c=")</f>
        <v>#VALUE!</v>
      </c>
      <c r="FM109">
        <f>IF(temp!36:36,"AAAAADf/e6g=",0)</f>
        <v>0</v>
      </c>
      <c r="FN109" t="e">
        <f>AND(temp!A36,"AAAAADf/e6k=")</f>
        <v>#VALUE!</v>
      </c>
      <c r="FO109" t="e">
        <f>AND(temp!B36,"AAAAADf/e6o=")</f>
        <v>#VALUE!</v>
      </c>
      <c r="FP109" t="e">
        <f>AND(temp!C36,"AAAAADf/e6s=")</f>
        <v>#VALUE!</v>
      </c>
      <c r="FQ109" t="e">
        <f>AND(temp!D36,"AAAAADf/e6w=")</f>
        <v>#VALUE!</v>
      </c>
      <c r="FR109">
        <f>IF(temp!37:37,"AAAAADf/e60=",0)</f>
        <v>0</v>
      </c>
      <c r="FS109" t="e">
        <f>AND(temp!A37,"AAAAADf/e64=")</f>
        <v>#VALUE!</v>
      </c>
      <c r="FT109" t="e">
        <f>AND(temp!B37,"AAAAADf/e68=")</f>
        <v>#VALUE!</v>
      </c>
      <c r="FU109" t="e">
        <f>AND(temp!C37,"AAAAADf/e7A=")</f>
        <v>#VALUE!</v>
      </c>
      <c r="FV109" t="e">
        <f>AND(temp!D37,"AAAAADf/e7E=")</f>
        <v>#VALUE!</v>
      </c>
      <c r="FW109">
        <f>IF(temp!38:38,"AAAAADf/e7I=",0)</f>
        <v>0</v>
      </c>
      <c r="FX109" t="e">
        <f>AND(temp!A38,"AAAAADf/e7M=")</f>
        <v>#VALUE!</v>
      </c>
      <c r="FY109" t="e">
        <f>AND(temp!B38,"AAAAADf/e7Q=")</f>
        <v>#VALUE!</v>
      </c>
      <c r="FZ109" t="e">
        <f>AND(temp!C38,"AAAAADf/e7U=")</f>
        <v>#VALUE!</v>
      </c>
      <c r="GA109" t="e">
        <f>AND(temp!D38,"AAAAADf/e7Y=")</f>
        <v>#VALUE!</v>
      </c>
      <c r="GB109">
        <f>IF(temp!39:39,"AAAAADf/e7c=",0)</f>
        <v>0</v>
      </c>
      <c r="GC109" t="e">
        <f>AND(temp!A39,"AAAAADf/e7g=")</f>
        <v>#VALUE!</v>
      </c>
      <c r="GD109" t="e">
        <f>AND(temp!B39,"AAAAADf/e7k=")</f>
        <v>#VALUE!</v>
      </c>
      <c r="GE109" t="e">
        <f>AND(temp!C39,"AAAAADf/e7o=")</f>
        <v>#VALUE!</v>
      </c>
      <c r="GF109" t="e">
        <f>AND(temp!D39,"AAAAADf/e7s=")</f>
        <v>#VALUE!</v>
      </c>
      <c r="GG109">
        <f>IF(temp!40:40,"AAAAADf/e7w=",0)</f>
        <v>0</v>
      </c>
      <c r="GH109" t="e">
        <f>AND(temp!A40,"AAAAADf/e70=")</f>
        <v>#VALUE!</v>
      </c>
      <c r="GI109" t="e">
        <f>AND(temp!B40,"AAAAADf/e74=")</f>
        <v>#VALUE!</v>
      </c>
      <c r="GJ109" t="e">
        <f>AND(temp!C40,"AAAAADf/e78=")</f>
        <v>#VALUE!</v>
      </c>
      <c r="GK109" t="e">
        <f>AND(temp!D40,"AAAAADf/e8A=")</f>
        <v>#VALUE!</v>
      </c>
      <c r="GL109">
        <f>IF(temp!41:41,"AAAAADf/e8E=",0)</f>
        <v>0</v>
      </c>
      <c r="GM109" t="e">
        <f>AND(temp!A41,"AAAAADf/e8I=")</f>
        <v>#VALUE!</v>
      </c>
      <c r="GN109" t="e">
        <f>AND(temp!B41,"AAAAADf/e8M=")</f>
        <v>#VALUE!</v>
      </c>
      <c r="GO109" t="e">
        <f>AND(temp!C41,"AAAAADf/e8Q=")</f>
        <v>#VALUE!</v>
      </c>
      <c r="GP109" t="e">
        <f>AND(temp!D41,"AAAAADf/e8U=")</f>
        <v>#VALUE!</v>
      </c>
      <c r="GQ109">
        <f>IF(temp!42:42,"AAAAADf/e8Y=",0)</f>
        <v>0</v>
      </c>
      <c r="GR109" t="e">
        <f>AND(temp!A42,"AAAAADf/e8c=")</f>
        <v>#VALUE!</v>
      </c>
      <c r="GS109" t="e">
        <f>AND(temp!B42,"AAAAADf/e8g=")</f>
        <v>#VALUE!</v>
      </c>
      <c r="GT109" t="e">
        <f>AND(temp!C42,"AAAAADf/e8k=")</f>
        <v>#VALUE!</v>
      </c>
      <c r="GU109" t="e">
        <f>AND(temp!D42,"AAAAADf/e8o=")</f>
        <v>#VALUE!</v>
      </c>
      <c r="GV109">
        <f>IF(temp!43:43,"AAAAADf/e8s=",0)</f>
        <v>0</v>
      </c>
      <c r="GW109" t="e">
        <f>AND(temp!A43,"AAAAADf/e8w=")</f>
        <v>#VALUE!</v>
      </c>
      <c r="GX109" t="e">
        <f>AND(temp!B43,"AAAAADf/e80=")</f>
        <v>#VALUE!</v>
      </c>
      <c r="GY109" t="e">
        <f>AND(temp!C43,"AAAAADf/e84=")</f>
        <v>#VALUE!</v>
      </c>
      <c r="GZ109" t="e">
        <f>AND(temp!D43,"AAAAADf/e88=")</f>
        <v>#VALUE!</v>
      </c>
      <c r="HA109">
        <f>IF(temp!44:44,"AAAAADf/e9A=",0)</f>
        <v>0</v>
      </c>
      <c r="HB109" t="e">
        <f>AND(temp!A44,"AAAAADf/e9E=")</f>
        <v>#VALUE!</v>
      </c>
      <c r="HC109" t="e">
        <f>AND(temp!B44,"AAAAADf/e9I=")</f>
        <v>#VALUE!</v>
      </c>
      <c r="HD109" t="e">
        <f>AND(temp!C44,"AAAAADf/e9M=")</f>
        <v>#VALUE!</v>
      </c>
      <c r="HE109" t="e">
        <f>AND(temp!D44,"AAAAADf/e9Q=")</f>
        <v>#VALUE!</v>
      </c>
      <c r="HF109">
        <f>IF(temp!45:45,"AAAAADf/e9U=",0)</f>
        <v>0</v>
      </c>
      <c r="HG109" t="e">
        <f>AND(temp!A45,"AAAAADf/e9Y=")</f>
        <v>#VALUE!</v>
      </c>
      <c r="HH109" t="e">
        <f>AND(temp!B45,"AAAAADf/e9c=")</f>
        <v>#VALUE!</v>
      </c>
      <c r="HI109" t="e">
        <f>AND(temp!C45,"AAAAADf/e9g=")</f>
        <v>#VALUE!</v>
      </c>
      <c r="HJ109" t="e">
        <f>AND(temp!D45,"AAAAADf/e9k=")</f>
        <v>#VALUE!</v>
      </c>
      <c r="HK109">
        <f>IF(temp!46:46,"AAAAADf/e9o=",0)</f>
        <v>0</v>
      </c>
      <c r="HL109" t="e">
        <f>AND(temp!A46,"AAAAADf/e9s=")</f>
        <v>#VALUE!</v>
      </c>
      <c r="HM109" t="e">
        <f>AND(temp!B46,"AAAAADf/e9w=")</f>
        <v>#VALUE!</v>
      </c>
      <c r="HN109" t="e">
        <f>AND(temp!C46,"AAAAADf/e90=")</f>
        <v>#VALUE!</v>
      </c>
      <c r="HO109" t="e">
        <f>AND(temp!D46,"AAAAADf/e94=")</f>
        <v>#VALUE!</v>
      </c>
      <c r="HP109">
        <f>IF(temp!47:47,"AAAAADf/e98=",0)</f>
        <v>0</v>
      </c>
      <c r="HQ109" t="e">
        <f>AND(temp!A47,"AAAAADf/e+A=")</f>
        <v>#VALUE!</v>
      </c>
      <c r="HR109" t="e">
        <f>AND(temp!B47,"AAAAADf/e+E=")</f>
        <v>#VALUE!</v>
      </c>
      <c r="HS109" t="e">
        <f>AND(temp!C47,"AAAAADf/e+I=")</f>
        <v>#VALUE!</v>
      </c>
      <c r="HT109" t="e">
        <f>AND(temp!D47,"AAAAADf/e+M=")</f>
        <v>#VALUE!</v>
      </c>
      <c r="HU109">
        <f>IF(temp!48:48,"AAAAADf/e+Q=",0)</f>
        <v>0</v>
      </c>
      <c r="HV109" t="e">
        <f>AND(temp!A48,"AAAAADf/e+U=")</f>
        <v>#VALUE!</v>
      </c>
      <c r="HW109" t="e">
        <f>AND(temp!B48,"AAAAADf/e+Y=")</f>
        <v>#VALUE!</v>
      </c>
      <c r="HX109" t="e">
        <f>AND(temp!C48,"AAAAADf/e+c=")</f>
        <v>#VALUE!</v>
      </c>
      <c r="HY109" t="e">
        <f>AND(temp!D48,"AAAAADf/e+g=")</f>
        <v>#VALUE!</v>
      </c>
      <c r="HZ109">
        <f>IF(temp!49:49,"AAAAADf/e+k=",0)</f>
        <v>0</v>
      </c>
      <c r="IA109" t="e">
        <f>AND(temp!A49,"AAAAADf/e+o=")</f>
        <v>#VALUE!</v>
      </c>
      <c r="IB109" t="e">
        <f>AND(temp!B49,"AAAAADf/e+s=")</f>
        <v>#VALUE!</v>
      </c>
      <c r="IC109" t="e">
        <f>AND(temp!C49,"AAAAADf/e+w=")</f>
        <v>#VALUE!</v>
      </c>
      <c r="ID109" t="e">
        <f>AND(temp!D49,"AAAAADf/e+0=")</f>
        <v>#VALUE!</v>
      </c>
      <c r="IE109">
        <f>IF(temp!50:50,"AAAAADf/e+4=",0)</f>
        <v>0</v>
      </c>
      <c r="IF109" t="e">
        <f>AND(temp!A50,"AAAAADf/e+8=")</f>
        <v>#VALUE!</v>
      </c>
      <c r="IG109" t="e">
        <f>AND(temp!B50,"AAAAADf/e/A=")</f>
        <v>#VALUE!</v>
      </c>
      <c r="IH109" t="e">
        <f>AND(temp!C50,"AAAAADf/e/E=")</f>
        <v>#VALUE!</v>
      </c>
      <c r="II109" t="e">
        <f>AND(temp!D50,"AAAAADf/e/I=")</f>
        <v>#VALUE!</v>
      </c>
      <c r="IJ109">
        <f>IF(temp!51:51,"AAAAADf/e/M=",0)</f>
        <v>0</v>
      </c>
      <c r="IK109" t="e">
        <f>AND(temp!A51,"AAAAADf/e/Q=")</f>
        <v>#VALUE!</v>
      </c>
      <c r="IL109" t="e">
        <f>AND(temp!B51,"AAAAADf/e/U=")</f>
        <v>#VALUE!</v>
      </c>
      <c r="IM109" t="e">
        <f>AND(temp!C51,"AAAAADf/e/Y=")</f>
        <v>#VALUE!</v>
      </c>
      <c r="IN109" t="e">
        <f>AND(temp!D51,"AAAAADf/e/c=")</f>
        <v>#VALUE!</v>
      </c>
      <c r="IO109">
        <f>IF(temp!52:52,"AAAAADf/e/g=",0)</f>
        <v>0</v>
      </c>
      <c r="IP109" t="e">
        <f>AND(temp!A52,"AAAAADf/e/k=")</f>
        <v>#VALUE!</v>
      </c>
      <c r="IQ109" t="e">
        <f>AND(temp!B52,"AAAAADf/e/o=")</f>
        <v>#VALUE!</v>
      </c>
      <c r="IR109" t="e">
        <f>AND(temp!C52,"AAAAADf/e/s=")</f>
        <v>#VALUE!</v>
      </c>
      <c r="IS109" t="e">
        <f>AND(temp!D52,"AAAAADf/e/w=")</f>
        <v>#VALUE!</v>
      </c>
      <c r="IT109">
        <f>IF(temp!53:53,"AAAAADf/e/0=",0)</f>
        <v>0</v>
      </c>
      <c r="IU109" t="e">
        <f>AND(temp!A53,"AAAAADf/e/4=")</f>
        <v>#VALUE!</v>
      </c>
      <c r="IV109" t="e">
        <f>AND(temp!B53,"AAAAADf/e/8=")</f>
        <v>#VALUE!</v>
      </c>
    </row>
    <row r="110" spans="1:256" x14ac:dyDescent="0.15">
      <c r="A110" t="e">
        <f>AND(temp!C53,"AAAAAD9fuwA=")</f>
        <v>#VALUE!</v>
      </c>
      <c r="B110" t="e">
        <f>AND(temp!D53,"AAAAAD9fuwE=")</f>
        <v>#VALUE!</v>
      </c>
      <c r="C110">
        <f>IF(temp!54:54,"AAAAAD9fuwI=",0)</f>
        <v>0</v>
      </c>
      <c r="D110" t="e">
        <f>AND(temp!A54,"AAAAAD9fuwM=")</f>
        <v>#VALUE!</v>
      </c>
      <c r="E110" t="e">
        <f>AND(temp!B54,"AAAAAD9fuwQ=")</f>
        <v>#VALUE!</v>
      </c>
      <c r="F110" t="e">
        <f>AND(temp!C54,"AAAAAD9fuwU=")</f>
        <v>#VALUE!</v>
      </c>
      <c r="G110" t="e">
        <f>AND(temp!D54,"AAAAAD9fuwY=")</f>
        <v>#VALUE!</v>
      </c>
      <c r="H110">
        <f>IF(temp!55:55,"AAAAAD9fuwc=",0)</f>
        <v>0</v>
      </c>
      <c r="I110" t="e">
        <f>AND(temp!A55,"AAAAAD9fuwg=")</f>
        <v>#VALUE!</v>
      </c>
      <c r="J110" t="e">
        <f>AND(temp!B55,"AAAAAD9fuwk=")</f>
        <v>#VALUE!</v>
      </c>
      <c r="K110" t="e">
        <f>AND(temp!C55,"AAAAAD9fuwo=")</f>
        <v>#VALUE!</v>
      </c>
      <c r="L110" t="e">
        <f>AND(temp!D55,"AAAAAD9fuws=")</f>
        <v>#VALUE!</v>
      </c>
      <c r="M110">
        <f>IF(temp!56:56,"AAAAAD9fuww=",0)</f>
        <v>0</v>
      </c>
      <c r="N110" t="e">
        <f>AND(temp!A56,"AAAAAD9fuw0=")</f>
        <v>#VALUE!</v>
      </c>
      <c r="O110" t="e">
        <f>AND(temp!B56,"AAAAAD9fuw4=")</f>
        <v>#VALUE!</v>
      </c>
      <c r="P110" t="e">
        <f>AND(temp!C56,"AAAAAD9fuw8=")</f>
        <v>#VALUE!</v>
      </c>
      <c r="Q110" t="e">
        <f>AND(temp!D56,"AAAAAD9fuxA=")</f>
        <v>#VALUE!</v>
      </c>
      <c r="R110">
        <f>IF(temp!57:57,"AAAAAD9fuxE=",0)</f>
        <v>0</v>
      </c>
      <c r="S110" t="e">
        <f>AND(temp!A57,"AAAAAD9fuxI=")</f>
        <v>#VALUE!</v>
      </c>
      <c r="T110" t="e">
        <f>AND(temp!B57,"AAAAAD9fuxM=")</f>
        <v>#VALUE!</v>
      </c>
      <c r="U110" t="e">
        <f>AND(temp!C57,"AAAAAD9fuxQ=")</f>
        <v>#VALUE!</v>
      </c>
      <c r="V110" t="e">
        <f>AND(temp!D57,"AAAAAD9fuxU=")</f>
        <v>#VALUE!</v>
      </c>
      <c r="W110">
        <f>IF(temp!58:58,"AAAAAD9fuxY=",0)</f>
        <v>0</v>
      </c>
      <c r="X110" t="e">
        <f>AND(temp!A58,"AAAAAD9fuxc=")</f>
        <v>#VALUE!</v>
      </c>
      <c r="Y110" t="e">
        <f>AND(temp!B58,"AAAAAD9fuxg=")</f>
        <v>#VALUE!</v>
      </c>
      <c r="Z110" t="e">
        <f>AND(temp!C58,"AAAAAD9fuxk=")</f>
        <v>#VALUE!</v>
      </c>
      <c r="AA110" t="e">
        <f>AND(temp!D58,"AAAAAD9fuxo=")</f>
        <v>#VALUE!</v>
      </c>
      <c r="AB110">
        <f>IF(temp!59:59,"AAAAAD9fuxs=",0)</f>
        <v>0</v>
      </c>
      <c r="AC110" t="e">
        <f>AND(temp!A59,"AAAAAD9fuxw=")</f>
        <v>#VALUE!</v>
      </c>
      <c r="AD110" t="e">
        <f>AND(temp!B59,"AAAAAD9fux0=")</f>
        <v>#VALUE!</v>
      </c>
      <c r="AE110" t="e">
        <f>AND(temp!C59,"AAAAAD9fux4=")</f>
        <v>#VALUE!</v>
      </c>
      <c r="AF110" t="e">
        <f>AND(temp!D59,"AAAAAD9fux8=")</f>
        <v>#VALUE!</v>
      </c>
      <c r="AG110">
        <f>IF(temp!60:60,"AAAAAD9fuyA=",0)</f>
        <v>0</v>
      </c>
      <c r="AH110" t="e">
        <f>AND(temp!A60,"AAAAAD9fuyE=")</f>
        <v>#VALUE!</v>
      </c>
      <c r="AI110" t="e">
        <f>AND(temp!B60,"AAAAAD9fuyI=")</f>
        <v>#VALUE!</v>
      </c>
      <c r="AJ110" t="e">
        <f>AND(temp!C60,"AAAAAD9fuyM=")</f>
        <v>#VALUE!</v>
      </c>
      <c r="AK110" t="e">
        <f>AND(temp!D60,"AAAAAD9fuyQ=")</f>
        <v>#VALUE!</v>
      </c>
      <c r="AL110">
        <f>IF(temp!61:61,"AAAAAD9fuyU=",0)</f>
        <v>0</v>
      </c>
      <c r="AM110" t="e">
        <f>AND(temp!A61,"AAAAAD9fuyY=")</f>
        <v>#VALUE!</v>
      </c>
      <c r="AN110" t="e">
        <f>AND(temp!B61,"AAAAAD9fuyc=")</f>
        <v>#VALUE!</v>
      </c>
      <c r="AO110" t="e">
        <f>AND(temp!C61,"AAAAAD9fuyg=")</f>
        <v>#VALUE!</v>
      </c>
      <c r="AP110" t="e">
        <f>AND(temp!D61,"AAAAAD9fuyk=")</f>
        <v>#VALUE!</v>
      </c>
      <c r="AQ110">
        <f>IF(temp!62:62,"AAAAAD9fuyo=",0)</f>
        <v>0</v>
      </c>
      <c r="AR110" t="e">
        <f>AND(temp!A62,"AAAAAD9fuys=")</f>
        <v>#VALUE!</v>
      </c>
      <c r="AS110" t="e">
        <f>AND(temp!B62,"AAAAAD9fuyw=")</f>
        <v>#VALUE!</v>
      </c>
      <c r="AT110" t="e">
        <f>AND(temp!C62,"AAAAAD9fuy0=")</f>
        <v>#VALUE!</v>
      </c>
      <c r="AU110" t="e">
        <f>AND(temp!D62,"AAAAAD9fuy4=")</f>
        <v>#VALUE!</v>
      </c>
      <c r="AV110">
        <f>IF(temp!63:63,"AAAAAD9fuy8=",0)</f>
        <v>0</v>
      </c>
      <c r="AW110" t="e">
        <f>AND(temp!A63,"AAAAAD9fuzA=")</f>
        <v>#VALUE!</v>
      </c>
      <c r="AX110" t="e">
        <f>AND(temp!B63,"AAAAAD9fuzE=")</f>
        <v>#VALUE!</v>
      </c>
      <c r="AY110" t="e">
        <f>AND(temp!C63,"AAAAAD9fuzI=")</f>
        <v>#VALUE!</v>
      </c>
      <c r="AZ110" t="e">
        <f>AND(temp!D63,"AAAAAD9fuzM=")</f>
        <v>#VALUE!</v>
      </c>
      <c r="BA110">
        <f>IF(temp!64:64,"AAAAAD9fuzQ=",0)</f>
        <v>0</v>
      </c>
      <c r="BB110" t="e">
        <f>AND(temp!A64,"AAAAAD9fuzU=")</f>
        <v>#VALUE!</v>
      </c>
      <c r="BC110" t="e">
        <f>AND(temp!B64,"AAAAAD9fuzY=")</f>
        <v>#VALUE!</v>
      </c>
      <c r="BD110" t="e">
        <f>AND(temp!C64,"AAAAAD9fuzc=")</f>
        <v>#VALUE!</v>
      </c>
      <c r="BE110" t="e">
        <f>AND(temp!D64,"AAAAAD9fuzg=")</f>
        <v>#VALUE!</v>
      </c>
      <c r="BF110">
        <f>IF(temp!65:65,"AAAAAD9fuzk=",0)</f>
        <v>0</v>
      </c>
      <c r="BG110" t="e">
        <f>AND(temp!A65,"AAAAAD9fuzo=")</f>
        <v>#VALUE!</v>
      </c>
      <c r="BH110" t="e">
        <f>AND(temp!B65,"AAAAAD9fuzs=")</f>
        <v>#VALUE!</v>
      </c>
      <c r="BI110" t="e">
        <f>AND(temp!C65,"AAAAAD9fuzw=")</f>
        <v>#VALUE!</v>
      </c>
      <c r="BJ110" t="e">
        <f>AND(temp!D65,"AAAAAD9fuz0=")</f>
        <v>#VALUE!</v>
      </c>
      <c r="BK110">
        <f>IF(temp!66:66,"AAAAAD9fuz4=",0)</f>
        <v>0</v>
      </c>
      <c r="BL110" t="e">
        <f>AND(temp!A66,"AAAAAD9fuz8=")</f>
        <v>#VALUE!</v>
      </c>
      <c r="BM110" t="e">
        <f>AND(temp!B66,"AAAAAD9fu0A=")</f>
        <v>#VALUE!</v>
      </c>
      <c r="BN110" t="e">
        <f>AND(temp!C66,"AAAAAD9fu0E=")</f>
        <v>#VALUE!</v>
      </c>
      <c r="BO110" t="e">
        <f>AND(temp!D66,"AAAAAD9fu0I=")</f>
        <v>#VALUE!</v>
      </c>
      <c r="BP110">
        <f>IF(temp!67:67,"AAAAAD9fu0M=",0)</f>
        <v>0</v>
      </c>
      <c r="BQ110" t="e">
        <f>AND(temp!A67,"AAAAAD9fu0Q=")</f>
        <v>#VALUE!</v>
      </c>
      <c r="BR110" t="e">
        <f>AND(temp!B67,"AAAAAD9fu0U=")</f>
        <v>#VALUE!</v>
      </c>
      <c r="BS110" t="e">
        <f>AND(temp!C67,"AAAAAD9fu0Y=")</f>
        <v>#VALUE!</v>
      </c>
      <c r="BT110" t="e">
        <f>AND(temp!D67,"AAAAAD9fu0c=")</f>
        <v>#VALUE!</v>
      </c>
      <c r="BU110">
        <f>IF(temp!68:68,"AAAAAD9fu0g=",0)</f>
        <v>0</v>
      </c>
      <c r="BV110" t="e">
        <f>AND(temp!A68,"AAAAAD9fu0k=")</f>
        <v>#VALUE!</v>
      </c>
      <c r="BW110" t="e">
        <f>AND(temp!B68,"AAAAAD9fu0o=")</f>
        <v>#VALUE!</v>
      </c>
      <c r="BX110" t="e">
        <f>AND(temp!C68,"AAAAAD9fu0s=")</f>
        <v>#VALUE!</v>
      </c>
      <c r="BY110" t="e">
        <f>AND(temp!D68,"AAAAAD9fu0w=")</f>
        <v>#VALUE!</v>
      </c>
      <c r="BZ110">
        <f>IF(temp!69:69,"AAAAAD9fu00=",0)</f>
        <v>0</v>
      </c>
      <c r="CA110" t="e">
        <f>AND(temp!A69,"AAAAAD9fu04=")</f>
        <v>#VALUE!</v>
      </c>
      <c r="CB110" t="e">
        <f>AND(temp!B69,"AAAAAD9fu08=")</f>
        <v>#VALUE!</v>
      </c>
      <c r="CC110" t="e">
        <f>AND(temp!C69,"AAAAAD9fu1A=")</f>
        <v>#VALUE!</v>
      </c>
      <c r="CD110" t="e">
        <f>AND(temp!D69,"AAAAAD9fu1E=")</f>
        <v>#VALUE!</v>
      </c>
      <c r="CE110">
        <f>IF(temp!70:70,"AAAAAD9fu1I=",0)</f>
        <v>0</v>
      </c>
      <c r="CF110" t="e">
        <f>AND(temp!A70,"AAAAAD9fu1M=")</f>
        <v>#VALUE!</v>
      </c>
      <c r="CG110" t="e">
        <f>AND(temp!B70,"AAAAAD9fu1Q=")</f>
        <v>#VALUE!</v>
      </c>
      <c r="CH110" t="e">
        <f>AND(temp!C70,"AAAAAD9fu1U=")</f>
        <v>#VALUE!</v>
      </c>
      <c r="CI110" t="e">
        <f>AND(temp!D70,"AAAAAD9fu1Y=")</f>
        <v>#VALUE!</v>
      </c>
      <c r="CJ110">
        <f>IF(temp!71:71,"AAAAAD9fu1c=",0)</f>
        <v>0</v>
      </c>
      <c r="CK110" t="e">
        <f>AND(temp!A71,"AAAAAD9fu1g=")</f>
        <v>#VALUE!</v>
      </c>
      <c r="CL110" t="e">
        <f>AND(temp!B71,"AAAAAD9fu1k=")</f>
        <v>#VALUE!</v>
      </c>
      <c r="CM110" t="e">
        <f>AND(temp!C71,"AAAAAD9fu1o=")</f>
        <v>#VALUE!</v>
      </c>
      <c r="CN110" t="e">
        <f>AND(temp!D71,"AAAAAD9fu1s=")</f>
        <v>#VALUE!</v>
      </c>
      <c r="CO110">
        <f>IF(temp!72:72,"AAAAAD9fu1w=",0)</f>
        <v>0</v>
      </c>
      <c r="CP110" t="e">
        <f>AND(temp!A72,"AAAAAD9fu10=")</f>
        <v>#VALUE!</v>
      </c>
      <c r="CQ110" t="e">
        <f>AND(temp!B72,"AAAAAD9fu14=")</f>
        <v>#VALUE!</v>
      </c>
      <c r="CR110" t="e">
        <f>AND(temp!C72,"AAAAAD9fu18=")</f>
        <v>#VALUE!</v>
      </c>
      <c r="CS110" t="e">
        <f>AND(temp!D72,"AAAAAD9fu2A=")</f>
        <v>#VALUE!</v>
      </c>
      <c r="CT110">
        <f>IF(temp!73:73,"AAAAAD9fu2E=",0)</f>
        <v>0</v>
      </c>
      <c r="CU110" t="e">
        <f>AND(temp!A73,"AAAAAD9fu2I=")</f>
        <v>#VALUE!</v>
      </c>
      <c r="CV110" t="e">
        <f>AND(temp!B73,"AAAAAD9fu2M=")</f>
        <v>#VALUE!</v>
      </c>
      <c r="CW110" t="e">
        <f>AND(temp!C73,"AAAAAD9fu2Q=")</f>
        <v>#VALUE!</v>
      </c>
      <c r="CX110" t="e">
        <f>AND(temp!D73,"AAAAAD9fu2U=")</f>
        <v>#VALUE!</v>
      </c>
      <c r="CY110">
        <f>IF(temp!74:74,"AAAAAD9fu2Y=",0)</f>
        <v>0</v>
      </c>
      <c r="CZ110" t="e">
        <f>AND(temp!A74,"AAAAAD9fu2c=")</f>
        <v>#VALUE!</v>
      </c>
      <c r="DA110" t="e">
        <f>AND(temp!B74,"AAAAAD9fu2g=")</f>
        <v>#VALUE!</v>
      </c>
      <c r="DB110" t="e">
        <f>AND(temp!C74,"AAAAAD9fu2k=")</f>
        <v>#VALUE!</v>
      </c>
      <c r="DC110" t="e">
        <f>AND(temp!D74,"AAAAAD9fu2o=")</f>
        <v>#VALUE!</v>
      </c>
      <c r="DD110">
        <f>IF(temp!75:75,"AAAAAD9fu2s=",0)</f>
        <v>0</v>
      </c>
      <c r="DE110" t="e">
        <f>AND(temp!A75,"AAAAAD9fu2w=")</f>
        <v>#VALUE!</v>
      </c>
      <c r="DF110" t="e">
        <f>AND(temp!B75,"AAAAAD9fu20=")</f>
        <v>#VALUE!</v>
      </c>
      <c r="DG110" t="e">
        <f>AND(temp!C75,"AAAAAD9fu24=")</f>
        <v>#VALUE!</v>
      </c>
      <c r="DH110" t="e">
        <f>AND(temp!D75,"AAAAAD9fu28=")</f>
        <v>#VALUE!</v>
      </c>
      <c r="DI110">
        <f>IF(temp!76:76,"AAAAAD9fu3A=",0)</f>
        <v>0</v>
      </c>
      <c r="DJ110" t="e">
        <f>AND(temp!A76,"AAAAAD9fu3E=")</f>
        <v>#VALUE!</v>
      </c>
      <c r="DK110" t="e">
        <f>AND(temp!B76,"AAAAAD9fu3I=")</f>
        <v>#VALUE!</v>
      </c>
      <c r="DL110" t="e">
        <f>AND(temp!C76,"AAAAAD9fu3M=")</f>
        <v>#VALUE!</v>
      </c>
      <c r="DM110" t="e">
        <f>AND(temp!D76,"AAAAAD9fu3Q=")</f>
        <v>#VALUE!</v>
      </c>
      <c r="DN110">
        <f>IF(temp!77:77,"AAAAAD9fu3U=",0)</f>
        <v>0</v>
      </c>
      <c r="DO110" t="e">
        <f>AND(temp!A77,"AAAAAD9fu3Y=")</f>
        <v>#VALUE!</v>
      </c>
      <c r="DP110" t="e">
        <f>AND(temp!B77,"AAAAAD9fu3c=")</f>
        <v>#VALUE!</v>
      </c>
      <c r="DQ110" t="e">
        <f>AND(temp!C77,"AAAAAD9fu3g=")</f>
        <v>#VALUE!</v>
      </c>
      <c r="DR110" t="e">
        <f>AND(temp!D77,"AAAAAD9fu3k=")</f>
        <v>#VALUE!</v>
      </c>
      <c r="DS110">
        <f>IF(temp!78:78,"AAAAAD9fu3o=",0)</f>
        <v>0</v>
      </c>
      <c r="DT110" t="e">
        <f>AND(temp!A78,"AAAAAD9fu3s=")</f>
        <v>#VALUE!</v>
      </c>
      <c r="DU110" t="e">
        <f>AND(temp!B78,"AAAAAD9fu3w=")</f>
        <v>#VALUE!</v>
      </c>
      <c r="DV110" t="e">
        <f>AND(temp!C78,"AAAAAD9fu30=")</f>
        <v>#VALUE!</v>
      </c>
      <c r="DW110" t="e">
        <f>AND(temp!D78,"AAAAAD9fu34=")</f>
        <v>#VALUE!</v>
      </c>
      <c r="DX110">
        <f>IF(temp!79:79,"AAAAAD9fu38=",0)</f>
        <v>0</v>
      </c>
      <c r="DY110" t="e">
        <f>AND(temp!A79,"AAAAAD9fu4A=")</f>
        <v>#VALUE!</v>
      </c>
      <c r="DZ110" t="e">
        <f>AND(temp!B79,"AAAAAD9fu4E=")</f>
        <v>#VALUE!</v>
      </c>
      <c r="EA110" t="e">
        <f>AND(temp!C79,"AAAAAD9fu4I=")</f>
        <v>#VALUE!</v>
      </c>
      <c r="EB110" t="e">
        <f>AND(temp!D79,"AAAAAD9fu4M=")</f>
        <v>#VALUE!</v>
      </c>
      <c r="EC110">
        <f>IF(temp!80:80,"AAAAAD9fu4Q=",0)</f>
        <v>0</v>
      </c>
      <c r="ED110" t="e">
        <f>AND(temp!A80,"AAAAAD9fu4U=")</f>
        <v>#VALUE!</v>
      </c>
      <c r="EE110" t="e">
        <f>AND(temp!B80,"AAAAAD9fu4Y=")</f>
        <v>#VALUE!</v>
      </c>
      <c r="EF110" t="e">
        <f>AND(temp!C80,"AAAAAD9fu4c=")</f>
        <v>#VALUE!</v>
      </c>
      <c r="EG110" t="e">
        <f>AND(temp!D80,"AAAAAD9fu4g=")</f>
        <v>#VALUE!</v>
      </c>
      <c r="EH110">
        <f>IF(temp!81:81,"AAAAAD9fu4k=",0)</f>
        <v>0</v>
      </c>
      <c r="EI110" t="e">
        <f>AND(temp!A81,"AAAAAD9fu4o=")</f>
        <v>#VALUE!</v>
      </c>
      <c r="EJ110" t="e">
        <f>AND(temp!B81,"AAAAAD9fu4s=")</f>
        <v>#VALUE!</v>
      </c>
      <c r="EK110" t="e">
        <f>AND(temp!C81,"AAAAAD9fu4w=")</f>
        <v>#VALUE!</v>
      </c>
      <c r="EL110" t="e">
        <f>AND(temp!D81,"AAAAAD9fu40=")</f>
        <v>#VALUE!</v>
      </c>
      <c r="EM110">
        <f>IF(temp!82:82,"AAAAAD9fu44=",0)</f>
        <v>0</v>
      </c>
      <c r="EN110" t="e">
        <f>AND(temp!A82,"AAAAAD9fu48=")</f>
        <v>#VALUE!</v>
      </c>
      <c r="EO110" t="e">
        <f>AND(temp!B82,"AAAAAD9fu5A=")</f>
        <v>#VALUE!</v>
      </c>
      <c r="EP110" t="e">
        <f>AND(temp!C82,"AAAAAD9fu5E=")</f>
        <v>#VALUE!</v>
      </c>
      <c r="EQ110" t="e">
        <f>AND(temp!D82,"AAAAAD9fu5I=")</f>
        <v>#VALUE!</v>
      </c>
      <c r="ER110">
        <f>IF(temp!83:83,"AAAAAD9fu5M=",0)</f>
        <v>0</v>
      </c>
      <c r="ES110" t="e">
        <f>AND(temp!A83,"AAAAAD9fu5Q=")</f>
        <v>#VALUE!</v>
      </c>
      <c r="ET110" t="e">
        <f>AND(temp!B83,"AAAAAD9fu5U=")</f>
        <v>#VALUE!</v>
      </c>
      <c r="EU110" t="e">
        <f>AND(temp!C83,"AAAAAD9fu5Y=")</f>
        <v>#VALUE!</v>
      </c>
      <c r="EV110" t="e">
        <f>AND(temp!D83,"AAAAAD9fu5c=")</f>
        <v>#VALUE!</v>
      </c>
      <c r="EW110">
        <f>IF(temp!84:84,"AAAAAD9fu5g=",0)</f>
        <v>0</v>
      </c>
      <c r="EX110" t="e">
        <f>AND(temp!A84,"AAAAAD9fu5k=")</f>
        <v>#VALUE!</v>
      </c>
      <c r="EY110" t="e">
        <f>AND(temp!B84,"AAAAAD9fu5o=")</f>
        <v>#VALUE!</v>
      </c>
      <c r="EZ110" t="e">
        <f>AND(temp!C84,"AAAAAD9fu5s=")</f>
        <v>#VALUE!</v>
      </c>
      <c r="FA110" t="e">
        <f>AND(temp!D84,"AAAAAD9fu5w=")</f>
        <v>#VALUE!</v>
      </c>
      <c r="FB110">
        <f>IF(temp!85:85,"AAAAAD9fu50=",0)</f>
        <v>0</v>
      </c>
      <c r="FC110" t="e">
        <f>AND(temp!A85,"AAAAAD9fu54=")</f>
        <v>#VALUE!</v>
      </c>
      <c r="FD110" t="e">
        <f>AND(temp!B85,"AAAAAD9fu58=")</f>
        <v>#VALUE!</v>
      </c>
      <c r="FE110" t="e">
        <f>AND(temp!C85,"AAAAAD9fu6A=")</f>
        <v>#VALUE!</v>
      </c>
      <c r="FF110" t="e">
        <f>AND(temp!D85,"AAAAAD9fu6E=")</f>
        <v>#VALUE!</v>
      </c>
      <c r="FG110">
        <f>IF(temp!86:86,"AAAAAD9fu6I=",0)</f>
        <v>0</v>
      </c>
      <c r="FH110" t="e">
        <f>AND(temp!A86,"AAAAAD9fu6M=")</f>
        <v>#VALUE!</v>
      </c>
      <c r="FI110" t="e">
        <f>AND(temp!B86,"AAAAAD9fu6Q=")</f>
        <v>#VALUE!</v>
      </c>
      <c r="FJ110" t="e">
        <f>AND(temp!C86,"AAAAAD9fu6U=")</f>
        <v>#VALUE!</v>
      </c>
      <c r="FK110" t="e">
        <f>AND(temp!D86,"AAAAAD9fu6Y=")</f>
        <v>#VALUE!</v>
      </c>
      <c r="FL110">
        <f>IF(temp!87:87,"AAAAAD9fu6c=",0)</f>
        <v>0</v>
      </c>
      <c r="FM110" t="e">
        <f>AND(temp!A87,"AAAAAD9fu6g=")</f>
        <v>#VALUE!</v>
      </c>
      <c r="FN110" t="e">
        <f>AND(temp!B87,"AAAAAD9fu6k=")</f>
        <v>#VALUE!</v>
      </c>
      <c r="FO110" t="e">
        <f>AND(temp!C87,"AAAAAD9fu6o=")</f>
        <v>#VALUE!</v>
      </c>
      <c r="FP110" t="e">
        <f>AND(temp!D87,"AAAAAD9fu6s=")</f>
        <v>#VALUE!</v>
      </c>
      <c r="FQ110">
        <f>IF(temp!88:88,"AAAAAD9fu6w=",0)</f>
        <v>0</v>
      </c>
      <c r="FR110" t="e">
        <f>AND(temp!A88,"AAAAAD9fu60=")</f>
        <v>#VALUE!</v>
      </c>
      <c r="FS110" t="e">
        <f>AND(temp!B88,"AAAAAD9fu64=")</f>
        <v>#VALUE!</v>
      </c>
      <c r="FT110" t="e">
        <f>AND(temp!C88,"AAAAAD9fu68=")</f>
        <v>#VALUE!</v>
      </c>
      <c r="FU110" t="e">
        <f>AND(temp!D88,"AAAAAD9fu7A=")</f>
        <v>#VALUE!</v>
      </c>
      <c r="FV110">
        <f>IF(temp!89:89,"AAAAAD9fu7E=",0)</f>
        <v>0</v>
      </c>
      <c r="FW110" t="e">
        <f>AND(temp!A89,"AAAAAD9fu7I=")</f>
        <v>#VALUE!</v>
      </c>
      <c r="FX110" t="e">
        <f>AND(temp!B89,"AAAAAD9fu7M=")</f>
        <v>#VALUE!</v>
      </c>
      <c r="FY110" t="e">
        <f>AND(temp!C89,"AAAAAD9fu7Q=")</f>
        <v>#VALUE!</v>
      </c>
      <c r="FZ110" t="e">
        <f>AND(temp!D89,"AAAAAD9fu7U=")</f>
        <v>#VALUE!</v>
      </c>
      <c r="GA110">
        <f>IF(temp!90:90,"AAAAAD9fu7Y=",0)</f>
        <v>0</v>
      </c>
      <c r="GB110" t="e">
        <f>AND(temp!A90,"AAAAAD9fu7c=")</f>
        <v>#VALUE!</v>
      </c>
      <c r="GC110" t="e">
        <f>AND(temp!B90,"AAAAAD9fu7g=")</f>
        <v>#VALUE!</v>
      </c>
      <c r="GD110" t="e">
        <f>AND(temp!C90,"AAAAAD9fu7k=")</f>
        <v>#VALUE!</v>
      </c>
      <c r="GE110" t="e">
        <f>AND(temp!D90,"AAAAAD9fu7o=")</f>
        <v>#VALUE!</v>
      </c>
      <c r="GF110">
        <f>IF(temp!91:91,"AAAAAD9fu7s=",0)</f>
        <v>0</v>
      </c>
      <c r="GG110" t="e">
        <f>AND(temp!A91,"AAAAAD9fu7w=")</f>
        <v>#VALUE!</v>
      </c>
      <c r="GH110" t="e">
        <f>AND(temp!B91,"AAAAAD9fu70=")</f>
        <v>#VALUE!</v>
      </c>
      <c r="GI110" t="e">
        <f>AND(temp!C91,"AAAAAD9fu74=")</f>
        <v>#VALUE!</v>
      </c>
      <c r="GJ110" t="e">
        <f>AND(temp!D91,"AAAAAD9fu78=")</f>
        <v>#VALUE!</v>
      </c>
      <c r="GK110">
        <f>IF(temp!92:92,"AAAAAD9fu8A=",0)</f>
        <v>0</v>
      </c>
      <c r="GL110" t="e">
        <f>AND(temp!A92,"AAAAAD9fu8E=")</f>
        <v>#VALUE!</v>
      </c>
      <c r="GM110" t="e">
        <f>AND(temp!B92,"AAAAAD9fu8I=")</f>
        <v>#VALUE!</v>
      </c>
      <c r="GN110" t="e">
        <f>AND(temp!C92,"AAAAAD9fu8M=")</f>
        <v>#VALUE!</v>
      </c>
      <c r="GO110" t="e">
        <f>AND(temp!D92,"AAAAAD9fu8Q=")</f>
        <v>#VALUE!</v>
      </c>
      <c r="GP110">
        <f>IF(temp!93:93,"AAAAAD9fu8U=",0)</f>
        <v>0</v>
      </c>
      <c r="GQ110" t="e">
        <f>AND(temp!A93,"AAAAAD9fu8Y=")</f>
        <v>#VALUE!</v>
      </c>
      <c r="GR110" t="e">
        <f>AND(temp!B93,"AAAAAD9fu8c=")</f>
        <v>#VALUE!</v>
      </c>
      <c r="GS110" t="e">
        <f>AND(temp!C93,"AAAAAD9fu8g=")</f>
        <v>#VALUE!</v>
      </c>
      <c r="GT110" t="e">
        <f>AND(temp!D93,"AAAAAD9fu8k=")</f>
        <v>#VALUE!</v>
      </c>
      <c r="GU110">
        <f>IF(temp!94:94,"AAAAAD9fu8o=",0)</f>
        <v>0</v>
      </c>
      <c r="GV110" t="e">
        <f>AND(temp!A94,"AAAAAD9fu8s=")</f>
        <v>#VALUE!</v>
      </c>
      <c r="GW110" t="e">
        <f>AND(temp!B94,"AAAAAD9fu8w=")</f>
        <v>#VALUE!</v>
      </c>
      <c r="GX110" t="e">
        <f>AND(temp!C94,"AAAAAD9fu80=")</f>
        <v>#VALUE!</v>
      </c>
      <c r="GY110" t="e">
        <f>AND(temp!D94,"AAAAAD9fu84=")</f>
        <v>#VALUE!</v>
      </c>
      <c r="GZ110">
        <f>IF(temp!95:95,"AAAAAD9fu88=",0)</f>
        <v>0</v>
      </c>
      <c r="HA110" t="e">
        <f>AND(temp!A95,"AAAAAD9fu9A=")</f>
        <v>#VALUE!</v>
      </c>
      <c r="HB110" t="e">
        <f>AND(temp!B95,"AAAAAD9fu9E=")</f>
        <v>#VALUE!</v>
      </c>
      <c r="HC110" t="e">
        <f>AND(temp!C95,"AAAAAD9fu9I=")</f>
        <v>#VALUE!</v>
      </c>
      <c r="HD110" t="e">
        <f>AND(temp!D95,"AAAAAD9fu9M=")</f>
        <v>#VALUE!</v>
      </c>
      <c r="HE110">
        <f>IF(temp!96:96,"AAAAAD9fu9Q=",0)</f>
        <v>0</v>
      </c>
      <c r="HF110" t="e">
        <f>AND(temp!A96,"AAAAAD9fu9U=")</f>
        <v>#VALUE!</v>
      </c>
      <c r="HG110" t="e">
        <f>AND(temp!B96,"AAAAAD9fu9Y=")</f>
        <v>#VALUE!</v>
      </c>
      <c r="HH110" t="e">
        <f>AND(temp!C96,"AAAAAD9fu9c=")</f>
        <v>#VALUE!</v>
      </c>
      <c r="HI110" t="e">
        <f>AND(temp!D96,"AAAAAD9fu9g=")</f>
        <v>#VALUE!</v>
      </c>
      <c r="HJ110">
        <f>IF(temp!97:97,"AAAAAD9fu9k=",0)</f>
        <v>0</v>
      </c>
      <c r="HK110" t="e">
        <f>AND(temp!A97,"AAAAAD9fu9o=")</f>
        <v>#VALUE!</v>
      </c>
      <c r="HL110" t="e">
        <f>AND(temp!B97,"AAAAAD9fu9s=")</f>
        <v>#VALUE!</v>
      </c>
      <c r="HM110" t="e">
        <f>AND(temp!C97,"AAAAAD9fu9w=")</f>
        <v>#VALUE!</v>
      </c>
      <c r="HN110" t="e">
        <f>AND(temp!D97,"AAAAAD9fu90=")</f>
        <v>#VALUE!</v>
      </c>
      <c r="HO110">
        <f>IF(temp!98:98,"AAAAAD9fu94=",0)</f>
        <v>0</v>
      </c>
      <c r="HP110" t="e">
        <f>AND(temp!A98,"AAAAAD9fu98=")</f>
        <v>#VALUE!</v>
      </c>
      <c r="HQ110" t="e">
        <f>AND(temp!B98,"AAAAAD9fu+A=")</f>
        <v>#VALUE!</v>
      </c>
      <c r="HR110" t="e">
        <f>AND(temp!C98,"AAAAAD9fu+E=")</f>
        <v>#VALUE!</v>
      </c>
      <c r="HS110" t="e">
        <f>AND(temp!D98,"AAAAAD9fu+I=")</f>
        <v>#VALUE!</v>
      </c>
      <c r="HT110">
        <f>IF(temp!99:99,"AAAAAD9fu+M=",0)</f>
        <v>0</v>
      </c>
      <c r="HU110" t="e">
        <f>AND(temp!A99,"AAAAAD9fu+Q=")</f>
        <v>#VALUE!</v>
      </c>
      <c r="HV110" t="e">
        <f>AND(temp!B99,"AAAAAD9fu+U=")</f>
        <v>#VALUE!</v>
      </c>
      <c r="HW110" t="e">
        <f>AND(temp!C99,"AAAAAD9fu+Y=")</f>
        <v>#VALUE!</v>
      </c>
      <c r="HX110" t="e">
        <f>AND(temp!D99,"AAAAAD9fu+c=")</f>
        <v>#VALUE!</v>
      </c>
      <c r="HY110">
        <f>IF(temp!100:100,"AAAAAD9fu+g=",0)</f>
        <v>0</v>
      </c>
      <c r="HZ110" t="e">
        <f>AND(temp!A100,"AAAAAD9fu+k=")</f>
        <v>#VALUE!</v>
      </c>
      <c r="IA110" t="e">
        <f>AND(temp!B100,"AAAAAD9fu+o=")</f>
        <v>#VALUE!</v>
      </c>
      <c r="IB110" t="e">
        <f>AND(temp!C100,"AAAAAD9fu+s=")</f>
        <v>#VALUE!</v>
      </c>
      <c r="IC110" t="e">
        <f>AND(temp!D100,"AAAAAD9fu+w=")</f>
        <v>#VALUE!</v>
      </c>
      <c r="ID110">
        <f>IF(temp!A:A,"AAAAAD9fu+0=",0)</f>
        <v>0</v>
      </c>
      <c r="IE110">
        <f>IF(temp!B:B,"AAAAAD9fu+4=",0)</f>
        <v>0</v>
      </c>
      <c r="IF110">
        <f>IF(temp!C:C,"AAAAAD9fu+8=",0)</f>
        <v>0</v>
      </c>
      <c r="IG110">
        <f>IF(temp!D:D,"AAAAAD9fu/A=",0)</f>
        <v>0</v>
      </c>
      <c r="IH110">
        <f>IF(List!1:1,"AAAAAD9fu/E=",0)</f>
        <v>0</v>
      </c>
      <c r="II110" t="e">
        <f>AND(List!A1,"AAAAAD9fu/I=")</f>
        <v>#VALUE!</v>
      </c>
      <c r="IJ110" t="e">
        <f>AND(List!B1,"AAAAAD9fu/M=")</f>
        <v>#VALUE!</v>
      </c>
      <c r="IK110" t="e">
        <f>AND(List!C1,"AAAAAD9fu/Q=")</f>
        <v>#VALUE!</v>
      </c>
      <c r="IL110" t="e">
        <f>AND(List!D1,"AAAAAD9fu/U=")</f>
        <v>#VALUE!</v>
      </c>
      <c r="IM110" t="e">
        <f>AND(List!#REF!,"AAAAAD9fu/Y=")</f>
        <v>#REF!</v>
      </c>
      <c r="IN110" t="e">
        <f>AND(List!#REF!,"AAAAAD9fu/c=")</f>
        <v>#REF!</v>
      </c>
      <c r="IO110" t="e">
        <f>AND(List!#REF!,"AAAAAD9fu/g=")</f>
        <v>#REF!</v>
      </c>
      <c r="IP110" t="e">
        <f>AND(List!#REF!,"AAAAAD9fu/k=")</f>
        <v>#REF!</v>
      </c>
      <c r="IQ110" t="e">
        <f>IF(List!#REF!,"AAAAAD9fu/o=",0)</f>
        <v>#REF!</v>
      </c>
      <c r="IR110" t="e">
        <f>AND(List!#REF!,"AAAAAD9fu/s=")</f>
        <v>#REF!</v>
      </c>
      <c r="IS110" t="e">
        <f>AND(List!#REF!,"AAAAAD9fu/w=")</f>
        <v>#REF!</v>
      </c>
      <c r="IT110" t="e">
        <f>AND(List!#REF!,"AAAAAD9fu/0=")</f>
        <v>#REF!</v>
      </c>
      <c r="IU110" t="e">
        <f>AND(List!#REF!,"AAAAAD9fu/4=")</f>
        <v>#REF!</v>
      </c>
      <c r="IV110" t="e">
        <f>AND(List!#REF!,"AAAAAD9fu/8=")</f>
        <v>#REF!</v>
      </c>
    </row>
    <row r="111" spans="1:256" x14ac:dyDescent="0.15">
      <c r="A111" t="e">
        <f>AND(List!#REF!,"AAAAAH+7/gA=")</f>
        <v>#REF!</v>
      </c>
      <c r="B111" t="e">
        <f>AND(List!#REF!,"AAAAAH+7/gE=")</f>
        <v>#REF!</v>
      </c>
      <c r="C111" t="e">
        <f>AND(List!#REF!,"AAAAAH+7/gI=")</f>
        <v>#REF!</v>
      </c>
      <c r="D111" t="e">
        <f>IF(List!#REF!,"AAAAAH+7/gM=",0)</f>
        <v>#REF!</v>
      </c>
      <c r="E111" t="e">
        <f>AND(List!#REF!,"AAAAAH+7/gQ=")</f>
        <v>#REF!</v>
      </c>
      <c r="F111" t="e">
        <f>AND(List!#REF!,"AAAAAH+7/gU=")</f>
        <v>#REF!</v>
      </c>
      <c r="G111" t="e">
        <f>AND(List!#REF!,"AAAAAH+7/gY=")</f>
        <v>#REF!</v>
      </c>
      <c r="H111" t="e">
        <f>AND(List!#REF!,"AAAAAH+7/gc=")</f>
        <v>#REF!</v>
      </c>
      <c r="I111" t="e">
        <f>AND(List!#REF!,"AAAAAH+7/gg=")</f>
        <v>#REF!</v>
      </c>
      <c r="J111" t="e">
        <f>AND(List!#REF!,"AAAAAH+7/gk=")</f>
        <v>#REF!</v>
      </c>
      <c r="K111" t="e">
        <f>AND(List!#REF!,"AAAAAH+7/go=")</f>
        <v>#REF!</v>
      </c>
      <c r="L111" t="e">
        <f>AND(List!#REF!,"AAAAAH+7/gs=")</f>
        <v>#REF!</v>
      </c>
      <c r="M111" t="e">
        <f>IF(List!#REF!,"AAAAAH+7/gw=",0)</f>
        <v>#REF!</v>
      </c>
      <c r="N111" t="e">
        <f>AND(List!#REF!,"AAAAAH+7/g0=")</f>
        <v>#REF!</v>
      </c>
      <c r="O111" t="e">
        <f>AND(List!#REF!,"AAAAAH+7/g4=")</f>
        <v>#REF!</v>
      </c>
      <c r="P111" t="e">
        <f>AND(List!#REF!,"AAAAAH+7/g8=")</f>
        <v>#REF!</v>
      </c>
      <c r="Q111" t="e">
        <f>AND(List!#REF!,"AAAAAH+7/hA=")</f>
        <v>#REF!</v>
      </c>
      <c r="R111" t="e">
        <f>AND(List!#REF!,"AAAAAH+7/hE=")</f>
        <v>#REF!</v>
      </c>
      <c r="S111" t="e">
        <f>AND(List!#REF!,"AAAAAH+7/hI=")</f>
        <v>#REF!</v>
      </c>
      <c r="T111" t="e">
        <f>AND(List!#REF!,"AAAAAH+7/hM=")</f>
        <v>#REF!</v>
      </c>
      <c r="U111" t="e">
        <f>AND(List!#REF!,"AAAAAH+7/hQ=")</f>
        <v>#REF!</v>
      </c>
      <c r="V111" t="e">
        <f>IF(List!#REF!,"AAAAAH+7/hU=",0)</f>
        <v>#REF!</v>
      </c>
      <c r="W111" t="e">
        <f>AND(List!#REF!,"AAAAAH+7/hY=")</f>
        <v>#REF!</v>
      </c>
      <c r="X111" t="e">
        <f>AND(List!#REF!,"AAAAAH+7/hc=")</f>
        <v>#REF!</v>
      </c>
      <c r="Y111" t="e">
        <f>AND(List!#REF!,"AAAAAH+7/hg=")</f>
        <v>#REF!</v>
      </c>
      <c r="Z111" t="e">
        <f>AND(List!#REF!,"AAAAAH+7/hk=")</f>
        <v>#REF!</v>
      </c>
      <c r="AA111" t="e">
        <f>AND(List!#REF!,"AAAAAH+7/ho=")</f>
        <v>#REF!</v>
      </c>
      <c r="AB111" t="e">
        <f>AND(List!#REF!,"AAAAAH+7/hs=")</f>
        <v>#REF!</v>
      </c>
      <c r="AC111" t="e">
        <f>AND(List!#REF!,"AAAAAH+7/hw=")</f>
        <v>#REF!</v>
      </c>
      <c r="AD111" t="e">
        <f>AND(List!#REF!,"AAAAAH+7/h0=")</f>
        <v>#REF!</v>
      </c>
      <c r="AE111" t="e">
        <f>IF(List!#REF!,"AAAAAH+7/h4=",0)</f>
        <v>#REF!</v>
      </c>
      <c r="AF111" t="e">
        <f>AND(List!#REF!,"AAAAAH+7/h8=")</f>
        <v>#REF!</v>
      </c>
      <c r="AG111" t="e">
        <f>AND(List!#REF!,"AAAAAH+7/iA=")</f>
        <v>#REF!</v>
      </c>
      <c r="AH111" t="e">
        <f>AND(List!#REF!,"AAAAAH+7/iE=")</f>
        <v>#REF!</v>
      </c>
      <c r="AI111" t="e">
        <f>AND(List!#REF!,"AAAAAH+7/iI=")</f>
        <v>#REF!</v>
      </c>
      <c r="AJ111" t="e">
        <f>AND(List!#REF!,"AAAAAH+7/iM=")</f>
        <v>#REF!</v>
      </c>
      <c r="AK111" t="e">
        <f>AND(List!#REF!,"AAAAAH+7/iQ=")</f>
        <v>#REF!</v>
      </c>
      <c r="AL111" t="e">
        <f>AND(List!#REF!,"AAAAAH+7/iU=")</f>
        <v>#REF!</v>
      </c>
      <c r="AM111" t="e">
        <f>AND(List!#REF!,"AAAAAH+7/iY=")</f>
        <v>#REF!</v>
      </c>
      <c r="AN111" t="e">
        <f>IF(List!#REF!,"AAAAAH+7/ic=",0)</f>
        <v>#REF!</v>
      </c>
      <c r="AO111" t="e">
        <f>AND(List!#REF!,"AAAAAH+7/ig=")</f>
        <v>#REF!</v>
      </c>
      <c r="AP111" t="e">
        <f>AND(List!#REF!,"AAAAAH+7/ik=")</f>
        <v>#REF!</v>
      </c>
      <c r="AQ111" t="e">
        <f>AND(List!#REF!,"AAAAAH+7/io=")</f>
        <v>#REF!</v>
      </c>
      <c r="AR111" t="e">
        <f>AND(List!#REF!,"AAAAAH+7/is=")</f>
        <v>#REF!</v>
      </c>
      <c r="AS111" t="e">
        <f>AND(List!#REF!,"AAAAAH+7/iw=")</f>
        <v>#REF!</v>
      </c>
      <c r="AT111" t="e">
        <f>AND(List!#REF!,"AAAAAH+7/i0=")</f>
        <v>#REF!</v>
      </c>
      <c r="AU111" t="e">
        <f>AND(List!#REF!,"AAAAAH+7/i4=")</f>
        <v>#REF!</v>
      </c>
      <c r="AV111" t="e">
        <f>AND(List!#REF!,"AAAAAH+7/i8=")</f>
        <v>#REF!</v>
      </c>
      <c r="AW111" t="e">
        <f>IF(List!#REF!,"AAAAAH+7/jA=",0)</f>
        <v>#REF!</v>
      </c>
      <c r="AX111" t="e">
        <f>AND(List!#REF!,"AAAAAH+7/jE=")</f>
        <v>#REF!</v>
      </c>
      <c r="AY111" t="e">
        <f>AND(List!#REF!,"AAAAAH+7/jI=")</f>
        <v>#REF!</v>
      </c>
      <c r="AZ111" t="e">
        <f>AND(List!#REF!,"AAAAAH+7/jM=")</f>
        <v>#REF!</v>
      </c>
      <c r="BA111" t="e">
        <f>AND(List!#REF!,"AAAAAH+7/jQ=")</f>
        <v>#REF!</v>
      </c>
      <c r="BB111" t="e">
        <f>AND(List!#REF!,"AAAAAH+7/jU=")</f>
        <v>#REF!</v>
      </c>
      <c r="BC111" t="e">
        <f>AND(List!#REF!,"AAAAAH+7/jY=")</f>
        <v>#REF!</v>
      </c>
      <c r="BD111" t="e">
        <f>AND(List!#REF!,"AAAAAH+7/jc=")</f>
        <v>#REF!</v>
      </c>
      <c r="BE111" t="e">
        <f>AND(List!#REF!,"AAAAAH+7/jg=")</f>
        <v>#REF!</v>
      </c>
      <c r="BF111" t="e">
        <f>IF(List!#REF!,"AAAAAH+7/jk=",0)</f>
        <v>#REF!</v>
      </c>
      <c r="BG111" t="e">
        <f>AND(List!#REF!,"AAAAAH+7/jo=")</f>
        <v>#REF!</v>
      </c>
      <c r="BH111" t="e">
        <f>AND(List!#REF!,"AAAAAH+7/js=")</f>
        <v>#REF!</v>
      </c>
      <c r="BI111" t="e">
        <f>AND(List!#REF!,"AAAAAH+7/jw=")</f>
        <v>#REF!</v>
      </c>
      <c r="BJ111" t="e">
        <f>AND(List!#REF!,"AAAAAH+7/j0=")</f>
        <v>#REF!</v>
      </c>
      <c r="BK111" t="e">
        <f>AND(List!#REF!,"AAAAAH+7/j4=")</f>
        <v>#REF!</v>
      </c>
      <c r="BL111" t="e">
        <f>AND(List!#REF!,"AAAAAH+7/j8=")</f>
        <v>#REF!</v>
      </c>
      <c r="BM111" t="e">
        <f>AND(List!#REF!,"AAAAAH+7/kA=")</f>
        <v>#REF!</v>
      </c>
      <c r="BN111" t="e">
        <f>AND(List!#REF!,"AAAAAH+7/kE=")</f>
        <v>#REF!</v>
      </c>
      <c r="BO111" t="e">
        <f>IF(List!#REF!,"AAAAAH+7/kI=",0)</f>
        <v>#REF!</v>
      </c>
      <c r="BP111" t="e">
        <f>AND(List!#REF!,"AAAAAH+7/kM=")</f>
        <v>#REF!</v>
      </c>
      <c r="BQ111" t="e">
        <f>AND(List!#REF!,"AAAAAH+7/kQ=")</f>
        <v>#REF!</v>
      </c>
      <c r="BR111" t="e">
        <f>AND(List!#REF!,"AAAAAH+7/kU=")</f>
        <v>#REF!</v>
      </c>
      <c r="BS111" t="e">
        <f>AND(List!#REF!,"AAAAAH+7/kY=")</f>
        <v>#REF!</v>
      </c>
      <c r="BT111" t="e">
        <f>AND(List!#REF!,"AAAAAH+7/kc=")</f>
        <v>#REF!</v>
      </c>
      <c r="BU111" t="e">
        <f>AND(List!#REF!,"AAAAAH+7/kg=")</f>
        <v>#REF!</v>
      </c>
      <c r="BV111" t="e">
        <f>AND(List!#REF!,"AAAAAH+7/kk=")</f>
        <v>#REF!</v>
      </c>
      <c r="BW111" t="e">
        <f>AND(List!#REF!,"AAAAAH+7/ko=")</f>
        <v>#REF!</v>
      </c>
      <c r="BX111" t="e">
        <f>IF(List!#REF!,"AAAAAH+7/ks=",0)</f>
        <v>#REF!</v>
      </c>
      <c r="BY111" t="e">
        <f>AND(List!#REF!,"AAAAAH+7/kw=")</f>
        <v>#REF!</v>
      </c>
      <c r="BZ111" t="e">
        <f>AND(List!#REF!,"AAAAAH+7/k0=")</f>
        <v>#REF!</v>
      </c>
      <c r="CA111" t="e">
        <f>AND(List!#REF!,"AAAAAH+7/k4=")</f>
        <v>#REF!</v>
      </c>
      <c r="CB111" t="e">
        <f>AND(List!#REF!,"AAAAAH+7/k8=")</f>
        <v>#REF!</v>
      </c>
      <c r="CC111" t="e">
        <f>AND(List!#REF!,"AAAAAH+7/lA=")</f>
        <v>#REF!</v>
      </c>
      <c r="CD111" t="e">
        <f>AND(List!#REF!,"AAAAAH+7/lE=")</f>
        <v>#REF!</v>
      </c>
      <c r="CE111" t="e">
        <f>AND(List!#REF!,"AAAAAH+7/lI=")</f>
        <v>#REF!</v>
      </c>
      <c r="CF111" t="e">
        <f>AND(List!#REF!,"AAAAAH+7/lM=")</f>
        <v>#REF!</v>
      </c>
      <c r="CG111" t="e">
        <f>IF(List!#REF!,"AAAAAH+7/lQ=",0)</f>
        <v>#REF!</v>
      </c>
      <c r="CH111" t="e">
        <f>AND(List!#REF!,"AAAAAH+7/lU=")</f>
        <v>#REF!</v>
      </c>
      <c r="CI111" t="e">
        <f>AND(List!#REF!,"AAAAAH+7/lY=")</f>
        <v>#REF!</v>
      </c>
      <c r="CJ111" t="e">
        <f>AND(List!#REF!,"AAAAAH+7/lc=")</f>
        <v>#REF!</v>
      </c>
      <c r="CK111" t="e">
        <f>AND(List!#REF!,"AAAAAH+7/lg=")</f>
        <v>#REF!</v>
      </c>
      <c r="CL111" t="e">
        <f>AND(List!#REF!,"AAAAAH+7/lk=")</f>
        <v>#REF!</v>
      </c>
      <c r="CM111" t="e">
        <f>AND(List!#REF!,"AAAAAH+7/lo=")</f>
        <v>#REF!</v>
      </c>
      <c r="CN111" t="e">
        <f>AND(List!#REF!,"AAAAAH+7/ls=")</f>
        <v>#REF!</v>
      </c>
      <c r="CO111" t="e">
        <f>AND(List!#REF!,"AAAAAH+7/lw=")</f>
        <v>#REF!</v>
      </c>
      <c r="CP111" t="e">
        <f>IF(List!#REF!,"AAAAAH+7/l0=",0)</f>
        <v>#REF!</v>
      </c>
      <c r="CQ111" t="e">
        <f>AND(List!#REF!,"AAAAAH+7/l4=")</f>
        <v>#REF!</v>
      </c>
      <c r="CR111" t="e">
        <f>AND(List!#REF!,"AAAAAH+7/l8=")</f>
        <v>#REF!</v>
      </c>
      <c r="CS111" t="e">
        <f>AND(List!#REF!,"AAAAAH+7/mA=")</f>
        <v>#REF!</v>
      </c>
      <c r="CT111" t="e">
        <f>AND(List!#REF!,"AAAAAH+7/mE=")</f>
        <v>#REF!</v>
      </c>
      <c r="CU111" t="e">
        <f>AND(List!#REF!,"AAAAAH+7/mI=")</f>
        <v>#REF!</v>
      </c>
      <c r="CV111" t="e">
        <f>AND(List!#REF!,"AAAAAH+7/mM=")</f>
        <v>#REF!</v>
      </c>
      <c r="CW111" t="e">
        <f>AND(List!#REF!,"AAAAAH+7/mQ=")</f>
        <v>#REF!</v>
      </c>
      <c r="CX111" t="e">
        <f>AND(List!#REF!,"AAAAAH+7/mU=")</f>
        <v>#REF!</v>
      </c>
      <c r="CY111" t="e">
        <f>IF(List!#REF!,"AAAAAH+7/mY=",0)</f>
        <v>#REF!</v>
      </c>
      <c r="CZ111" t="e">
        <f>AND(List!#REF!,"AAAAAH+7/mc=")</f>
        <v>#REF!</v>
      </c>
      <c r="DA111" t="e">
        <f>AND(List!#REF!,"AAAAAH+7/mg=")</f>
        <v>#REF!</v>
      </c>
      <c r="DB111" t="e">
        <f>AND(List!#REF!,"AAAAAH+7/mk=")</f>
        <v>#REF!</v>
      </c>
      <c r="DC111" t="e">
        <f>AND(List!#REF!,"AAAAAH+7/mo=")</f>
        <v>#REF!</v>
      </c>
      <c r="DD111" t="e">
        <f>AND(List!#REF!,"AAAAAH+7/ms=")</f>
        <v>#REF!</v>
      </c>
      <c r="DE111" t="e">
        <f>AND(List!#REF!,"AAAAAH+7/mw=")</f>
        <v>#REF!</v>
      </c>
      <c r="DF111" t="e">
        <f>AND(List!#REF!,"AAAAAH+7/m0=")</f>
        <v>#REF!</v>
      </c>
      <c r="DG111" t="e">
        <f>AND(List!#REF!,"AAAAAH+7/m4=")</f>
        <v>#REF!</v>
      </c>
      <c r="DH111" t="e">
        <f>IF(List!#REF!,"AAAAAH+7/m8=",0)</f>
        <v>#REF!</v>
      </c>
      <c r="DI111" t="e">
        <f>AND(List!#REF!,"AAAAAH+7/nA=")</f>
        <v>#REF!</v>
      </c>
      <c r="DJ111" t="e">
        <f>AND(List!#REF!,"AAAAAH+7/nE=")</f>
        <v>#REF!</v>
      </c>
      <c r="DK111" t="e">
        <f>AND(List!#REF!,"AAAAAH+7/nI=")</f>
        <v>#REF!</v>
      </c>
      <c r="DL111" t="e">
        <f>AND(List!#REF!,"AAAAAH+7/nM=")</f>
        <v>#REF!</v>
      </c>
      <c r="DM111" t="e">
        <f>AND(List!#REF!,"AAAAAH+7/nQ=")</f>
        <v>#REF!</v>
      </c>
      <c r="DN111" t="e">
        <f>AND(List!#REF!,"AAAAAH+7/nU=")</f>
        <v>#REF!</v>
      </c>
      <c r="DO111" t="e">
        <f>AND(List!#REF!,"AAAAAH+7/nY=")</f>
        <v>#REF!</v>
      </c>
      <c r="DP111" t="e">
        <f>AND(List!#REF!,"AAAAAH+7/nc=")</f>
        <v>#REF!</v>
      </c>
      <c r="DQ111" t="e">
        <f>IF(List!#REF!,"AAAAAH+7/ng=",0)</f>
        <v>#REF!</v>
      </c>
      <c r="DR111" t="e">
        <f>AND(List!#REF!,"AAAAAH+7/nk=")</f>
        <v>#REF!</v>
      </c>
      <c r="DS111" t="e">
        <f>AND(List!#REF!,"AAAAAH+7/no=")</f>
        <v>#REF!</v>
      </c>
      <c r="DT111" t="e">
        <f>AND(List!#REF!,"AAAAAH+7/ns=")</f>
        <v>#REF!</v>
      </c>
      <c r="DU111" t="e">
        <f>AND(List!#REF!,"AAAAAH+7/nw=")</f>
        <v>#REF!</v>
      </c>
      <c r="DV111" t="e">
        <f>AND(List!#REF!,"AAAAAH+7/n0=")</f>
        <v>#REF!</v>
      </c>
      <c r="DW111" t="e">
        <f>AND(List!#REF!,"AAAAAH+7/n4=")</f>
        <v>#REF!</v>
      </c>
      <c r="DX111" t="e">
        <f>AND(List!#REF!,"AAAAAH+7/n8=")</f>
        <v>#REF!</v>
      </c>
      <c r="DY111" t="e">
        <f>AND(List!#REF!,"AAAAAH+7/oA=")</f>
        <v>#REF!</v>
      </c>
      <c r="DZ111" t="e">
        <f>IF(List!#REF!,"AAAAAH+7/oE=",0)</f>
        <v>#REF!</v>
      </c>
      <c r="EA111" t="e">
        <f>AND(List!#REF!,"AAAAAH+7/oI=")</f>
        <v>#REF!</v>
      </c>
      <c r="EB111" t="e">
        <f>AND(List!#REF!,"AAAAAH+7/oM=")</f>
        <v>#REF!</v>
      </c>
      <c r="EC111" t="e">
        <f>AND(List!#REF!,"AAAAAH+7/oQ=")</f>
        <v>#REF!</v>
      </c>
      <c r="ED111" t="e">
        <f>AND(List!#REF!,"AAAAAH+7/oU=")</f>
        <v>#REF!</v>
      </c>
      <c r="EE111" t="e">
        <f>AND(List!#REF!,"AAAAAH+7/oY=")</f>
        <v>#REF!</v>
      </c>
      <c r="EF111" t="e">
        <f>AND(List!#REF!,"AAAAAH+7/oc=")</f>
        <v>#REF!</v>
      </c>
      <c r="EG111" t="e">
        <f>AND(List!#REF!,"AAAAAH+7/og=")</f>
        <v>#REF!</v>
      </c>
      <c r="EH111" t="e">
        <f>AND(List!#REF!,"AAAAAH+7/ok=")</f>
        <v>#REF!</v>
      </c>
      <c r="EI111" t="e">
        <f>IF(List!#REF!,"AAAAAH+7/oo=",0)</f>
        <v>#REF!</v>
      </c>
      <c r="EJ111" t="e">
        <f>AND(List!#REF!,"AAAAAH+7/os=")</f>
        <v>#REF!</v>
      </c>
      <c r="EK111" t="e">
        <f>AND(List!#REF!,"AAAAAH+7/ow=")</f>
        <v>#REF!</v>
      </c>
      <c r="EL111" t="e">
        <f>AND(List!#REF!,"AAAAAH+7/o0=")</f>
        <v>#REF!</v>
      </c>
      <c r="EM111" t="e">
        <f>AND(List!#REF!,"AAAAAH+7/o4=")</f>
        <v>#REF!</v>
      </c>
      <c r="EN111" t="e">
        <f>AND(List!#REF!,"AAAAAH+7/o8=")</f>
        <v>#REF!</v>
      </c>
      <c r="EO111" t="e">
        <f>AND(List!#REF!,"AAAAAH+7/pA=")</f>
        <v>#REF!</v>
      </c>
      <c r="EP111" t="e">
        <f>AND(List!#REF!,"AAAAAH+7/pE=")</f>
        <v>#REF!</v>
      </c>
      <c r="EQ111" t="e">
        <f>AND(List!#REF!,"AAAAAH+7/pI=")</f>
        <v>#REF!</v>
      </c>
      <c r="ER111" t="e">
        <f>IF(List!#REF!,"AAAAAH+7/pM=",0)</f>
        <v>#REF!</v>
      </c>
      <c r="ES111" t="e">
        <f>AND(List!#REF!,"AAAAAH+7/pQ=")</f>
        <v>#REF!</v>
      </c>
      <c r="ET111" t="e">
        <f>AND(List!#REF!,"AAAAAH+7/pU=")</f>
        <v>#REF!</v>
      </c>
      <c r="EU111" t="e">
        <f>AND(List!#REF!,"AAAAAH+7/pY=")</f>
        <v>#REF!</v>
      </c>
      <c r="EV111" t="e">
        <f>AND(List!#REF!,"AAAAAH+7/pc=")</f>
        <v>#REF!</v>
      </c>
      <c r="EW111" t="e">
        <f>AND(List!#REF!,"AAAAAH+7/pg=")</f>
        <v>#REF!</v>
      </c>
      <c r="EX111" t="e">
        <f>AND(List!#REF!,"AAAAAH+7/pk=")</f>
        <v>#REF!</v>
      </c>
      <c r="EY111" t="e">
        <f>AND(List!#REF!,"AAAAAH+7/po=")</f>
        <v>#REF!</v>
      </c>
      <c r="EZ111" t="e">
        <f>AND(List!#REF!,"AAAAAH+7/ps=")</f>
        <v>#REF!</v>
      </c>
      <c r="FA111" t="e">
        <f>IF(List!#REF!,"AAAAAH+7/pw=",0)</f>
        <v>#REF!</v>
      </c>
      <c r="FB111" t="e">
        <f>AND(List!#REF!,"AAAAAH+7/p0=")</f>
        <v>#REF!</v>
      </c>
      <c r="FC111" t="e">
        <f>AND(List!#REF!,"AAAAAH+7/p4=")</f>
        <v>#REF!</v>
      </c>
      <c r="FD111" t="e">
        <f>AND(List!#REF!,"AAAAAH+7/p8=")</f>
        <v>#REF!</v>
      </c>
      <c r="FE111" t="e">
        <f>AND(List!#REF!,"AAAAAH+7/qA=")</f>
        <v>#REF!</v>
      </c>
      <c r="FF111" t="e">
        <f>AND(List!#REF!,"AAAAAH+7/qE=")</f>
        <v>#REF!</v>
      </c>
      <c r="FG111" t="e">
        <f>AND(List!#REF!,"AAAAAH+7/qI=")</f>
        <v>#REF!</v>
      </c>
      <c r="FH111" t="e">
        <f>AND(List!#REF!,"AAAAAH+7/qM=")</f>
        <v>#REF!</v>
      </c>
      <c r="FI111" t="e">
        <f>AND(List!#REF!,"AAAAAH+7/qQ=")</f>
        <v>#REF!</v>
      </c>
      <c r="FJ111" t="e">
        <f>IF(List!#REF!,"AAAAAH+7/qU=",0)</f>
        <v>#REF!</v>
      </c>
      <c r="FK111" t="e">
        <f>AND(List!#REF!,"AAAAAH+7/qY=")</f>
        <v>#REF!</v>
      </c>
      <c r="FL111" t="e">
        <f>AND(List!#REF!,"AAAAAH+7/qc=")</f>
        <v>#REF!</v>
      </c>
      <c r="FM111" t="e">
        <f>AND(List!#REF!,"AAAAAH+7/qg=")</f>
        <v>#REF!</v>
      </c>
      <c r="FN111" t="e">
        <f>IF(List!#REF!,"AAAAAH+7/qk=",0)</f>
        <v>#REF!</v>
      </c>
      <c r="FO111" t="e">
        <f>AND(List!#REF!,"AAAAAH+7/qo=")</f>
        <v>#REF!</v>
      </c>
      <c r="FP111" t="e">
        <f>AND(List!#REF!,"AAAAAH+7/qs=")</f>
        <v>#REF!</v>
      </c>
      <c r="FQ111" t="e">
        <f>AND(List!#REF!,"AAAAAH+7/qw=")</f>
        <v>#REF!</v>
      </c>
      <c r="FR111" t="e">
        <f>IF(List!#REF!,"AAAAAH+7/q0=",0)</f>
        <v>#REF!</v>
      </c>
      <c r="FS111" t="e">
        <f>AND(List!#REF!,"AAAAAH+7/q4=")</f>
        <v>#REF!</v>
      </c>
      <c r="FT111" t="e">
        <f>AND(List!#REF!,"AAAAAH+7/q8=")</f>
        <v>#REF!</v>
      </c>
      <c r="FU111" t="e">
        <f>AND(List!#REF!,"AAAAAH+7/rA=")</f>
        <v>#REF!</v>
      </c>
      <c r="FV111" t="e">
        <f>IF(List!#REF!,"AAAAAH+7/rE=",0)</f>
        <v>#REF!</v>
      </c>
      <c r="FW111" t="e">
        <f>AND(List!#REF!,"AAAAAH+7/rI=")</f>
        <v>#REF!</v>
      </c>
      <c r="FX111" t="e">
        <f>AND(List!#REF!,"AAAAAH+7/rM=")</f>
        <v>#REF!</v>
      </c>
      <c r="FY111" t="e">
        <f>AND(List!#REF!,"AAAAAH+7/rQ=")</f>
        <v>#REF!</v>
      </c>
      <c r="FZ111" t="e">
        <f>IF(List!#REF!,"AAAAAH+7/rU=",0)</f>
        <v>#REF!</v>
      </c>
      <c r="GA111" t="e">
        <f>AND(List!#REF!,"AAAAAH+7/rY=")</f>
        <v>#REF!</v>
      </c>
      <c r="GB111" t="e">
        <f>AND(List!#REF!,"AAAAAH+7/rc=")</f>
        <v>#REF!</v>
      </c>
      <c r="GC111" t="e">
        <f>AND(List!#REF!,"AAAAAH+7/rg=")</f>
        <v>#REF!</v>
      </c>
      <c r="GD111" t="e">
        <f>IF(List!#REF!,"AAAAAH+7/rk=",0)</f>
        <v>#REF!</v>
      </c>
      <c r="GE111" t="e">
        <f>AND(List!#REF!,"AAAAAH+7/ro=")</f>
        <v>#REF!</v>
      </c>
      <c r="GF111" t="e">
        <f>AND(List!#REF!,"AAAAAH+7/rs=")</f>
        <v>#REF!</v>
      </c>
      <c r="GG111" t="e">
        <f>AND(List!#REF!,"AAAAAH+7/rw=")</f>
        <v>#REF!</v>
      </c>
      <c r="GH111" t="e">
        <f>IF(List!#REF!,"AAAAAH+7/r0=",0)</f>
        <v>#REF!</v>
      </c>
      <c r="GI111" t="e">
        <f>AND(List!#REF!,"AAAAAH+7/r4=")</f>
        <v>#REF!</v>
      </c>
      <c r="GJ111" t="e">
        <f>AND(List!#REF!,"AAAAAH+7/r8=")</f>
        <v>#REF!</v>
      </c>
      <c r="GK111" t="e">
        <f>AND(List!#REF!,"AAAAAH+7/sA=")</f>
        <v>#REF!</v>
      </c>
      <c r="GL111" t="e">
        <f>IF(List!#REF!,"AAAAAH+7/sE=",0)</f>
        <v>#REF!</v>
      </c>
      <c r="GM111" t="e">
        <f>AND(List!#REF!,"AAAAAH+7/sI=")</f>
        <v>#REF!</v>
      </c>
      <c r="GN111" t="e">
        <f>AND(List!#REF!,"AAAAAH+7/sM=")</f>
        <v>#REF!</v>
      </c>
      <c r="GO111" t="e">
        <f>AND(List!#REF!,"AAAAAH+7/sQ=")</f>
        <v>#REF!</v>
      </c>
      <c r="GP111" t="e">
        <f>IF(List!#REF!,"AAAAAH+7/sU=",0)</f>
        <v>#REF!</v>
      </c>
      <c r="GQ111" t="e">
        <f>AND(List!#REF!,"AAAAAH+7/sY=")</f>
        <v>#REF!</v>
      </c>
      <c r="GR111" t="e">
        <f>AND(List!#REF!,"AAAAAH+7/sc=")</f>
        <v>#REF!</v>
      </c>
      <c r="GS111" t="e">
        <f>AND(List!#REF!,"AAAAAH+7/sg=")</f>
        <v>#REF!</v>
      </c>
      <c r="GT111" t="e">
        <f>IF(List!#REF!,"AAAAAH+7/sk=",0)</f>
        <v>#REF!</v>
      </c>
      <c r="GU111" t="e">
        <f>AND(List!#REF!,"AAAAAH+7/so=")</f>
        <v>#REF!</v>
      </c>
      <c r="GV111" t="e">
        <f>AND(List!#REF!,"AAAAAH+7/ss=")</f>
        <v>#REF!</v>
      </c>
      <c r="GW111" t="e">
        <f>AND(List!#REF!,"AAAAAH+7/sw=")</f>
        <v>#REF!</v>
      </c>
      <c r="GX111" t="e">
        <f>IF(List!#REF!,"AAAAAH+7/s0=",0)</f>
        <v>#REF!</v>
      </c>
      <c r="GY111" t="e">
        <f>AND(List!#REF!,"AAAAAH+7/s4=")</f>
        <v>#REF!</v>
      </c>
      <c r="GZ111" t="e">
        <f>AND(List!#REF!,"AAAAAH+7/s8=")</f>
        <v>#REF!</v>
      </c>
      <c r="HA111" t="e">
        <f>AND(List!#REF!,"AAAAAH+7/tA=")</f>
        <v>#REF!</v>
      </c>
      <c r="HB111" t="e">
        <f>IF(List!#REF!,"AAAAAH+7/tE=",0)</f>
        <v>#REF!</v>
      </c>
      <c r="HC111" t="e">
        <f>AND(List!#REF!,"AAAAAH+7/tI=")</f>
        <v>#REF!</v>
      </c>
      <c r="HD111" t="e">
        <f>AND(List!#REF!,"AAAAAH+7/tM=")</f>
        <v>#REF!</v>
      </c>
      <c r="HE111" t="e">
        <f>AND(List!#REF!,"AAAAAH+7/tQ=")</f>
        <v>#REF!</v>
      </c>
      <c r="HF111" t="e">
        <f>IF(List!#REF!,"AAAAAH+7/tU=",0)</f>
        <v>#REF!</v>
      </c>
      <c r="HG111" t="e">
        <f>AND(List!#REF!,"AAAAAH+7/tY=")</f>
        <v>#REF!</v>
      </c>
      <c r="HH111" t="e">
        <f>AND(List!#REF!,"AAAAAH+7/tc=")</f>
        <v>#REF!</v>
      </c>
      <c r="HI111" t="e">
        <f>AND(List!#REF!,"AAAAAH+7/tg=")</f>
        <v>#REF!</v>
      </c>
      <c r="HJ111" t="e">
        <f>IF(List!#REF!,"AAAAAH+7/tk=",0)</f>
        <v>#REF!</v>
      </c>
      <c r="HK111" t="e">
        <f>AND(List!#REF!,"AAAAAH+7/to=")</f>
        <v>#REF!</v>
      </c>
      <c r="HL111" t="e">
        <f>AND(List!#REF!,"AAAAAH+7/ts=")</f>
        <v>#REF!</v>
      </c>
      <c r="HM111" t="e">
        <f>AND(List!#REF!,"AAAAAH+7/tw=")</f>
        <v>#REF!</v>
      </c>
      <c r="HN111" t="e">
        <f>IF(List!#REF!,"AAAAAH+7/t0=",0)</f>
        <v>#REF!</v>
      </c>
      <c r="HO111" t="e">
        <f>AND(List!#REF!,"AAAAAH+7/t4=")</f>
        <v>#REF!</v>
      </c>
      <c r="HP111" t="e">
        <f>AND(List!#REF!,"AAAAAH+7/t8=")</f>
        <v>#REF!</v>
      </c>
      <c r="HQ111" t="e">
        <f>AND(List!#REF!,"AAAAAH+7/uA=")</f>
        <v>#REF!</v>
      </c>
      <c r="HR111" t="e">
        <f>IF(List!#REF!,"AAAAAH+7/uE=",0)</f>
        <v>#REF!</v>
      </c>
      <c r="HS111" t="e">
        <f>AND(List!#REF!,"AAAAAH+7/uI=")</f>
        <v>#REF!</v>
      </c>
      <c r="HT111" t="e">
        <f>AND(List!#REF!,"AAAAAH+7/uM=")</f>
        <v>#REF!</v>
      </c>
      <c r="HU111" t="e">
        <f>AND(List!#REF!,"AAAAAH+7/uQ=")</f>
        <v>#REF!</v>
      </c>
      <c r="HV111" t="e">
        <f>IF(List!#REF!,"AAAAAH+7/uU=",0)</f>
        <v>#REF!</v>
      </c>
      <c r="HW111" t="e">
        <f>AND(List!#REF!,"AAAAAH+7/uY=")</f>
        <v>#REF!</v>
      </c>
      <c r="HX111" t="e">
        <f>AND(List!#REF!,"AAAAAH+7/uc=")</f>
        <v>#REF!</v>
      </c>
      <c r="HY111" t="e">
        <f>AND(List!#REF!,"AAAAAH+7/ug=")</f>
        <v>#REF!</v>
      </c>
      <c r="HZ111" t="e">
        <f>IF(List!#REF!,"AAAAAH+7/uk=",0)</f>
        <v>#REF!</v>
      </c>
      <c r="IA111" t="e">
        <f>AND(List!#REF!,"AAAAAH+7/uo=")</f>
        <v>#REF!</v>
      </c>
      <c r="IB111" t="e">
        <f>AND(List!#REF!,"AAAAAH+7/us=")</f>
        <v>#REF!</v>
      </c>
      <c r="IC111" t="e">
        <f>AND(List!#REF!,"AAAAAH+7/uw=")</f>
        <v>#REF!</v>
      </c>
      <c r="ID111" t="e">
        <f>IF(List!#REF!,"AAAAAH+7/u0=",0)</f>
        <v>#REF!</v>
      </c>
      <c r="IE111" t="e">
        <f>AND(List!#REF!,"AAAAAH+7/u4=")</f>
        <v>#REF!</v>
      </c>
      <c r="IF111" t="e">
        <f>AND(List!#REF!,"AAAAAH+7/u8=")</f>
        <v>#REF!</v>
      </c>
      <c r="IG111" t="e">
        <f>AND(List!#REF!,"AAAAAH+7/vA=")</f>
        <v>#REF!</v>
      </c>
      <c r="IH111" t="e">
        <f>IF(List!#REF!,"AAAAAH+7/vE=",0)</f>
        <v>#REF!</v>
      </c>
      <c r="II111" t="e">
        <f>AND(List!#REF!,"AAAAAH+7/vI=")</f>
        <v>#REF!</v>
      </c>
      <c r="IJ111" t="e">
        <f>AND(List!#REF!,"AAAAAH+7/vM=")</f>
        <v>#REF!</v>
      </c>
      <c r="IK111" t="e">
        <f>AND(List!#REF!,"AAAAAH+7/vQ=")</f>
        <v>#REF!</v>
      </c>
      <c r="IL111" t="e">
        <f>IF(List!#REF!,"AAAAAH+7/vU=",0)</f>
        <v>#REF!</v>
      </c>
      <c r="IM111" t="e">
        <f>AND(List!#REF!,"AAAAAH+7/vY=")</f>
        <v>#REF!</v>
      </c>
      <c r="IN111" t="e">
        <f>AND(List!#REF!,"AAAAAH+7/vc=")</f>
        <v>#REF!</v>
      </c>
      <c r="IO111" t="e">
        <f>AND(List!#REF!,"AAAAAH+7/vg=")</f>
        <v>#REF!</v>
      </c>
      <c r="IP111" t="e">
        <f>IF(List!#REF!,"AAAAAH+7/vk=",0)</f>
        <v>#REF!</v>
      </c>
      <c r="IQ111" t="e">
        <f>AND(List!#REF!,"AAAAAH+7/vo=")</f>
        <v>#REF!</v>
      </c>
      <c r="IR111" t="e">
        <f>AND(List!#REF!,"AAAAAH+7/vs=")</f>
        <v>#REF!</v>
      </c>
      <c r="IS111" t="e">
        <f>AND(List!#REF!,"AAAAAH+7/vw=")</f>
        <v>#REF!</v>
      </c>
      <c r="IT111" t="e">
        <f>IF(List!#REF!,"AAAAAH+7/v0=",0)</f>
        <v>#REF!</v>
      </c>
      <c r="IU111" t="e">
        <f>AND(List!#REF!,"AAAAAH+7/v4=")</f>
        <v>#REF!</v>
      </c>
      <c r="IV111" t="e">
        <f>AND(List!#REF!,"AAAAAH+7/v8=")</f>
        <v>#REF!</v>
      </c>
    </row>
    <row r="112" spans="1:256" x14ac:dyDescent="0.15">
      <c r="A112" t="e">
        <f>AND(List!#REF!,"AAAAAH7z8QA=")</f>
        <v>#REF!</v>
      </c>
      <c r="B112" t="e">
        <f>IF(List!#REF!,"AAAAAH7z8QE=",0)</f>
        <v>#REF!</v>
      </c>
      <c r="C112" t="e">
        <f>AND(List!#REF!,"AAAAAH7z8QI=")</f>
        <v>#REF!</v>
      </c>
      <c r="D112" t="e">
        <f>AND(List!#REF!,"AAAAAH7z8QM=")</f>
        <v>#REF!</v>
      </c>
      <c r="E112" t="e">
        <f>AND(List!#REF!,"AAAAAH7z8QQ=")</f>
        <v>#REF!</v>
      </c>
      <c r="F112" t="e">
        <f>IF(List!#REF!,"AAAAAH7z8QU=",0)</f>
        <v>#REF!</v>
      </c>
      <c r="G112" t="e">
        <f>AND(List!#REF!,"AAAAAH7z8QY=")</f>
        <v>#REF!</v>
      </c>
      <c r="H112" t="e">
        <f>AND(List!#REF!,"AAAAAH7z8Qc=")</f>
        <v>#REF!</v>
      </c>
      <c r="I112" t="e">
        <f>AND(List!#REF!,"AAAAAH7z8Qg=")</f>
        <v>#REF!</v>
      </c>
      <c r="J112" t="e">
        <f>IF(List!#REF!,"AAAAAH7z8Qk=",0)</f>
        <v>#REF!</v>
      </c>
      <c r="K112" t="e">
        <f>AND(List!#REF!,"AAAAAH7z8Qo=")</f>
        <v>#REF!</v>
      </c>
      <c r="L112" t="e">
        <f>AND(List!#REF!,"AAAAAH7z8Qs=")</f>
        <v>#REF!</v>
      </c>
      <c r="M112" t="e">
        <f>AND(List!#REF!,"AAAAAH7z8Qw=")</f>
        <v>#REF!</v>
      </c>
      <c r="N112" t="e">
        <f>IF(List!#REF!,"AAAAAH7z8Q0=",0)</f>
        <v>#REF!</v>
      </c>
      <c r="O112" t="e">
        <f>AND(List!#REF!,"AAAAAH7z8Q4=")</f>
        <v>#REF!</v>
      </c>
      <c r="P112" t="e">
        <f>AND(List!#REF!,"AAAAAH7z8Q8=")</f>
        <v>#REF!</v>
      </c>
      <c r="Q112" t="e">
        <f>AND(List!#REF!,"AAAAAH7z8RA=")</f>
        <v>#REF!</v>
      </c>
      <c r="R112" t="e">
        <f>IF(List!#REF!,"AAAAAH7z8RE=",0)</f>
        <v>#REF!</v>
      </c>
      <c r="S112" t="e">
        <f>AND(List!#REF!,"AAAAAH7z8RI=")</f>
        <v>#REF!</v>
      </c>
      <c r="T112" t="e">
        <f>AND(List!#REF!,"AAAAAH7z8RM=")</f>
        <v>#REF!</v>
      </c>
      <c r="U112" t="e">
        <f>AND(List!#REF!,"AAAAAH7z8RQ=")</f>
        <v>#REF!</v>
      </c>
      <c r="V112" t="e">
        <f>IF(List!#REF!,"AAAAAH7z8RU=",0)</f>
        <v>#REF!</v>
      </c>
      <c r="W112" t="e">
        <f>AND(List!#REF!,"AAAAAH7z8RY=")</f>
        <v>#REF!</v>
      </c>
      <c r="X112" t="e">
        <f>AND(List!#REF!,"AAAAAH7z8Rc=")</f>
        <v>#REF!</v>
      </c>
      <c r="Y112" t="e">
        <f>AND(List!#REF!,"AAAAAH7z8Rg=")</f>
        <v>#REF!</v>
      </c>
      <c r="Z112" t="e">
        <f>IF(List!#REF!,"AAAAAH7z8Rk=",0)</f>
        <v>#REF!</v>
      </c>
      <c r="AA112" t="e">
        <f>AND(List!#REF!,"AAAAAH7z8Ro=")</f>
        <v>#REF!</v>
      </c>
      <c r="AB112" t="e">
        <f>AND(List!#REF!,"AAAAAH7z8Rs=")</f>
        <v>#REF!</v>
      </c>
      <c r="AC112" t="e">
        <f>AND(List!#REF!,"AAAAAH7z8Rw=")</f>
        <v>#REF!</v>
      </c>
      <c r="AD112" t="e">
        <f>IF(List!#REF!,"AAAAAH7z8R0=",0)</f>
        <v>#REF!</v>
      </c>
      <c r="AE112" t="e">
        <f>AND(List!#REF!,"AAAAAH7z8R4=")</f>
        <v>#REF!</v>
      </c>
      <c r="AF112" t="e">
        <f>AND(List!#REF!,"AAAAAH7z8R8=")</f>
        <v>#REF!</v>
      </c>
      <c r="AG112" t="e">
        <f>AND(List!#REF!,"AAAAAH7z8SA=")</f>
        <v>#REF!</v>
      </c>
      <c r="AH112" t="e">
        <f>IF(List!#REF!,"AAAAAH7z8SE=",0)</f>
        <v>#REF!</v>
      </c>
      <c r="AI112" t="e">
        <f>AND(List!#REF!,"AAAAAH7z8SI=")</f>
        <v>#REF!</v>
      </c>
      <c r="AJ112" t="e">
        <f>AND(List!#REF!,"AAAAAH7z8SM=")</f>
        <v>#REF!</v>
      </c>
      <c r="AK112" t="e">
        <f>AND(List!#REF!,"AAAAAH7z8SQ=")</f>
        <v>#REF!</v>
      </c>
      <c r="AL112" t="e">
        <f>IF(List!#REF!,"AAAAAH7z8SU=",0)</f>
        <v>#REF!</v>
      </c>
      <c r="AM112" t="e">
        <f>AND(List!#REF!,"AAAAAH7z8SY=")</f>
        <v>#REF!</v>
      </c>
      <c r="AN112" t="e">
        <f>AND(List!#REF!,"AAAAAH7z8Sc=")</f>
        <v>#REF!</v>
      </c>
      <c r="AO112" t="e">
        <f>AND(List!#REF!,"AAAAAH7z8Sg=")</f>
        <v>#REF!</v>
      </c>
      <c r="AP112" t="e">
        <f>IF(List!#REF!,"AAAAAH7z8Sk=",0)</f>
        <v>#REF!</v>
      </c>
      <c r="AQ112" t="e">
        <f>AND(List!#REF!,"AAAAAH7z8So=")</f>
        <v>#REF!</v>
      </c>
      <c r="AR112" t="e">
        <f>AND(List!#REF!,"AAAAAH7z8Ss=")</f>
        <v>#REF!</v>
      </c>
      <c r="AS112" t="e">
        <f>AND(List!#REF!,"AAAAAH7z8Sw=")</f>
        <v>#REF!</v>
      </c>
      <c r="AT112" t="e">
        <f>IF(List!#REF!,"AAAAAH7z8S0=",0)</f>
        <v>#REF!</v>
      </c>
      <c r="AU112" t="e">
        <f>AND(List!#REF!,"AAAAAH7z8S4=")</f>
        <v>#REF!</v>
      </c>
      <c r="AV112" t="e">
        <f>AND(List!#REF!,"AAAAAH7z8S8=")</f>
        <v>#REF!</v>
      </c>
      <c r="AW112" t="e">
        <f>AND(List!#REF!,"AAAAAH7z8TA=")</f>
        <v>#REF!</v>
      </c>
      <c r="AX112" t="e">
        <f>IF(List!#REF!,"AAAAAH7z8TE=",0)</f>
        <v>#REF!</v>
      </c>
      <c r="AY112" t="e">
        <f>AND(List!#REF!,"AAAAAH7z8TI=")</f>
        <v>#REF!</v>
      </c>
      <c r="AZ112" t="e">
        <f>AND(List!#REF!,"AAAAAH7z8TM=")</f>
        <v>#REF!</v>
      </c>
      <c r="BA112" t="e">
        <f>AND(List!#REF!,"AAAAAH7z8TQ=")</f>
        <v>#REF!</v>
      </c>
      <c r="BB112" t="e">
        <f>IF(List!#REF!,"AAAAAH7z8TU=",0)</f>
        <v>#REF!</v>
      </c>
      <c r="BC112" t="e">
        <f>AND(List!#REF!,"AAAAAH7z8TY=")</f>
        <v>#REF!</v>
      </c>
      <c r="BD112" t="e">
        <f>AND(List!#REF!,"AAAAAH7z8Tc=")</f>
        <v>#REF!</v>
      </c>
      <c r="BE112" t="e">
        <f>AND(List!#REF!,"AAAAAH7z8Tg=")</f>
        <v>#REF!</v>
      </c>
      <c r="BF112" t="e">
        <f>IF(List!#REF!,"AAAAAH7z8Tk=",0)</f>
        <v>#REF!</v>
      </c>
      <c r="BG112" t="e">
        <f>AND(List!#REF!,"AAAAAH7z8To=")</f>
        <v>#REF!</v>
      </c>
      <c r="BH112" t="e">
        <f>AND(List!#REF!,"AAAAAH7z8Ts=")</f>
        <v>#REF!</v>
      </c>
      <c r="BI112" t="e">
        <f>AND(List!#REF!,"AAAAAH7z8Tw=")</f>
        <v>#REF!</v>
      </c>
      <c r="BJ112" t="e">
        <f>IF(List!#REF!,"AAAAAH7z8T0=",0)</f>
        <v>#REF!</v>
      </c>
      <c r="BK112" t="e">
        <f>AND(List!#REF!,"AAAAAH7z8T4=")</f>
        <v>#REF!</v>
      </c>
      <c r="BL112" t="e">
        <f>AND(List!#REF!,"AAAAAH7z8T8=")</f>
        <v>#REF!</v>
      </c>
      <c r="BM112" t="e">
        <f>AND(List!#REF!,"AAAAAH7z8UA=")</f>
        <v>#REF!</v>
      </c>
      <c r="BN112" t="e">
        <f>IF(List!#REF!,"AAAAAH7z8UE=",0)</f>
        <v>#REF!</v>
      </c>
      <c r="BO112" t="e">
        <f>AND(List!#REF!,"AAAAAH7z8UI=")</f>
        <v>#REF!</v>
      </c>
      <c r="BP112" t="e">
        <f>AND(List!#REF!,"AAAAAH7z8UM=")</f>
        <v>#REF!</v>
      </c>
      <c r="BQ112" t="e">
        <f>AND(List!#REF!,"AAAAAH7z8UQ=")</f>
        <v>#REF!</v>
      </c>
      <c r="BR112" t="e">
        <f>IF(List!#REF!,"AAAAAH7z8UU=",0)</f>
        <v>#REF!</v>
      </c>
      <c r="BS112" t="e">
        <f>AND(List!#REF!,"AAAAAH7z8UY=")</f>
        <v>#REF!</v>
      </c>
      <c r="BT112" t="e">
        <f>AND(List!#REF!,"AAAAAH7z8Uc=")</f>
        <v>#REF!</v>
      </c>
      <c r="BU112" t="e">
        <f>AND(List!#REF!,"AAAAAH7z8Ug=")</f>
        <v>#REF!</v>
      </c>
      <c r="BV112" t="e">
        <f>IF(List!#REF!,"AAAAAH7z8Uk=",0)</f>
        <v>#REF!</v>
      </c>
      <c r="BW112" t="e">
        <f>AND(List!#REF!,"AAAAAH7z8Uo=")</f>
        <v>#REF!</v>
      </c>
      <c r="BX112" t="e">
        <f>AND(List!#REF!,"AAAAAH7z8Us=")</f>
        <v>#REF!</v>
      </c>
      <c r="BY112" t="e">
        <f>AND(List!#REF!,"AAAAAH7z8Uw=")</f>
        <v>#REF!</v>
      </c>
      <c r="BZ112" t="e">
        <f>IF(List!#REF!,"AAAAAH7z8U0=",0)</f>
        <v>#REF!</v>
      </c>
      <c r="CA112" t="e">
        <f>AND(List!#REF!,"AAAAAH7z8U4=")</f>
        <v>#REF!</v>
      </c>
      <c r="CB112" t="e">
        <f>AND(List!#REF!,"AAAAAH7z8U8=")</f>
        <v>#REF!</v>
      </c>
      <c r="CC112" t="e">
        <f>AND(List!#REF!,"AAAAAH7z8VA=")</f>
        <v>#REF!</v>
      </c>
      <c r="CD112" t="e">
        <f>IF(List!#REF!,"AAAAAH7z8VE=",0)</f>
        <v>#REF!</v>
      </c>
      <c r="CE112" t="e">
        <f>AND(List!#REF!,"AAAAAH7z8VI=")</f>
        <v>#REF!</v>
      </c>
      <c r="CF112" t="e">
        <f>AND(List!#REF!,"AAAAAH7z8VM=")</f>
        <v>#REF!</v>
      </c>
      <c r="CG112" t="e">
        <f>AND(List!#REF!,"AAAAAH7z8VQ=")</f>
        <v>#REF!</v>
      </c>
      <c r="CH112" t="e">
        <f>IF(List!#REF!,"AAAAAH7z8VU=",0)</f>
        <v>#REF!</v>
      </c>
      <c r="CI112" t="e">
        <f>AND(List!#REF!,"AAAAAH7z8VY=")</f>
        <v>#REF!</v>
      </c>
      <c r="CJ112" t="e">
        <f>AND(List!#REF!,"AAAAAH7z8Vc=")</f>
        <v>#REF!</v>
      </c>
      <c r="CK112" t="e">
        <f>AND(List!#REF!,"AAAAAH7z8Vg=")</f>
        <v>#REF!</v>
      </c>
      <c r="CL112" t="e">
        <f>IF(List!#REF!,"AAAAAH7z8Vk=",0)</f>
        <v>#REF!</v>
      </c>
      <c r="CM112" t="e">
        <f>AND(List!#REF!,"AAAAAH7z8Vo=")</f>
        <v>#REF!</v>
      </c>
      <c r="CN112" t="e">
        <f>AND(List!#REF!,"AAAAAH7z8Vs=")</f>
        <v>#REF!</v>
      </c>
      <c r="CO112" t="e">
        <f>AND(List!#REF!,"AAAAAH7z8Vw=")</f>
        <v>#REF!</v>
      </c>
      <c r="CP112" t="e">
        <f>IF(List!#REF!,"AAAAAH7z8V0=",0)</f>
        <v>#REF!</v>
      </c>
      <c r="CQ112" t="e">
        <f>AND(List!#REF!,"AAAAAH7z8V4=")</f>
        <v>#REF!</v>
      </c>
      <c r="CR112" t="e">
        <f>AND(List!#REF!,"AAAAAH7z8V8=")</f>
        <v>#REF!</v>
      </c>
      <c r="CS112" t="e">
        <f>AND(List!#REF!,"AAAAAH7z8WA=")</f>
        <v>#REF!</v>
      </c>
      <c r="CT112" t="e">
        <f>IF(List!#REF!,"AAAAAH7z8WE=",0)</f>
        <v>#REF!</v>
      </c>
      <c r="CU112" t="e">
        <f>AND(List!#REF!,"AAAAAH7z8WI=")</f>
        <v>#REF!</v>
      </c>
      <c r="CV112" t="e">
        <f>AND(List!#REF!,"AAAAAH7z8WM=")</f>
        <v>#REF!</v>
      </c>
      <c r="CW112" t="e">
        <f>AND(List!#REF!,"AAAAAH7z8WQ=")</f>
        <v>#REF!</v>
      </c>
      <c r="CX112" t="e">
        <f>IF(List!#REF!,"AAAAAH7z8WU=",0)</f>
        <v>#REF!</v>
      </c>
      <c r="CY112" t="e">
        <f>AND(List!#REF!,"AAAAAH7z8WY=")</f>
        <v>#REF!</v>
      </c>
      <c r="CZ112" t="e">
        <f>AND(List!#REF!,"AAAAAH7z8Wc=")</f>
        <v>#REF!</v>
      </c>
      <c r="DA112" t="e">
        <f>AND(List!#REF!,"AAAAAH7z8Wg=")</f>
        <v>#REF!</v>
      </c>
      <c r="DB112" t="e">
        <f>IF(List!#REF!,"AAAAAH7z8Wk=",0)</f>
        <v>#REF!</v>
      </c>
      <c r="DC112" t="e">
        <f>AND(List!#REF!,"AAAAAH7z8Wo=")</f>
        <v>#REF!</v>
      </c>
      <c r="DD112" t="e">
        <f>AND(List!#REF!,"AAAAAH7z8Ws=")</f>
        <v>#REF!</v>
      </c>
      <c r="DE112" t="e">
        <f>AND(List!#REF!,"AAAAAH7z8Ww=")</f>
        <v>#REF!</v>
      </c>
      <c r="DF112" t="e">
        <f>IF(List!#REF!,"AAAAAH7z8W0=",0)</f>
        <v>#REF!</v>
      </c>
      <c r="DG112" t="e">
        <f>AND(List!#REF!,"AAAAAH7z8W4=")</f>
        <v>#REF!</v>
      </c>
      <c r="DH112" t="e">
        <f>AND(List!#REF!,"AAAAAH7z8W8=")</f>
        <v>#REF!</v>
      </c>
      <c r="DI112" t="e">
        <f>AND(List!#REF!,"AAAAAH7z8XA=")</f>
        <v>#REF!</v>
      </c>
      <c r="DJ112" t="e">
        <f>IF(List!#REF!,"AAAAAH7z8XE=",0)</f>
        <v>#REF!</v>
      </c>
      <c r="DK112" t="e">
        <f>AND(List!#REF!,"AAAAAH7z8XI=")</f>
        <v>#REF!</v>
      </c>
      <c r="DL112" t="e">
        <f>AND(List!#REF!,"AAAAAH7z8XM=")</f>
        <v>#REF!</v>
      </c>
      <c r="DM112" t="e">
        <f>AND(List!#REF!,"AAAAAH7z8XQ=")</f>
        <v>#REF!</v>
      </c>
      <c r="DN112" t="e">
        <f>IF(List!#REF!,"AAAAAH7z8XU=",0)</f>
        <v>#REF!</v>
      </c>
      <c r="DO112" t="e">
        <f>AND(List!#REF!,"AAAAAH7z8XY=")</f>
        <v>#REF!</v>
      </c>
      <c r="DP112" t="e">
        <f>AND(List!#REF!,"AAAAAH7z8Xc=")</f>
        <v>#REF!</v>
      </c>
      <c r="DQ112" t="e">
        <f>AND(List!#REF!,"AAAAAH7z8Xg=")</f>
        <v>#REF!</v>
      </c>
      <c r="DR112" t="e">
        <f>IF(List!#REF!,"AAAAAH7z8Xk=",0)</f>
        <v>#REF!</v>
      </c>
      <c r="DS112" t="e">
        <f>AND(List!#REF!,"AAAAAH7z8Xo=")</f>
        <v>#REF!</v>
      </c>
      <c r="DT112" t="e">
        <f>AND(List!#REF!,"AAAAAH7z8Xs=")</f>
        <v>#REF!</v>
      </c>
      <c r="DU112" t="e">
        <f>AND(List!#REF!,"AAAAAH7z8Xw=")</f>
        <v>#REF!</v>
      </c>
      <c r="DV112" t="e">
        <f>IF(List!#REF!,"AAAAAH7z8X0=",0)</f>
        <v>#REF!</v>
      </c>
      <c r="DW112" t="e">
        <f>AND(List!#REF!,"AAAAAH7z8X4=")</f>
        <v>#REF!</v>
      </c>
      <c r="DX112" t="e">
        <f>AND(List!#REF!,"AAAAAH7z8X8=")</f>
        <v>#REF!</v>
      </c>
      <c r="DY112" t="e">
        <f>AND(List!#REF!,"AAAAAH7z8YA=")</f>
        <v>#REF!</v>
      </c>
      <c r="DZ112" t="e">
        <f>IF(List!#REF!,"AAAAAH7z8YE=",0)</f>
        <v>#REF!</v>
      </c>
      <c r="EA112" t="e">
        <f>AND(List!#REF!,"AAAAAH7z8YI=")</f>
        <v>#REF!</v>
      </c>
      <c r="EB112" t="e">
        <f>AND(List!#REF!,"AAAAAH7z8YM=")</f>
        <v>#REF!</v>
      </c>
      <c r="EC112" t="e">
        <f>AND(List!#REF!,"AAAAAH7z8YQ=")</f>
        <v>#REF!</v>
      </c>
      <c r="ED112" t="e">
        <f>IF(List!#REF!,"AAAAAH7z8YU=",0)</f>
        <v>#REF!</v>
      </c>
      <c r="EE112" t="e">
        <f>AND(List!#REF!,"AAAAAH7z8YY=")</f>
        <v>#REF!</v>
      </c>
      <c r="EF112" t="e">
        <f>AND(List!#REF!,"AAAAAH7z8Yc=")</f>
        <v>#REF!</v>
      </c>
      <c r="EG112" t="e">
        <f>AND(List!#REF!,"AAAAAH7z8Yg=")</f>
        <v>#REF!</v>
      </c>
      <c r="EH112" t="e">
        <f>IF(List!#REF!,"AAAAAH7z8Yk=",0)</f>
        <v>#REF!</v>
      </c>
      <c r="EI112" t="e">
        <f>AND(List!#REF!,"AAAAAH7z8Yo=")</f>
        <v>#REF!</v>
      </c>
      <c r="EJ112" t="e">
        <f>AND(List!#REF!,"AAAAAH7z8Ys=")</f>
        <v>#REF!</v>
      </c>
      <c r="EK112" t="e">
        <f>AND(List!#REF!,"AAAAAH7z8Yw=")</f>
        <v>#REF!</v>
      </c>
      <c r="EL112" t="e">
        <f>IF(List!#REF!,"AAAAAH7z8Y0=",0)</f>
        <v>#REF!</v>
      </c>
      <c r="EM112" t="e">
        <f>AND(List!#REF!,"AAAAAH7z8Y4=")</f>
        <v>#REF!</v>
      </c>
      <c r="EN112" t="e">
        <f>AND(List!#REF!,"AAAAAH7z8Y8=")</f>
        <v>#REF!</v>
      </c>
      <c r="EO112" t="e">
        <f>AND(List!#REF!,"AAAAAH7z8ZA=")</f>
        <v>#REF!</v>
      </c>
      <c r="EP112" t="e">
        <f>IF(List!#REF!,"AAAAAH7z8ZE=",0)</f>
        <v>#REF!</v>
      </c>
      <c r="EQ112" t="e">
        <f>AND(List!#REF!,"AAAAAH7z8ZI=")</f>
        <v>#REF!</v>
      </c>
      <c r="ER112" t="e">
        <f>AND(List!#REF!,"AAAAAH7z8ZM=")</f>
        <v>#REF!</v>
      </c>
      <c r="ES112" t="e">
        <f>AND(List!#REF!,"AAAAAH7z8ZQ=")</f>
        <v>#REF!</v>
      </c>
      <c r="ET112" t="e">
        <f>IF(List!#REF!,"AAAAAH7z8ZU=",0)</f>
        <v>#REF!</v>
      </c>
      <c r="EU112" t="e">
        <f>AND(List!#REF!,"AAAAAH7z8ZY=")</f>
        <v>#REF!</v>
      </c>
      <c r="EV112" t="e">
        <f>AND(List!#REF!,"AAAAAH7z8Zc=")</f>
        <v>#REF!</v>
      </c>
      <c r="EW112" t="e">
        <f>AND(List!#REF!,"AAAAAH7z8Zg=")</f>
        <v>#REF!</v>
      </c>
      <c r="EX112" t="e">
        <f>IF(List!#REF!,"AAAAAH7z8Zk=",0)</f>
        <v>#REF!</v>
      </c>
      <c r="EY112" t="e">
        <f>AND(List!#REF!,"AAAAAH7z8Zo=")</f>
        <v>#REF!</v>
      </c>
      <c r="EZ112" t="e">
        <f>AND(List!#REF!,"AAAAAH7z8Zs=")</f>
        <v>#REF!</v>
      </c>
      <c r="FA112" t="e">
        <f>AND(List!#REF!,"AAAAAH7z8Zw=")</f>
        <v>#REF!</v>
      </c>
      <c r="FB112" t="e">
        <f>IF(List!#REF!,"AAAAAH7z8Z0=",0)</f>
        <v>#REF!</v>
      </c>
      <c r="FC112" t="e">
        <f>AND(List!#REF!,"AAAAAH7z8Z4=")</f>
        <v>#REF!</v>
      </c>
      <c r="FD112" t="e">
        <f>AND(List!#REF!,"AAAAAH7z8Z8=")</f>
        <v>#REF!</v>
      </c>
      <c r="FE112" t="e">
        <f>AND(List!#REF!,"AAAAAH7z8aA=")</f>
        <v>#REF!</v>
      </c>
      <c r="FF112" t="e">
        <f>IF(List!#REF!,"AAAAAH7z8aE=",0)</f>
        <v>#REF!</v>
      </c>
      <c r="FG112" t="e">
        <f>AND(List!#REF!,"AAAAAH7z8aI=")</f>
        <v>#REF!</v>
      </c>
      <c r="FH112" t="e">
        <f>AND(List!#REF!,"AAAAAH7z8aM=")</f>
        <v>#REF!</v>
      </c>
      <c r="FI112" t="e">
        <f>AND(List!#REF!,"AAAAAH7z8aQ=")</f>
        <v>#REF!</v>
      </c>
      <c r="FJ112" t="e">
        <f>IF(List!#REF!,"AAAAAH7z8aU=",0)</f>
        <v>#REF!</v>
      </c>
      <c r="FK112" t="e">
        <f>AND(List!#REF!,"AAAAAH7z8aY=")</f>
        <v>#REF!</v>
      </c>
      <c r="FL112" t="e">
        <f>AND(List!#REF!,"AAAAAH7z8ac=")</f>
        <v>#REF!</v>
      </c>
      <c r="FM112" t="e">
        <f>AND(List!#REF!,"AAAAAH7z8ag=")</f>
        <v>#REF!</v>
      </c>
      <c r="FN112" t="e">
        <f>IF(List!#REF!,"AAAAAH7z8ak=",0)</f>
        <v>#REF!</v>
      </c>
      <c r="FO112" t="e">
        <f>AND(List!#REF!,"AAAAAH7z8ao=")</f>
        <v>#REF!</v>
      </c>
      <c r="FP112" t="e">
        <f>AND(List!#REF!,"AAAAAH7z8as=")</f>
        <v>#REF!</v>
      </c>
      <c r="FQ112" t="e">
        <f>AND(List!#REF!,"AAAAAH7z8aw=")</f>
        <v>#REF!</v>
      </c>
      <c r="FR112" t="e">
        <f>IF(List!#REF!,"AAAAAH7z8a0=",0)</f>
        <v>#REF!</v>
      </c>
      <c r="FS112" t="e">
        <f>AND(List!#REF!,"AAAAAH7z8a4=")</f>
        <v>#REF!</v>
      </c>
      <c r="FT112" t="e">
        <f>AND(List!#REF!,"AAAAAH7z8a8=")</f>
        <v>#REF!</v>
      </c>
      <c r="FU112" t="e">
        <f>AND(List!#REF!,"AAAAAH7z8bA=")</f>
        <v>#REF!</v>
      </c>
      <c r="FV112" t="e">
        <f>IF(List!#REF!,"AAAAAH7z8bE=",0)</f>
        <v>#REF!</v>
      </c>
      <c r="FW112" t="e">
        <f>AND(List!#REF!,"AAAAAH7z8bI=")</f>
        <v>#REF!</v>
      </c>
      <c r="FX112" t="e">
        <f>AND(List!#REF!,"AAAAAH7z8bM=")</f>
        <v>#REF!</v>
      </c>
      <c r="FY112" t="e">
        <f>AND(List!#REF!,"AAAAAH7z8bQ=")</f>
        <v>#REF!</v>
      </c>
      <c r="FZ112" t="e">
        <f>IF(List!#REF!,"AAAAAH7z8bU=",0)</f>
        <v>#REF!</v>
      </c>
      <c r="GA112" t="e">
        <f>AND(List!#REF!,"AAAAAH7z8bY=")</f>
        <v>#REF!</v>
      </c>
      <c r="GB112" t="e">
        <f>AND(List!#REF!,"AAAAAH7z8bc=")</f>
        <v>#REF!</v>
      </c>
      <c r="GC112" t="e">
        <f>AND(List!#REF!,"AAAAAH7z8bg=")</f>
        <v>#REF!</v>
      </c>
      <c r="GD112" t="e">
        <f>IF(List!#REF!,"AAAAAH7z8bk=",0)</f>
        <v>#REF!</v>
      </c>
      <c r="GE112" t="e">
        <f>AND(List!#REF!,"AAAAAH7z8bo=")</f>
        <v>#REF!</v>
      </c>
      <c r="GF112" t="e">
        <f>AND(List!#REF!,"AAAAAH7z8bs=")</f>
        <v>#REF!</v>
      </c>
      <c r="GG112" t="e">
        <f>AND(List!#REF!,"AAAAAH7z8bw=")</f>
        <v>#REF!</v>
      </c>
      <c r="GH112" t="e">
        <f>IF(List!#REF!,"AAAAAH7z8b0=",0)</f>
        <v>#REF!</v>
      </c>
      <c r="GI112" t="e">
        <f>AND(List!#REF!,"AAAAAH7z8b4=")</f>
        <v>#REF!</v>
      </c>
      <c r="GJ112" t="e">
        <f>AND(List!#REF!,"AAAAAH7z8b8=")</f>
        <v>#REF!</v>
      </c>
      <c r="GK112" t="e">
        <f>AND(List!#REF!,"AAAAAH7z8cA=")</f>
        <v>#REF!</v>
      </c>
      <c r="GL112" t="e">
        <f>IF(List!#REF!,"AAAAAH7z8cE=",0)</f>
        <v>#REF!</v>
      </c>
      <c r="GM112" t="e">
        <f>AND(List!#REF!,"AAAAAH7z8cI=")</f>
        <v>#REF!</v>
      </c>
      <c r="GN112" t="e">
        <f>AND(List!#REF!,"AAAAAH7z8cM=")</f>
        <v>#REF!</v>
      </c>
      <c r="GO112" t="e">
        <f>AND(List!#REF!,"AAAAAH7z8cQ=")</f>
        <v>#REF!</v>
      </c>
      <c r="GP112" t="e">
        <f>IF(List!#REF!,"AAAAAH7z8cU=",0)</f>
        <v>#REF!</v>
      </c>
      <c r="GQ112" t="e">
        <f>AND(List!#REF!,"AAAAAH7z8cY=")</f>
        <v>#REF!</v>
      </c>
      <c r="GR112" t="e">
        <f>AND(List!#REF!,"AAAAAH7z8cc=")</f>
        <v>#REF!</v>
      </c>
      <c r="GS112" t="e">
        <f>AND(List!#REF!,"AAAAAH7z8cg=")</f>
        <v>#REF!</v>
      </c>
      <c r="GT112" t="e">
        <f>IF(List!#REF!,"AAAAAH7z8ck=",0)</f>
        <v>#REF!</v>
      </c>
      <c r="GU112" t="e">
        <f>AND(List!#REF!,"AAAAAH7z8co=")</f>
        <v>#REF!</v>
      </c>
      <c r="GV112" t="e">
        <f>AND(List!#REF!,"AAAAAH7z8cs=")</f>
        <v>#REF!</v>
      </c>
      <c r="GW112" t="e">
        <f>AND(List!#REF!,"AAAAAH7z8cw=")</f>
        <v>#REF!</v>
      </c>
      <c r="GX112" t="e">
        <f>IF(List!#REF!,"AAAAAH7z8c0=",0)</f>
        <v>#REF!</v>
      </c>
      <c r="GY112" t="e">
        <f>AND(List!#REF!,"AAAAAH7z8c4=")</f>
        <v>#REF!</v>
      </c>
      <c r="GZ112" t="e">
        <f>AND(List!#REF!,"AAAAAH7z8c8=")</f>
        <v>#REF!</v>
      </c>
      <c r="HA112" t="e">
        <f>AND(List!#REF!,"AAAAAH7z8dA=")</f>
        <v>#REF!</v>
      </c>
      <c r="HB112" t="e">
        <f>IF(List!#REF!,"AAAAAH7z8dE=",0)</f>
        <v>#REF!</v>
      </c>
      <c r="HC112" t="e">
        <f>AND(List!#REF!,"AAAAAH7z8dI=")</f>
        <v>#REF!</v>
      </c>
      <c r="HD112" t="e">
        <f>AND(List!#REF!,"AAAAAH7z8dM=")</f>
        <v>#REF!</v>
      </c>
      <c r="HE112" t="e">
        <f>AND(List!#REF!,"AAAAAH7z8dQ=")</f>
        <v>#REF!</v>
      </c>
      <c r="HF112" t="e">
        <f>IF(List!#REF!,"AAAAAH7z8dU=",0)</f>
        <v>#REF!</v>
      </c>
      <c r="HG112" t="e">
        <f>AND(List!#REF!,"AAAAAH7z8dY=")</f>
        <v>#REF!</v>
      </c>
      <c r="HH112" t="e">
        <f>AND(List!#REF!,"AAAAAH7z8dc=")</f>
        <v>#REF!</v>
      </c>
      <c r="HI112" t="e">
        <f>AND(List!#REF!,"AAAAAH7z8dg=")</f>
        <v>#REF!</v>
      </c>
      <c r="HJ112" t="e">
        <f>IF(List!#REF!,"AAAAAH7z8dk=",0)</f>
        <v>#REF!</v>
      </c>
      <c r="HK112" t="e">
        <f>AND(List!#REF!,"AAAAAH7z8do=")</f>
        <v>#REF!</v>
      </c>
      <c r="HL112" t="e">
        <f>AND(List!#REF!,"AAAAAH7z8ds=")</f>
        <v>#REF!</v>
      </c>
      <c r="HM112" t="e">
        <f>AND(List!#REF!,"AAAAAH7z8dw=")</f>
        <v>#REF!</v>
      </c>
      <c r="HN112" t="e">
        <f>IF(List!#REF!,"AAAAAH7z8d0=",0)</f>
        <v>#REF!</v>
      </c>
      <c r="HO112" t="e">
        <f>AND(List!#REF!,"AAAAAH7z8d4=")</f>
        <v>#REF!</v>
      </c>
      <c r="HP112" t="e">
        <f>AND(List!#REF!,"AAAAAH7z8d8=")</f>
        <v>#REF!</v>
      </c>
      <c r="HQ112" t="e">
        <f>AND(List!#REF!,"AAAAAH7z8eA=")</f>
        <v>#REF!</v>
      </c>
      <c r="HR112" t="e">
        <f>IF(List!#REF!,"AAAAAH7z8eE=",0)</f>
        <v>#REF!</v>
      </c>
      <c r="HS112" t="e">
        <f>AND(List!#REF!,"AAAAAH7z8eI=")</f>
        <v>#REF!</v>
      </c>
      <c r="HT112" t="e">
        <f>AND(List!#REF!,"AAAAAH7z8eM=")</f>
        <v>#REF!</v>
      </c>
      <c r="HU112" t="e">
        <f>AND(List!#REF!,"AAAAAH7z8eQ=")</f>
        <v>#REF!</v>
      </c>
      <c r="HV112" t="e">
        <f>IF(List!#REF!,"AAAAAH7z8eU=",0)</f>
        <v>#REF!</v>
      </c>
      <c r="HW112" t="e">
        <f>AND(List!#REF!,"AAAAAH7z8eY=")</f>
        <v>#REF!</v>
      </c>
      <c r="HX112" t="e">
        <f>AND(List!#REF!,"AAAAAH7z8ec=")</f>
        <v>#REF!</v>
      </c>
      <c r="HY112" t="e">
        <f>AND(List!#REF!,"AAAAAH7z8eg=")</f>
        <v>#REF!</v>
      </c>
      <c r="HZ112" t="e">
        <f>IF(List!#REF!,"AAAAAH7z8ek=",0)</f>
        <v>#REF!</v>
      </c>
      <c r="IA112" t="e">
        <f>AND(List!#REF!,"AAAAAH7z8eo=")</f>
        <v>#REF!</v>
      </c>
      <c r="IB112" t="e">
        <f>AND(List!#REF!,"AAAAAH7z8es=")</f>
        <v>#REF!</v>
      </c>
      <c r="IC112" t="e">
        <f>AND(List!#REF!,"AAAAAH7z8ew=")</f>
        <v>#REF!</v>
      </c>
      <c r="ID112" t="e">
        <f>IF(List!#REF!,"AAAAAH7z8e0=",0)</f>
        <v>#REF!</v>
      </c>
      <c r="IE112" t="e">
        <f>AND(List!#REF!,"AAAAAH7z8e4=")</f>
        <v>#REF!</v>
      </c>
      <c r="IF112" t="e">
        <f>AND(List!#REF!,"AAAAAH7z8e8=")</f>
        <v>#REF!</v>
      </c>
      <c r="IG112" t="e">
        <f>AND(List!#REF!,"AAAAAH7z8fA=")</f>
        <v>#REF!</v>
      </c>
      <c r="IH112" t="e">
        <f>IF(List!#REF!,"AAAAAH7z8fE=",0)</f>
        <v>#REF!</v>
      </c>
      <c r="II112" t="e">
        <f>AND(List!#REF!,"AAAAAH7z8fI=")</f>
        <v>#REF!</v>
      </c>
      <c r="IJ112" t="e">
        <f>AND(List!#REF!,"AAAAAH7z8fM=")</f>
        <v>#REF!</v>
      </c>
      <c r="IK112" t="e">
        <f>AND(List!#REF!,"AAAAAH7z8fQ=")</f>
        <v>#REF!</v>
      </c>
      <c r="IL112" t="e">
        <f>IF(List!#REF!,"AAAAAH7z8fU=",0)</f>
        <v>#REF!</v>
      </c>
      <c r="IM112" t="e">
        <f>AND(List!#REF!,"AAAAAH7z8fY=")</f>
        <v>#REF!</v>
      </c>
      <c r="IN112" t="e">
        <f>AND(List!#REF!,"AAAAAH7z8fc=")</f>
        <v>#REF!</v>
      </c>
      <c r="IO112" t="e">
        <f>AND(List!#REF!,"AAAAAH7z8fg=")</f>
        <v>#REF!</v>
      </c>
      <c r="IP112" t="e">
        <f>IF(List!#REF!,"AAAAAH7z8fk=",0)</f>
        <v>#REF!</v>
      </c>
      <c r="IQ112" t="e">
        <f>AND(List!#REF!,"AAAAAH7z8fo=")</f>
        <v>#REF!</v>
      </c>
      <c r="IR112" t="e">
        <f>AND(List!#REF!,"AAAAAH7z8fs=")</f>
        <v>#REF!</v>
      </c>
      <c r="IS112" t="e">
        <f>AND(List!#REF!,"AAAAAH7z8fw=")</f>
        <v>#REF!</v>
      </c>
      <c r="IT112" t="e">
        <f>IF(List!#REF!,"AAAAAH7z8f0=",0)</f>
        <v>#REF!</v>
      </c>
      <c r="IU112" t="e">
        <f>AND(List!#REF!,"AAAAAH7z8f4=")</f>
        <v>#REF!</v>
      </c>
      <c r="IV112" t="e">
        <f>AND(List!#REF!,"AAAAAH7z8f8=")</f>
        <v>#REF!</v>
      </c>
    </row>
    <row r="113" spans="1:256" x14ac:dyDescent="0.15">
      <c r="A113" t="e">
        <f>AND(List!#REF!,"AAAAAD/7uwA=")</f>
        <v>#REF!</v>
      </c>
      <c r="B113" t="e">
        <f>IF(List!#REF!,"AAAAAD/7uwE=",0)</f>
        <v>#REF!</v>
      </c>
      <c r="C113" t="e">
        <f>AND(List!#REF!,"AAAAAD/7uwI=")</f>
        <v>#REF!</v>
      </c>
      <c r="D113" t="e">
        <f>AND(List!#REF!,"AAAAAD/7uwM=")</f>
        <v>#REF!</v>
      </c>
      <c r="E113" t="e">
        <f>AND(List!#REF!,"AAAAAD/7uwQ=")</f>
        <v>#REF!</v>
      </c>
      <c r="F113" t="e">
        <f>IF(List!#REF!,"AAAAAD/7uwU=",0)</f>
        <v>#REF!</v>
      </c>
      <c r="G113" t="e">
        <f>AND(List!#REF!,"AAAAAD/7uwY=")</f>
        <v>#REF!</v>
      </c>
      <c r="H113" t="e">
        <f>AND(List!#REF!,"AAAAAD/7uwc=")</f>
        <v>#REF!</v>
      </c>
      <c r="I113" t="e">
        <f>AND(List!#REF!,"AAAAAD/7uwg=")</f>
        <v>#REF!</v>
      </c>
      <c r="J113" t="e">
        <f>IF(List!#REF!,"AAAAAD/7uwk=",0)</f>
        <v>#REF!</v>
      </c>
      <c r="K113" t="e">
        <f>AND(List!#REF!,"AAAAAD/7uwo=")</f>
        <v>#REF!</v>
      </c>
      <c r="L113" t="e">
        <f>AND(List!#REF!,"AAAAAD/7uws=")</f>
        <v>#REF!</v>
      </c>
      <c r="M113" t="e">
        <f>AND(List!#REF!,"AAAAAD/7uww=")</f>
        <v>#REF!</v>
      </c>
      <c r="N113" t="e">
        <f>IF(List!#REF!,"AAAAAD/7uw0=",0)</f>
        <v>#REF!</v>
      </c>
      <c r="O113" t="e">
        <f>AND(List!#REF!,"AAAAAD/7uw4=")</f>
        <v>#REF!</v>
      </c>
      <c r="P113" t="e">
        <f>AND(List!#REF!,"AAAAAD/7uw8=")</f>
        <v>#REF!</v>
      </c>
      <c r="Q113" t="e">
        <f>AND(List!#REF!,"AAAAAD/7uxA=")</f>
        <v>#REF!</v>
      </c>
      <c r="R113" t="e">
        <f>IF(List!#REF!,"AAAAAD/7uxE=",0)</f>
        <v>#REF!</v>
      </c>
      <c r="S113" t="e">
        <f>AND(List!#REF!,"AAAAAD/7uxI=")</f>
        <v>#REF!</v>
      </c>
      <c r="T113" t="e">
        <f>AND(List!#REF!,"AAAAAD/7uxM=")</f>
        <v>#REF!</v>
      </c>
      <c r="U113" t="e">
        <f>AND(List!#REF!,"AAAAAD/7uxQ=")</f>
        <v>#REF!</v>
      </c>
      <c r="V113" t="e">
        <f>IF(List!#REF!,"AAAAAD/7uxU=",0)</f>
        <v>#REF!</v>
      </c>
      <c r="W113" t="e">
        <f>AND(List!#REF!,"AAAAAD/7uxY=")</f>
        <v>#REF!</v>
      </c>
      <c r="X113" t="e">
        <f>AND(List!#REF!,"AAAAAD/7uxc=")</f>
        <v>#REF!</v>
      </c>
      <c r="Y113" t="e">
        <f>AND(List!#REF!,"AAAAAD/7uxg=")</f>
        <v>#REF!</v>
      </c>
      <c r="Z113" t="e">
        <f>IF(List!#REF!,"AAAAAD/7uxk=",0)</f>
        <v>#REF!</v>
      </c>
      <c r="AA113" t="e">
        <f>AND(List!#REF!,"AAAAAD/7uxo=")</f>
        <v>#REF!</v>
      </c>
      <c r="AB113" t="e">
        <f>AND(List!#REF!,"AAAAAD/7uxs=")</f>
        <v>#REF!</v>
      </c>
      <c r="AC113" t="e">
        <f>AND(List!#REF!,"AAAAAD/7uxw=")</f>
        <v>#REF!</v>
      </c>
      <c r="AD113" t="e">
        <f>IF(List!#REF!,"AAAAAD/7ux0=",0)</f>
        <v>#REF!</v>
      </c>
      <c r="AE113" t="e">
        <f>AND(List!#REF!,"AAAAAD/7ux4=")</f>
        <v>#REF!</v>
      </c>
      <c r="AF113" t="e">
        <f>AND(List!#REF!,"AAAAAD/7ux8=")</f>
        <v>#REF!</v>
      </c>
      <c r="AG113" t="e">
        <f>AND(List!#REF!,"AAAAAD/7uyA=")</f>
        <v>#REF!</v>
      </c>
      <c r="AH113" t="e">
        <f>IF(List!#REF!,"AAAAAD/7uyE=",0)</f>
        <v>#REF!</v>
      </c>
      <c r="AI113" t="e">
        <f>AND(List!#REF!,"AAAAAD/7uyI=")</f>
        <v>#REF!</v>
      </c>
      <c r="AJ113" t="e">
        <f>AND(List!#REF!,"AAAAAD/7uyM=")</f>
        <v>#REF!</v>
      </c>
      <c r="AK113" t="e">
        <f>AND(List!#REF!,"AAAAAD/7uyQ=")</f>
        <v>#REF!</v>
      </c>
      <c r="AL113" t="e">
        <f>IF(List!#REF!,"AAAAAD/7uyU=",0)</f>
        <v>#REF!</v>
      </c>
      <c r="AM113" t="e">
        <f>AND(List!#REF!,"AAAAAD/7uyY=")</f>
        <v>#REF!</v>
      </c>
      <c r="AN113" t="e">
        <f>AND(List!#REF!,"AAAAAD/7uyc=")</f>
        <v>#REF!</v>
      </c>
      <c r="AO113" t="e">
        <f>AND(List!#REF!,"AAAAAD/7uyg=")</f>
        <v>#REF!</v>
      </c>
      <c r="AP113" t="e">
        <f>IF(List!#REF!,"AAAAAD/7uyk=",0)</f>
        <v>#REF!</v>
      </c>
      <c r="AQ113" t="e">
        <f>AND(List!#REF!,"AAAAAD/7uyo=")</f>
        <v>#REF!</v>
      </c>
      <c r="AR113" t="e">
        <f>AND(List!#REF!,"AAAAAD/7uys=")</f>
        <v>#REF!</v>
      </c>
      <c r="AS113" t="e">
        <f>AND(List!#REF!,"AAAAAD/7uyw=")</f>
        <v>#REF!</v>
      </c>
      <c r="AT113" t="e">
        <f>IF(List!#REF!,"AAAAAD/7uy0=",0)</f>
        <v>#REF!</v>
      </c>
      <c r="AU113" t="e">
        <f>AND(List!#REF!,"AAAAAD/7uy4=")</f>
        <v>#REF!</v>
      </c>
      <c r="AV113" t="e">
        <f>AND(List!#REF!,"AAAAAD/7uy8=")</f>
        <v>#REF!</v>
      </c>
      <c r="AW113" t="e">
        <f>AND(List!#REF!,"AAAAAD/7uzA=")</f>
        <v>#REF!</v>
      </c>
      <c r="AX113" t="e">
        <f>IF(List!#REF!,"AAAAAD/7uzE=",0)</f>
        <v>#REF!</v>
      </c>
      <c r="AY113" t="e">
        <f>AND(List!#REF!,"AAAAAD/7uzI=")</f>
        <v>#REF!</v>
      </c>
      <c r="AZ113" t="e">
        <f>AND(List!#REF!,"AAAAAD/7uzM=")</f>
        <v>#REF!</v>
      </c>
      <c r="BA113" t="e">
        <f>AND(List!#REF!,"AAAAAD/7uzQ=")</f>
        <v>#REF!</v>
      </c>
      <c r="BB113" t="e">
        <f>IF(List!#REF!,"AAAAAD/7uzU=",0)</f>
        <v>#REF!</v>
      </c>
      <c r="BC113" t="e">
        <f>AND(List!#REF!,"AAAAAD/7uzY=")</f>
        <v>#REF!</v>
      </c>
      <c r="BD113" t="e">
        <f>AND(List!#REF!,"AAAAAD/7uzc=")</f>
        <v>#REF!</v>
      </c>
      <c r="BE113" t="e">
        <f>AND(List!#REF!,"AAAAAD/7uzg=")</f>
        <v>#REF!</v>
      </c>
      <c r="BF113" t="e">
        <f>IF(List!#REF!,"AAAAAD/7uzk=",0)</f>
        <v>#REF!</v>
      </c>
      <c r="BG113" t="e">
        <f>AND(List!#REF!,"AAAAAD/7uzo=")</f>
        <v>#REF!</v>
      </c>
      <c r="BH113" t="e">
        <f>AND(List!#REF!,"AAAAAD/7uzs=")</f>
        <v>#REF!</v>
      </c>
      <c r="BI113" t="e">
        <f>AND(List!#REF!,"AAAAAD/7uzw=")</f>
        <v>#REF!</v>
      </c>
      <c r="BJ113" t="e">
        <f>IF(List!#REF!,"AAAAAD/7uz0=",0)</f>
        <v>#REF!</v>
      </c>
      <c r="BK113" t="e">
        <f>AND(List!#REF!,"AAAAAD/7uz4=")</f>
        <v>#REF!</v>
      </c>
      <c r="BL113" t="e">
        <f>AND(List!#REF!,"AAAAAD/7uz8=")</f>
        <v>#REF!</v>
      </c>
      <c r="BM113" t="e">
        <f>AND(List!#REF!,"AAAAAD/7u0A=")</f>
        <v>#REF!</v>
      </c>
      <c r="BN113" t="e">
        <f>IF(List!#REF!,"AAAAAD/7u0E=",0)</f>
        <v>#REF!</v>
      </c>
      <c r="BO113" t="e">
        <f>AND(List!#REF!,"AAAAAD/7u0I=")</f>
        <v>#REF!</v>
      </c>
      <c r="BP113" t="e">
        <f>AND(List!#REF!,"AAAAAD/7u0M=")</f>
        <v>#REF!</v>
      </c>
      <c r="BQ113" t="e">
        <f>AND(List!#REF!,"AAAAAD/7u0Q=")</f>
        <v>#REF!</v>
      </c>
      <c r="BR113" t="e">
        <f>IF(List!#REF!,"AAAAAD/7u0U=",0)</f>
        <v>#REF!</v>
      </c>
      <c r="BS113" t="e">
        <f>AND(List!#REF!,"AAAAAD/7u0Y=")</f>
        <v>#REF!</v>
      </c>
      <c r="BT113" t="e">
        <f>AND(List!#REF!,"AAAAAD/7u0c=")</f>
        <v>#REF!</v>
      </c>
      <c r="BU113" t="e">
        <f>AND(List!#REF!,"AAAAAD/7u0g=")</f>
        <v>#REF!</v>
      </c>
      <c r="BV113" t="e">
        <f>IF(List!#REF!,"AAAAAD/7u0k=",0)</f>
        <v>#REF!</v>
      </c>
      <c r="BW113" t="e">
        <f>AND(List!#REF!,"AAAAAD/7u0o=")</f>
        <v>#REF!</v>
      </c>
      <c r="BX113" t="e">
        <f>AND(List!#REF!,"AAAAAD/7u0s=")</f>
        <v>#REF!</v>
      </c>
      <c r="BY113" t="e">
        <f>AND(List!#REF!,"AAAAAD/7u0w=")</f>
        <v>#REF!</v>
      </c>
      <c r="BZ113" t="e">
        <f>IF(List!#REF!,"AAAAAD/7u00=",0)</f>
        <v>#REF!</v>
      </c>
      <c r="CA113" t="e">
        <f>AND(List!#REF!,"AAAAAD/7u04=")</f>
        <v>#REF!</v>
      </c>
      <c r="CB113" t="e">
        <f>AND(List!#REF!,"AAAAAD/7u08=")</f>
        <v>#REF!</v>
      </c>
      <c r="CC113" t="e">
        <f>AND(List!#REF!,"AAAAAD/7u1A=")</f>
        <v>#REF!</v>
      </c>
      <c r="CD113" t="e">
        <f>IF(List!#REF!,"AAAAAD/7u1E=",0)</f>
        <v>#REF!</v>
      </c>
      <c r="CE113" t="e">
        <f>AND(List!#REF!,"AAAAAD/7u1I=")</f>
        <v>#REF!</v>
      </c>
      <c r="CF113" t="e">
        <f>AND(List!#REF!,"AAAAAD/7u1M=")</f>
        <v>#REF!</v>
      </c>
      <c r="CG113" t="e">
        <f>AND(List!#REF!,"AAAAAD/7u1Q=")</f>
        <v>#REF!</v>
      </c>
      <c r="CH113" t="e">
        <f>IF(List!#REF!,"AAAAAD/7u1U=",0)</f>
        <v>#REF!</v>
      </c>
      <c r="CI113" t="e">
        <f>AND(List!#REF!,"AAAAAD/7u1Y=")</f>
        <v>#REF!</v>
      </c>
      <c r="CJ113" t="e">
        <f>AND(List!#REF!,"AAAAAD/7u1c=")</f>
        <v>#REF!</v>
      </c>
      <c r="CK113" t="e">
        <f>AND(List!#REF!,"AAAAAD/7u1g=")</f>
        <v>#REF!</v>
      </c>
      <c r="CL113" t="e">
        <f>IF(List!#REF!,"AAAAAD/7u1k=",0)</f>
        <v>#REF!</v>
      </c>
      <c r="CM113" t="e">
        <f>AND(List!#REF!,"AAAAAD/7u1o=")</f>
        <v>#REF!</v>
      </c>
      <c r="CN113" t="e">
        <f>AND(List!#REF!,"AAAAAD/7u1s=")</f>
        <v>#REF!</v>
      </c>
      <c r="CO113" t="e">
        <f>AND(List!#REF!,"AAAAAD/7u1w=")</f>
        <v>#REF!</v>
      </c>
      <c r="CP113" t="e">
        <f>IF(List!#REF!,"AAAAAD/7u10=",0)</f>
        <v>#REF!</v>
      </c>
      <c r="CQ113" t="e">
        <f>AND(List!#REF!,"AAAAAD/7u14=")</f>
        <v>#REF!</v>
      </c>
      <c r="CR113" t="e">
        <f>AND(List!#REF!,"AAAAAD/7u18=")</f>
        <v>#REF!</v>
      </c>
      <c r="CS113" t="e">
        <f>AND(List!#REF!,"AAAAAD/7u2A=")</f>
        <v>#REF!</v>
      </c>
      <c r="CT113" t="e">
        <f>IF(List!#REF!,"AAAAAD/7u2E=",0)</f>
        <v>#REF!</v>
      </c>
      <c r="CU113" t="e">
        <f>AND(List!#REF!,"AAAAAD/7u2I=")</f>
        <v>#REF!</v>
      </c>
      <c r="CV113" t="e">
        <f>AND(List!#REF!,"AAAAAD/7u2M=")</f>
        <v>#REF!</v>
      </c>
      <c r="CW113" t="e">
        <f>AND(List!#REF!,"AAAAAD/7u2Q=")</f>
        <v>#REF!</v>
      </c>
      <c r="CX113" t="e">
        <f>IF(List!#REF!,"AAAAAD/7u2U=",0)</f>
        <v>#REF!</v>
      </c>
      <c r="CY113" t="e">
        <f>AND(List!#REF!,"AAAAAD/7u2Y=")</f>
        <v>#REF!</v>
      </c>
      <c r="CZ113" t="e">
        <f>AND(List!#REF!,"AAAAAD/7u2c=")</f>
        <v>#REF!</v>
      </c>
      <c r="DA113" t="e">
        <f>AND(List!#REF!,"AAAAAD/7u2g=")</f>
        <v>#REF!</v>
      </c>
      <c r="DB113" t="e">
        <f>IF(List!#REF!,"AAAAAD/7u2k=",0)</f>
        <v>#REF!</v>
      </c>
      <c r="DC113" t="e">
        <f>AND(List!#REF!,"AAAAAD/7u2o=")</f>
        <v>#REF!</v>
      </c>
      <c r="DD113" t="e">
        <f>AND(List!#REF!,"AAAAAD/7u2s=")</f>
        <v>#REF!</v>
      </c>
      <c r="DE113" t="e">
        <f>AND(List!#REF!,"AAAAAD/7u2w=")</f>
        <v>#REF!</v>
      </c>
      <c r="DF113" t="e">
        <f>IF(List!#REF!,"AAAAAD/7u20=",0)</f>
        <v>#REF!</v>
      </c>
      <c r="DG113" t="e">
        <f>AND(List!#REF!,"AAAAAD/7u24=")</f>
        <v>#REF!</v>
      </c>
      <c r="DH113" t="e">
        <f>AND(List!#REF!,"AAAAAD/7u28=")</f>
        <v>#REF!</v>
      </c>
      <c r="DI113" t="e">
        <f>AND(List!#REF!,"AAAAAD/7u3A=")</f>
        <v>#REF!</v>
      </c>
      <c r="DJ113" t="e">
        <f>IF(List!#REF!,"AAAAAD/7u3E=",0)</f>
        <v>#REF!</v>
      </c>
      <c r="DK113" t="e">
        <f>AND(List!#REF!,"AAAAAD/7u3I=")</f>
        <v>#REF!</v>
      </c>
      <c r="DL113" t="e">
        <f>AND(List!#REF!,"AAAAAD/7u3M=")</f>
        <v>#REF!</v>
      </c>
      <c r="DM113" t="e">
        <f>AND(List!#REF!,"AAAAAD/7u3Q=")</f>
        <v>#REF!</v>
      </c>
      <c r="DN113" t="e">
        <f>IF(List!#REF!,"AAAAAD/7u3U=",0)</f>
        <v>#REF!</v>
      </c>
      <c r="DO113" t="e">
        <f>AND(List!#REF!,"AAAAAD/7u3Y=")</f>
        <v>#REF!</v>
      </c>
      <c r="DP113" t="e">
        <f>AND(List!#REF!,"AAAAAD/7u3c=")</f>
        <v>#REF!</v>
      </c>
      <c r="DQ113" t="e">
        <f>AND(List!#REF!,"AAAAAD/7u3g=")</f>
        <v>#REF!</v>
      </c>
      <c r="DR113" t="e">
        <f>IF(List!#REF!,"AAAAAD/7u3k=",0)</f>
        <v>#REF!</v>
      </c>
      <c r="DS113" t="e">
        <f>AND(List!#REF!,"AAAAAD/7u3o=")</f>
        <v>#REF!</v>
      </c>
      <c r="DT113" t="e">
        <f>AND(List!#REF!,"AAAAAD/7u3s=")</f>
        <v>#REF!</v>
      </c>
      <c r="DU113" t="e">
        <f>AND(List!#REF!,"AAAAAD/7u3w=")</f>
        <v>#REF!</v>
      </c>
      <c r="DV113" t="e">
        <f>IF(List!#REF!,"AAAAAD/7u30=",0)</f>
        <v>#REF!</v>
      </c>
      <c r="DW113" t="e">
        <f>AND(List!#REF!,"AAAAAD/7u34=")</f>
        <v>#REF!</v>
      </c>
      <c r="DX113" t="e">
        <f>AND(List!#REF!,"AAAAAD/7u38=")</f>
        <v>#REF!</v>
      </c>
      <c r="DY113" t="e">
        <f>AND(List!#REF!,"AAAAAD/7u4A=")</f>
        <v>#REF!</v>
      </c>
      <c r="DZ113" t="e">
        <f>IF(List!#REF!,"AAAAAD/7u4E=",0)</f>
        <v>#REF!</v>
      </c>
      <c r="EA113" t="e">
        <f>AND(List!#REF!,"AAAAAD/7u4I=")</f>
        <v>#REF!</v>
      </c>
      <c r="EB113" t="e">
        <f>AND(List!#REF!,"AAAAAD/7u4M=")</f>
        <v>#REF!</v>
      </c>
      <c r="EC113" t="e">
        <f>AND(List!#REF!,"AAAAAD/7u4Q=")</f>
        <v>#REF!</v>
      </c>
      <c r="ED113" t="e">
        <f>IF(List!#REF!,"AAAAAD/7u4U=",0)</f>
        <v>#REF!</v>
      </c>
      <c r="EE113" t="e">
        <f>AND(List!#REF!,"AAAAAD/7u4Y=")</f>
        <v>#REF!</v>
      </c>
      <c r="EF113" t="e">
        <f>AND(List!#REF!,"AAAAAD/7u4c=")</f>
        <v>#REF!</v>
      </c>
      <c r="EG113" t="e">
        <f>AND(List!#REF!,"AAAAAD/7u4g=")</f>
        <v>#REF!</v>
      </c>
      <c r="EH113" t="e">
        <f>IF(List!#REF!,"AAAAAD/7u4k=",0)</f>
        <v>#REF!</v>
      </c>
      <c r="EI113" t="e">
        <f>AND(List!#REF!,"AAAAAD/7u4o=")</f>
        <v>#REF!</v>
      </c>
      <c r="EJ113" t="e">
        <f>AND(List!#REF!,"AAAAAD/7u4s=")</f>
        <v>#REF!</v>
      </c>
      <c r="EK113" t="e">
        <f>AND(List!#REF!,"AAAAAD/7u4w=")</f>
        <v>#REF!</v>
      </c>
      <c r="EL113" t="e">
        <f>IF(List!#REF!,"AAAAAD/7u40=",0)</f>
        <v>#REF!</v>
      </c>
      <c r="EM113" t="e">
        <f>AND(List!#REF!,"AAAAAD/7u44=")</f>
        <v>#REF!</v>
      </c>
      <c r="EN113" t="e">
        <f>AND(List!#REF!,"AAAAAD/7u48=")</f>
        <v>#REF!</v>
      </c>
      <c r="EO113" t="e">
        <f>AND(List!#REF!,"AAAAAD/7u5A=")</f>
        <v>#REF!</v>
      </c>
      <c r="EP113" t="e">
        <f>IF(List!#REF!,"AAAAAD/7u5E=",0)</f>
        <v>#REF!</v>
      </c>
      <c r="EQ113" t="e">
        <f>AND(List!#REF!,"AAAAAD/7u5I=")</f>
        <v>#REF!</v>
      </c>
      <c r="ER113" t="e">
        <f>AND(List!#REF!,"AAAAAD/7u5M=")</f>
        <v>#REF!</v>
      </c>
      <c r="ES113" t="e">
        <f>AND(List!#REF!,"AAAAAD/7u5Q=")</f>
        <v>#REF!</v>
      </c>
      <c r="ET113" t="e">
        <f>IF(List!#REF!,"AAAAAD/7u5U=",0)</f>
        <v>#REF!</v>
      </c>
      <c r="EU113" t="e">
        <f>AND(List!#REF!,"AAAAAD/7u5Y=")</f>
        <v>#REF!</v>
      </c>
      <c r="EV113" t="e">
        <f>AND(List!#REF!,"AAAAAD/7u5c=")</f>
        <v>#REF!</v>
      </c>
      <c r="EW113" t="e">
        <f>AND(List!#REF!,"AAAAAD/7u5g=")</f>
        <v>#REF!</v>
      </c>
      <c r="EX113" t="e">
        <f>IF(List!#REF!,"AAAAAD/7u5k=",0)</f>
        <v>#REF!</v>
      </c>
      <c r="EY113" t="e">
        <f>AND(List!#REF!,"AAAAAD/7u5o=")</f>
        <v>#REF!</v>
      </c>
      <c r="EZ113" t="e">
        <f>AND(List!#REF!,"AAAAAD/7u5s=")</f>
        <v>#REF!</v>
      </c>
      <c r="FA113" t="e">
        <f>AND(List!#REF!,"AAAAAD/7u5w=")</f>
        <v>#REF!</v>
      </c>
      <c r="FB113" t="e">
        <f>IF(List!#REF!,"AAAAAD/7u50=",0)</f>
        <v>#REF!</v>
      </c>
      <c r="FC113" t="e">
        <f>AND(List!#REF!,"AAAAAD/7u54=")</f>
        <v>#REF!</v>
      </c>
      <c r="FD113" t="e">
        <f>AND(List!#REF!,"AAAAAD/7u58=")</f>
        <v>#REF!</v>
      </c>
      <c r="FE113" t="e">
        <f>AND(List!#REF!,"AAAAAD/7u6A=")</f>
        <v>#REF!</v>
      </c>
      <c r="FF113" t="e">
        <f>IF(List!#REF!,"AAAAAD/7u6E=",0)</f>
        <v>#REF!</v>
      </c>
      <c r="FG113" t="e">
        <f>AND(List!#REF!,"AAAAAD/7u6I=")</f>
        <v>#REF!</v>
      </c>
      <c r="FH113" t="e">
        <f>AND(List!#REF!,"AAAAAD/7u6M=")</f>
        <v>#REF!</v>
      </c>
      <c r="FI113" t="e">
        <f>AND(List!#REF!,"AAAAAD/7u6Q=")</f>
        <v>#REF!</v>
      </c>
      <c r="FJ113" t="e">
        <f>IF(List!#REF!,"AAAAAD/7u6U=",0)</f>
        <v>#REF!</v>
      </c>
      <c r="FK113" t="e">
        <f>AND(List!#REF!,"AAAAAD/7u6Y=")</f>
        <v>#REF!</v>
      </c>
      <c r="FL113" t="e">
        <f>AND(List!#REF!,"AAAAAD/7u6c=")</f>
        <v>#REF!</v>
      </c>
      <c r="FM113" t="e">
        <f>AND(List!#REF!,"AAAAAD/7u6g=")</f>
        <v>#REF!</v>
      </c>
      <c r="FN113" t="e">
        <f>IF(List!#REF!,"AAAAAD/7u6k=",0)</f>
        <v>#REF!</v>
      </c>
      <c r="FO113" t="e">
        <f>AND(List!#REF!,"AAAAAD/7u6o=")</f>
        <v>#REF!</v>
      </c>
      <c r="FP113" t="e">
        <f>AND(List!#REF!,"AAAAAD/7u6s=")</f>
        <v>#REF!</v>
      </c>
      <c r="FQ113" t="e">
        <f>AND(List!#REF!,"AAAAAD/7u6w=")</f>
        <v>#REF!</v>
      </c>
      <c r="FR113" t="e">
        <f>IF(List!#REF!,"AAAAAD/7u60=",0)</f>
        <v>#REF!</v>
      </c>
      <c r="FS113" t="e">
        <f>AND(List!#REF!,"AAAAAD/7u64=")</f>
        <v>#REF!</v>
      </c>
      <c r="FT113" t="e">
        <f>AND(List!#REF!,"AAAAAD/7u68=")</f>
        <v>#REF!</v>
      </c>
      <c r="FU113" t="e">
        <f>AND(List!#REF!,"AAAAAD/7u7A=")</f>
        <v>#REF!</v>
      </c>
      <c r="FV113" t="e">
        <f>IF(List!#REF!,"AAAAAD/7u7E=",0)</f>
        <v>#REF!</v>
      </c>
      <c r="FW113" t="e">
        <f>AND(List!#REF!,"AAAAAD/7u7I=")</f>
        <v>#REF!</v>
      </c>
      <c r="FX113" t="e">
        <f>AND(List!#REF!,"AAAAAD/7u7M=")</f>
        <v>#REF!</v>
      </c>
      <c r="FY113" t="e">
        <f>AND(List!#REF!,"AAAAAD/7u7Q=")</f>
        <v>#REF!</v>
      </c>
      <c r="FZ113" t="e">
        <f>IF(List!#REF!,"AAAAAD/7u7U=",0)</f>
        <v>#REF!</v>
      </c>
      <c r="GA113" t="e">
        <f>AND(List!#REF!,"AAAAAD/7u7Y=")</f>
        <v>#REF!</v>
      </c>
      <c r="GB113" t="e">
        <f>AND(List!#REF!,"AAAAAD/7u7c=")</f>
        <v>#REF!</v>
      </c>
      <c r="GC113" t="e">
        <f>AND(List!#REF!,"AAAAAD/7u7g=")</f>
        <v>#REF!</v>
      </c>
      <c r="GD113" t="e">
        <f>IF(List!#REF!,"AAAAAD/7u7k=",0)</f>
        <v>#REF!</v>
      </c>
      <c r="GE113" t="e">
        <f>AND(List!#REF!,"AAAAAD/7u7o=")</f>
        <v>#REF!</v>
      </c>
      <c r="GF113" t="e">
        <f>AND(List!#REF!,"AAAAAD/7u7s=")</f>
        <v>#REF!</v>
      </c>
      <c r="GG113" t="e">
        <f>AND(List!#REF!,"AAAAAD/7u7w=")</f>
        <v>#REF!</v>
      </c>
      <c r="GH113" t="e">
        <f>IF(List!#REF!,"AAAAAD/7u70=",0)</f>
        <v>#REF!</v>
      </c>
      <c r="GI113" t="e">
        <f>AND(List!#REF!,"AAAAAD/7u74=")</f>
        <v>#REF!</v>
      </c>
      <c r="GJ113" t="e">
        <f>AND(List!#REF!,"AAAAAD/7u78=")</f>
        <v>#REF!</v>
      </c>
      <c r="GK113" t="e">
        <f>AND(List!#REF!,"AAAAAD/7u8A=")</f>
        <v>#REF!</v>
      </c>
      <c r="GL113" t="e">
        <f>IF(List!#REF!,"AAAAAD/7u8E=",0)</f>
        <v>#REF!</v>
      </c>
      <c r="GM113" t="e">
        <f>AND(List!#REF!,"AAAAAD/7u8I=")</f>
        <v>#REF!</v>
      </c>
      <c r="GN113" t="e">
        <f>AND(List!#REF!,"AAAAAD/7u8M=")</f>
        <v>#REF!</v>
      </c>
      <c r="GO113" t="e">
        <f>AND(List!#REF!,"AAAAAD/7u8Q=")</f>
        <v>#REF!</v>
      </c>
      <c r="GP113" t="e">
        <f>IF(List!#REF!,"AAAAAD/7u8U=",0)</f>
        <v>#REF!</v>
      </c>
      <c r="GQ113" t="e">
        <f>AND(List!#REF!,"AAAAAD/7u8Y=")</f>
        <v>#REF!</v>
      </c>
      <c r="GR113" t="e">
        <f>AND(List!#REF!,"AAAAAD/7u8c=")</f>
        <v>#REF!</v>
      </c>
      <c r="GS113" t="e">
        <f>AND(List!#REF!,"AAAAAD/7u8g=")</f>
        <v>#REF!</v>
      </c>
      <c r="GT113" t="e">
        <f>IF(List!#REF!,"AAAAAD/7u8k=",0)</f>
        <v>#REF!</v>
      </c>
      <c r="GU113" t="e">
        <f>AND(List!#REF!,"AAAAAD/7u8o=")</f>
        <v>#REF!</v>
      </c>
      <c r="GV113" t="e">
        <f>AND(List!#REF!,"AAAAAD/7u8s=")</f>
        <v>#REF!</v>
      </c>
      <c r="GW113" t="e">
        <f>AND(List!#REF!,"AAAAAD/7u8w=")</f>
        <v>#REF!</v>
      </c>
      <c r="GX113" t="e">
        <f>IF(List!#REF!,"AAAAAD/7u80=",0)</f>
        <v>#REF!</v>
      </c>
      <c r="GY113" t="e">
        <f>AND(List!#REF!,"AAAAAD/7u84=")</f>
        <v>#REF!</v>
      </c>
      <c r="GZ113" t="e">
        <f>AND(List!#REF!,"AAAAAD/7u88=")</f>
        <v>#REF!</v>
      </c>
      <c r="HA113" t="e">
        <f>AND(List!#REF!,"AAAAAD/7u9A=")</f>
        <v>#REF!</v>
      </c>
      <c r="HB113" t="e">
        <f>IF(List!#REF!,"AAAAAD/7u9E=",0)</f>
        <v>#REF!</v>
      </c>
      <c r="HC113" t="e">
        <f>AND(List!#REF!,"AAAAAD/7u9I=")</f>
        <v>#REF!</v>
      </c>
      <c r="HD113" t="e">
        <f>AND(List!#REF!,"AAAAAD/7u9M=")</f>
        <v>#REF!</v>
      </c>
      <c r="HE113" t="e">
        <f>AND(List!#REF!,"AAAAAD/7u9Q=")</f>
        <v>#REF!</v>
      </c>
      <c r="HF113" t="e">
        <f>IF(List!#REF!,"AAAAAD/7u9U=",0)</f>
        <v>#REF!</v>
      </c>
      <c r="HG113" t="e">
        <f>AND(List!#REF!,"AAAAAD/7u9Y=")</f>
        <v>#REF!</v>
      </c>
      <c r="HH113" t="e">
        <f>AND(List!#REF!,"AAAAAD/7u9c=")</f>
        <v>#REF!</v>
      </c>
      <c r="HI113" t="e">
        <f>AND(List!#REF!,"AAAAAD/7u9g=")</f>
        <v>#REF!</v>
      </c>
      <c r="HJ113" t="e">
        <f>IF(List!#REF!,"AAAAAD/7u9k=",0)</f>
        <v>#REF!</v>
      </c>
      <c r="HK113" t="e">
        <f>AND(List!#REF!,"AAAAAD/7u9o=")</f>
        <v>#REF!</v>
      </c>
      <c r="HL113" t="e">
        <f>AND(List!#REF!,"AAAAAD/7u9s=")</f>
        <v>#REF!</v>
      </c>
      <c r="HM113" t="e">
        <f>AND(List!#REF!,"AAAAAD/7u9w=")</f>
        <v>#REF!</v>
      </c>
      <c r="HN113" t="e">
        <f>IF(List!#REF!,"AAAAAD/7u90=",0)</f>
        <v>#REF!</v>
      </c>
      <c r="HO113" t="e">
        <f>AND(List!#REF!,"AAAAAD/7u94=")</f>
        <v>#REF!</v>
      </c>
      <c r="HP113" t="e">
        <f>AND(List!#REF!,"AAAAAD/7u98=")</f>
        <v>#REF!</v>
      </c>
      <c r="HQ113" t="e">
        <f>AND(List!#REF!,"AAAAAD/7u+A=")</f>
        <v>#REF!</v>
      </c>
      <c r="HR113" t="e">
        <f>IF(List!#REF!,"AAAAAD/7u+E=",0)</f>
        <v>#REF!</v>
      </c>
      <c r="HS113" t="e">
        <f>AND(List!#REF!,"AAAAAD/7u+I=")</f>
        <v>#REF!</v>
      </c>
      <c r="HT113" t="e">
        <f>AND(List!#REF!,"AAAAAD/7u+M=")</f>
        <v>#REF!</v>
      </c>
      <c r="HU113" t="e">
        <f>AND(List!#REF!,"AAAAAD/7u+Q=")</f>
        <v>#REF!</v>
      </c>
      <c r="HV113" t="e">
        <f>IF(List!#REF!,"AAAAAD/7u+U=",0)</f>
        <v>#REF!</v>
      </c>
      <c r="HW113" t="e">
        <f>AND(List!#REF!,"AAAAAD/7u+Y=")</f>
        <v>#REF!</v>
      </c>
      <c r="HX113" t="e">
        <f>AND(List!#REF!,"AAAAAD/7u+c=")</f>
        <v>#REF!</v>
      </c>
      <c r="HY113" t="e">
        <f>AND(List!#REF!,"AAAAAD/7u+g=")</f>
        <v>#REF!</v>
      </c>
      <c r="HZ113" t="e">
        <f>IF(List!#REF!,"AAAAAD/7u+k=",0)</f>
        <v>#REF!</v>
      </c>
      <c r="IA113" t="e">
        <f>AND(List!#REF!,"AAAAAD/7u+o=")</f>
        <v>#REF!</v>
      </c>
      <c r="IB113" t="e">
        <f>AND(List!#REF!,"AAAAAD/7u+s=")</f>
        <v>#REF!</v>
      </c>
      <c r="IC113" t="e">
        <f>AND(List!#REF!,"AAAAAD/7u+w=")</f>
        <v>#REF!</v>
      </c>
      <c r="ID113" t="e">
        <f>IF(List!#REF!,"AAAAAD/7u+0=",0)</f>
        <v>#REF!</v>
      </c>
      <c r="IE113" t="e">
        <f>AND(List!#REF!,"AAAAAD/7u+4=")</f>
        <v>#REF!</v>
      </c>
      <c r="IF113" t="e">
        <f>AND(List!#REF!,"AAAAAD/7u+8=")</f>
        <v>#REF!</v>
      </c>
      <c r="IG113" t="e">
        <f>AND(List!#REF!,"AAAAAD/7u/A=")</f>
        <v>#REF!</v>
      </c>
      <c r="IH113" t="e">
        <f>IF(List!#REF!,"AAAAAD/7u/E=",0)</f>
        <v>#REF!</v>
      </c>
      <c r="II113" t="e">
        <f>AND(List!#REF!,"AAAAAD/7u/I=")</f>
        <v>#REF!</v>
      </c>
      <c r="IJ113" t="e">
        <f>AND(List!#REF!,"AAAAAD/7u/M=")</f>
        <v>#REF!</v>
      </c>
      <c r="IK113" t="e">
        <f>AND(List!#REF!,"AAAAAD/7u/Q=")</f>
        <v>#REF!</v>
      </c>
      <c r="IL113" t="e">
        <f>IF(List!#REF!,"AAAAAD/7u/U=",0)</f>
        <v>#REF!</v>
      </c>
      <c r="IM113" t="e">
        <f>AND(List!#REF!,"AAAAAD/7u/Y=")</f>
        <v>#REF!</v>
      </c>
      <c r="IN113" t="e">
        <f>AND(List!#REF!,"AAAAAD/7u/c=")</f>
        <v>#REF!</v>
      </c>
      <c r="IO113" t="e">
        <f>AND(List!#REF!,"AAAAAD/7u/g=")</f>
        <v>#REF!</v>
      </c>
      <c r="IP113" t="e">
        <f>IF(List!#REF!,"AAAAAD/7u/k=",0)</f>
        <v>#REF!</v>
      </c>
      <c r="IQ113" t="e">
        <f>AND(List!#REF!,"AAAAAD/7u/o=")</f>
        <v>#REF!</v>
      </c>
      <c r="IR113" t="e">
        <f>AND(List!#REF!,"AAAAAD/7u/s=")</f>
        <v>#REF!</v>
      </c>
      <c r="IS113" t="e">
        <f>AND(List!#REF!,"AAAAAD/7u/w=")</f>
        <v>#REF!</v>
      </c>
      <c r="IT113" t="e">
        <f>IF(List!#REF!,"AAAAAD/7u/0=",0)</f>
        <v>#REF!</v>
      </c>
      <c r="IU113" t="e">
        <f>AND(List!#REF!,"AAAAAD/7u/4=")</f>
        <v>#REF!</v>
      </c>
      <c r="IV113" t="e">
        <f>AND(List!#REF!,"AAAAAD/7u/8=")</f>
        <v>#REF!</v>
      </c>
    </row>
    <row r="114" spans="1:256" x14ac:dyDescent="0.15">
      <c r="A114" t="e">
        <f>AND(List!#REF!,"AAAAAD/b9QA=")</f>
        <v>#REF!</v>
      </c>
      <c r="B114" t="e">
        <f>IF(List!#REF!,"AAAAAD/b9QE=",0)</f>
        <v>#REF!</v>
      </c>
      <c r="C114" t="e">
        <f>AND(List!#REF!,"AAAAAD/b9QI=")</f>
        <v>#REF!</v>
      </c>
      <c r="D114" t="e">
        <f>AND(List!#REF!,"AAAAAD/b9QM=")</f>
        <v>#REF!</v>
      </c>
      <c r="E114" t="e">
        <f>AND(List!#REF!,"AAAAAD/b9QQ=")</f>
        <v>#REF!</v>
      </c>
      <c r="F114" t="e">
        <f>IF(List!#REF!,"AAAAAD/b9QU=",0)</f>
        <v>#REF!</v>
      </c>
      <c r="G114" t="e">
        <f>AND(List!#REF!,"AAAAAD/b9QY=")</f>
        <v>#REF!</v>
      </c>
      <c r="H114" t="e">
        <f>AND(List!#REF!,"AAAAAD/b9Qc=")</f>
        <v>#REF!</v>
      </c>
      <c r="I114" t="e">
        <f>AND(List!#REF!,"AAAAAD/b9Qg=")</f>
        <v>#REF!</v>
      </c>
      <c r="J114" t="e">
        <f>IF(List!#REF!,"AAAAAD/b9Qk=",0)</f>
        <v>#REF!</v>
      </c>
      <c r="K114" t="e">
        <f>AND(List!#REF!,"AAAAAD/b9Qo=")</f>
        <v>#REF!</v>
      </c>
      <c r="L114" t="e">
        <f>AND(List!#REF!,"AAAAAD/b9Qs=")</f>
        <v>#REF!</v>
      </c>
      <c r="M114" t="e">
        <f>AND(List!#REF!,"AAAAAD/b9Qw=")</f>
        <v>#REF!</v>
      </c>
      <c r="N114" t="e">
        <f>IF(List!#REF!,"AAAAAD/b9Q0=",0)</f>
        <v>#REF!</v>
      </c>
      <c r="O114" t="e">
        <f>AND(List!#REF!,"AAAAAD/b9Q4=")</f>
        <v>#REF!</v>
      </c>
      <c r="P114" t="e">
        <f>AND(List!#REF!,"AAAAAD/b9Q8=")</f>
        <v>#REF!</v>
      </c>
      <c r="Q114" t="e">
        <f>AND(List!#REF!,"AAAAAD/b9RA=")</f>
        <v>#REF!</v>
      </c>
      <c r="R114" t="e">
        <f>IF(List!#REF!,"AAAAAD/b9RE=",0)</f>
        <v>#REF!</v>
      </c>
      <c r="S114" t="e">
        <f>AND(List!#REF!,"AAAAAD/b9RI=")</f>
        <v>#REF!</v>
      </c>
      <c r="T114" t="e">
        <f>AND(List!#REF!,"AAAAAD/b9RM=")</f>
        <v>#REF!</v>
      </c>
      <c r="U114" t="e">
        <f>AND(List!#REF!,"AAAAAD/b9RQ=")</f>
        <v>#REF!</v>
      </c>
      <c r="V114" t="e">
        <f>IF(List!#REF!,"AAAAAD/b9RU=",0)</f>
        <v>#REF!</v>
      </c>
      <c r="W114" t="e">
        <f>AND(List!#REF!,"AAAAAD/b9RY=")</f>
        <v>#REF!</v>
      </c>
      <c r="X114" t="e">
        <f>AND(List!#REF!,"AAAAAD/b9Rc=")</f>
        <v>#REF!</v>
      </c>
      <c r="Y114" t="e">
        <f>AND(List!#REF!,"AAAAAD/b9Rg=")</f>
        <v>#REF!</v>
      </c>
      <c r="Z114" t="e">
        <f>IF(List!#REF!,"AAAAAD/b9Rk=",0)</f>
        <v>#REF!</v>
      </c>
      <c r="AA114" t="e">
        <f>AND(List!#REF!,"AAAAAD/b9Ro=")</f>
        <v>#REF!</v>
      </c>
      <c r="AB114" t="e">
        <f>AND(List!#REF!,"AAAAAD/b9Rs=")</f>
        <v>#REF!</v>
      </c>
      <c r="AC114" t="e">
        <f>AND(List!#REF!,"AAAAAD/b9Rw=")</f>
        <v>#REF!</v>
      </c>
      <c r="AD114" t="e">
        <f>IF(List!#REF!,"AAAAAD/b9R0=",0)</f>
        <v>#REF!</v>
      </c>
      <c r="AE114" t="e">
        <f>AND(List!#REF!,"AAAAAD/b9R4=")</f>
        <v>#REF!</v>
      </c>
      <c r="AF114" t="e">
        <f>AND(List!#REF!,"AAAAAD/b9R8=")</f>
        <v>#REF!</v>
      </c>
      <c r="AG114" t="e">
        <f>AND(List!#REF!,"AAAAAD/b9SA=")</f>
        <v>#REF!</v>
      </c>
      <c r="AH114" t="e">
        <f>IF(List!#REF!,"AAAAAD/b9SE=",0)</f>
        <v>#REF!</v>
      </c>
      <c r="AI114" t="e">
        <f>AND(List!#REF!,"AAAAAD/b9SI=")</f>
        <v>#REF!</v>
      </c>
      <c r="AJ114" t="e">
        <f>AND(List!#REF!,"AAAAAD/b9SM=")</f>
        <v>#REF!</v>
      </c>
      <c r="AK114" t="e">
        <f>AND(List!#REF!,"AAAAAD/b9SQ=")</f>
        <v>#REF!</v>
      </c>
      <c r="AL114" t="e">
        <f>IF(List!#REF!,"AAAAAD/b9SU=",0)</f>
        <v>#REF!</v>
      </c>
      <c r="AM114" t="e">
        <f>AND(List!#REF!,"AAAAAD/b9SY=")</f>
        <v>#REF!</v>
      </c>
      <c r="AN114" t="e">
        <f>AND(List!#REF!,"AAAAAD/b9Sc=")</f>
        <v>#REF!</v>
      </c>
      <c r="AO114" t="e">
        <f>AND(List!#REF!,"AAAAAD/b9Sg=")</f>
        <v>#REF!</v>
      </c>
      <c r="AP114" t="e">
        <f>IF(List!#REF!,"AAAAAD/b9Sk=",0)</f>
        <v>#REF!</v>
      </c>
      <c r="AQ114" t="e">
        <f>AND(List!#REF!,"AAAAAD/b9So=")</f>
        <v>#REF!</v>
      </c>
      <c r="AR114" t="e">
        <f>AND(List!#REF!,"AAAAAD/b9Ss=")</f>
        <v>#REF!</v>
      </c>
      <c r="AS114" t="e">
        <f>AND(List!#REF!,"AAAAAD/b9Sw=")</f>
        <v>#REF!</v>
      </c>
      <c r="AT114" t="e">
        <f>IF(List!#REF!,"AAAAAD/b9S0=",0)</f>
        <v>#REF!</v>
      </c>
      <c r="AU114" t="e">
        <f>AND(List!#REF!,"AAAAAD/b9S4=")</f>
        <v>#REF!</v>
      </c>
      <c r="AV114" t="e">
        <f>AND(List!#REF!,"AAAAAD/b9S8=")</f>
        <v>#REF!</v>
      </c>
      <c r="AW114" t="e">
        <f>AND(List!#REF!,"AAAAAD/b9TA=")</f>
        <v>#REF!</v>
      </c>
      <c r="AX114" t="e">
        <f>IF(List!#REF!,"AAAAAD/b9TE=",0)</f>
        <v>#REF!</v>
      </c>
      <c r="AY114" t="e">
        <f>AND(List!#REF!,"AAAAAD/b9TI=")</f>
        <v>#REF!</v>
      </c>
      <c r="AZ114" t="e">
        <f>AND(List!#REF!,"AAAAAD/b9TM=")</f>
        <v>#REF!</v>
      </c>
      <c r="BA114" t="e">
        <f>AND(List!#REF!,"AAAAAD/b9TQ=")</f>
        <v>#REF!</v>
      </c>
      <c r="BB114" t="e">
        <f>IF(List!#REF!,"AAAAAD/b9TU=",0)</f>
        <v>#REF!</v>
      </c>
      <c r="BC114" t="e">
        <f>AND(List!#REF!,"AAAAAD/b9TY=")</f>
        <v>#REF!</v>
      </c>
      <c r="BD114" t="e">
        <f>AND(List!#REF!,"AAAAAD/b9Tc=")</f>
        <v>#REF!</v>
      </c>
      <c r="BE114" t="e">
        <f>AND(List!#REF!,"AAAAAD/b9Tg=")</f>
        <v>#REF!</v>
      </c>
      <c r="BF114" t="e">
        <f>IF(List!#REF!,"AAAAAD/b9Tk=",0)</f>
        <v>#REF!</v>
      </c>
      <c r="BG114" t="e">
        <f>AND(List!#REF!,"AAAAAD/b9To=")</f>
        <v>#REF!</v>
      </c>
      <c r="BH114" t="e">
        <f>AND(List!#REF!,"AAAAAD/b9Ts=")</f>
        <v>#REF!</v>
      </c>
      <c r="BI114" t="e">
        <f>AND(List!#REF!,"AAAAAD/b9Tw=")</f>
        <v>#REF!</v>
      </c>
      <c r="BJ114" t="e">
        <f>IF(List!#REF!,"AAAAAD/b9T0=",0)</f>
        <v>#REF!</v>
      </c>
      <c r="BK114" t="e">
        <f>AND(List!#REF!,"AAAAAD/b9T4=")</f>
        <v>#REF!</v>
      </c>
      <c r="BL114" t="e">
        <f>AND(List!#REF!,"AAAAAD/b9T8=")</f>
        <v>#REF!</v>
      </c>
      <c r="BM114" t="e">
        <f>AND(List!#REF!,"AAAAAD/b9UA=")</f>
        <v>#REF!</v>
      </c>
      <c r="BN114" t="e">
        <f>IF(List!#REF!,"AAAAAD/b9UE=",0)</f>
        <v>#REF!</v>
      </c>
      <c r="BO114" t="e">
        <f>AND(List!#REF!,"AAAAAD/b9UI=")</f>
        <v>#REF!</v>
      </c>
      <c r="BP114" t="e">
        <f>AND(List!#REF!,"AAAAAD/b9UM=")</f>
        <v>#REF!</v>
      </c>
      <c r="BQ114" t="e">
        <f>AND(List!#REF!,"AAAAAD/b9UQ=")</f>
        <v>#REF!</v>
      </c>
      <c r="BR114" t="e">
        <f>IF(List!#REF!,"AAAAAD/b9UU=",0)</f>
        <v>#REF!</v>
      </c>
      <c r="BS114" t="e">
        <f>AND(List!#REF!,"AAAAAD/b9UY=")</f>
        <v>#REF!</v>
      </c>
      <c r="BT114" t="e">
        <f>AND(List!#REF!,"AAAAAD/b9Uc=")</f>
        <v>#REF!</v>
      </c>
      <c r="BU114" t="e">
        <f>AND(List!#REF!,"AAAAAD/b9Ug=")</f>
        <v>#REF!</v>
      </c>
      <c r="BV114" t="e">
        <f>IF(List!#REF!,"AAAAAD/b9Uk=",0)</f>
        <v>#REF!</v>
      </c>
      <c r="BW114" t="e">
        <f>AND(List!#REF!,"AAAAAD/b9Uo=")</f>
        <v>#REF!</v>
      </c>
      <c r="BX114" t="e">
        <f>AND(List!#REF!,"AAAAAD/b9Us=")</f>
        <v>#REF!</v>
      </c>
      <c r="BY114" t="e">
        <f>AND(List!#REF!,"AAAAAD/b9Uw=")</f>
        <v>#REF!</v>
      </c>
      <c r="BZ114" t="e">
        <f>IF(List!#REF!,"AAAAAD/b9U0=",0)</f>
        <v>#REF!</v>
      </c>
      <c r="CA114" t="e">
        <f>AND(List!#REF!,"AAAAAD/b9U4=")</f>
        <v>#REF!</v>
      </c>
      <c r="CB114" t="e">
        <f>AND(List!#REF!,"AAAAAD/b9U8=")</f>
        <v>#REF!</v>
      </c>
      <c r="CC114" t="e">
        <f>AND(List!#REF!,"AAAAAD/b9VA=")</f>
        <v>#REF!</v>
      </c>
      <c r="CD114" t="e">
        <f>IF(List!#REF!,"AAAAAD/b9VE=",0)</f>
        <v>#REF!</v>
      </c>
      <c r="CE114" t="e">
        <f>AND(List!#REF!,"AAAAAD/b9VI=")</f>
        <v>#REF!</v>
      </c>
      <c r="CF114" t="e">
        <f>AND(List!#REF!,"AAAAAD/b9VM=")</f>
        <v>#REF!</v>
      </c>
      <c r="CG114" t="e">
        <f>AND(List!#REF!,"AAAAAD/b9VQ=")</f>
        <v>#REF!</v>
      </c>
      <c r="CH114" t="e">
        <f>IF(List!#REF!,"AAAAAD/b9VU=",0)</f>
        <v>#REF!</v>
      </c>
      <c r="CI114" t="e">
        <f>AND(List!#REF!,"AAAAAD/b9VY=")</f>
        <v>#REF!</v>
      </c>
      <c r="CJ114" t="e">
        <f>AND(List!#REF!,"AAAAAD/b9Vc=")</f>
        <v>#REF!</v>
      </c>
      <c r="CK114" t="e">
        <f>AND(List!#REF!,"AAAAAD/b9Vg=")</f>
        <v>#REF!</v>
      </c>
      <c r="CL114" t="e">
        <f>IF(List!#REF!,"AAAAAD/b9Vk=",0)</f>
        <v>#REF!</v>
      </c>
      <c r="CM114" t="e">
        <f>AND(List!#REF!,"AAAAAD/b9Vo=")</f>
        <v>#REF!</v>
      </c>
      <c r="CN114" t="e">
        <f>AND(List!#REF!,"AAAAAD/b9Vs=")</f>
        <v>#REF!</v>
      </c>
      <c r="CO114" t="e">
        <f>AND(List!#REF!,"AAAAAD/b9Vw=")</f>
        <v>#REF!</v>
      </c>
      <c r="CP114" t="e">
        <f>IF(List!#REF!,"AAAAAD/b9V0=",0)</f>
        <v>#REF!</v>
      </c>
      <c r="CQ114" t="e">
        <f>AND(List!#REF!,"AAAAAD/b9V4=")</f>
        <v>#REF!</v>
      </c>
      <c r="CR114" t="e">
        <f>AND(List!#REF!,"AAAAAD/b9V8=")</f>
        <v>#REF!</v>
      </c>
      <c r="CS114" t="e">
        <f>AND(List!#REF!,"AAAAAD/b9WA=")</f>
        <v>#REF!</v>
      </c>
      <c r="CT114" t="e">
        <f>IF(List!#REF!,"AAAAAD/b9WE=",0)</f>
        <v>#REF!</v>
      </c>
      <c r="CU114" t="e">
        <f>AND(List!#REF!,"AAAAAD/b9WI=")</f>
        <v>#REF!</v>
      </c>
      <c r="CV114" t="e">
        <f>AND(List!#REF!,"AAAAAD/b9WM=")</f>
        <v>#REF!</v>
      </c>
      <c r="CW114" t="e">
        <f>AND(List!#REF!,"AAAAAD/b9WQ=")</f>
        <v>#REF!</v>
      </c>
      <c r="CX114" t="e">
        <f>IF(List!#REF!,"AAAAAD/b9WU=",0)</f>
        <v>#REF!</v>
      </c>
      <c r="CY114" t="e">
        <f>AND(List!#REF!,"AAAAAD/b9WY=")</f>
        <v>#REF!</v>
      </c>
      <c r="CZ114" t="e">
        <f>AND(List!#REF!,"AAAAAD/b9Wc=")</f>
        <v>#REF!</v>
      </c>
      <c r="DA114" t="e">
        <f>AND(List!#REF!,"AAAAAD/b9Wg=")</f>
        <v>#REF!</v>
      </c>
      <c r="DB114" t="e">
        <f>IF(List!#REF!,"AAAAAD/b9Wk=",0)</f>
        <v>#REF!</v>
      </c>
      <c r="DC114" t="e">
        <f>AND(List!#REF!,"AAAAAD/b9Wo=")</f>
        <v>#REF!</v>
      </c>
      <c r="DD114" t="e">
        <f>AND(List!#REF!,"AAAAAD/b9Ws=")</f>
        <v>#REF!</v>
      </c>
      <c r="DE114" t="e">
        <f>AND(List!#REF!,"AAAAAD/b9Ww=")</f>
        <v>#REF!</v>
      </c>
      <c r="DF114" t="e">
        <f>IF(List!#REF!,"AAAAAD/b9W0=",0)</f>
        <v>#REF!</v>
      </c>
      <c r="DG114" t="e">
        <f>AND(List!#REF!,"AAAAAD/b9W4=")</f>
        <v>#REF!</v>
      </c>
      <c r="DH114" t="e">
        <f>AND(List!#REF!,"AAAAAD/b9W8=")</f>
        <v>#REF!</v>
      </c>
      <c r="DI114" t="e">
        <f>AND(List!#REF!,"AAAAAD/b9XA=")</f>
        <v>#REF!</v>
      </c>
      <c r="DJ114" t="e">
        <f>IF(List!#REF!,"AAAAAD/b9XE=",0)</f>
        <v>#REF!</v>
      </c>
      <c r="DK114" t="e">
        <f>AND(List!#REF!,"AAAAAD/b9XI=")</f>
        <v>#REF!</v>
      </c>
      <c r="DL114" t="e">
        <f>AND(List!#REF!,"AAAAAD/b9XM=")</f>
        <v>#REF!</v>
      </c>
      <c r="DM114" t="e">
        <f>AND(List!#REF!,"AAAAAD/b9XQ=")</f>
        <v>#REF!</v>
      </c>
      <c r="DN114" t="e">
        <f>IF(List!#REF!,"AAAAAD/b9XU=",0)</f>
        <v>#REF!</v>
      </c>
      <c r="DO114" t="e">
        <f>AND(List!#REF!,"AAAAAD/b9XY=")</f>
        <v>#REF!</v>
      </c>
      <c r="DP114" t="e">
        <f>AND(List!#REF!,"AAAAAD/b9Xc=")</f>
        <v>#REF!</v>
      </c>
      <c r="DQ114" t="e">
        <f>AND(List!#REF!,"AAAAAD/b9Xg=")</f>
        <v>#REF!</v>
      </c>
      <c r="DR114" t="e">
        <f>IF(List!#REF!,"AAAAAD/b9Xk=",0)</f>
        <v>#REF!</v>
      </c>
      <c r="DS114" t="e">
        <f>AND(List!#REF!,"AAAAAD/b9Xo=")</f>
        <v>#REF!</v>
      </c>
      <c r="DT114" t="e">
        <f>AND(List!#REF!,"AAAAAD/b9Xs=")</f>
        <v>#REF!</v>
      </c>
      <c r="DU114" t="e">
        <f>AND(List!#REF!,"AAAAAD/b9Xw=")</f>
        <v>#REF!</v>
      </c>
      <c r="DV114" t="e">
        <f>IF(List!#REF!,"AAAAAD/b9X0=",0)</f>
        <v>#REF!</v>
      </c>
      <c r="DW114" t="e">
        <f>AND(List!#REF!,"AAAAAD/b9X4=")</f>
        <v>#REF!</v>
      </c>
      <c r="DX114" t="e">
        <f>AND(List!#REF!,"AAAAAD/b9X8=")</f>
        <v>#REF!</v>
      </c>
      <c r="DY114" t="e">
        <f>AND(List!#REF!,"AAAAAD/b9YA=")</f>
        <v>#REF!</v>
      </c>
      <c r="DZ114" t="e">
        <f>IF(List!#REF!,"AAAAAD/b9YE=",0)</f>
        <v>#REF!</v>
      </c>
      <c r="EA114" t="e">
        <f>AND(List!#REF!,"AAAAAD/b9YI=")</f>
        <v>#REF!</v>
      </c>
      <c r="EB114" t="e">
        <f>AND(List!#REF!,"AAAAAD/b9YM=")</f>
        <v>#REF!</v>
      </c>
      <c r="EC114" t="e">
        <f>AND(List!#REF!,"AAAAAD/b9YQ=")</f>
        <v>#REF!</v>
      </c>
      <c r="ED114" t="e">
        <f>IF(List!#REF!,"AAAAAD/b9YU=",0)</f>
        <v>#REF!</v>
      </c>
      <c r="EE114" t="e">
        <f>AND(List!#REF!,"AAAAAD/b9YY=")</f>
        <v>#REF!</v>
      </c>
      <c r="EF114" t="e">
        <f>AND(List!#REF!,"AAAAAD/b9Yc=")</f>
        <v>#REF!</v>
      </c>
      <c r="EG114" t="e">
        <f>AND(List!#REF!,"AAAAAD/b9Yg=")</f>
        <v>#REF!</v>
      </c>
      <c r="EH114" t="e">
        <f>IF(List!#REF!,"AAAAAD/b9Yk=",0)</f>
        <v>#REF!</v>
      </c>
      <c r="EI114" t="e">
        <f>AND(List!#REF!,"AAAAAD/b9Yo=")</f>
        <v>#REF!</v>
      </c>
      <c r="EJ114" t="e">
        <f>AND(List!#REF!,"AAAAAD/b9Ys=")</f>
        <v>#REF!</v>
      </c>
      <c r="EK114" t="e">
        <f>AND(List!#REF!,"AAAAAD/b9Yw=")</f>
        <v>#REF!</v>
      </c>
      <c r="EL114" t="e">
        <f>IF(List!#REF!,"AAAAAD/b9Y0=",0)</f>
        <v>#REF!</v>
      </c>
      <c r="EM114" t="e">
        <f>AND(List!#REF!,"AAAAAD/b9Y4=")</f>
        <v>#REF!</v>
      </c>
      <c r="EN114" t="e">
        <f>AND(List!#REF!,"AAAAAD/b9Y8=")</f>
        <v>#REF!</v>
      </c>
      <c r="EO114" t="e">
        <f>AND(List!#REF!,"AAAAAD/b9ZA=")</f>
        <v>#REF!</v>
      </c>
      <c r="EP114" t="e">
        <f>IF(List!#REF!,"AAAAAD/b9ZE=",0)</f>
        <v>#REF!</v>
      </c>
      <c r="EQ114" t="e">
        <f>AND(List!#REF!,"AAAAAD/b9ZI=")</f>
        <v>#REF!</v>
      </c>
      <c r="ER114" t="e">
        <f>AND(List!#REF!,"AAAAAD/b9ZM=")</f>
        <v>#REF!</v>
      </c>
      <c r="ES114" t="e">
        <f>AND(List!#REF!,"AAAAAD/b9ZQ=")</f>
        <v>#REF!</v>
      </c>
      <c r="ET114" t="e">
        <f>IF(List!#REF!,"AAAAAD/b9ZU=",0)</f>
        <v>#REF!</v>
      </c>
      <c r="EU114" t="e">
        <f>AND(List!#REF!,"AAAAAD/b9ZY=")</f>
        <v>#REF!</v>
      </c>
      <c r="EV114" t="e">
        <f>AND(List!#REF!,"AAAAAD/b9Zc=")</f>
        <v>#REF!</v>
      </c>
      <c r="EW114" t="e">
        <f>AND(List!#REF!,"AAAAAD/b9Zg=")</f>
        <v>#REF!</v>
      </c>
      <c r="EX114" t="e">
        <f>IF(List!#REF!,"AAAAAD/b9Zk=",0)</f>
        <v>#REF!</v>
      </c>
      <c r="EY114" t="e">
        <f>AND(List!#REF!,"AAAAAD/b9Zo=")</f>
        <v>#REF!</v>
      </c>
      <c r="EZ114" t="e">
        <f>AND(List!#REF!,"AAAAAD/b9Zs=")</f>
        <v>#REF!</v>
      </c>
      <c r="FA114" t="e">
        <f>AND(List!#REF!,"AAAAAD/b9Zw=")</f>
        <v>#REF!</v>
      </c>
      <c r="FB114" t="e">
        <f>IF(List!#REF!,"AAAAAD/b9Z0=",0)</f>
        <v>#REF!</v>
      </c>
      <c r="FC114" t="e">
        <f>AND(List!#REF!,"AAAAAD/b9Z4=")</f>
        <v>#REF!</v>
      </c>
      <c r="FD114" t="e">
        <f>AND(List!#REF!,"AAAAAD/b9Z8=")</f>
        <v>#REF!</v>
      </c>
      <c r="FE114" t="e">
        <f>AND(List!#REF!,"AAAAAD/b9aA=")</f>
        <v>#REF!</v>
      </c>
      <c r="FF114" t="e">
        <f>IF(List!#REF!,"AAAAAD/b9aE=",0)</f>
        <v>#REF!</v>
      </c>
      <c r="FG114" t="e">
        <f>AND(List!#REF!,"AAAAAD/b9aI=")</f>
        <v>#REF!</v>
      </c>
      <c r="FH114" t="e">
        <f>AND(List!#REF!,"AAAAAD/b9aM=")</f>
        <v>#REF!</v>
      </c>
      <c r="FI114" t="e">
        <f>AND(List!#REF!,"AAAAAD/b9aQ=")</f>
        <v>#REF!</v>
      </c>
      <c r="FJ114" t="e">
        <f>IF(List!#REF!,"AAAAAD/b9aU=",0)</f>
        <v>#REF!</v>
      </c>
      <c r="FK114" t="e">
        <f>AND(List!#REF!,"AAAAAD/b9aY=")</f>
        <v>#REF!</v>
      </c>
      <c r="FL114" t="e">
        <f>AND(List!#REF!,"AAAAAD/b9ac=")</f>
        <v>#REF!</v>
      </c>
      <c r="FM114" t="e">
        <f>AND(List!#REF!,"AAAAAD/b9ag=")</f>
        <v>#REF!</v>
      </c>
      <c r="FN114" t="e">
        <f>IF(List!#REF!,"AAAAAD/b9ak=",0)</f>
        <v>#REF!</v>
      </c>
      <c r="FO114" t="e">
        <f>AND(List!#REF!,"AAAAAD/b9ao=")</f>
        <v>#REF!</v>
      </c>
      <c r="FP114" t="e">
        <f>AND(List!#REF!,"AAAAAD/b9as=")</f>
        <v>#REF!</v>
      </c>
      <c r="FQ114" t="e">
        <f>AND(List!#REF!,"AAAAAD/b9aw=")</f>
        <v>#REF!</v>
      </c>
      <c r="FR114" t="e">
        <f>IF(List!#REF!,"AAAAAD/b9a0=",0)</f>
        <v>#REF!</v>
      </c>
      <c r="FS114" t="e">
        <f>AND(List!#REF!,"AAAAAD/b9a4=")</f>
        <v>#REF!</v>
      </c>
      <c r="FT114" t="e">
        <f>AND(List!#REF!,"AAAAAD/b9a8=")</f>
        <v>#REF!</v>
      </c>
      <c r="FU114" t="e">
        <f>AND(List!#REF!,"AAAAAD/b9bA=")</f>
        <v>#REF!</v>
      </c>
      <c r="FV114" t="e">
        <f>IF(List!#REF!,"AAAAAD/b9bE=",0)</f>
        <v>#REF!</v>
      </c>
      <c r="FW114" t="e">
        <f>AND(List!#REF!,"AAAAAD/b9bI=")</f>
        <v>#REF!</v>
      </c>
      <c r="FX114" t="e">
        <f>AND(List!#REF!,"AAAAAD/b9bM=")</f>
        <v>#REF!</v>
      </c>
      <c r="FY114" t="e">
        <f>AND(List!#REF!,"AAAAAD/b9bQ=")</f>
        <v>#REF!</v>
      </c>
      <c r="FZ114" t="e">
        <f>IF(List!#REF!,"AAAAAD/b9bU=",0)</f>
        <v>#REF!</v>
      </c>
      <c r="GA114" t="e">
        <f>AND(List!#REF!,"AAAAAD/b9bY=")</f>
        <v>#REF!</v>
      </c>
      <c r="GB114" t="e">
        <f>AND(List!#REF!,"AAAAAD/b9bc=")</f>
        <v>#REF!</v>
      </c>
      <c r="GC114" t="e">
        <f>AND(List!#REF!,"AAAAAD/b9bg=")</f>
        <v>#REF!</v>
      </c>
      <c r="GD114" t="e">
        <f>IF(List!#REF!,"AAAAAD/b9bk=",0)</f>
        <v>#REF!</v>
      </c>
      <c r="GE114" t="e">
        <f>AND(List!#REF!,"AAAAAD/b9bo=")</f>
        <v>#REF!</v>
      </c>
      <c r="GF114" t="e">
        <f>AND(List!#REF!,"AAAAAD/b9bs=")</f>
        <v>#REF!</v>
      </c>
      <c r="GG114" t="e">
        <f>AND(List!#REF!,"AAAAAD/b9bw=")</f>
        <v>#REF!</v>
      </c>
      <c r="GH114" t="e">
        <f>IF(List!#REF!,"AAAAAD/b9b0=",0)</f>
        <v>#REF!</v>
      </c>
      <c r="GI114" t="e">
        <f>AND(List!#REF!,"AAAAAD/b9b4=")</f>
        <v>#REF!</v>
      </c>
      <c r="GJ114" t="e">
        <f>AND(List!#REF!,"AAAAAD/b9b8=")</f>
        <v>#REF!</v>
      </c>
      <c r="GK114" t="e">
        <f>AND(List!#REF!,"AAAAAD/b9cA=")</f>
        <v>#REF!</v>
      </c>
      <c r="GL114" t="e">
        <f>IF(List!#REF!,"AAAAAD/b9cE=",0)</f>
        <v>#REF!</v>
      </c>
      <c r="GM114" t="e">
        <f>AND(List!#REF!,"AAAAAD/b9cI=")</f>
        <v>#REF!</v>
      </c>
      <c r="GN114" t="e">
        <f>AND(List!#REF!,"AAAAAD/b9cM=")</f>
        <v>#REF!</v>
      </c>
      <c r="GO114" t="e">
        <f>AND(List!#REF!,"AAAAAD/b9cQ=")</f>
        <v>#REF!</v>
      </c>
      <c r="GP114" t="e">
        <f>IF(List!#REF!,"AAAAAD/b9cU=",0)</f>
        <v>#REF!</v>
      </c>
      <c r="GQ114" t="e">
        <f>AND(List!#REF!,"AAAAAD/b9cY=")</f>
        <v>#REF!</v>
      </c>
      <c r="GR114" t="e">
        <f>AND(List!#REF!,"AAAAAD/b9cc=")</f>
        <v>#REF!</v>
      </c>
      <c r="GS114" t="e">
        <f>AND(List!#REF!,"AAAAAD/b9cg=")</f>
        <v>#REF!</v>
      </c>
      <c r="GT114" t="e">
        <f>IF(List!#REF!,"AAAAAD/b9ck=",0)</f>
        <v>#REF!</v>
      </c>
      <c r="GU114" t="e">
        <f>AND(List!#REF!,"AAAAAD/b9co=")</f>
        <v>#REF!</v>
      </c>
      <c r="GV114" t="e">
        <f>AND(List!#REF!,"AAAAAD/b9cs=")</f>
        <v>#REF!</v>
      </c>
      <c r="GW114" t="e">
        <f>AND(List!#REF!,"AAAAAD/b9cw=")</f>
        <v>#REF!</v>
      </c>
      <c r="GX114" t="e">
        <f>IF(List!#REF!,"AAAAAD/b9c0=",0)</f>
        <v>#REF!</v>
      </c>
      <c r="GY114" t="e">
        <f>AND(List!#REF!,"AAAAAD/b9c4=")</f>
        <v>#REF!</v>
      </c>
      <c r="GZ114" t="e">
        <f>AND(List!#REF!,"AAAAAD/b9c8=")</f>
        <v>#REF!</v>
      </c>
      <c r="HA114" t="e">
        <f>AND(List!#REF!,"AAAAAD/b9dA=")</f>
        <v>#REF!</v>
      </c>
      <c r="HB114" t="e">
        <f>IF(List!#REF!,"AAAAAD/b9dE=",0)</f>
        <v>#REF!</v>
      </c>
      <c r="HC114" t="e">
        <f>AND(List!#REF!,"AAAAAD/b9dI=")</f>
        <v>#REF!</v>
      </c>
      <c r="HD114" t="e">
        <f>AND(List!#REF!,"AAAAAD/b9dM=")</f>
        <v>#REF!</v>
      </c>
      <c r="HE114" t="e">
        <f>AND(List!#REF!,"AAAAAD/b9dQ=")</f>
        <v>#REF!</v>
      </c>
      <c r="HF114" t="e">
        <f>IF(List!#REF!,"AAAAAD/b9dU=",0)</f>
        <v>#REF!</v>
      </c>
      <c r="HG114" t="e">
        <f>AND(List!#REF!,"AAAAAD/b9dY=")</f>
        <v>#REF!</v>
      </c>
      <c r="HH114" t="e">
        <f>AND(List!#REF!,"AAAAAD/b9dc=")</f>
        <v>#REF!</v>
      </c>
      <c r="HI114" t="e">
        <f>AND(List!#REF!,"AAAAAD/b9dg=")</f>
        <v>#REF!</v>
      </c>
      <c r="HJ114" t="e">
        <f>IF(List!#REF!,"AAAAAD/b9dk=",0)</f>
        <v>#REF!</v>
      </c>
      <c r="HK114" t="e">
        <f>AND(List!#REF!,"AAAAAD/b9do=")</f>
        <v>#REF!</v>
      </c>
      <c r="HL114" t="e">
        <f>AND(List!#REF!,"AAAAAD/b9ds=")</f>
        <v>#REF!</v>
      </c>
      <c r="HM114" t="e">
        <f>AND(List!#REF!,"AAAAAD/b9dw=")</f>
        <v>#REF!</v>
      </c>
      <c r="HN114" t="e">
        <f>IF(List!#REF!,"AAAAAD/b9d0=",0)</f>
        <v>#REF!</v>
      </c>
      <c r="HO114" t="e">
        <f>AND(List!#REF!,"AAAAAD/b9d4=")</f>
        <v>#REF!</v>
      </c>
      <c r="HP114" t="e">
        <f>AND(List!#REF!,"AAAAAD/b9d8=")</f>
        <v>#REF!</v>
      </c>
      <c r="HQ114" t="e">
        <f>AND(List!#REF!,"AAAAAD/b9eA=")</f>
        <v>#REF!</v>
      </c>
      <c r="HR114" t="e">
        <f>IF(List!#REF!,"AAAAAD/b9eE=",0)</f>
        <v>#REF!</v>
      </c>
      <c r="HS114" t="e">
        <f>AND(List!#REF!,"AAAAAD/b9eI=")</f>
        <v>#REF!</v>
      </c>
      <c r="HT114" t="e">
        <f>AND(List!#REF!,"AAAAAD/b9eM=")</f>
        <v>#REF!</v>
      </c>
      <c r="HU114" t="e">
        <f>AND(List!#REF!,"AAAAAD/b9eQ=")</f>
        <v>#REF!</v>
      </c>
      <c r="HV114" t="e">
        <f>IF(List!#REF!,"AAAAAD/b9eU=",0)</f>
        <v>#REF!</v>
      </c>
      <c r="HW114" t="e">
        <f>AND(List!#REF!,"AAAAAD/b9eY=")</f>
        <v>#REF!</v>
      </c>
      <c r="HX114" t="e">
        <f>AND(List!#REF!,"AAAAAD/b9ec=")</f>
        <v>#REF!</v>
      </c>
      <c r="HY114" t="e">
        <f>AND(List!#REF!,"AAAAAD/b9eg=")</f>
        <v>#REF!</v>
      </c>
      <c r="HZ114" t="e">
        <f>IF(List!#REF!,"AAAAAD/b9ek=",0)</f>
        <v>#REF!</v>
      </c>
      <c r="IA114" t="e">
        <f>AND(List!#REF!,"AAAAAD/b9eo=")</f>
        <v>#REF!</v>
      </c>
      <c r="IB114" t="e">
        <f>AND(List!#REF!,"AAAAAD/b9es=")</f>
        <v>#REF!</v>
      </c>
      <c r="IC114" t="e">
        <f>AND(List!#REF!,"AAAAAD/b9ew=")</f>
        <v>#REF!</v>
      </c>
      <c r="ID114" t="e">
        <f>IF(List!#REF!,"AAAAAD/b9e0=",0)</f>
        <v>#REF!</v>
      </c>
      <c r="IE114" t="e">
        <f>AND(List!#REF!,"AAAAAD/b9e4=")</f>
        <v>#REF!</v>
      </c>
      <c r="IF114" t="e">
        <f>AND(List!#REF!,"AAAAAD/b9e8=")</f>
        <v>#REF!</v>
      </c>
      <c r="IG114" t="e">
        <f>AND(List!#REF!,"AAAAAD/b9fA=")</f>
        <v>#REF!</v>
      </c>
      <c r="IH114" t="e">
        <f>IF(List!#REF!,"AAAAAD/b9fE=",0)</f>
        <v>#REF!</v>
      </c>
      <c r="II114" t="e">
        <f>AND(List!#REF!,"AAAAAD/b9fI=")</f>
        <v>#REF!</v>
      </c>
      <c r="IJ114" t="e">
        <f>AND(List!#REF!,"AAAAAD/b9fM=")</f>
        <v>#REF!</v>
      </c>
      <c r="IK114" t="e">
        <f>AND(List!#REF!,"AAAAAD/b9fQ=")</f>
        <v>#REF!</v>
      </c>
      <c r="IL114" t="e">
        <f>IF(List!#REF!,"AAAAAD/b9fU=",0)</f>
        <v>#REF!</v>
      </c>
      <c r="IM114" t="e">
        <f>AND(List!#REF!,"AAAAAD/b9fY=")</f>
        <v>#REF!</v>
      </c>
      <c r="IN114" t="e">
        <f>AND(List!#REF!,"AAAAAD/b9fc=")</f>
        <v>#REF!</v>
      </c>
      <c r="IO114" t="e">
        <f>AND(List!#REF!,"AAAAAD/b9fg=")</f>
        <v>#REF!</v>
      </c>
      <c r="IP114" t="e">
        <f>IF(List!#REF!,"AAAAAD/b9fk=",0)</f>
        <v>#REF!</v>
      </c>
      <c r="IQ114" t="e">
        <f>AND(List!#REF!,"AAAAAD/b9fo=")</f>
        <v>#REF!</v>
      </c>
      <c r="IR114" t="e">
        <f>AND(List!#REF!,"AAAAAD/b9fs=")</f>
        <v>#REF!</v>
      </c>
      <c r="IS114" t="e">
        <f>AND(List!#REF!,"AAAAAD/b9fw=")</f>
        <v>#REF!</v>
      </c>
      <c r="IT114" t="e">
        <f>IF(List!#REF!,"AAAAAD/b9f0=",0)</f>
        <v>#REF!</v>
      </c>
      <c r="IU114" t="e">
        <f>AND(List!#REF!,"AAAAAD/b9f4=")</f>
        <v>#REF!</v>
      </c>
      <c r="IV114" t="e">
        <f>AND(List!#REF!,"AAAAAD/b9f8=")</f>
        <v>#REF!</v>
      </c>
    </row>
    <row r="115" spans="1:256" x14ac:dyDescent="0.15">
      <c r="A115" t="e">
        <f>AND(List!#REF!,"AAAAAF3YfwA=")</f>
        <v>#REF!</v>
      </c>
      <c r="B115" t="e">
        <f>IF(List!#REF!,"AAAAAF3YfwE=",0)</f>
        <v>#REF!</v>
      </c>
      <c r="C115" t="e">
        <f>AND(List!#REF!,"AAAAAF3YfwI=")</f>
        <v>#REF!</v>
      </c>
      <c r="D115" t="e">
        <f>AND(List!#REF!,"AAAAAF3YfwM=")</f>
        <v>#REF!</v>
      </c>
      <c r="E115" t="e">
        <f>AND(List!#REF!,"AAAAAF3YfwQ=")</f>
        <v>#REF!</v>
      </c>
      <c r="F115" t="e">
        <f>IF(List!#REF!,"AAAAAF3YfwU=",0)</f>
        <v>#REF!</v>
      </c>
      <c r="G115" t="e">
        <f>AND(List!#REF!,"AAAAAF3YfwY=")</f>
        <v>#REF!</v>
      </c>
      <c r="H115" t="e">
        <f>AND(List!#REF!,"AAAAAF3Yfwc=")</f>
        <v>#REF!</v>
      </c>
      <c r="I115" t="e">
        <f>AND(List!#REF!,"AAAAAF3Yfwg=")</f>
        <v>#REF!</v>
      </c>
      <c r="J115" t="e">
        <f>IF(List!#REF!,"AAAAAF3Yfwk=",0)</f>
        <v>#REF!</v>
      </c>
      <c r="K115" t="e">
        <f>AND(List!#REF!,"AAAAAF3Yfwo=")</f>
        <v>#REF!</v>
      </c>
      <c r="L115" t="e">
        <f>AND(List!#REF!,"AAAAAF3Yfws=")</f>
        <v>#REF!</v>
      </c>
      <c r="M115" t="e">
        <f>AND(List!#REF!,"AAAAAF3Yfww=")</f>
        <v>#REF!</v>
      </c>
      <c r="N115" t="e">
        <f>IF(List!#REF!,"AAAAAF3Yfw0=",0)</f>
        <v>#REF!</v>
      </c>
      <c r="O115" t="e">
        <f>AND(List!#REF!,"AAAAAF3Yfw4=")</f>
        <v>#REF!</v>
      </c>
      <c r="P115" t="e">
        <f>AND(List!#REF!,"AAAAAF3Yfw8=")</f>
        <v>#REF!</v>
      </c>
      <c r="Q115" t="e">
        <f>AND(List!#REF!,"AAAAAF3YfxA=")</f>
        <v>#REF!</v>
      </c>
      <c r="R115" t="e">
        <f>IF(List!#REF!,"AAAAAF3YfxE=",0)</f>
        <v>#REF!</v>
      </c>
      <c r="S115" t="e">
        <f>AND(List!#REF!,"AAAAAF3YfxI=")</f>
        <v>#REF!</v>
      </c>
      <c r="T115" t="e">
        <f>AND(List!#REF!,"AAAAAF3YfxM=")</f>
        <v>#REF!</v>
      </c>
      <c r="U115" t="e">
        <f>AND(List!#REF!,"AAAAAF3YfxQ=")</f>
        <v>#REF!</v>
      </c>
      <c r="V115" t="e">
        <f>IF(List!#REF!,"AAAAAF3YfxU=",0)</f>
        <v>#REF!</v>
      </c>
      <c r="W115" t="e">
        <f>AND(List!#REF!,"AAAAAF3YfxY=")</f>
        <v>#REF!</v>
      </c>
      <c r="X115" t="e">
        <f>AND(List!#REF!,"AAAAAF3Yfxc=")</f>
        <v>#REF!</v>
      </c>
      <c r="Y115" t="e">
        <f>AND(List!#REF!,"AAAAAF3Yfxg=")</f>
        <v>#REF!</v>
      </c>
      <c r="Z115" t="e">
        <f>IF(List!#REF!,"AAAAAF3Yfxk=",0)</f>
        <v>#REF!</v>
      </c>
      <c r="AA115" t="e">
        <f>AND(List!#REF!,"AAAAAF3Yfxo=")</f>
        <v>#REF!</v>
      </c>
      <c r="AB115" t="e">
        <f>AND(List!#REF!,"AAAAAF3Yfxs=")</f>
        <v>#REF!</v>
      </c>
      <c r="AC115" t="e">
        <f>AND(List!#REF!,"AAAAAF3Yfxw=")</f>
        <v>#REF!</v>
      </c>
      <c r="AD115" t="e">
        <f>IF(List!#REF!,"AAAAAF3Yfx0=",0)</f>
        <v>#REF!</v>
      </c>
      <c r="AE115" t="e">
        <f>AND(List!#REF!,"AAAAAF3Yfx4=")</f>
        <v>#REF!</v>
      </c>
      <c r="AF115" t="e">
        <f>AND(List!#REF!,"AAAAAF3Yfx8=")</f>
        <v>#REF!</v>
      </c>
      <c r="AG115" t="e">
        <f>AND(List!#REF!,"AAAAAF3YfyA=")</f>
        <v>#REF!</v>
      </c>
      <c r="AH115" t="e">
        <f>IF(List!#REF!,"AAAAAF3YfyE=",0)</f>
        <v>#REF!</v>
      </c>
      <c r="AI115" t="e">
        <f>AND(List!#REF!,"AAAAAF3YfyI=")</f>
        <v>#REF!</v>
      </c>
      <c r="AJ115" t="e">
        <f>AND(List!#REF!,"AAAAAF3YfyM=")</f>
        <v>#REF!</v>
      </c>
      <c r="AK115" t="e">
        <f>AND(List!#REF!,"AAAAAF3YfyQ=")</f>
        <v>#REF!</v>
      </c>
      <c r="AL115" t="e">
        <f>IF(List!#REF!,"AAAAAF3YfyU=",0)</f>
        <v>#REF!</v>
      </c>
      <c r="AM115" t="e">
        <f>AND(List!#REF!,"AAAAAF3YfyY=")</f>
        <v>#REF!</v>
      </c>
      <c r="AN115" t="e">
        <f>AND(List!#REF!,"AAAAAF3Yfyc=")</f>
        <v>#REF!</v>
      </c>
      <c r="AO115" t="e">
        <f>AND(List!#REF!,"AAAAAF3Yfyg=")</f>
        <v>#REF!</v>
      </c>
      <c r="AP115" t="e">
        <f>IF(List!#REF!,"AAAAAF3Yfyk=",0)</f>
        <v>#REF!</v>
      </c>
      <c r="AQ115" t="e">
        <f>AND(List!#REF!,"AAAAAF3Yfyo=")</f>
        <v>#REF!</v>
      </c>
      <c r="AR115" t="e">
        <f>AND(List!#REF!,"AAAAAF3Yfys=")</f>
        <v>#REF!</v>
      </c>
      <c r="AS115" t="e">
        <f>AND(List!#REF!,"AAAAAF3Yfyw=")</f>
        <v>#REF!</v>
      </c>
      <c r="AT115" t="e">
        <f>IF(List!#REF!,"AAAAAF3Yfy0=",0)</f>
        <v>#REF!</v>
      </c>
      <c r="AU115" t="e">
        <f>AND(List!#REF!,"AAAAAF3Yfy4=")</f>
        <v>#REF!</v>
      </c>
      <c r="AV115" t="e">
        <f>AND(List!#REF!,"AAAAAF3Yfy8=")</f>
        <v>#REF!</v>
      </c>
      <c r="AW115" t="e">
        <f>AND(List!#REF!,"AAAAAF3YfzA=")</f>
        <v>#REF!</v>
      </c>
      <c r="AX115" t="e">
        <f>IF(List!#REF!,"AAAAAF3YfzE=",0)</f>
        <v>#REF!</v>
      </c>
      <c r="AY115" t="e">
        <f>AND(List!#REF!,"AAAAAF3YfzI=")</f>
        <v>#REF!</v>
      </c>
      <c r="AZ115" t="e">
        <f>AND(List!#REF!,"AAAAAF3YfzM=")</f>
        <v>#REF!</v>
      </c>
      <c r="BA115" t="e">
        <f>AND(List!#REF!,"AAAAAF3YfzQ=")</f>
        <v>#REF!</v>
      </c>
      <c r="BB115" t="e">
        <f>IF(List!#REF!,"AAAAAF3YfzU=",0)</f>
        <v>#REF!</v>
      </c>
      <c r="BC115" t="e">
        <f>AND(List!#REF!,"AAAAAF3YfzY=")</f>
        <v>#REF!</v>
      </c>
      <c r="BD115" t="e">
        <f>AND(List!#REF!,"AAAAAF3Yfzc=")</f>
        <v>#REF!</v>
      </c>
      <c r="BE115" t="e">
        <f>AND(List!#REF!,"AAAAAF3Yfzg=")</f>
        <v>#REF!</v>
      </c>
      <c r="BF115" t="e">
        <f>IF(List!#REF!,"AAAAAF3Yfzk=",0)</f>
        <v>#REF!</v>
      </c>
      <c r="BG115" t="e">
        <f>AND(List!#REF!,"AAAAAF3Yfzo=")</f>
        <v>#REF!</v>
      </c>
      <c r="BH115" t="e">
        <f>AND(List!#REF!,"AAAAAF3Yfzs=")</f>
        <v>#REF!</v>
      </c>
      <c r="BI115" t="e">
        <f>AND(List!#REF!,"AAAAAF3Yfzw=")</f>
        <v>#REF!</v>
      </c>
      <c r="BJ115" t="e">
        <f>IF(List!#REF!,"AAAAAF3Yfz0=",0)</f>
        <v>#REF!</v>
      </c>
      <c r="BK115" t="e">
        <f>AND(List!#REF!,"AAAAAF3Yfz4=")</f>
        <v>#REF!</v>
      </c>
      <c r="BL115" t="e">
        <f>AND(List!#REF!,"AAAAAF3Yfz8=")</f>
        <v>#REF!</v>
      </c>
      <c r="BM115" t="e">
        <f>AND(List!#REF!,"AAAAAF3Yf0A=")</f>
        <v>#REF!</v>
      </c>
      <c r="BN115" t="e">
        <f>IF(List!#REF!,"AAAAAF3Yf0E=",0)</f>
        <v>#REF!</v>
      </c>
      <c r="BO115" t="e">
        <f>AND(List!#REF!,"AAAAAF3Yf0I=")</f>
        <v>#REF!</v>
      </c>
      <c r="BP115" t="e">
        <f>AND(List!#REF!,"AAAAAF3Yf0M=")</f>
        <v>#REF!</v>
      </c>
      <c r="BQ115" t="e">
        <f>AND(List!#REF!,"AAAAAF3Yf0Q=")</f>
        <v>#REF!</v>
      </c>
      <c r="BR115" t="e">
        <f>IF(List!#REF!,"AAAAAF3Yf0U=",0)</f>
        <v>#REF!</v>
      </c>
      <c r="BS115" t="e">
        <f>AND(List!#REF!,"AAAAAF3Yf0Y=")</f>
        <v>#REF!</v>
      </c>
      <c r="BT115" t="e">
        <f>AND(List!#REF!,"AAAAAF3Yf0c=")</f>
        <v>#REF!</v>
      </c>
      <c r="BU115" t="e">
        <f>AND(List!#REF!,"AAAAAF3Yf0g=")</f>
        <v>#REF!</v>
      </c>
      <c r="BV115" t="e">
        <f>IF(List!#REF!,"AAAAAF3Yf0k=",0)</f>
        <v>#REF!</v>
      </c>
      <c r="BW115" t="e">
        <f>AND(List!#REF!,"AAAAAF3Yf0o=")</f>
        <v>#REF!</v>
      </c>
      <c r="BX115" t="e">
        <f>AND(List!#REF!,"AAAAAF3Yf0s=")</f>
        <v>#REF!</v>
      </c>
      <c r="BY115" t="e">
        <f>AND(List!#REF!,"AAAAAF3Yf0w=")</f>
        <v>#REF!</v>
      </c>
      <c r="BZ115" t="e">
        <f>IF(List!#REF!,"AAAAAF3Yf00=",0)</f>
        <v>#REF!</v>
      </c>
      <c r="CA115" t="e">
        <f>AND(List!#REF!,"AAAAAF3Yf04=")</f>
        <v>#REF!</v>
      </c>
      <c r="CB115" t="e">
        <f>AND(List!#REF!,"AAAAAF3Yf08=")</f>
        <v>#REF!</v>
      </c>
      <c r="CC115" t="e">
        <f>AND(List!#REF!,"AAAAAF3Yf1A=")</f>
        <v>#REF!</v>
      </c>
      <c r="CD115" t="e">
        <f>IF(List!#REF!,"AAAAAF3Yf1E=",0)</f>
        <v>#REF!</v>
      </c>
      <c r="CE115" t="e">
        <f>AND(List!#REF!,"AAAAAF3Yf1I=")</f>
        <v>#REF!</v>
      </c>
      <c r="CF115" t="e">
        <f>AND(List!#REF!,"AAAAAF3Yf1M=")</f>
        <v>#REF!</v>
      </c>
      <c r="CG115" t="e">
        <f>AND(List!#REF!,"AAAAAF3Yf1Q=")</f>
        <v>#REF!</v>
      </c>
      <c r="CH115" t="e">
        <f>IF(List!#REF!,"AAAAAF3Yf1U=",0)</f>
        <v>#REF!</v>
      </c>
      <c r="CI115" t="e">
        <f>AND(List!#REF!,"AAAAAF3Yf1Y=")</f>
        <v>#REF!</v>
      </c>
      <c r="CJ115" t="e">
        <f>AND(List!#REF!,"AAAAAF3Yf1c=")</f>
        <v>#REF!</v>
      </c>
      <c r="CK115" t="e">
        <f>AND(List!#REF!,"AAAAAF3Yf1g=")</f>
        <v>#REF!</v>
      </c>
      <c r="CL115" t="e">
        <f>IF(List!#REF!,"AAAAAF3Yf1k=",0)</f>
        <v>#REF!</v>
      </c>
      <c r="CM115" t="e">
        <f>AND(List!#REF!,"AAAAAF3Yf1o=")</f>
        <v>#REF!</v>
      </c>
      <c r="CN115" t="e">
        <f>AND(List!#REF!,"AAAAAF3Yf1s=")</f>
        <v>#REF!</v>
      </c>
      <c r="CO115" t="e">
        <f>AND(List!#REF!,"AAAAAF3Yf1w=")</f>
        <v>#REF!</v>
      </c>
      <c r="CP115" t="e">
        <f>IF(List!#REF!,"AAAAAF3Yf10=",0)</f>
        <v>#REF!</v>
      </c>
      <c r="CQ115" t="e">
        <f>AND(List!#REF!,"AAAAAF3Yf14=")</f>
        <v>#REF!</v>
      </c>
      <c r="CR115" t="e">
        <f>AND(List!#REF!,"AAAAAF3Yf18=")</f>
        <v>#REF!</v>
      </c>
      <c r="CS115" t="e">
        <f>AND(List!#REF!,"AAAAAF3Yf2A=")</f>
        <v>#REF!</v>
      </c>
      <c r="CT115" t="e">
        <f>IF(List!#REF!,"AAAAAF3Yf2E=",0)</f>
        <v>#REF!</v>
      </c>
      <c r="CU115" t="e">
        <f>AND(List!#REF!,"AAAAAF3Yf2I=")</f>
        <v>#REF!</v>
      </c>
      <c r="CV115" t="e">
        <f>AND(List!#REF!,"AAAAAF3Yf2M=")</f>
        <v>#REF!</v>
      </c>
      <c r="CW115" t="e">
        <f>AND(List!#REF!,"AAAAAF3Yf2Q=")</f>
        <v>#REF!</v>
      </c>
      <c r="CX115" t="e">
        <f>IF(List!#REF!,"AAAAAF3Yf2U=",0)</f>
        <v>#REF!</v>
      </c>
      <c r="CY115" t="e">
        <f>AND(List!#REF!,"AAAAAF3Yf2Y=")</f>
        <v>#REF!</v>
      </c>
      <c r="CZ115" t="e">
        <f>AND(List!#REF!,"AAAAAF3Yf2c=")</f>
        <v>#REF!</v>
      </c>
      <c r="DA115" t="e">
        <f>AND(List!#REF!,"AAAAAF3Yf2g=")</f>
        <v>#REF!</v>
      </c>
      <c r="DB115" t="e">
        <f>IF(List!#REF!,"AAAAAF3Yf2k=",0)</f>
        <v>#REF!</v>
      </c>
      <c r="DC115" t="e">
        <f>AND(List!#REF!,"AAAAAF3Yf2o=")</f>
        <v>#REF!</v>
      </c>
      <c r="DD115" t="e">
        <f>AND(List!#REF!,"AAAAAF3Yf2s=")</f>
        <v>#REF!</v>
      </c>
      <c r="DE115" t="e">
        <f>AND(List!#REF!,"AAAAAF3Yf2w=")</f>
        <v>#REF!</v>
      </c>
      <c r="DF115" t="e">
        <f>IF(List!#REF!,"AAAAAF3Yf20=",0)</f>
        <v>#REF!</v>
      </c>
      <c r="DG115" t="e">
        <f>AND(List!#REF!,"AAAAAF3Yf24=")</f>
        <v>#REF!</v>
      </c>
      <c r="DH115" t="e">
        <f>AND(List!#REF!,"AAAAAF3Yf28=")</f>
        <v>#REF!</v>
      </c>
      <c r="DI115" t="e">
        <f>AND(List!#REF!,"AAAAAF3Yf3A=")</f>
        <v>#REF!</v>
      </c>
      <c r="DJ115" t="e">
        <f>IF(List!#REF!,"AAAAAF3Yf3E=",0)</f>
        <v>#REF!</v>
      </c>
      <c r="DK115" t="e">
        <f>AND(List!#REF!,"AAAAAF3Yf3I=")</f>
        <v>#REF!</v>
      </c>
      <c r="DL115" t="e">
        <f>AND(List!#REF!,"AAAAAF3Yf3M=")</f>
        <v>#REF!</v>
      </c>
      <c r="DM115" t="e">
        <f>AND(List!#REF!,"AAAAAF3Yf3Q=")</f>
        <v>#REF!</v>
      </c>
      <c r="DN115" t="e">
        <f>IF(List!#REF!,"AAAAAF3Yf3U=",0)</f>
        <v>#REF!</v>
      </c>
      <c r="DO115" t="e">
        <f>AND(List!#REF!,"AAAAAF3Yf3Y=")</f>
        <v>#REF!</v>
      </c>
      <c r="DP115" t="e">
        <f>AND(List!#REF!,"AAAAAF3Yf3c=")</f>
        <v>#REF!</v>
      </c>
      <c r="DQ115" t="e">
        <f>AND(List!#REF!,"AAAAAF3Yf3g=")</f>
        <v>#REF!</v>
      </c>
      <c r="DR115" t="e">
        <f>IF(List!#REF!,"AAAAAF3Yf3k=",0)</f>
        <v>#REF!</v>
      </c>
      <c r="DS115" t="e">
        <f>AND(List!#REF!,"AAAAAF3Yf3o=")</f>
        <v>#REF!</v>
      </c>
      <c r="DT115" t="e">
        <f>AND(List!#REF!,"AAAAAF3Yf3s=")</f>
        <v>#REF!</v>
      </c>
      <c r="DU115" t="e">
        <f>AND(List!#REF!,"AAAAAF3Yf3w=")</f>
        <v>#REF!</v>
      </c>
      <c r="DV115" t="e">
        <f>IF(List!#REF!,"AAAAAF3Yf30=",0)</f>
        <v>#REF!</v>
      </c>
      <c r="DW115" t="e">
        <f>AND(List!#REF!,"AAAAAF3Yf34=")</f>
        <v>#REF!</v>
      </c>
      <c r="DX115" t="e">
        <f>AND(List!#REF!,"AAAAAF3Yf38=")</f>
        <v>#REF!</v>
      </c>
      <c r="DY115" t="e">
        <f>AND(List!#REF!,"AAAAAF3Yf4A=")</f>
        <v>#REF!</v>
      </c>
      <c r="DZ115" t="e">
        <f>IF(List!#REF!,"AAAAAF3Yf4E=",0)</f>
        <v>#REF!</v>
      </c>
      <c r="EA115" t="e">
        <f>AND(List!#REF!,"AAAAAF3Yf4I=")</f>
        <v>#REF!</v>
      </c>
      <c r="EB115" t="e">
        <f>AND(List!#REF!,"AAAAAF3Yf4M=")</f>
        <v>#REF!</v>
      </c>
      <c r="EC115" t="e">
        <f>AND(List!#REF!,"AAAAAF3Yf4Q=")</f>
        <v>#REF!</v>
      </c>
      <c r="ED115" t="e">
        <f>IF(List!#REF!,"AAAAAF3Yf4U=",0)</f>
        <v>#REF!</v>
      </c>
      <c r="EE115" t="e">
        <f>AND(List!#REF!,"AAAAAF3Yf4Y=")</f>
        <v>#REF!</v>
      </c>
      <c r="EF115" t="e">
        <f>AND(List!#REF!,"AAAAAF3Yf4c=")</f>
        <v>#REF!</v>
      </c>
      <c r="EG115" t="e">
        <f>AND(List!#REF!,"AAAAAF3Yf4g=")</f>
        <v>#REF!</v>
      </c>
      <c r="EH115" t="e">
        <f>IF(List!#REF!,"AAAAAF3Yf4k=",0)</f>
        <v>#REF!</v>
      </c>
      <c r="EI115" t="e">
        <f>AND(List!#REF!,"AAAAAF3Yf4o=")</f>
        <v>#REF!</v>
      </c>
      <c r="EJ115" t="e">
        <f>AND(List!#REF!,"AAAAAF3Yf4s=")</f>
        <v>#REF!</v>
      </c>
      <c r="EK115" t="e">
        <f>AND(List!#REF!,"AAAAAF3Yf4w=")</f>
        <v>#REF!</v>
      </c>
      <c r="EL115" t="e">
        <f>IF(List!#REF!,"AAAAAF3Yf40=",0)</f>
        <v>#REF!</v>
      </c>
      <c r="EM115" t="e">
        <f>AND(List!#REF!,"AAAAAF3Yf44=")</f>
        <v>#REF!</v>
      </c>
      <c r="EN115" t="e">
        <f>AND(List!#REF!,"AAAAAF3Yf48=")</f>
        <v>#REF!</v>
      </c>
      <c r="EO115" t="e">
        <f>AND(List!#REF!,"AAAAAF3Yf5A=")</f>
        <v>#REF!</v>
      </c>
      <c r="EP115" t="e">
        <f>IF(List!#REF!,"AAAAAF3Yf5E=",0)</f>
        <v>#REF!</v>
      </c>
      <c r="EQ115" t="e">
        <f>AND(List!#REF!,"AAAAAF3Yf5I=")</f>
        <v>#REF!</v>
      </c>
      <c r="ER115" t="e">
        <f>AND(List!#REF!,"AAAAAF3Yf5M=")</f>
        <v>#REF!</v>
      </c>
      <c r="ES115" t="e">
        <f>AND(List!#REF!,"AAAAAF3Yf5Q=")</f>
        <v>#REF!</v>
      </c>
      <c r="ET115" t="e">
        <f>IF(List!#REF!,"AAAAAF3Yf5U=",0)</f>
        <v>#REF!</v>
      </c>
      <c r="EU115" t="e">
        <f>AND(List!#REF!,"AAAAAF3Yf5Y=")</f>
        <v>#REF!</v>
      </c>
      <c r="EV115" t="e">
        <f>AND(List!#REF!,"AAAAAF3Yf5c=")</f>
        <v>#REF!</v>
      </c>
      <c r="EW115" t="e">
        <f>AND(List!#REF!,"AAAAAF3Yf5g=")</f>
        <v>#REF!</v>
      </c>
      <c r="EX115" t="e">
        <f>IF(List!#REF!,"AAAAAF3Yf5k=",0)</f>
        <v>#REF!</v>
      </c>
      <c r="EY115" t="e">
        <f>AND(List!#REF!,"AAAAAF3Yf5o=")</f>
        <v>#REF!</v>
      </c>
      <c r="EZ115" t="e">
        <f>AND(List!#REF!,"AAAAAF3Yf5s=")</f>
        <v>#REF!</v>
      </c>
      <c r="FA115" t="e">
        <f>AND(List!#REF!,"AAAAAF3Yf5w=")</f>
        <v>#REF!</v>
      </c>
      <c r="FB115" t="e">
        <f>IF(List!#REF!,"AAAAAF3Yf50=",0)</f>
        <v>#REF!</v>
      </c>
      <c r="FC115" t="e">
        <f>AND(List!#REF!,"AAAAAF3Yf54=")</f>
        <v>#REF!</v>
      </c>
      <c r="FD115" t="e">
        <f>AND(List!#REF!,"AAAAAF3Yf58=")</f>
        <v>#REF!</v>
      </c>
      <c r="FE115" t="e">
        <f>AND(List!#REF!,"AAAAAF3Yf6A=")</f>
        <v>#REF!</v>
      </c>
      <c r="FF115" t="e">
        <f>IF(List!#REF!,"AAAAAF3Yf6E=",0)</f>
        <v>#REF!</v>
      </c>
      <c r="FG115" t="e">
        <f>AND(List!#REF!,"AAAAAF3Yf6I=")</f>
        <v>#REF!</v>
      </c>
      <c r="FH115" t="e">
        <f>AND(List!#REF!,"AAAAAF3Yf6M=")</f>
        <v>#REF!</v>
      </c>
      <c r="FI115" t="e">
        <f>AND(List!#REF!,"AAAAAF3Yf6Q=")</f>
        <v>#REF!</v>
      </c>
      <c r="FJ115" t="e">
        <f>IF(List!#REF!,"AAAAAF3Yf6U=",0)</f>
        <v>#REF!</v>
      </c>
      <c r="FK115" t="e">
        <f>AND(List!#REF!,"AAAAAF3Yf6Y=")</f>
        <v>#REF!</v>
      </c>
      <c r="FL115" t="e">
        <f>AND(List!#REF!,"AAAAAF3Yf6c=")</f>
        <v>#REF!</v>
      </c>
      <c r="FM115" t="e">
        <f>AND(List!#REF!,"AAAAAF3Yf6g=")</f>
        <v>#REF!</v>
      </c>
      <c r="FN115" t="e">
        <f>IF(List!#REF!,"AAAAAF3Yf6k=",0)</f>
        <v>#REF!</v>
      </c>
      <c r="FO115" t="e">
        <f>AND(List!#REF!,"AAAAAF3Yf6o=")</f>
        <v>#REF!</v>
      </c>
      <c r="FP115" t="e">
        <f>AND(List!#REF!,"AAAAAF3Yf6s=")</f>
        <v>#REF!</v>
      </c>
      <c r="FQ115" t="e">
        <f>AND(List!#REF!,"AAAAAF3Yf6w=")</f>
        <v>#REF!</v>
      </c>
      <c r="FR115">
        <f>IF(List!A:A,"AAAAAF3Yf60=",0)</f>
        <v>0</v>
      </c>
      <c r="FS115">
        <f>IF(List!B:B,"AAAAAF3Yf64=",0)</f>
        <v>0</v>
      </c>
      <c r="FT115">
        <f>IF(List!C:C,"AAAAAF3Yf68=",0)</f>
        <v>0</v>
      </c>
      <c r="FU115">
        <f>IF(List!D:D,"AAAAAF3Yf7A=",0)</f>
        <v>0</v>
      </c>
      <c r="FV115" t="e">
        <f>IF(List!#REF!,"AAAAAF3Yf7E=",0)</f>
        <v>#REF!</v>
      </c>
      <c r="FW115" t="e">
        <f>IF(List!#REF!,"AAAAAF3Yf7I=",0)</f>
        <v>#REF!</v>
      </c>
      <c r="FX115" t="e">
        <f>IF(List!#REF!,"AAAAAF3Yf7M=",0)</f>
        <v>#REF!</v>
      </c>
      <c r="FY115" t="e">
        <f>IF(List!#REF!,"AAAAAF3Yf7Q=",0)</f>
        <v>#REF!</v>
      </c>
      <c r="FZ115" s="98" t="s">
        <v>55</v>
      </c>
      <c r="GA115" s="99" t="s">
        <v>56</v>
      </c>
      <c r="GB115" s="100" t="s">
        <v>57</v>
      </c>
      <c r="GC115" s="101" t="s">
        <v>58</v>
      </c>
      <c r="GD115" s="102" t="s">
        <v>59</v>
      </c>
      <c r="GE115" t="s">
        <v>60</v>
      </c>
      <c r="GF115" s="15" t="s">
        <v>61</v>
      </c>
      <c r="GG115" s="79" t="s">
        <v>62</v>
      </c>
      <c r="GH115" s="103" t="s">
        <v>63</v>
      </c>
      <c r="GI115" s="104" t="s">
        <v>64</v>
      </c>
      <c r="GJ115" s="105" t="s">
        <v>65</v>
      </c>
      <c r="GK115" t="e">
        <f>IF("N",Answers!_xlnm._FilterDatabase,"AAAAAF3Yf8A=")</f>
        <v>#VALUE!</v>
      </c>
      <c r="GL115" t="e">
        <f>IF("N",Marks!_xlnm._FilterDatabase,"AAAAAF3Yf8E=")</f>
        <v>#VALUE!</v>
      </c>
      <c r="GM115" t="e">
        <f>IF("N",_Key1,"AAAAAF3Yf8I=")</f>
        <v>#VALUE!</v>
      </c>
      <c r="GN115" t="e">
        <f>IF("N",_Order1,"AAAAAF3Yf8M=")</f>
        <v>#VALUE!</v>
      </c>
      <c r="GO115" t="e">
        <f>IF("N",_Sort,"AAAAAF3Yf8Q=")</f>
        <v>#VALUE!</v>
      </c>
      <c r="GP115" t="e">
        <f>IF("N",_xludf._xlfn.IFERROR,"AAAAAF3Yf8U=")</f>
        <v>#VALUE!</v>
      </c>
    </row>
  </sheetData>
  <pageMargins left="0.7" right="0.7" top="0.75" bottom="0.75" header="0.3" footer="0.3"/>
  <customProperties>
    <customPr name="DVSECTION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Marks</vt:lpstr>
      <vt:lpstr>Sheet1</vt:lpstr>
      <vt:lpstr>Answers</vt:lpstr>
      <vt:lpstr>Final Grade</vt:lpstr>
      <vt:lpstr>Names</vt:lpstr>
      <vt:lpstr>temp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Özge Cesur</dc:creator>
  <cp:lastModifiedBy>Microsoft Office User</cp:lastModifiedBy>
  <cp:lastPrinted>2006-10-13T12:45:22Z</cp:lastPrinted>
  <dcterms:created xsi:type="dcterms:W3CDTF">2006-09-10T20:17:39Z</dcterms:created>
  <dcterms:modified xsi:type="dcterms:W3CDTF">2017-10-24T12:41:56Z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oogle.Documents.Tracking">
    <vt:lpwstr>true</vt:lpwstr>
  </property>
  <property fmtid="{D5CDD505-2E9C-101B-9397-08002B2CF9AE}" pid="3" name="Google.Documents.DocumentId">
    <vt:lpwstr>1lY4CtcqCwg5_sRYQOWxeQ04PqTjcBn5Xyx-uZy13r2w</vt:lpwstr>
  </property>
  <property fmtid="{D5CDD505-2E9C-101B-9397-08002B2CF9AE}" pid="4" name="Google.Documents.RevisionId">
    <vt:lpwstr>10095470798632420919</vt:lpwstr>
  </property>
  <property fmtid="{D5CDD505-2E9C-101B-9397-08002B2CF9AE}" pid="5" name="Google.Documents.PreviousRevisionId">
    <vt:lpwstr>18317218393186790974</vt:lpwstr>
  </property>
  <property fmtid="{D5CDD505-2E9C-101B-9397-08002B2CF9AE}" pid="6" name="Google.Documents.PluginVersion">
    <vt:lpwstr>2.0.2662.553</vt:lpwstr>
  </property>
  <property fmtid="{D5CDD505-2E9C-101B-9397-08002B2CF9AE}" pid="7" name="Google.Documents.MergeIncapabilityFlags">
    <vt:i4>0</vt:i4>
  </property>
</Properties>
</file>