
<file path=[Content_Types].xml><?xml version="1.0" encoding="utf-8"?>
<Types xmlns="http://schemas.openxmlformats.org/package/2006/content-types">
  <Default Extension="xml" ContentType="application/xml"/>
  <Default Extension="jpeg" ContentType="image/jpeg"/>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ustomProperty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810" codeName="{B1203076-2D4D-A25B-A398-973B695A806A}"/>
  <workbookPr codeName="ThisWorkbook" autoCompressPictures="0"/>
  <mc:AlternateContent xmlns:mc="http://schemas.openxmlformats.org/markup-compatibility/2006">
    <mc:Choice Requires="x15">
      <x15ac:absPath xmlns:x15ac="http://schemas.microsoft.com/office/spreadsheetml/2010/11/ac" url="/Users/senaodabasi/Desktop/cs/Bus101/Homework/"/>
    </mc:Choice>
  </mc:AlternateContent>
  <bookViews>
    <workbookView xWindow="16200" yWindow="460" windowWidth="12600" windowHeight="16140" tabRatio="753"/>
  </bookViews>
  <sheets>
    <sheet name="Instructions" sheetId="1" r:id="rId1"/>
    <sheet name="BalanceSheet &amp; IncomeStatement" sheetId="13" state="veryHidden" r:id="rId2"/>
    <sheet name="Production Information" sheetId="14" state="veryHidden" r:id="rId3"/>
    <sheet name="Graphic" sheetId="11" state="veryHidden" r:id="rId4"/>
    <sheet name="Answers" sheetId="17" state="veryHidden" r:id="rId5"/>
    <sheet name="Answers2" sheetId="18" state="veryHidden" r:id="rId6"/>
    <sheet name="KEY" sheetId="8" state="veryHidden" r:id="rId7"/>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25" i="8" l="1"/>
  <c r="A27" i="18"/>
  <c r="J26" i="8"/>
  <c r="J24" i="8"/>
  <c r="J23" i="8"/>
  <c r="J22" i="8"/>
  <c r="J19" i="8"/>
  <c r="J18" i="8"/>
  <c r="J15" i="8"/>
  <c r="J20" i="8"/>
  <c r="J29" i="8"/>
  <c r="J42" i="8"/>
  <c r="J41" i="8"/>
  <c r="J40" i="8"/>
  <c r="J31" i="8"/>
  <c r="J32" i="8"/>
  <c r="J33" i="8"/>
  <c r="J34" i="8"/>
  <c r="J35" i="8"/>
  <c r="J36" i="8"/>
  <c r="J37" i="8"/>
  <c r="J38" i="8"/>
  <c r="J39" i="8"/>
  <c r="J30" i="8"/>
  <c r="J28" i="8"/>
  <c r="J21" i="8"/>
  <c r="J17" i="8"/>
  <c r="J14" i="8"/>
  <c r="A34" i="17"/>
  <c r="J46" i="8"/>
  <c r="J45" i="8"/>
  <c r="J44" i="8"/>
  <c r="J43" i="8"/>
  <c r="J13" i="8"/>
  <c r="J12" i="8"/>
  <c r="J11" i="8"/>
  <c r="J10" i="8"/>
  <c r="J9" i="8"/>
  <c r="J8" i="8"/>
  <c r="J27" i="8"/>
  <c r="C9" i="8"/>
  <c r="J16" i="8"/>
  <c r="C10" i="8"/>
  <c r="GH26521" i="1"/>
  <c r="GG26521" i="1"/>
</calcChain>
</file>

<file path=xl/sharedStrings.xml><?xml version="1.0" encoding="utf-8"?>
<sst xmlns="http://schemas.openxmlformats.org/spreadsheetml/2006/main" count="276" uniqueCount="207">
  <si>
    <t>DATA</t>
  </si>
  <si>
    <t>ANSWER</t>
  </si>
  <si>
    <t>Number</t>
  </si>
  <si>
    <t>Answer</t>
  </si>
  <si>
    <t>Left Click</t>
  </si>
  <si>
    <t>1a</t>
  </si>
  <si>
    <t>YES</t>
  </si>
  <si>
    <t>1b</t>
  </si>
  <si>
    <t>NO</t>
  </si>
  <si>
    <t>1c</t>
  </si>
  <si>
    <t>2a</t>
  </si>
  <si>
    <t>2b</t>
  </si>
  <si>
    <t>RANDOM</t>
  </si>
  <si>
    <t>2c</t>
  </si>
  <si>
    <t>4a</t>
  </si>
  <si>
    <t>4b</t>
  </si>
  <si>
    <t>4c</t>
  </si>
  <si>
    <t>HW 2</t>
  </si>
  <si>
    <t>Points</t>
  </si>
  <si>
    <t>Answers</t>
  </si>
  <si>
    <t>b)</t>
  </si>
  <si>
    <t>c)</t>
  </si>
  <si>
    <t>a)</t>
  </si>
  <si>
    <t>d)</t>
  </si>
  <si>
    <t>e)</t>
  </si>
  <si>
    <t>f)</t>
  </si>
  <si>
    <t>Cost of Goods Sold</t>
  </si>
  <si>
    <t>Problem</t>
  </si>
  <si>
    <t xml:space="preserve">Revenue </t>
  </si>
  <si>
    <t>Gross Margin</t>
  </si>
  <si>
    <t xml:space="preserve">Income before taxes </t>
  </si>
  <si>
    <t xml:space="preserve">Income tax expense </t>
  </si>
  <si>
    <t xml:space="preserve">Net Income </t>
  </si>
  <si>
    <t>g)</t>
  </si>
  <si>
    <t>YEAR:</t>
  </si>
  <si>
    <t>CF:</t>
  </si>
  <si>
    <t>SB:</t>
  </si>
  <si>
    <t>Section</t>
  </si>
  <si>
    <t>3a</t>
  </si>
  <si>
    <t>3b</t>
  </si>
  <si>
    <t>3c</t>
  </si>
  <si>
    <t>4d</t>
  </si>
  <si>
    <t>6a</t>
  </si>
  <si>
    <t>UserName</t>
  </si>
  <si>
    <t>5a</t>
  </si>
  <si>
    <t>5b</t>
  </si>
  <si>
    <t>Build a model for the following questions, like we did in the lecture.</t>
  </si>
  <si>
    <t>7a</t>
  </si>
  <si>
    <t>7b</t>
  </si>
  <si>
    <t>Take a look at the graph which is given on Graphic sheet and answer the following questions.</t>
  </si>
  <si>
    <t>20000-40000</t>
  </si>
  <si>
    <t>40000-60000</t>
  </si>
  <si>
    <t>60000-80000</t>
  </si>
  <si>
    <t xml:space="preserve">        0-20000</t>
  </si>
  <si>
    <t>Fixed Cost</t>
  </si>
  <si>
    <t>Break-even P.</t>
  </si>
  <si>
    <t>Variable Cost</t>
  </si>
  <si>
    <t>Profit</t>
  </si>
  <si>
    <t>8a</t>
  </si>
  <si>
    <t>8b</t>
  </si>
  <si>
    <t>8c</t>
  </si>
  <si>
    <t>=ID!D4</t>
  </si>
  <si>
    <t>Consider return on revenue concept.</t>
  </si>
  <si>
    <t>7c</t>
  </si>
  <si>
    <t>7d</t>
  </si>
  <si>
    <t>7f</t>
  </si>
  <si>
    <t>7g</t>
  </si>
  <si>
    <t>7e</t>
  </si>
  <si>
    <t>9a</t>
  </si>
  <si>
    <t>9b</t>
  </si>
  <si>
    <t>9c</t>
  </si>
  <si>
    <t>1d</t>
  </si>
  <si>
    <t>Refer back to what you have seen in the lectures</t>
  </si>
  <si>
    <t>Payments made to the assembly line workers.</t>
  </si>
  <si>
    <t>The slope of a line can give an information about a different concept. What information does the slope of the expenses give on the graph?</t>
  </si>
  <si>
    <t>8d</t>
  </si>
  <si>
    <t>Does the company have the capacity of reaching their goal?</t>
  </si>
  <si>
    <t>DataMate Inc.</t>
  </si>
  <si>
    <t>ASSETS</t>
  </si>
  <si>
    <t>LIABILITIES</t>
  </si>
  <si>
    <t xml:space="preserve"> Assets</t>
  </si>
  <si>
    <t>Short- and Long-term Liabilities</t>
  </si>
  <si>
    <t>Cash</t>
  </si>
  <si>
    <t>Accounts Payable</t>
  </si>
  <si>
    <t>Accounts Receivable</t>
  </si>
  <si>
    <t>Short-Term Bank Loans</t>
  </si>
  <si>
    <t>Finished Goods Inventory</t>
  </si>
  <si>
    <t>Long-Term Bank Loans</t>
  </si>
  <si>
    <t>Work in Process</t>
  </si>
  <si>
    <t xml:space="preserve">Raw Materials Inventory </t>
  </si>
  <si>
    <t>Total Shareholders' Equity</t>
  </si>
  <si>
    <t>Plant and Equipment</t>
  </si>
  <si>
    <t>TOTAL ASSETS</t>
  </si>
  <si>
    <t>TOTAL SHAREHOLDERS' EQUITY AND LIABILITIES</t>
  </si>
  <si>
    <t>Revenue</t>
  </si>
  <si>
    <t>Tax Rate</t>
  </si>
  <si>
    <t>Cost Of Sales</t>
  </si>
  <si>
    <t>General Administration Expenses</t>
  </si>
  <si>
    <t>Marketing, Selling And Distribution Expenses</t>
  </si>
  <si>
    <t>R&amp;D</t>
  </si>
  <si>
    <t>Income Before Tax</t>
  </si>
  <si>
    <t>Income Tax Expense</t>
  </si>
  <si>
    <t>Net Income</t>
  </si>
  <si>
    <t>Production &amp; Cost Information</t>
  </si>
  <si>
    <t>Smart Watch Materials</t>
  </si>
  <si>
    <t>Attributes</t>
  </si>
  <si>
    <t>Display</t>
  </si>
  <si>
    <t>1.63" IPS LCD</t>
  </si>
  <si>
    <t>Processor</t>
  </si>
  <si>
    <t>Qualcomm® Snapdragon™ 400 processor with 1.2GHz CPU</t>
  </si>
  <si>
    <t>Ram</t>
  </si>
  <si>
    <t>512 mb</t>
  </si>
  <si>
    <t>Memory</t>
  </si>
  <si>
    <t>4 GB</t>
  </si>
  <si>
    <t>Battery</t>
  </si>
  <si>
    <t>400 mAh</t>
  </si>
  <si>
    <t>Camera</t>
  </si>
  <si>
    <t>2 MP with 720p recording</t>
  </si>
  <si>
    <t>Strap</t>
  </si>
  <si>
    <t>Plastic</t>
  </si>
  <si>
    <t>Sun-Sung Velocity</t>
  </si>
  <si>
    <t>1. Price of product and total volume of order</t>
  </si>
  <si>
    <t>Order volume</t>
  </si>
  <si>
    <t>TL per watch</t>
  </si>
  <si>
    <t>2. Increase in variable costs</t>
  </si>
  <si>
    <t>2.1  Direct increase</t>
  </si>
  <si>
    <t>2.2 Increase as percentage</t>
  </si>
  <si>
    <t>Materials</t>
  </si>
  <si>
    <t>1.65" Super AMOLED Display</t>
  </si>
  <si>
    <t>Qualcomm® Snapdragon™ 600 processor with 1.4GHz CPU</t>
  </si>
  <si>
    <t>600 mAh</t>
  </si>
  <si>
    <t>2 MP with 1080p recording</t>
  </si>
  <si>
    <t>Metal</t>
  </si>
  <si>
    <t>Datamate Case- Page 1</t>
  </si>
  <si>
    <t>Select the correct answer for the given explanation.</t>
  </si>
  <si>
    <t>Purchase of materials like batteries and processors.</t>
  </si>
  <si>
    <t>Payment to the information technology officer(person who works in IT).</t>
  </si>
  <si>
    <t xml:space="preserve">Take a look at DataMate's production capacity. </t>
  </si>
  <si>
    <t xml:space="preserve">What is the annual production capacity of DataMate Inc. given their current facility (report the answer in smartwatches per year)? </t>
  </si>
  <si>
    <t xml:space="preserve">Do they have the physical production capacity to accept the Sun-Sung's deal? </t>
  </si>
  <si>
    <t>Report the total fixed cost of DataMate.</t>
  </si>
  <si>
    <t>What is the contribution margin for the Sun-Sung Velocity?</t>
  </si>
  <si>
    <t>Datamate Case- Page 2</t>
  </si>
  <si>
    <t>If Datamate accepts the deal, they expect to lose 14,000 units of average Rush+ Smartwatches sales over the next year and they will adjust their production levels accordingly. Consider all of the changes in production levels, sales, and production costs. Use the template below to predict what the income statement will look like for the next year if Datamate accepts the deal. (Report a positive number.)</t>
  </si>
  <si>
    <t>h)</t>
  </si>
  <si>
    <t>i)</t>
  </si>
  <si>
    <t>j)</t>
  </si>
  <si>
    <t>What if Datamate loses 18,000 units instead of losing 14,000 units? Report the following elements of income statement according to new situation.</t>
  </si>
  <si>
    <r>
      <t xml:space="preserve">Consider graphic from the </t>
    </r>
    <r>
      <rPr>
        <b/>
        <sz val="10"/>
        <color theme="0"/>
        <rFont val="Arial"/>
        <family val="2"/>
        <charset val="162"/>
      </rPr>
      <t>Graphic</t>
    </r>
    <r>
      <rPr>
        <b/>
        <sz val="10"/>
        <color theme="0"/>
        <rFont val="Arial"/>
        <family val="2"/>
        <charset val="162"/>
      </rPr>
      <t xml:space="preserve"> sheet of this workbook. </t>
    </r>
  </si>
  <si>
    <t>Fall 2015</t>
  </si>
  <si>
    <t>Step Variable Cost</t>
  </si>
  <si>
    <t>Contribution Margin</t>
  </si>
  <si>
    <t>1e</t>
  </si>
  <si>
    <t>1f</t>
  </si>
  <si>
    <t>3f</t>
  </si>
  <si>
    <t>7h</t>
  </si>
  <si>
    <t>7i</t>
  </si>
  <si>
    <t>7j</t>
  </si>
  <si>
    <t>C6</t>
  </si>
  <si>
    <t>HW2 - DataMate</t>
  </si>
  <si>
    <t>Net gain from an invidual product.</t>
  </si>
  <si>
    <t>Heating cost of the office building.</t>
  </si>
  <si>
    <t>Indirect Fixed Cost</t>
  </si>
  <si>
    <t>Direct Fixed Cost</t>
  </si>
  <si>
    <t>Report the return on assets ratio for Datamate INC. before Sun-Sung deal is accepted?</t>
  </si>
  <si>
    <t>The amount that remains after substracting the direct costs associated with the production from the revenue.</t>
  </si>
  <si>
    <t>6b</t>
  </si>
  <si>
    <t>If the sales loss of the Rush+ Smartwatch from the Sun-Sung deal is equal to 33,000 units, is the deal still profitable for Datamate?</t>
  </si>
  <si>
    <t>Relevant</t>
  </si>
  <si>
    <t>Not Relevant</t>
  </si>
  <si>
    <r>
      <t>What is the ROR ratio of Datamate INC</t>
    </r>
    <r>
      <rPr>
        <sz val="10"/>
        <rFont val="Arial"/>
      </rPr>
      <t xml:space="preserve">. </t>
    </r>
    <r>
      <rPr>
        <sz val="10"/>
        <color rgb="FF222222"/>
        <rFont val="Arial"/>
        <family val="2"/>
        <charset val="162"/>
      </rPr>
      <t>before Sun-Sung deal is accepted?</t>
    </r>
  </si>
  <si>
    <t>What does the purple vertical line segment that is marked with an asterisk (*) on the graph represent?</t>
  </si>
  <si>
    <t>What percentage of Revenue comes from the sales of Sun-Sung Velocity Smartwatch?</t>
  </si>
  <si>
    <t>Since new Sun-Sung Velocity smartwatches will carry Sun-Sung's name, they will be in direct competetion with Rush+ Smartwatches. Mr.Tatal is concerned that this will cause a decline in the sales of Rush+ Smartwatches. What is the maximum amount of sales that Datamate INC. can lose without a decline in their profit?</t>
  </si>
  <si>
    <t>How much do we profit from selling one Rush+ Smartwatch?</t>
  </si>
  <si>
    <t>If DataMate does not accept the Sun-Sung's offer, how many Rush+ Smartwatches need to be sold in order to cover the total fixed cost?</t>
  </si>
  <si>
    <t xml:space="preserve">Take a look at the average Rush+ Smartwatch ( Consider one unit of Rush+ Smartwatch). </t>
  </si>
  <si>
    <t>The company aims to increase their Gross Margin by 20%. After experiencing the loss of 18,000 units of Rush+ Smartwatches, how many additional Sun-Sung Velocity smartwatches have to be sold to reach their desired Gross Margin?</t>
  </si>
  <si>
    <t>Ceren</t>
  </si>
  <si>
    <t>DataMate Rush+</t>
  </si>
  <si>
    <t>Total Units Produced</t>
  </si>
  <si>
    <t>Total Direct Fixed Cost</t>
  </si>
  <si>
    <t>Microphone</t>
  </si>
  <si>
    <t>Single Recording Capability</t>
  </si>
  <si>
    <t>Packaging Cost Per Unit</t>
  </si>
  <si>
    <t>Unit price</t>
  </si>
  <si>
    <t xml:space="preserve">Packaging Cost </t>
  </si>
  <si>
    <t>More than packaging cost of Rush+</t>
  </si>
  <si>
    <t>Dual Recording with Hi-Fi</t>
  </si>
  <si>
    <t>What is the price of Rush+ Smartwatch ?</t>
  </si>
  <si>
    <t>How much does it cost to produce and package one Rush+ Smartwatch?</t>
  </si>
  <si>
    <t>In our case, determine whether the fixed costs of Datamate are relevant to their decision about the Sun-Sung offer.</t>
  </si>
  <si>
    <t>Report the total indirect fixed cost of DataMate.</t>
  </si>
  <si>
    <t>Assume that DataMate accepted Sun-Sung's offer. After the sales of Velocity smartwatches, how many additional regular Rush+ smartwatches need to be sold in order for DataMate to cover their total fixed cost?</t>
  </si>
  <si>
    <r>
      <t xml:space="preserve">Consider data from the </t>
    </r>
    <r>
      <rPr>
        <b/>
        <i/>
        <sz val="10"/>
        <color theme="6" tint="-0.499984740745262"/>
        <rFont val="Arial"/>
        <family val="2"/>
        <charset val="162"/>
      </rPr>
      <t>Balance &amp; IncomeStatement and Product Information</t>
    </r>
    <r>
      <rPr>
        <b/>
        <i/>
        <sz val="10"/>
        <color indexed="8"/>
        <rFont val="Arial"/>
        <family val="2"/>
      </rPr>
      <t xml:space="preserve"> </t>
    </r>
    <r>
      <rPr>
        <b/>
        <sz val="10"/>
        <color indexed="8"/>
        <rFont val="Arial"/>
        <family val="2"/>
      </rPr>
      <t>sheets of this workbook. 
Assume that general administrative, selling&amp;marketing expenses and R&amp;D are fixed.</t>
    </r>
  </si>
  <si>
    <r>
      <t>Cost of</t>
    </r>
    <r>
      <rPr>
        <sz val="10"/>
        <rFont val="Arial"/>
      </rPr>
      <t xml:space="preserve"> Sales</t>
    </r>
  </si>
  <si>
    <t>4e</t>
  </si>
  <si>
    <t>Income Statement (As of December 31, 2016)</t>
  </si>
  <si>
    <t>Balance Sheet (As of December 31, 2016)</t>
  </si>
  <si>
    <t>Hayta</t>
  </si>
  <si>
    <t>MertH</t>
  </si>
  <si>
    <t>Given their production capacity, how many more smartwatches could they have produced in 2016?</t>
  </si>
  <si>
    <t>Consider the possible cannibalization effect.</t>
  </si>
  <si>
    <t>of Smart Watch's Total Material Cost</t>
  </si>
  <si>
    <t>Take a look at break-even points in different scenarios.(Report your answers as positive numbers.)</t>
  </si>
  <si>
    <r>
      <t xml:space="preserve">Consider data from the </t>
    </r>
    <r>
      <rPr>
        <b/>
        <i/>
        <sz val="10"/>
        <color indexed="17"/>
        <rFont val="Arial"/>
        <family val="2"/>
        <charset val="162"/>
      </rPr>
      <t xml:space="preserve">Balance &amp; IncomeStatement and Product Information </t>
    </r>
    <r>
      <rPr>
        <b/>
        <sz val="10"/>
        <color indexed="8"/>
        <rFont val="Arial"/>
        <family val="2"/>
      </rPr>
      <t xml:space="preserve">sheets of this workbook. 
Assume that the general administrative costs and marketing&amp;selling costs are </t>
    </r>
    <r>
      <rPr>
        <b/>
        <i/>
        <sz val="10"/>
        <color indexed="8"/>
        <rFont val="Arial"/>
        <family val="2"/>
      </rPr>
      <t>fixed</t>
    </r>
    <r>
      <rPr>
        <b/>
        <sz val="10"/>
        <color indexed="8"/>
        <rFont val="Arial"/>
        <family val="2"/>
      </rPr>
      <t xml:space="preserve">. </t>
    </r>
  </si>
  <si>
    <t>What happens when the profit line intersects the x axis?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</si>
</sst>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00_);_(&quot;$&quot;* \(#,##0.00\);_(&quot;$&quot;* &quot;-&quot;??_);_(@_)"/>
    <numFmt numFmtId="165" formatCode="_(* #,##0.00_);_(* \(#,##0.00\);_(* &quot;-&quot;??_);_(@_)"/>
    <numFmt numFmtId="166" formatCode="&quot;$&quot;#,##0;\-&quot;$&quot;#,##0"/>
    <numFmt numFmtId="167" formatCode="_-* #,##0.00_-;\-* #,##0.00_-;_-* &quot;-&quot;??_-;_-@_-"/>
    <numFmt numFmtId="168" formatCode="0.000"/>
    <numFmt numFmtId="169" formatCode="_-* #,##0_-;\-* #,##0_-;_-* &quot;-&quot;??_-;_-@_-"/>
    <numFmt numFmtId="170" formatCode="_-* #,##0.00\ &quot;TL&quot;_-;\-* #,##0.00\ &quot;TL&quot;_-;_-* &quot;-&quot;??\ &quot;TL&quot;_-;_-@_-"/>
    <numFmt numFmtId="171" formatCode="_-* #,##0.00\ _T_L_-;\-* #,##0.00\ _T_L_-;_-* &quot;-&quot;??\ _T_L_-;_-@_-"/>
    <numFmt numFmtId="172" formatCode="0.0000"/>
  </numFmts>
  <fonts count="42" x14ac:knownFonts="1">
    <font>
      <sz val="10"/>
      <name val="Arial"/>
    </font>
    <font>
      <sz val="11"/>
      <color theme="1"/>
      <name val="Calibri"/>
      <family val="2"/>
      <scheme val="minor"/>
    </font>
    <font>
      <sz val="10"/>
      <name val="Arial"/>
      <family val="2"/>
    </font>
    <font>
      <sz val="8"/>
      <name val="Arial"/>
      <family val="2"/>
    </font>
    <font>
      <b/>
      <sz val="10"/>
      <name val="Arial"/>
      <family val="2"/>
    </font>
    <font>
      <b/>
      <sz val="10"/>
      <color indexed="8"/>
      <name val="Arial"/>
      <family val="2"/>
    </font>
    <font>
      <sz val="10"/>
      <name val="Arial"/>
      <family val="2"/>
    </font>
    <font>
      <b/>
      <sz val="10"/>
      <name val="Arial"/>
      <family val="2"/>
      <charset val="162"/>
    </font>
    <font>
      <sz val="10"/>
      <color indexed="55"/>
      <name val="Arial"/>
      <family val="2"/>
    </font>
    <font>
      <b/>
      <sz val="10"/>
      <color indexed="55"/>
      <name val="Arial"/>
      <family val="2"/>
    </font>
    <font>
      <sz val="10"/>
      <name val="Arial"/>
      <family val="2"/>
      <charset val="162"/>
    </font>
    <font>
      <sz val="10"/>
      <color indexed="8"/>
      <name val="Arial"/>
      <family val="2"/>
      <charset val="162"/>
    </font>
    <font>
      <b/>
      <sz val="12"/>
      <name val="Arial"/>
      <family val="2"/>
    </font>
    <font>
      <b/>
      <i/>
      <sz val="10"/>
      <color indexed="17"/>
      <name val="Arial"/>
      <family val="2"/>
      <charset val="162"/>
    </font>
    <font>
      <u/>
      <sz val="10"/>
      <color theme="10"/>
      <name val="Arial"/>
      <family val="2"/>
    </font>
    <font>
      <u/>
      <sz val="10"/>
      <color theme="11"/>
      <name val="Arial"/>
      <family val="2"/>
    </font>
    <font>
      <sz val="10"/>
      <color indexed="8"/>
      <name val="Arial"/>
      <family val="2"/>
    </font>
    <font>
      <b/>
      <sz val="10"/>
      <color theme="0"/>
      <name val="Arial"/>
      <family val="2"/>
      <charset val="162"/>
    </font>
    <font>
      <b/>
      <sz val="10"/>
      <color theme="0"/>
      <name val="Arial"/>
      <family val="2"/>
    </font>
    <font>
      <sz val="10"/>
      <name val="Arial"/>
      <family val="2"/>
    </font>
    <font>
      <sz val="10"/>
      <color rgb="FF222222"/>
      <name val="Arial"/>
      <family val="2"/>
      <charset val="162"/>
    </font>
    <font>
      <i/>
      <sz val="10"/>
      <name val="Arial"/>
      <family val="2"/>
    </font>
    <font>
      <b/>
      <i/>
      <sz val="10"/>
      <color indexed="8"/>
      <name val="Arial"/>
      <family val="2"/>
    </font>
    <font>
      <b/>
      <sz val="10"/>
      <color theme="0"/>
      <name val="Times New Roman"/>
      <family val="1"/>
      <charset val="162"/>
    </font>
    <font>
      <b/>
      <sz val="10"/>
      <color rgb="FF000000"/>
      <name val="Times New Roman"/>
      <family val="1"/>
      <charset val="162"/>
    </font>
    <font>
      <b/>
      <i/>
      <sz val="10"/>
      <color rgb="FF000000"/>
      <name val="Times New Roman"/>
      <family val="1"/>
      <charset val="162"/>
    </font>
    <font>
      <u val="singleAccounting"/>
      <sz val="10"/>
      <name val="Times New Roman"/>
      <family val="1"/>
      <charset val="162"/>
    </font>
    <font>
      <sz val="11"/>
      <color theme="1"/>
      <name val="Calibri"/>
      <family val="2"/>
      <charset val="162"/>
      <scheme val="minor"/>
    </font>
    <font>
      <sz val="10"/>
      <name val="Times New Roman"/>
      <family val="1"/>
      <charset val="162"/>
    </font>
    <font>
      <sz val="10"/>
      <color rgb="FFCC0000"/>
      <name val="Times New Roman"/>
      <family val="1"/>
      <charset val="162"/>
    </font>
    <font>
      <sz val="10"/>
      <color rgb="FF000000"/>
      <name val="Times New Roman"/>
      <family val="1"/>
      <charset val="162"/>
    </font>
    <font>
      <b/>
      <sz val="16"/>
      <color theme="0"/>
      <name val="Times New Roman"/>
      <family val="1"/>
      <charset val="162"/>
    </font>
    <font>
      <sz val="16"/>
      <name val="Times New Roman"/>
      <family val="1"/>
      <charset val="162"/>
    </font>
    <font>
      <b/>
      <sz val="14"/>
      <name val="Arial"/>
      <family val="2"/>
      <charset val="162"/>
    </font>
    <font>
      <b/>
      <i/>
      <u/>
      <sz val="14"/>
      <name val="Arial"/>
      <family val="2"/>
      <charset val="162"/>
    </font>
    <font>
      <i/>
      <sz val="10"/>
      <color rgb="FF000000"/>
      <name val="Times New Roman"/>
      <family val="1"/>
      <charset val="162"/>
    </font>
    <font>
      <i/>
      <sz val="8"/>
      <name val="Arial"/>
      <family val="2"/>
      <charset val="162"/>
    </font>
    <font>
      <b/>
      <u/>
      <sz val="10"/>
      <name val="Arial"/>
      <family val="2"/>
      <charset val="162"/>
    </font>
    <font>
      <b/>
      <i/>
      <u/>
      <sz val="10"/>
      <name val="Arial"/>
      <family val="2"/>
      <charset val="162"/>
    </font>
    <font>
      <b/>
      <i/>
      <u/>
      <sz val="10"/>
      <color rgb="FF000000"/>
      <name val="Times New Roman"/>
      <family val="1"/>
      <charset val="162"/>
    </font>
    <font>
      <b/>
      <i/>
      <sz val="10"/>
      <color theme="6" tint="-0.499984740745262"/>
      <name val="Arial"/>
      <family val="2"/>
      <charset val="162"/>
    </font>
    <font>
      <sz val="10"/>
      <color rgb="FF000000"/>
      <name val="Arial"/>
      <family val="2"/>
    </font>
  </fonts>
  <fills count="9">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4" tint="-0.499984740745262"/>
        <bgColor indexed="64"/>
      </patternFill>
    </fill>
    <fill>
      <patternFill patternType="solid">
        <fgColor theme="8" tint="-0.499984740745262"/>
        <bgColor indexed="64"/>
      </patternFill>
    </fill>
  </fills>
  <borders count="34">
    <border>
      <left/>
      <right/>
      <top/>
      <bottom/>
      <diagonal/>
    </border>
    <border>
      <left style="thin">
        <color auto="1"/>
      </left>
      <right style="thin">
        <color auto="1"/>
      </right>
      <top style="thin">
        <color auto="1"/>
      </top>
      <bottom/>
      <diagonal/>
    </border>
    <border>
      <left/>
      <right/>
      <top style="thin">
        <color auto="1"/>
      </top>
      <bottom style="thin">
        <color auto="1"/>
      </bottom>
      <diagonal/>
    </border>
    <border>
      <left style="thin">
        <color indexed="55"/>
      </left>
      <right/>
      <top/>
      <bottom/>
      <diagonal/>
    </border>
    <border>
      <left style="thin">
        <color auto="1"/>
      </left>
      <right style="thin">
        <color indexed="8"/>
      </right>
      <top/>
      <bottom/>
      <diagonal/>
    </border>
    <border>
      <left style="thin">
        <color auto="1"/>
      </left>
      <right/>
      <top/>
      <bottom/>
      <diagonal/>
    </border>
    <border>
      <left style="thin">
        <color indexed="22"/>
      </left>
      <right/>
      <top/>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right style="medium">
        <color auto="1"/>
      </right>
      <top/>
      <bottom style="thin">
        <color auto="1"/>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top style="thin">
        <color indexed="8"/>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medium">
        <color auto="1"/>
      </bottom>
      <diagonal/>
    </border>
    <border>
      <left style="thin">
        <color auto="1"/>
      </left>
      <right style="thin">
        <color indexed="8"/>
      </right>
      <top/>
      <bottom style="thin">
        <color indexed="8"/>
      </bottom>
      <diagonal/>
    </border>
    <border>
      <left style="thin">
        <color auto="1"/>
      </left>
      <right style="thin">
        <color auto="1"/>
      </right>
      <top/>
      <bottom style="thin">
        <color auto="1"/>
      </bottom>
      <diagonal/>
    </border>
  </borders>
  <cellStyleXfs count="520">
    <xf numFmtId="0" fontId="0" fillId="0" borderId="0"/>
    <xf numFmtId="167" fontId="2" fillId="0" borderId="0" applyFon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0" fillId="0" borderId="0"/>
    <xf numFmtId="0" fontId="2" fillId="0" borderId="0"/>
    <xf numFmtId="9" fontId="2" fillId="0" borderId="0" applyFont="0" applyFill="0" applyBorder="0" applyAlignment="0" applyProtection="0"/>
    <xf numFmtId="166" fontId="2" fillId="0" borderId="0" applyFon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9" fontId="10" fillId="0" borderId="0" applyFon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9" fontId="19" fillId="0" borderId="0" applyFont="0" applyFill="0" applyBorder="0" applyAlignment="0" applyProtection="0"/>
    <xf numFmtId="0" fontId="1" fillId="0" borderId="0"/>
    <xf numFmtId="0" fontId="10" fillId="0" borderId="0"/>
    <xf numFmtId="167" fontId="2" fillId="0" borderId="0" applyFont="0" applyFill="0" applyBorder="0" applyAlignment="0" applyProtection="0"/>
    <xf numFmtId="167" fontId="10" fillId="0" borderId="0" applyFont="0" applyFill="0" applyBorder="0" applyAlignment="0" applyProtection="0"/>
    <xf numFmtId="170" fontId="27" fillId="0" borderId="0" applyFont="0" applyFill="0" applyBorder="0" applyAlignment="0" applyProtection="0"/>
    <xf numFmtId="164" fontId="30" fillId="0" borderId="0" applyFont="0" applyFill="0" applyBorder="0" applyAlignment="0" applyProtection="0"/>
    <xf numFmtId="0" fontId="30" fillId="0" borderId="0"/>
    <xf numFmtId="0" fontId="30" fillId="0" borderId="0"/>
    <xf numFmtId="9" fontId="30" fillId="0" borderId="0" applyFont="0" applyFill="0" applyBorder="0" applyAlignment="0" applyProtection="0"/>
  </cellStyleXfs>
  <cellXfs count="224">
    <xf numFmtId="0" fontId="0" fillId="0" borderId="0" xfId="0"/>
    <xf numFmtId="0" fontId="0" fillId="0" borderId="0" xfId="0" applyProtection="1"/>
    <xf numFmtId="0" fontId="4" fillId="0" borderId="0" xfId="0" applyFont="1" applyProtection="1"/>
    <xf numFmtId="0" fontId="4" fillId="0" borderId="0" xfId="0" applyFont="1" applyAlignment="1" applyProtection="1">
      <alignment horizontal="left"/>
    </xf>
    <xf numFmtId="0" fontId="2" fillId="0" borderId="0" xfId="0" applyFont="1" applyProtection="1"/>
    <xf numFmtId="0" fontId="0" fillId="0" borderId="0" xfId="0" applyProtection="1">
      <protection locked="0"/>
    </xf>
    <xf numFmtId="0" fontId="0" fillId="4" borderId="0" xfId="0" applyFill="1" applyProtection="1">
      <protection locked="0"/>
    </xf>
    <xf numFmtId="0" fontId="0" fillId="0" borderId="0" xfId="0" applyFill="1" applyProtection="1">
      <protection locked="0"/>
    </xf>
    <xf numFmtId="1" fontId="0" fillId="0" borderId="0" xfId="0" applyNumberFormat="1" applyFill="1" applyProtection="1">
      <protection locked="0"/>
    </xf>
    <xf numFmtId="49" fontId="2" fillId="0" borderId="0" xfId="0" applyNumberFormat="1" applyFont="1" applyAlignment="1" applyProtection="1">
      <alignment horizontal="right"/>
      <protection locked="0"/>
    </xf>
    <xf numFmtId="0" fontId="2" fillId="0" borderId="0" xfId="0" applyFont="1" applyProtection="1">
      <protection locked="0"/>
    </xf>
    <xf numFmtId="0" fontId="0" fillId="0" borderId="0" xfId="0" applyFont="1" applyFill="1" applyProtection="1">
      <protection locked="0"/>
    </xf>
    <xf numFmtId="0" fontId="2" fillId="0" borderId="0" xfId="0" applyFont="1" applyFill="1" applyProtection="1">
      <protection locked="0"/>
    </xf>
    <xf numFmtId="0" fontId="2" fillId="4" borderId="0" xfId="0" applyFont="1" applyFill="1" applyProtection="1">
      <protection locked="0"/>
    </xf>
    <xf numFmtId="22" fontId="0" fillId="0" borderId="0" xfId="0" applyNumberFormat="1" applyProtection="1">
      <protection locked="0"/>
    </xf>
    <xf numFmtId="0" fontId="8" fillId="3" borderId="0" xfId="55" applyFont="1" applyFill="1" applyBorder="1" applyAlignment="1" applyProtection="1">
      <alignment horizontal="center" vertical="center" wrapText="1"/>
    </xf>
    <xf numFmtId="0" fontId="10" fillId="0" borderId="0" xfId="0" applyFont="1" applyFill="1" applyProtection="1">
      <protection locked="0"/>
    </xf>
    <xf numFmtId="22" fontId="10" fillId="0" borderId="0" xfId="55" applyNumberFormat="1" applyProtection="1">
      <protection locked="0"/>
    </xf>
    <xf numFmtId="0" fontId="10" fillId="0" borderId="0" xfId="0" applyFont="1" applyProtection="1">
      <protection locked="0"/>
    </xf>
    <xf numFmtId="0" fontId="10" fillId="0" borderId="0" xfId="0" applyFont="1"/>
    <xf numFmtId="0" fontId="0" fillId="0" borderId="0" xfId="0" applyAlignment="1"/>
    <xf numFmtId="0" fontId="10" fillId="4" borderId="0" xfId="0" applyFont="1" applyFill="1" applyProtection="1">
      <protection locked="0"/>
    </xf>
    <xf numFmtId="0" fontId="2" fillId="2" borderId="2" xfId="55" applyFont="1" applyFill="1" applyBorder="1" applyAlignment="1" applyProtection="1">
      <alignment vertical="center" wrapText="1"/>
    </xf>
    <xf numFmtId="1" fontId="0" fillId="0" borderId="0" xfId="510" applyNumberFormat="1" applyFont="1" applyProtection="1">
      <protection locked="0"/>
    </xf>
    <xf numFmtId="0" fontId="10" fillId="3" borderId="0" xfId="55" applyFill="1"/>
    <xf numFmtId="0" fontId="10" fillId="0" borderId="0" xfId="55"/>
    <xf numFmtId="165" fontId="26" fillId="3" borderId="15" xfId="514" applyNumberFormat="1" applyFont="1" applyFill="1" applyBorder="1" applyAlignment="1">
      <alignment horizontal="left" vertical="top"/>
    </xf>
    <xf numFmtId="2" fontId="10" fillId="0" borderId="0" xfId="55" applyNumberFormat="1"/>
    <xf numFmtId="165" fontId="28" fillId="3" borderId="15" xfId="515" applyNumberFormat="1" applyFont="1" applyFill="1" applyBorder="1" applyAlignment="1">
      <alignment horizontal="left" vertical="top"/>
    </xf>
    <xf numFmtId="165" fontId="28" fillId="3" borderId="15" xfId="514" applyNumberFormat="1" applyFont="1" applyFill="1" applyBorder="1" applyAlignment="1">
      <alignment horizontal="left" vertical="top"/>
    </xf>
    <xf numFmtId="167" fontId="10" fillId="0" borderId="0" xfId="55" applyNumberFormat="1"/>
    <xf numFmtId="165" fontId="10" fillId="0" borderId="0" xfId="55" applyNumberFormat="1"/>
    <xf numFmtId="165" fontId="28" fillId="3" borderId="14" xfId="515" applyNumberFormat="1" applyFont="1" applyFill="1" applyBorder="1" applyAlignment="1">
      <alignment horizontal="left" vertical="top"/>
    </xf>
    <xf numFmtId="165" fontId="28" fillId="3" borderId="17" xfId="514" applyNumberFormat="1" applyFont="1" applyFill="1" applyBorder="1" applyAlignment="1">
      <alignment horizontal="left" vertical="top"/>
    </xf>
    <xf numFmtId="165" fontId="28" fillId="3" borderId="0" xfId="515" applyNumberFormat="1" applyFont="1" applyFill="1" applyBorder="1" applyAlignment="1">
      <alignment horizontal="left" vertical="top"/>
    </xf>
    <xf numFmtId="165" fontId="26" fillId="3" borderId="15" xfId="515" applyNumberFormat="1" applyFont="1" applyFill="1" applyBorder="1" applyAlignment="1">
      <alignment horizontal="left" vertical="top"/>
    </xf>
    <xf numFmtId="165" fontId="10" fillId="3" borderId="0" xfId="55" applyNumberFormat="1" applyFill="1"/>
    <xf numFmtId="0" fontId="10" fillId="0" borderId="0" xfId="55" applyBorder="1"/>
    <xf numFmtId="165" fontId="28" fillId="3" borderId="17" xfId="515" applyNumberFormat="1" applyFont="1" applyFill="1" applyBorder="1" applyAlignment="1">
      <alignment horizontal="left" vertical="top"/>
    </xf>
    <xf numFmtId="169" fontId="28" fillId="3" borderId="0" xfId="514" applyNumberFormat="1" applyFont="1" applyFill="1" applyBorder="1" applyAlignment="1">
      <alignment horizontal="right" vertical="top" indent="3"/>
    </xf>
    <xf numFmtId="167" fontId="28" fillId="3" borderId="0" xfId="514" applyFont="1" applyFill="1" applyBorder="1" applyAlignment="1">
      <alignment horizontal="left" vertical="top"/>
    </xf>
    <xf numFmtId="167" fontId="29" fillId="3" borderId="0" xfId="514" applyFont="1" applyFill="1" applyBorder="1" applyAlignment="1">
      <alignment horizontal="left" vertical="top"/>
    </xf>
    <xf numFmtId="171" fontId="10" fillId="0" borderId="0" xfId="55" applyNumberFormat="1"/>
    <xf numFmtId="172" fontId="10" fillId="0" borderId="0" xfId="55" applyNumberFormat="1"/>
    <xf numFmtId="0" fontId="39" fillId="3" borderId="15" xfId="518" applyFont="1" applyFill="1" applyBorder="1" applyAlignment="1">
      <alignment horizontal="left" vertical="top"/>
    </xf>
    <xf numFmtId="0" fontId="30" fillId="3" borderId="15" xfId="518" applyFill="1" applyBorder="1" applyAlignment="1">
      <alignment horizontal="right" vertical="top" indent="1"/>
    </xf>
    <xf numFmtId="0" fontId="8" fillId="2" borderId="0" xfId="55" applyFont="1" applyFill="1" applyBorder="1" applyAlignment="1" applyProtection="1">
      <alignment horizontal="center"/>
    </xf>
    <xf numFmtId="0" fontId="7" fillId="2" borderId="0" xfId="55" applyFont="1" applyFill="1" applyBorder="1" applyProtection="1"/>
    <xf numFmtId="0" fontId="10" fillId="2" borderId="0" xfId="55" applyFill="1" applyBorder="1" applyAlignment="1" applyProtection="1">
      <alignment horizontal="left" vertical="top" wrapText="1"/>
    </xf>
    <xf numFmtId="0" fontId="10" fillId="2" borderId="0" xfId="55" applyFill="1" applyBorder="1" applyAlignment="1" applyProtection="1">
      <alignment horizontal="center"/>
    </xf>
    <xf numFmtId="0" fontId="11" fillId="0" borderId="6" xfId="55" applyNumberFormat="1" applyFont="1" applyFill="1" applyBorder="1"/>
    <xf numFmtId="0" fontId="11" fillId="0" borderId="0" xfId="55" applyNumberFormat="1" applyFont="1" applyFill="1" applyBorder="1"/>
    <xf numFmtId="0" fontId="10" fillId="0" borderId="0" xfId="55" applyFill="1" applyBorder="1"/>
    <xf numFmtId="0" fontId="12" fillId="2" borderId="0" xfId="55" applyFont="1" applyFill="1" applyBorder="1" applyAlignment="1" applyProtection="1">
      <alignment horizontal="left" vertical="justify"/>
    </xf>
    <xf numFmtId="0" fontId="12" fillId="2" borderId="0" xfId="55" applyFont="1" applyFill="1" applyBorder="1" applyAlignment="1" applyProtection="1">
      <alignment vertical="justify"/>
    </xf>
    <xf numFmtId="0" fontId="11" fillId="0" borderId="6" xfId="55" applyNumberFormat="1" applyFont="1" applyFill="1" applyBorder="1" applyAlignment="1" applyProtection="1">
      <alignment vertical="justify"/>
    </xf>
    <xf numFmtId="0" fontId="11" fillId="0" borderId="0" xfId="55" applyNumberFormat="1" applyFont="1" applyFill="1" applyBorder="1" applyAlignment="1" applyProtection="1">
      <alignment vertical="justify"/>
    </xf>
    <xf numFmtId="0" fontId="7" fillId="2" borderId="0" xfId="55" applyFont="1" applyFill="1" applyBorder="1" applyAlignment="1" applyProtection="1">
      <alignment horizontal="center"/>
    </xf>
    <xf numFmtId="0" fontId="11" fillId="0" borderId="0" xfId="55" applyNumberFormat="1" applyFont="1" applyFill="1" applyBorder="1" applyProtection="1"/>
    <xf numFmtId="0" fontId="4" fillId="5" borderId="1" xfId="55" applyFont="1" applyFill="1" applyBorder="1" applyAlignment="1" applyProtection="1">
      <alignment horizontal="center" vertical="center"/>
    </xf>
    <xf numFmtId="0" fontId="22" fillId="5" borderId="1" xfId="55" applyFont="1" applyFill="1" applyBorder="1" applyAlignment="1" applyProtection="1">
      <alignment horizontal="left" vertical="center" wrapText="1"/>
    </xf>
    <xf numFmtId="0" fontId="4" fillId="5" borderId="18" xfId="55" applyFont="1" applyFill="1" applyBorder="1" applyAlignment="1" applyProtection="1">
      <alignment horizontal="center" vertical="center"/>
      <protection locked="0"/>
    </xf>
    <xf numFmtId="0" fontId="11" fillId="0" borderId="0" xfId="55" applyNumberFormat="1" applyFont="1" applyFill="1" applyBorder="1" applyAlignment="1">
      <alignment vertical="center"/>
    </xf>
    <xf numFmtId="0" fontId="10" fillId="0" borderId="0" xfId="55" applyFill="1" applyBorder="1" applyAlignment="1">
      <alignment vertical="center"/>
    </xf>
    <xf numFmtId="0" fontId="10" fillId="0" borderId="0" xfId="55" applyBorder="1" applyAlignment="1">
      <alignment vertical="center"/>
    </xf>
    <xf numFmtId="0" fontId="7" fillId="6" borderId="25" xfId="55" quotePrefix="1" applyFont="1" applyFill="1" applyBorder="1" applyAlignment="1" applyProtection="1">
      <alignment horizontal="right" vertical="center" wrapText="1"/>
    </xf>
    <xf numFmtId="0" fontId="21" fillId="6" borderId="2" xfId="55" applyFont="1" applyFill="1" applyBorder="1" applyAlignment="1">
      <alignment vertical="center" wrapText="1"/>
    </xf>
    <xf numFmtId="168" fontId="10" fillId="6" borderId="26" xfId="55" applyNumberFormat="1" applyFill="1" applyBorder="1" applyAlignment="1" applyProtection="1">
      <alignment vertical="center" wrapText="1"/>
    </xf>
    <xf numFmtId="0" fontId="11" fillId="0" borderId="0" xfId="55" applyNumberFormat="1" applyFont="1" applyFill="1" applyBorder="1" applyAlignment="1">
      <alignment vertical="center" wrapText="1"/>
    </xf>
    <xf numFmtId="0" fontId="10" fillId="0" borderId="0" xfId="55" applyBorder="1" applyAlignment="1">
      <alignment vertical="center" wrapText="1"/>
    </xf>
    <xf numFmtId="0" fontId="7" fillId="6" borderId="4" xfId="55" applyFont="1" applyFill="1" applyBorder="1" applyAlignment="1" applyProtection="1">
      <alignment horizontal="right" vertical="center" wrapText="1"/>
    </xf>
    <xf numFmtId="168" fontId="10" fillId="5" borderId="26" xfId="55" applyNumberFormat="1" applyFill="1" applyBorder="1" applyAlignment="1" applyProtection="1">
      <alignment vertical="center" wrapText="1"/>
    </xf>
    <xf numFmtId="0" fontId="2" fillId="2" borderId="26" xfId="55" applyFont="1" applyFill="1" applyBorder="1" applyAlignment="1">
      <alignment vertical="center" wrapText="1"/>
    </xf>
    <xf numFmtId="0" fontId="2" fillId="2" borderId="26" xfId="55" applyFont="1" applyFill="1" applyBorder="1" applyAlignment="1" applyProtection="1">
      <alignment vertical="center" wrapText="1"/>
    </xf>
    <xf numFmtId="168" fontId="10" fillId="5" borderId="27" xfId="55" applyNumberFormat="1" applyFill="1" applyBorder="1" applyAlignment="1" applyProtection="1">
      <alignment vertical="center" wrapText="1"/>
    </xf>
    <xf numFmtId="0" fontId="7" fillId="5" borderId="5" xfId="55" applyFont="1" applyFill="1" applyBorder="1" applyAlignment="1" applyProtection="1">
      <alignment horizontal="right" vertical="center" wrapText="1"/>
    </xf>
    <xf numFmtId="0" fontId="7" fillId="6" borderId="25" xfId="55" applyFont="1" applyFill="1" applyBorder="1" applyAlignment="1" applyProtection="1">
      <alignment vertical="center" wrapText="1"/>
    </xf>
    <xf numFmtId="0" fontId="10" fillId="6" borderId="2" xfId="55" applyFont="1" applyFill="1" applyBorder="1" applyAlignment="1">
      <alignment vertical="center" wrapText="1"/>
    </xf>
    <xf numFmtId="0" fontId="2" fillId="2" borderId="27" xfId="55" applyFont="1" applyFill="1" applyBorder="1" applyAlignment="1">
      <alignment vertical="center" wrapText="1"/>
    </xf>
    <xf numFmtId="0" fontId="10" fillId="5" borderId="27" xfId="55" applyFill="1" applyBorder="1" applyAlignment="1" applyProtection="1">
      <alignment vertical="center" wrapText="1"/>
    </xf>
    <xf numFmtId="0" fontId="10" fillId="2" borderId="26" xfId="55" applyFont="1" applyFill="1" applyBorder="1" applyAlignment="1">
      <alignment vertical="center" wrapText="1"/>
    </xf>
    <xf numFmtId="167" fontId="0" fillId="5" borderId="27" xfId="1" applyFont="1" applyFill="1" applyBorder="1" applyAlignment="1" applyProtection="1">
      <alignment vertical="center" wrapText="1"/>
    </xf>
    <xf numFmtId="0" fontId="10" fillId="2" borderId="27" xfId="55" applyFont="1" applyFill="1" applyBorder="1" applyAlignment="1" applyProtection="1">
      <alignment vertical="center" wrapText="1"/>
      <protection locked="0"/>
    </xf>
    <xf numFmtId="0" fontId="10" fillId="2" borderId="27" xfId="55" applyFont="1" applyFill="1" applyBorder="1" applyAlignment="1">
      <alignment vertical="center" wrapText="1"/>
    </xf>
    <xf numFmtId="0" fontId="11" fillId="0" borderId="3" xfId="55" applyFont="1" applyBorder="1" applyAlignment="1">
      <alignment vertical="center" wrapText="1"/>
    </xf>
    <xf numFmtId="169" fontId="2" fillId="5" borderId="27" xfId="1" applyNumberFormat="1" applyFont="1" applyFill="1" applyBorder="1" applyAlignment="1" applyProtection="1">
      <alignment vertical="center" wrapText="1"/>
    </xf>
    <xf numFmtId="167" fontId="2" fillId="5" borderId="26" xfId="1" applyFont="1" applyFill="1" applyBorder="1" applyAlignment="1" applyProtection="1">
      <alignment vertical="center" wrapText="1"/>
    </xf>
    <xf numFmtId="0" fontId="7" fillId="6" borderId="5" xfId="55" applyFont="1" applyFill="1" applyBorder="1" applyAlignment="1" applyProtection="1">
      <alignment horizontal="right" vertical="center" wrapText="1"/>
    </xf>
    <xf numFmtId="0" fontId="7" fillId="6" borderId="29" xfId="55" applyFont="1" applyFill="1" applyBorder="1" applyAlignment="1" applyProtection="1">
      <alignment horizontal="right" vertical="center" wrapText="1"/>
    </xf>
    <xf numFmtId="0" fontId="7" fillId="5" borderId="29" xfId="55" applyFont="1" applyFill="1" applyBorder="1" applyAlignment="1" applyProtection="1">
      <alignment horizontal="right" vertical="center" wrapText="1"/>
    </xf>
    <xf numFmtId="0" fontId="10" fillId="0" borderId="0" xfId="55" applyFill="1" applyBorder="1" applyAlignment="1" applyProtection="1">
      <alignment horizontal="left" vertical="top" wrapText="1"/>
    </xf>
    <xf numFmtId="0" fontId="7" fillId="6" borderId="20" xfId="55" applyFont="1" applyFill="1" applyBorder="1" applyAlignment="1" applyProtection="1">
      <alignment horizontal="right" vertical="center" wrapText="1"/>
    </xf>
    <xf numFmtId="0" fontId="7" fillId="6" borderId="26" xfId="55" applyFont="1" applyFill="1" applyBorder="1" applyAlignment="1" applyProtection="1">
      <alignment horizontal="right" vertical="center" wrapText="1"/>
    </xf>
    <xf numFmtId="0" fontId="2" fillId="0" borderId="30" xfId="55" applyFont="1" applyFill="1" applyBorder="1" applyAlignment="1">
      <alignment vertical="center" wrapText="1"/>
    </xf>
    <xf numFmtId="0" fontId="7" fillId="0" borderId="0" xfId="55" applyFont="1" applyBorder="1" applyProtection="1"/>
    <xf numFmtId="0" fontId="10" fillId="0" borderId="0" xfId="55" applyBorder="1" applyAlignment="1" applyProtection="1">
      <alignment horizontal="center"/>
    </xf>
    <xf numFmtId="0" fontId="10" fillId="0" borderId="0" xfId="55" applyFill="1" applyBorder="1" applyAlignment="1" applyProtection="1">
      <alignment vertical="top" wrapText="1" readingOrder="1"/>
    </xf>
    <xf numFmtId="0" fontId="10" fillId="0" borderId="0" xfId="55" applyNumberFormat="1" applyFill="1" applyBorder="1" applyAlignment="1" applyProtection="1">
      <alignment horizontal="center"/>
    </xf>
    <xf numFmtId="0" fontId="8" fillId="0" borderId="0" xfId="55" applyFont="1" applyBorder="1" applyAlignment="1" applyProtection="1">
      <alignment horizontal="center"/>
    </xf>
    <xf numFmtId="0" fontId="4" fillId="5" borderId="27" xfId="55" applyFont="1" applyFill="1" applyBorder="1" applyAlignment="1" applyProtection="1">
      <alignment horizontal="center" vertical="center"/>
      <protection locked="0"/>
    </xf>
    <xf numFmtId="0" fontId="7" fillId="6" borderId="5" xfId="55" applyFont="1" applyFill="1" applyBorder="1" applyAlignment="1" applyProtection="1">
      <alignment vertical="center" wrapText="1"/>
    </xf>
    <xf numFmtId="0" fontId="7" fillId="6" borderId="19" xfId="55" applyFont="1" applyFill="1" applyBorder="1" applyAlignment="1" applyProtection="1">
      <alignment horizontal="right" vertical="center" wrapText="1"/>
    </xf>
    <xf numFmtId="0" fontId="2" fillId="0" borderId="0" xfId="55" applyFont="1" applyFill="1" applyBorder="1" applyAlignment="1">
      <alignment vertical="center" wrapText="1"/>
    </xf>
    <xf numFmtId="0" fontId="7" fillId="6" borderId="32" xfId="55" applyFont="1" applyFill="1" applyBorder="1" applyAlignment="1" applyProtection="1">
      <alignment horizontal="right" vertical="center" wrapText="1"/>
    </xf>
    <xf numFmtId="0" fontId="0" fillId="2" borderId="27" xfId="55" applyFont="1" applyFill="1" applyBorder="1" applyAlignment="1" applyProtection="1">
      <alignment vertical="center" wrapText="1"/>
      <protection locked="0"/>
    </xf>
    <xf numFmtId="0" fontId="0" fillId="0" borderId="27" xfId="55" applyFont="1" applyFill="1" applyBorder="1" applyAlignment="1">
      <alignment vertical="center" wrapText="1"/>
    </xf>
    <xf numFmtId="0" fontId="2" fillId="0" borderId="0" xfId="0" applyFont="1" applyAlignment="1" applyProtection="1">
      <alignment horizontal="left"/>
      <protection locked="0"/>
    </xf>
    <xf numFmtId="0" fontId="10" fillId="0" borderId="27" xfId="55" applyFont="1" applyFill="1" applyBorder="1" applyAlignment="1">
      <alignment vertical="center" wrapText="1"/>
    </xf>
    <xf numFmtId="0" fontId="2" fillId="3" borderId="0" xfId="56" applyFill="1"/>
    <xf numFmtId="0" fontId="23" fillId="8" borderId="8" xfId="56" applyFont="1" applyFill="1" applyBorder="1" applyAlignment="1">
      <alignment horizontal="left" vertical="top"/>
    </xf>
    <xf numFmtId="0" fontId="23" fillId="8" borderId="9" xfId="56" applyFont="1" applyFill="1" applyBorder="1" applyAlignment="1">
      <alignment horizontal="left" vertical="top"/>
    </xf>
    <xf numFmtId="0" fontId="23" fillId="8" borderId="10" xfId="56" applyFont="1" applyFill="1" applyBorder="1" applyAlignment="1">
      <alignment horizontal="left" vertical="top"/>
    </xf>
    <xf numFmtId="0" fontId="23" fillId="8" borderId="16" xfId="56" applyFont="1" applyFill="1" applyBorder="1" applyAlignment="1">
      <alignment horizontal="left" vertical="top"/>
    </xf>
    <xf numFmtId="0" fontId="23" fillId="8" borderId="7" xfId="56" applyFont="1" applyFill="1" applyBorder="1" applyAlignment="1">
      <alignment horizontal="left" vertical="top"/>
    </xf>
    <xf numFmtId="0" fontId="23" fillId="8" borderId="17" xfId="56" applyFont="1" applyFill="1" applyBorder="1" applyAlignment="1">
      <alignment horizontal="left" vertical="top"/>
    </xf>
    <xf numFmtId="0" fontId="24" fillId="3" borderId="11" xfId="56" applyFont="1" applyFill="1" applyBorder="1" applyAlignment="1">
      <alignment horizontal="left" vertical="top"/>
    </xf>
    <xf numFmtId="0" fontId="24" fillId="3" borderId="12" xfId="56" applyFont="1" applyFill="1" applyBorder="1" applyAlignment="1">
      <alignment horizontal="left" vertical="top"/>
    </xf>
    <xf numFmtId="0" fontId="2" fillId="3" borderId="8" xfId="56" applyFill="1" applyBorder="1" applyAlignment="1">
      <alignment horizontal="left" vertical="top"/>
    </xf>
    <xf numFmtId="0" fontId="2" fillId="3" borderId="10" xfId="56" applyFill="1" applyBorder="1" applyAlignment="1">
      <alignment horizontal="left" vertical="top"/>
    </xf>
    <xf numFmtId="0" fontId="25" fillId="3" borderId="13" xfId="56" applyFont="1" applyFill="1" applyBorder="1" applyAlignment="1">
      <alignment horizontal="left" vertical="top" wrapText="1"/>
    </xf>
    <xf numFmtId="0" fontId="2" fillId="3" borderId="13" xfId="56" applyFill="1" applyBorder="1" applyAlignment="1">
      <alignment horizontal="left" vertical="top" indent="2"/>
    </xf>
    <xf numFmtId="0" fontId="2" fillId="0" borderId="13" xfId="56" applyBorder="1"/>
    <xf numFmtId="0" fontId="2" fillId="0" borderId="15" xfId="56" applyBorder="1"/>
    <xf numFmtId="0" fontId="25" fillId="3" borderId="13" xfId="56" applyFont="1" applyFill="1" applyBorder="1" applyAlignment="1">
      <alignment horizontal="left" vertical="top"/>
    </xf>
    <xf numFmtId="0" fontId="24" fillId="3" borderId="16" xfId="56" applyFont="1" applyFill="1" applyBorder="1" applyAlignment="1">
      <alignment horizontal="left" vertical="top"/>
    </xf>
    <xf numFmtId="0" fontId="2" fillId="3" borderId="0" xfId="56" applyFill="1" applyBorder="1" applyAlignment="1">
      <alignment horizontal="left" vertical="top"/>
    </xf>
    <xf numFmtId="165" fontId="29" fillId="3" borderId="0" xfId="56" applyNumberFormat="1" applyFont="1" applyFill="1" applyBorder="1" applyAlignment="1">
      <alignment horizontal="left" vertical="top"/>
    </xf>
    <xf numFmtId="0" fontId="24" fillId="3" borderId="0" xfId="56" applyFont="1" applyFill="1" applyBorder="1" applyAlignment="1">
      <alignment horizontal="left" vertical="top"/>
    </xf>
    <xf numFmtId="0" fontId="2" fillId="3" borderId="0" xfId="56" applyFill="1" applyBorder="1" applyAlignment="1">
      <alignment horizontal="left" vertical="top" indent="2"/>
    </xf>
    <xf numFmtId="0" fontId="24" fillId="3" borderId="13" xfId="56" applyFont="1" applyFill="1" applyBorder="1" applyAlignment="1">
      <alignment horizontal="left" vertical="top"/>
    </xf>
    <xf numFmtId="0" fontId="24" fillId="3" borderId="15" xfId="56" applyFont="1" applyFill="1" applyBorder="1" applyAlignment="1">
      <alignment horizontal="left" vertical="top"/>
    </xf>
    <xf numFmtId="0" fontId="30" fillId="3" borderId="13" xfId="56" applyFont="1" applyFill="1" applyBorder="1" applyAlignment="1">
      <alignment horizontal="left" vertical="top"/>
    </xf>
    <xf numFmtId="165" fontId="2" fillId="0" borderId="0" xfId="56" applyNumberFormat="1"/>
    <xf numFmtId="0" fontId="2" fillId="0" borderId="0" xfId="56"/>
    <xf numFmtId="0" fontId="2" fillId="0" borderId="0" xfId="56" applyBorder="1"/>
    <xf numFmtId="0" fontId="30" fillId="3" borderId="16" xfId="56" applyFont="1" applyFill="1" applyBorder="1" applyAlignment="1">
      <alignment horizontal="left" vertical="top"/>
    </xf>
    <xf numFmtId="0" fontId="33" fillId="3" borderId="0" xfId="56" applyFont="1" applyFill="1" applyAlignment="1">
      <alignment horizontal="left" vertical="center"/>
    </xf>
    <xf numFmtId="0" fontId="34" fillId="3" borderId="0" xfId="56" applyFont="1" applyFill="1" applyAlignment="1">
      <alignment horizontal="left" vertical="center"/>
    </xf>
    <xf numFmtId="0" fontId="2" fillId="3" borderId="15" xfId="56" applyFill="1" applyBorder="1" applyAlignment="1">
      <alignment horizontal="left" vertical="top"/>
    </xf>
    <xf numFmtId="0" fontId="36" fillId="3" borderId="15" xfId="56" applyFont="1" applyFill="1" applyBorder="1" applyAlignment="1">
      <alignment horizontal="left" vertical="center"/>
    </xf>
    <xf numFmtId="0" fontId="35" fillId="3" borderId="13" xfId="56" applyFont="1" applyFill="1" applyBorder="1" applyAlignment="1">
      <alignment horizontal="left" vertical="top"/>
    </xf>
    <xf numFmtId="0" fontId="25" fillId="3" borderId="15" xfId="56" applyFont="1" applyFill="1" applyBorder="1" applyAlignment="1">
      <alignment horizontal="left" vertical="top"/>
    </xf>
    <xf numFmtId="0" fontId="35" fillId="3" borderId="13" xfId="56" applyFont="1" applyFill="1" applyBorder="1" applyAlignment="1">
      <alignment horizontal="left" vertical="top" indent="2"/>
    </xf>
    <xf numFmtId="0" fontId="30" fillId="3" borderId="15" xfId="56" applyFont="1" applyFill="1" applyBorder="1" applyAlignment="1">
      <alignment horizontal="left" vertical="top"/>
    </xf>
    <xf numFmtId="0" fontId="2" fillId="3" borderId="13" xfId="56" applyFill="1" applyBorder="1" applyAlignment="1">
      <alignment horizontal="left" vertical="top"/>
    </xf>
    <xf numFmtId="0" fontId="2" fillId="3" borderId="17" xfId="56" applyFill="1" applyBorder="1" applyAlignment="1">
      <alignment horizontal="left" vertical="top"/>
    </xf>
    <xf numFmtId="0" fontId="37" fillId="3" borderId="13" xfId="56" applyFont="1" applyFill="1" applyBorder="1"/>
    <xf numFmtId="0" fontId="2" fillId="3" borderId="0" xfId="56" applyFill="1" applyBorder="1"/>
    <xf numFmtId="0" fontId="2" fillId="3" borderId="15" xfId="56" applyFill="1" applyBorder="1"/>
    <xf numFmtId="0" fontId="2" fillId="3" borderId="13" xfId="56" applyFill="1" applyBorder="1"/>
    <xf numFmtId="0" fontId="10" fillId="3" borderId="13" xfId="56" applyFont="1" applyFill="1" applyBorder="1" applyAlignment="1">
      <alignment horizontal="right" vertical="top"/>
    </xf>
    <xf numFmtId="169" fontId="7" fillId="3" borderId="27" xfId="514" applyNumberFormat="1" applyFont="1" applyFill="1" applyBorder="1"/>
    <xf numFmtId="167" fontId="7" fillId="3" borderId="27" xfId="514" applyFont="1" applyFill="1" applyBorder="1"/>
    <xf numFmtId="0" fontId="38" fillId="3" borderId="13" xfId="56" applyFont="1" applyFill="1" applyBorder="1" applyAlignment="1">
      <alignment horizontal="right"/>
    </xf>
    <xf numFmtId="10" fontId="7" fillId="3" borderId="27" xfId="56" applyNumberFormat="1" applyFont="1" applyFill="1" applyBorder="1"/>
    <xf numFmtId="0" fontId="16" fillId="3" borderId="15" xfId="56" applyFont="1" applyFill="1" applyBorder="1"/>
    <xf numFmtId="9" fontId="7" fillId="3" borderId="0" xfId="56" applyNumberFormat="1" applyFont="1" applyFill="1" applyBorder="1"/>
    <xf numFmtId="0" fontId="38" fillId="3" borderId="13" xfId="56" applyFont="1" applyFill="1" applyBorder="1" applyAlignment="1">
      <alignment horizontal="right" vertical="top"/>
    </xf>
    <xf numFmtId="10" fontId="7" fillId="3" borderId="27" xfId="109" applyNumberFormat="1" applyFont="1" applyFill="1" applyBorder="1" applyAlignment="1">
      <alignment horizontal="right" vertical="top"/>
    </xf>
    <xf numFmtId="165" fontId="7" fillId="3" borderId="27" xfId="109" applyNumberFormat="1" applyFont="1" applyFill="1" applyBorder="1" applyAlignment="1">
      <alignment horizontal="right" vertical="top" indent="2"/>
    </xf>
    <xf numFmtId="0" fontId="2" fillId="0" borderId="16" xfId="56" applyBorder="1"/>
    <xf numFmtId="0" fontId="2" fillId="0" borderId="7" xfId="56" applyBorder="1"/>
    <xf numFmtId="0" fontId="2" fillId="0" borderId="17" xfId="56" applyBorder="1"/>
    <xf numFmtId="0" fontId="7" fillId="6" borderId="33" xfId="55" applyFont="1" applyFill="1" applyBorder="1" applyAlignment="1" applyProtection="1">
      <alignment horizontal="right" vertical="center" wrapText="1"/>
    </xf>
    <xf numFmtId="0" fontId="9" fillId="3" borderId="0" xfId="55" applyFont="1" applyFill="1" applyBorder="1" applyAlignment="1" applyProtection="1">
      <alignment horizontal="center" vertical="center"/>
      <protection locked="0"/>
    </xf>
    <xf numFmtId="0" fontId="8" fillId="3" borderId="0" xfId="55" applyFont="1" applyFill="1" applyBorder="1" applyAlignment="1" applyProtection="1">
      <alignment horizontal="center" vertical="center" wrapText="1"/>
      <protection locked="0"/>
    </xf>
    <xf numFmtId="0" fontId="10" fillId="0" borderId="0" xfId="55" applyFill="1" applyBorder="1" applyAlignment="1" applyProtection="1">
      <alignment horizontal="left" vertical="top" wrapText="1"/>
      <protection locked="0"/>
    </xf>
    <xf numFmtId="0" fontId="10" fillId="0" borderId="0" xfId="55" applyBorder="1" applyProtection="1">
      <protection locked="0"/>
    </xf>
    <xf numFmtId="0" fontId="10" fillId="2" borderId="0" xfId="55" applyFill="1" applyBorder="1" applyAlignment="1" applyProtection="1">
      <alignment horizontal="center"/>
      <protection locked="0"/>
    </xf>
    <xf numFmtId="0" fontId="11" fillId="0" borderId="6" xfId="55" applyNumberFormat="1" applyFont="1" applyFill="1" applyBorder="1" applyProtection="1">
      <protection locked="0"/>
    </xf>
    <xf numFmtId="0" fontId="10" fillId="0" borderId="0" xfId="55" applyProtection="1">
      <protection locked="0"/>
    </xf>
    <xf numFmtId="0" fontId="12" fillId="2" borderId="0" xfId="55" applyFont="1" applyFill="1" applyBorder="1" applyAlignment="1" applyProtection="1">
      <alignment horizontal="left" vertical="justify"/>
      <protection locked="0"/>
    </xf>
    <xf numFmtId="0" fontId="12" fillId="2" borderId="0" xfId="55" applyFont="1" applyFill="1" applyBorder="1" applyAlignment="1" applyProtection="1">
      <alignment vertical="justify"/>
      <protection locked="0"/>
    </xf>
    <xf numFmtId="0" fontId="4" fillId="5" borderId="1" xfId="55" applyFont="1" applyFill="1" applyBorder="1" applyAlignment="1" applyProtection="1">
      <alignment horizontal="center" vertical="center"/>
      <protection locked="0"/>
    </xf>
    <xf numFmtId="0" fontId="5" fillId="5" borderId="1" xfId="55" applyFont="1" applyFill="1" applyBorder="1" applyAlignment="1" applyProtection="1">
      <alignment horizontal="left" vertical="center" wrapText="1"/>
      <protection locked="0"/>
    </xf>
    <xf numFmtId="0" fontId="7" fillId="6" borderId="5" xfId="55" applyFont="1" applyFill="1" applyBorder="1" applyAlignment="1" applyProtection="1">
      <alignment vertical="center" wrapText="1"/>
      <protection locked="0"/>
    </xf>
    <xf numFmtId="0" fontId="7" fillId="6" borderId="5" xfId="55" applyFont="1" applyFill="1" applyBorder="1" applyAlignment="1" applyProtection="1">
      <alignment horizontal="right" vertical="center" wrapText="1"/>
      <protection locked="0"/>
    </xf>
    <xf numFmtId="0" fontId="10" fillId="0" borderId="27" xfId="55" applyFill="1" applyBorder="1" applyAlignment="1" applyProtection="1">
      <alignment horizontal="left" vertical="center" wrapText="1"/>
      <protection locked="0"/>
    </xf>
    <xf numFmtId="167" fontId="10" fillId="5" borderId="27" xfId="1" applyFont="1" applyFill="1" applyBorder="1" applyAlignment="1" applyProtection="1">
      <alignment vertical="center" wrapText="1"/>
      <protection locked="0"/>
    </xf>
    <xf numFmtId="0" fontId="0" fillId="0" borderId="27" xfId="55" applyFont="1" applyFill="1" applyBorder="1" applyAlignment="1" applyProtection="1">
      <alignment horizontal="left" vertical="center" wrapText="1"/>
      <protection locked="0"/>
    </xf>
    <xf numFmtId="171" fontId="10" fillId="0" borderId="0" xfId="55" applyNumberFormat="1" applyProtection="1">
      <protection locked="0"/>
    </xf>
    <xf numFmtId="167" fontId="0" fillId="0" borderId="0" xfId="1" applyFont="1" applyProtection="1">
      <protection locked="0"/>
    </xf>
    <xf numFmtId="0" fontId="8" fillId="3" borderId="0" xfId="55" applyFont="1" applyFill="1" applyBorder="1" applyAlignment="1" applyProtection="1">
      <alignment horizontal="center"/>
      <protection locked="0"/>
    </xf>
    <xf numFmtId="0" fontId="10" fillId="0" borderId="31" xfId="55" applyFill="1" applyBorder="1" applyAlignment="1" applyProtection="1">
      <alignment horizontal="left" vertical="center" wrapText="1"/>
      <protection locked="0"/>
    </xf>
    <xf numFmtId="167" fontId="10" fillId="5" borderId="31" xfId="1" applyFont="1" applyFill="1" applyBorder="1" applyAlignment="1" applyProtection="1">
      <alignment vertical="center" wrapText="1"/>
      <protection locked="0"/>
    </xf>
    <xf numFmtId="0" fontId="10" fillId="0" borderId="33" xfId="55" applyFill="1" applyBorder="1" applyAlignment="1" applyProtection="1">
      <alignment horizontal="left" vertical="center" wrapText="1"/>
      <protection locked="0"/>
    </xf>
    <xf numFmtId="167" fontId="10" fillId="5" borderId="33" xfId="1" applyFont="1" applyFill="1" applyBorder="1" applyAlignment="1" applyProtection="1">
      <alignment vertical="center" wrapText="1"/>
      <protection locked="0"/>
    </xf>
    <xf numFmtId="0" fontId="7" fillId="6" borderId="25" xfId="55" applyFont="1" applyFill="1" applyBorder="1" applyAlignment="1" applyProtection="1">
      <alignment horizontal="right" vertical="center" wrapText="1"/>
      <protection locked="0"/>
    </xf>
    <xf numFmtId="0" fontId="10" fillId="0" borderId="27" xfId="55" applyFont="1" applyFill="1" applyBorder="1" applyAlignment="1" applyProtection="1">
      <alignment horizontal="left" vertical="center" wrapText="1"/>
      <protection locked="0"/>
    </xf>
    <xf numFmtId="0" fontId="7" fillId="6" borderId="19" xfId="55" applyFont="1" applyFill="1" applyBorder="1" applyAlignment="1" applyProtection="1">
      <alignment horizontal="right" vertical="center" wrapText="1"/>
      <protection locked="0"/>
    </xf>
    <xf numFmtId="0" fontId="10" fillId="0" borderId="26" xfId="55" applyFont="1" applyFill="1" applyBorder="1" applyAlignment="1" applyProtection="1">
      <alignment horizontal="left" vertical="center" wrapText="1"/>
      <protection locked="0"/>
    </xf>
    <xf numFmtId="167" fontId="10" fillId="5" borderId="21" xfId="1" applyFont="1" applyFill="1" applyBorder="1" applyAlignment="1" applyProtection="1">
      <alignment vertical="center" wrapText="1"/>
      <protection locked="0"/>
    </xf>
    <xf numFmtId="0" fontId="10" fillId="0" borderId="22" xfId="55" applyFont="1" applyFill="1" applyBorder="1" applyAlignment="1" applyProtection="1">
      <alignment horizontal="left" vertical="center" wrapText="1"/>
      <protection locked="0"/>
    </xf>
    <xf numFmtId="0" fontId="2" fillId="3" borderId="27" xfId="55" applyFont="1" applyFill="1" applyBorder="1" applyAlignment="1" applyProtection="1">
      <alignment horizontal="left" vertical="center" wrapText="1"/>
      <protection locked="0"/>
    </xf>
    <xf numFmtId="0" fontId="7" fillId="6" borderId="33" xfId="55" applyFont="1" applyFill="1" applyBorder="1" applyAlignment="1" applyProtection="1">
      <alignment horizontal="right" vertical="center" wrapText="1"/>
      <protection locked="0"/>
    </xf>
    <xf numFmtId="0" fontId="10" fillId="0" borderId="0" xfId="55" applyAlignment="1" applyProtection="1">
      <alignment horizontal="center"/>
      <protection locked="0"/>
    </xf>
    <xf numFmtId="169" fontId="10" fillId="5" borderId="27" xfId="1" applyNumberFormat="1" applyFont="1" applyFill="1" applyBorder="1" applyAlignment="1" applyProtection="1">
      <alignment vertical="center" wrapText="1"/>
    </xf>
    <xf numFmtId="9" fontId="10" fillId="5" borderId="26" xfId="109" applyFont="1" applyFill="1" applyBorder="1" applyAlignment="1" applyProtection="1">
      <alignment vertical="center" wrapText="1"/>
    </xf>
    <xf numFmtId="167" fontId="10" fillId="5" borderId="27" xfId="1" applyFont="1" applyFill="1" applyBorder="1" applyAlignment="1" applyProtection="1">
      <alignment vertical="center" wrapText="1"/>
    </xf>
    <xf numFmtId="169" fontId="10" fillId="5" borderId="26" xfId="1" applyNumberFormat="1" applyFont="1" applyFill="1" applyBorder="1" applyAlignment="1" applyProtection="1">
      <alignment vertical="center" wrapText="1"/>
    </xf>
    <xf numFmtId="0" fontId="0" fillId="2" borderId="27" xfId="55" applyFont="1" applyFill="1" applyBorder="1" applyAlignment="1">
      <alignment vertical="center" wrapText="1"/>
    </xf>
    <xf numFmtId="0" fontId="0" fillId="6" borderId="2" xfId="55" applyFont="1" applyFill="1" applyBorder="1" applyAlignment="1">
      <alignment vertical="center" wrapText="1"/>
    </xf>
    <xf numFmtId="9" fontId="30" fillId="3" borderId="7" xfId="56" applyNumberFormat="1" applyFont="1" applyFill="1" applyBorder="1" applyAlignment="1">
      <alignment horizontal="right" vertical="top"/>
    </xf>
    <xf numFmtId="0" fontId="0" fillId="3" borderId="27" xfId="55" applyFont="1" applyFill="1" applyBorder="1" applyAlignment="1" applyProtection="1">
      <alignment horizontal="left" vertical="center" wrapText="1"/>
      <protection locked="0"/>
    </xf>
    <xf numFmtId="0" fontId="23" fillId="8" borderId="8" xfId="56" applyFont="1" applyFill="1" applyBorder="1" applyAlignment="1">
      <alignment horizontal="left" vertical="top"/>
    </xf>
    <xf numFmtId="0" fontId="23" fillId="8" borderId="10" xfId="56" applyFont="1" applyFill="1" applyBorder="1" applyAlignment="1">
      <alignment horizontal="left" vertical="top"/>
    </xf>
    <xf numFmtId="0" fontId="23" fillId="8" borderId="16" xfId="56" applyFont="1" applyFill="1" applyBorder="1" applyAlignment="1">
      <alignment horizontal="left" vertical="top"/>
    </xf>
    <xf numFmtId="0" fontId="23" fillId="8" borderId="17" xfId="56" applyFont="1" applyFill="1" applyBorder="1" applyAlignment="1">
      <alignment horizontal="left" vertical="top"/>
    </xf>
    <xf numFmtId="0" fontId="31" fillId="8" borderId="23" xfId="56" applyFont="1" applyFill="1" applyBorder="1" applyAlignment="1">
      <alignment horizontal="center" vertical="center"/>
    </xf>
    <xf numFmtId="0" fontId="31" fillId="8" borderId="24" xfId="56" applyFont="1" applyFill="1" applyBorder="1" applyAlignment="1">
      <alignment horizontal="center" vertical="center"/>
    </xf>
    <xf numFmtId="9" fontId="32" fillId="3" borderId="23" xfId="109" applyFont="1" applyFill="1" applyBorder="1" applyAlignment="1">
      <alignment horizontal="center" vertical="center"/>
    </xf>
    <xf numFmtId="9" fontId="32" fillId="3" borderId="24" xfId="109" applyFont="1" applyFill="1" applyBorder="1" applyAlignment="1">
      <alignment horizontal="center" vertical="center"/>
    </xf>
    <xf numFmtId="0" fontId="23" fillId="8" borderId="9" xfId="56" applyFont="1" applyFill="1" applyBorder="1" applyAlignment="1">
      <alignment horizontal="left" vertical="top"/>
    </xf>
    <xf numFmtId="0" fontId="23" fillId="8" borderId="7" xfId="56" applyFont="1" applyFill="1" applyBorder="1" applyAlignment="1">
      <alignment horizontal="left" vertical="top"/>
    </xf>
    <xf numFmtId="0" fontId="5" fillId="5" borderId="28" xfId="55" applyFont="1" applyFill="1" applyBorder="1" applyAlignment="1" applyProtection="1">
      <alignment horizontal="left" vertical="center" wrapText="1"/>
    </xf>
    <xf numFmtId="0" fontId="5" fillId="5" borderId="26" xfId="55" applyFont="1" applyFill="1" applyBorder="1" applyAlignment="1" applyProtection="1">
      <alignment horizontal="left" vertical="center" wrapText="1"/>
    </xf>
    <xf numFmtId="0" fontId="17" fillId="7" borderId="28" xfId="55" applyFont="1" applyFill="1" applyBorder="1" applyAlignment="1" applyProtection="1">
      <alignment horizontal="center" vertical="center" wrapText="1"/>
      <protection locked="0"/>
    </xf>
    <xf numFmtId="0" fontId="17" fillId="7" borderId="2" xfId="55" applyFont="1" applyFill="1" applyBorder="1" applyAlignment="1" applyProtection="1">
      <alignment horizontal="center" vertical="center" wrapText="1"/>
      <protection locked="0"/>
    </xf>
    <xf numFmtId="0" fontId="17" fillId="7" borderId="26" xfId="55" applyFont="1" applyFill="1" applyBorder="1" applyAlignment="1" applyProtection="1">
      <alignment horizontal="center" vertical="center" wrapText="1"/>
      <protection locked="0"/>
    </xf>
    <xf numFmtId="0" fontId="10" fillId="6" borderId="2" xfId="55" applyFont="1" applyFill="1" applyBorder="1" applyAlignment="1" applyProtection="1">
      <alignment horizontal="left" vertical="center" wrapText="1"/>
      <protection locked="0"/>
    </xf>
    <xf numFmtId="0" fontId="10" fillId="6" borderId="26" xfId="55" applyFont="1" applyFill="1" applyBorder="1" applyAlignment="1" applyProtection="1">
      <alignment horizontal="left" vertical="center" wrapText="1"/>
      <protection locked="0"/>
    </xf>
    <xf numFmtId="0" fontId="18" fillId="7" borderId="5" xfId="55" applyFont="1" applyFill="1" applyBorder="1" applyAlignment="1" applyProtection="1">
      <alignment horizontal="center" vertical="center" wrapText="1"/>
      <protection locked="0"/>
    </xf>
    <xf numFmtId="0" fontId="18" fillId="7" borderId="22" xfId="55" applyFont="1" applyFill="1" applyBorder="1" applyAlignment="1" applyProtection="1">
      <alignment horizontal="center" vertical="center" wrapText="1"/>
      <protection locked="0"/>
    </xf>
    <xf numFmtId="0" fontId="18" fillId="7" borderId="21" xfId="55" applyFont="1" applyFill="1" applyBorder="1" applyAlignment="1" applyProtection="1">
      <alignment horizontal="center" vertical="center" wrapText="1"/>
      <protection locked="0"/>
    </xf>
  </cellXfs>
  <cellStyles count="520">
    <cellStyle name="Comma" xfId="1" builtinId="3"/>
    <cellStyle name="Comma 2" xfId="4"/>
    <cellStyle name="Comma 2 2" xfId="58"/>
    <cellStyle name="Comma 3" xfId="513"/>
    <cellStyle name="Comma 4" xfId="514"/>
    <cellStyle name="Currency 2" xfId="515"/>
    <cellStyle name="Currency 3" xfId="516"/>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10"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162"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360"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12"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11"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163"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361"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13"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Normal" xfId="0" builtinId="0"/>
    <cellStyle name="Normal 2" xfId="2"/>
    <cellStyle name="Normal 2 2" xfId="56"/>
    <cellStyle name="Normal 2 3" xfId="517"/>
    <cellStyle name="Normal 3" xfId="55"/>
    <cellStyle name="Normal 4" xfId="512"/>
    <cellStyle name="Normal 5" xfId="511"/>
    <cellStyle name="Normal 6" xfId="518"/>
    <cellStyle name="Percent" xfId="510" builtinId="5"/>
    <cellStyle name="Percent 2" xfId="3"/>
    <cellStyle name="Percent 2 2" xfId="57"/>
    <cellStyle name="Percent 3" xfId="109"/>
    <cellStyle name="Percent 4" xfId="519"/>
  </cellStyles>
  <dxfs count="2">
    <dxf>
      <font>
        <color rgb="FF9C0006"/>
      </font>
    </dxf>
    <dxf>
      <font>
        <color rgb="FF9C0006"/>
      </font>
    </dxf>
  </dxfs>
  <tableStyles count="0" defaultTableStyle="TableStyleMedium9" defaultPivotStyle="PivotStyleLight16"/>
  <colors>
    <mruColors>
      <color rgb="FFFFFF85"/>
      <color rgb="FFBDFFBD"/>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7" dropStyle="combo" dx="16" fmlaLink="KEY!$I$16" fmlaRange="KEY!$C$14:$C$16" noThreeD="1" val="0"/>
</file>

<file path=xl/ctrlProps/ctrlProp3.xml><?xml version="1.0" encoding="utf-8"?>
<formControlPr xmlns="http://schemas.microsoft.com/office/spreadsheetml/2009/9/main" objectType="Drop" dropLines="3" dropStyle="combo" dx="16" fmlaLink="KEY!$I$20" fmlaRange="KEY!$E$14:$E$16" noThreeD="1" val="0"/>
</file>

<file path=xl/ctrlProps/ctrlProp4.xml><?xml version="1.0" encoding="utf-8"?>
<formControlPr xmlns="http://schemas.microsoft.com/office/spreadsheetml/2009/9/main" objectType="Drop" dropLines="3" dropStyle="combo" dx="16" fmlaLink="KEY!$I$27" fmlaRange="KEY!$C$14:$C$16" noThreeD="1" val="0"/>
</file>

<file path=xl/ctrlProps/ctrlProp5.xml><?xml version="1.0" encoding="utf-8"?>
<formControlPr xmlns="http://schemas.microsoft.com/office/spreadsheetml/2009/9/main" objectType="Drop" dropLines="10" dropStyle="combo" dx="16" fmlaLink="KEY!$I$13" fmlaRange="KEY!$D$14:$D$22" noThreeD="1" val="0"/>
</file>

<file path=xl/ctrlProps/ctrlProp6.xml><?xml version="1.0" encoding="utf-8"?>
<formControlPr xmlns="http://schemas.microsoft.com/office/spreadsheetml/2009/9/main" objectType="Drop" dropLines="76" dropStyle="combo" dx="16" fmlaLink="KEY!$I$12" fmlaRange="KEY!$D$14:$D$22" noThreeD="1" val="0"/>
</file>

<file path=xl/ctrlProps/ctrlProp7.xml><?xml version="1.0" encoding="utf-8"?>
<formControlPr xmlns="http://schemas.microsoft.com/office/spreadsheetml/2009/9/main" objectType="Drop" dropLines="70" dropStyle="combo" dx="16" fmlaLink="KEY!$I$11" fmlaRange="KEY!$D$14:$D$22" noThreeD="1" val="0"/>
</file>

<file path=xl/ctrlProps/ctrlProp8.xml><?xml version="1.0" encoding="utf-8"?>
<formControlPr xmlns="http://schemas.microsoft.com/office/spreadsheetml/2009/9/main" objectType="Drop" dropLines="70" dropStyle="combo" dx="16" fmlaLink="KEY!$I$10" fmlaRange="KEY!$D$14:$D$22" noThreeD="1" val="0"/>
</file>

<file path=xl/ctrlProps/ctrlProp9.xml><?xml version="1.0" encoding="utf-8"?>
<formControlPr xmlns="http://schemas.microsoft.com/office/spreadsheetml/2009/9/main" objectType="Drop" dropLines="10" dropStyle="combo" dx="16" fmlaLink="KEY!$I$9" fmlaRange="KEY!$D$14:$D$22" noThreeD="1" val="0"/>
</file>

<file path=xl/ctrlProps/ctrlProp10.xml><?xml version="1.0" encoding="utf-8"?>
<formControlPr xmlns="http://schemas.microsoft.com/office/spreadsheetml/2009/9/main" objectType="Drop" dropLines="70" dropStyle="combo" dx="16" fmlaLink="KEY!$I$8" fmlaRange="KEY!$D$14:$D$22" noThreeD="1" val="0"/>
</file>

<file path=xl/ctrlProps/ctrlProp11.xml><?xml version="1.0" encoding="utf-8"?>
<formControlPr xmlns="http://schemas.microsoft.com/office/spreadsheetml/2009/9/main" objectType="Drop" dropLines="5" dropStyle="combo" dx="16" fmlaLink="KEY!$I$45" fmlaRange="KEY!$N$14:$N$18" noThreeD="1" sel="0" val="0"/>
</file>

<file path=xl/ctrlProps/ctrlProp12.xml><?xml version="1.0" encoding="utf-8"?>
<formControlPr xmlns="http://schemas.microsoft.com/office/spreadsheetml/2009/9/main" objectType="Drop" dropLines="5" dropStyle="combo" dx="16" fmlaLink="KEY!$I$46" fmlaRange="KEY!$N$14:$N$18" noThreeD="1" val="0"/>
</file>

<file path=xl/ctrlProps/ctrlProp13.xml><?xml version="1.0" encoding="utf-8"?>
<formControlPr xmlns="http://schemas.microsoft.com/office/spreadsheetml/2009/9/main" objectType="Drop" dropLines="5" dropStyle="combo" dx="16" fmlaLink="KEY!$I$44" fmlaRange="KEY!$N$14:$N$18" noThreeD="1" sel="0" val="0"/>
</file>

<file path=xl/ctrlProps/ctrlProp14.xml><?xml version="1.0" encoding="utf-8"?>
<formControlPr xmlns="http://schemas.microsoft.com/office/spreadsheetml/2009/9/main" objectType="Drop" dropLines="3" dropStyle="combo" dx="16" fmlaLink="KEY!$I$43" fmlaRange="KEY!$C$14:$C$16" noThreeD="1" sel="0" val="0"/>
</file>

<file path=xl/ctrlProps/ctrlProp15.xml><?xml version="1.0" encoding="utf-8"?>
<formControlPr xmlns="http://schemas.microsoft.com/office/spreadsheetml/2009/9/main" objectType="Drop" dropLines="5" dropStyle="combo" dx="16" fmlaLink="KEY!$I$44" fmlaRange="KEY!$N$14:$N$18" noThreeD="1" sel="0" val="0"/>
</file>

<file path=xl/ctrlProps/ctrlProp16.xml><?xml version="1.0" encoding="utf-8"?>
<formControlPr xmlns="http://schemas.microsoft.com/office/spreadsheetml/2009/9/main" objectType="Drop" dropLines="5" dropStyle="combo" dx="16" fmlaLink="KEY!$I$45" fmlaRange="KEY!$N$14:$N$18" noThreeD="1" sel="0" val="0"/>
</file>

<file path=xl/ctrlProps/ctrlProp17.xml><?xml version="1.0" encoding="utf-8"?>
<formControlPr xmlns="http://schemas.microsoft.com/office/spreadsheetml/2009/9/main" objectType="Drop" dropLines="5" dropStyle="combo" dx="16" fmlaLink="KEY!$I$43" fmlaRange="KEY!$N$14:$N$18" noThreeD="1" sel="0" val="0"/>
</file>

<file path=xl/ctrlProps/ctrlProp18.xml><?xml version="1.0" encoding="utf-8"?>
<formControlPr xmlns="http://schemas.microsoft.com/office/spreadsheetml/2009/9/main" objectType="Drop" dropLines="3" dropStyle="combo" dx="16" fmlaLink="KEY!$I$42" fmlaRange="KEY!$C$14:$C$16" noThreeD="1" sel="0" val="0"/>
</file>

<file path=xl/ctrlProps/ctrlProp19.xml><?xml version="1.0" encoding="utf-8"?>
<formControlPr xmlns="http://schemas.microsoft.com/office/spreadsheetml/2009/9/main" objectType="Drop" dropLines="5" dropStyle="combo" dx="16" fmlaLink="KEY!$I$45" fmlaRange="KEY!$N$14:$N$18" noThreeD="1" sel="0" val="0"/>
</file>

<file path=xl/ctrlProps/ctrlProp20.xml><?xml version="1.0" encoding="utf-8"?>
<formControlPr xmlns="http://schemas.microsoft.com/office/spreadsheetml/2009/9/main" objectType="Drop" dropLines="56" dropStyle="combo" dx="16" fmlaLink="KEY!$I$46" fmlaRange="KEY!$N$14:$N$18" noThreeD="1" val="0"/>
</file>

<file path=xl/ctrlProps/ctrlProp21.xml><?xml version="1.0" encoding="utf-8"?>
<formControlPr xmlns="http://schemas.microsoft.com/office/spreadsheetml/2009/9/main" objectType="Drop" dropLines="70" dropStyle="combo" dx="16" fmlaLink="KEY!$I$44" fmlaRange="KEY!$N$14:$N$18" noThreeD="1" sel="0" val="0"/>
</file>

<file path=xl/ctrlProps/ctrlProp22.xml><?xml version="1.0" encoding="utf-8"?>
<formControlPr xmlns="http://schemas.microsoft.com/office/spreadsheetml/2009/9/main" objectType="Drop" dropLines="70" dropStyle="combo" dx="16" fmlaLink="KEY!$I$43" fmlaRange="KEY!$C$14:$C$16" noThreeD="1" sel="0"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1035" name="Text Box 2">
          <a:extLst>
            <a:ext uri="{FF2B5EF4-FFF2-40B4-BE49-F238E27FC236}">
              <a16:creationId xmlns:a16="http://schemas.microsoft.com/office/drawing/2014/main" xmlns="" id="{00000000-0008-0000-0000-00000B04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7</xdr:col>
          <xdr:colOff>266700</xdr:colOff>
          <xdr:row>2</xdr:row>
          <xdr:rowOff>12700</xdr:rowOff>
        </xdr:from>
        <xdr:to>
          <xdr:col>10</xdr:col>
          <xdr:colOff>114300</xdr:colOff>
          <xdr:row>4</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Start the Assignment</a:t>
              </a:r>
            </a:p>
          </xdr:txBody>
        </xdr:sp>
        <xdr:clientData fPrintsWithSheet="0"/>
      </xdr:twoCellAnchor>
    </mc:Choice>
    <mc:Fallback/>
  </mc:AlternateContent>
  <xdr:twoCellAnchor>
    <xdr:from>
      <xdr:col>1</xdr:col>
      <xdr:colOff>600075</xdr:colOff>
      <xdr:row>6</xdr:row>
      <xdr:rowOff>142875</xdr:rowOff>
    </xdr:from>
    <xdr:to>
      <xdr:col>12</xdr:col>
      <xdr:colOff>114300</xdr:colOff>
      <xdr:row>27</xdr:row>
      <xdr:rowOff>114300</xdr:rowOff>
    </xdr:to>
    <xdr:sp macro="" textlink="">
      <xdr:nvSpPr>
        <xdr:cNvPr id="5" name="Text Box 1">
          <a:extLst>
            <a:ext uri="{FF2B5EF4-FFF2-40B4-BE49-F238E27FC236}">
              <a16:creationId xmlns:a16="http://schemas.microsoft.com/office/drawing/2014/main" xmlns="" id="{00000000-0008-0000-0000-000005000000}"/>
            </a:ext>
          </a:extLst>
        </xdr:cNvPr>
        <xdr:cNvSpPr txBox="1">
          <a:spLocks noChangeArrowheads="1"/>
        </xdr:cNvSpPr>
      </xdr:nvSpPr>
      <xdr:spPr bwMode="auto">
        <a:xfrm>
          <a:off x="1209675" y="1133475"/>
          <a:ext cx="6686550" cy="33718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100" b="1" i="1" u="sng" strike="noStrike" baseline="0">
              <a:solidFill>
                <a:srgbClr val="FF0000"/>
              </a:solidFill>
              <a:latin typeface="Verdana"/>
            </a:rPr>
            <a:t>IMPORTANT INSTRUCTIONS - Please Read!</a:t>
          </a:r>
          <a:endParaRPr lang="en-US" sz="900" b="1" i="0" u="none" strike="noStrike" baseline="0">
            <a:solidFill>
              <a:srgbClr val="FF0000"/>
            </a:solidFill>
            <a:latin typeface="Verdana"/>
          </a:endParaRPr>
        </a:p>
        <a:p>
          <a:pPr algn="l" rtl="0">
            <a:defRPr sz="1000"/>
          </a:pPr>
          <a:endParaRPr lang="en-US" sz="900" b="0" i="0" u="none" strike="noStrike" baseline="0">
            <a:solidFill>
              <a:srgbClr val="000000"/>
            </a:solidFill>
            <a:latin typeface="Verdana"/>
          </a:endParaRPr>
        </a:p>
        <a:p>
          <a:pPr algn="l" rtl="0">
            <a:defRPr sz="1000"/>
          </a:pPr>
          <a:r>
            <a:rPr lang="en-US" sz="800" b="0" i="0" u="none" strike="noStrike" baseline="0">
              <a:solidFill>
                <a:srgbClr val="000000"/>
              </a:solidFill>
              <a:latin typeface="Verdana"/>
            </a:rPr>
            <a:t>1. </a:t>
          </a:r>
          <a:r>
            <a:rPr lang="en-US" sz="800" b="1" i="0" u="none" strike="noStrike" baseline="0">
              <a:solidFill>
                <a:srgbClr val="000000"/>
              </a:solidFill>
              <a:latin typeface="Verdana"/>
            </a:rPr>
            <a:t>There will be a new set of Instructions on the 'I</a:t>
          </a:r>
          <a:r>
            <a:rPr lang="tr-TR" sz="800" b="1" i="0" u="none" strike="noStrike" baseline="0">
              <a:solidFill>
                <a:srgbClr val="000000"/>
              </a:solidFill>
              <a:latin typeface="Verdana"/>
            </a:rPr>
            <a:t>nstructions</a:t>
          </a:r>
          <a:r>
            <a:rPr lang="en-US" sz="800" b="1" i="0" u="none" strike="noStrike" baseline="0">
              <a:solidFill>
                <a:srgbClr val="000000"/>
              </a:solidFill>
              <a:latin typeface="Verdana"/>
            </a:rPr>
            <a:t>' Sheet of each homework. </a:t>
          </a:r>
          <a:r>
            <a:rPr lang="en-US" sz="800" b="1" i="1" u="sng" strike="noStrike" baseline="0">
              <a:solidFill>
                <a:srgbClr val="000000"/>
              </a:solidFill>
              <a:latin typeface="Verdana"/>
            </a:rPr>
            <a:t>It is your responsibility to read the instructions for each homework.</a:t>
          </a:r>
          <a:r>
            <a:rPr lang="en-US" sz="800" b="1" i="0" u="none" strike="noStrike" baseline="0">
              <a:solidFill>
                <a:srgbClr val="000000"/>
              </a:solidFill>
              <a:latin typeface="Verdana"/>
            </a:rPr>
            <a:t> </a:t>
          </a:r>
          <a:r>
            <a:rPr lang="en-US" sz="8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800" b="0" i="0" u="none" strike="noStrike" baseline="0">
            <a:solidFill>
              <a:srgbClr val="000000"/>
            </a:solidFill>
            <a:latin typeface="Verdana"/>
          </a:endParaRPr>
        </a:p>
        <a:p>
          <a:pPr algn="l" rtl="0">
            <a:defRPr sz="1000"/>
          </a:pPr>
          <a:r>
            <a:rPr lang="en-US" sz="800" b="0" i="0" u="none" strike="noStrike" baseline="0">
              <a:solidFill>
                <a:srgbClr val="000000"/>
              </a:solidFill>
              <a:latin typeface="Verdana"/>
            </a:rPr>
            <a:t>2. </a:t>
          </a:r>
          <a:r>
            <a:rPr lang="tr-TR" sz="800" b="1" i="0" u="sng" strike="noStrike" baseline="0">
              <a:solidFill>
                <a:srgbClr val="000000"/>
              </a:solidFill>
              <a:latin typeface="Verdana"/>
            </a:rPr>
            <a:t>DO NOT </a:t>
          </a:r>
          <a:r>
            <a:rPr lang="tr-TR" sz="800" b="0" i="0" u="none" strike="noStrike" baseline="0">
              <a:solidFill>
                <a:srgbClr val="000000"/>
              </a:solidFill>
              <a:latin typeface="Verdana"/>
            </a:rPr>
            <a:t>change the name of sheets.</a:t>
          </a: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en-US" sz="800" b="0" i="0" u="none" strike="noStrike" baseline="0">
              <a:solidFill>
                <a:srgbClr val="000000"/>
              </a:solidFill>
              <a:latin typeface="Verdana"/>
            </a:rPr>
            <a:t>3. </a:t>
          </a:r>
          <a:r>
            <a:rPr lang="tr-TR" sz="1000" b="0" i="0" baseline="0">
              <a:effectLst/>
              <a:latin typeface="+mn-lt"/>
              <a:ea typeface="+mn-ea"/>
              <a:cs typeface="+mn-cs"/>
            </a:rPr>
            <a:t>"Questions in this Homework refer to data given in Case2_DataMate."</a:t>
          </a:r>
          <a:endParaRPr lang="en-US" sz="800">
            <a:effectLst/>
          </a:endParaRPr>
        </a:p>
        <a:p>
          <a:pPr algn="l" rtl="0">
            <a:defRPr sz="1000"/>
          </a:pPr>
          <a:endParaRPr lang="en-US" sz="800" b="0" i="0" u="none" strike="noStrike" baseline="0">
            <a:solidFill>
              <a:srgbClr val="000000"/>
            </a:solidFill>
            <a:latin typeface="Verdana"/>
          </a:endParaRPr>
        </a:p>
        <a:p>
          <a:pPr algn="l" rtl="0">
            <a:defRPr sz="1000"/>
          </a:pPr>
          <a:r>
            <a:rPr lang="en-US" sz="800" b="0" i="0" u="none" strike="noStrike" baseline="0">
              <a:solidFill>
                <a:srgbClr val="000000"/>
              </a:solidFill>
              <a:latin typeface="Verdana"/>
            </a:rPr>
            <a:t>4. This homework must be submitted online </a:t>
          </a:r>
          <a:r>
            <a:rPr lang="en-US" sz="800" b="1" i="1" u="sng" strike="noStrike" baseline="0">
              <a:solidFill>
                <a:srgbClr val="FF0000"/>
              </a:solidFill>
              <a:latin typeface="Verdana"/>
            </a:rPr>
            <a:t>before </a:t>
          </a:r>
          <a:r>
            <a:rPr lang="tr-TR" sz="800" b="1" i="1" u="sng" strike="noStrike" baseline="0">
              <a:solidFill>
                <a:srgbClr val="FF0000"/>
              </a:solidFill>
              <a:latin typeface="Verdana"/>
            </a:rPr>
            <a:t>9</a:t>
          </a:r>
          <a:r>
            <a:rPr lang="en-US" sz="800" b="1" i="1" u="sng" strike="noStrike" baseline="0">
              <a:solidFill>
                <a:srgbClr val="FF0000"/>
              </a:solidFill>
              <a:latin typeface="Verdana"/>
            </a:rPr>
            <a:t>:</a:t>
          </a:r>
          <a:r>
            <a:rPr lang="tr-TR" sz="800" b="1" i="1" u="sng" strike="noStrike" baseline="0">
              <a:solidFill>
                <a:srgbClr val="FF0000"/>
              </a:solidFill>
              <a:latin typeface="Verdana"/>
            </a:rPr>
            <a:t>0</a:t>
          </a:r>
          <a:r>
            <a:rPr lang="en-US" sz="800" b="1" i="1" u="sng" strike="noStrike" baseline="0">
              <a:solidFill>
                <a:srgbClr val="FF0000"/>
              </a:solidFill>
              <a:latin typeface="Verdana"/>
            </a:rPr>
            <a:t>0 AM on</a:t>
          </a:r>
          <a:r>
            <a:rPr lang="tr-TR" sz="800" b="1" i="1" u="sng" strike="noStrike" baseline="0">
              <a:solidFill>
                <a:srgbClr val="FF0000"/>
              </a:solidFill>
              <a:latin typeface="Verdana"/>
            </a:rPr>
            <a:t> Wednesday, </a:t>
          </a:r>
          <a:r>
            <a:rPr lang="en-US" sz="800" b="1" i="1" u="sng" strike="noStrike" baseline="0">
              <a:solidFill>
                <a:srgbClr val="FF0000"/>
              </a:solidFill>
              <a:latin typeface="Verdana"/>
            </a:rPr>
            <a:t>October</a:t>
          </a:r>
          <a:r>
            <a:rPr lang="tr-TR" sz="800" b="1" i="1" u="sng" strike="noStrike" baseline="0">
              <a:solidFill>
                <a:srgbClr val="FF0000"/>
              </a:solidFill>
              <a:latin typeface="Verdana"/>
            </a:rPr>
            <a:t> </a:t>
          </a:r>
          <a:r>
            <a:rPr lang="en-US" sz="800" b="1" i="1" u="sng" strike="noStrike" baseline="0">
              <a:solidFill>
                <a:srgbClr val="FF0000"/>
              </a:solidFill>
              <a:latin typeface="Verdana"/>
            </a:rPr>
            <a:t>18th, 2017</a:t>
          </a:r>
          <a:r>
            <a:rPr lang="en-US" sz="800" b="0" i="0" u="none" strike="noStrike" baseline="0">
              <a:solidFill>
                <a:srgbClr val="000000"/>
              </a:solidFill>
              <a:latin typeface="Verdana"/>
            </a:rPr>
            <a:t>. Late </a:t>
          </a:r>
          <a:r>
            <a:rPr lang="tr-TR" sz="1000" b="0" i="0">
              <a:effectLst/>
              <a:latin typeface="+mn-lt"/>
              <a:ea typeface="+mn-ea"/>
              <a:cs typeface="+mn-cs"/>
            </a:rPr>
            <a:t>submission will </a:t>
          </a:r>
          <a:r>
            <a:rPr lang="tr-TR" sz="1000" b="1" i="0">
              <a:effectLst/>
              <a:latin typeface="+mn-lt"/>
              <a:ea typeface="+mn-ea"/>
              <a:cs typeface="+mn-cs"/>
            </a:rPr>
            <a:t>not be accepted after the stated deadline</a:t>
          </a:r>
          <a:r>
            <a:rPr lang="tr-TR" sz="1000" b="0" i="0">
              <a:effectLst/>
              <a:latin typeface="+mn-lt"/>
              <a:ea typeface="+mn-ea"/>
              <a:cs typeface="+mn-cs"/>
            </a:rPr>
            <a:t> for any reason. </a:t>
          </a:r>
        </a:p>
        <a:p>
          <a:pPr algn="l" rtl="0">
            <a:defRPr sz="1000"/>
          </a:pPr>
          <a:endParaRPr lang="en-US" sz="800" b="0" i="0" u="none" strike="noStrike" baseline="0">
            <a:solidFill>
              <a:srgbClr val="000000"/>
            </a:solidFill>
            <a:latin typeface="Verdana"/>
          </a:endParaRPr>
        </a:p>
        <a:p>
          <a:pPr algn="l" rtl="0">
            <a:defRPr sz="1000"/>
          </a:pPr>
          <a:r>
            <a:rPr lang="en-US" sz="800" b="0" i="0" u="none" strike="noStrike" baseline="0">
              <a:solidFill>
                <a:srgbClr val="000000"/>
              </a:solidFill>
              <a:latin typeface="Verdana"/>
            </a:rPr>
            <a:t>5.  The </a:t>
          </a:r>
          <a:r>
            <a:rPr lang="en-US" sz="800" b="1" i="0" u="none" strike="noStrike" baseline="0">
              <a:solidFill>
                <a:srgbClr val="000000"/>
              </a:solidFill>
              <a:latin typeface="Verdana"/>
            </a:rPr>
            <a:t>BEST</a:t>
          </a:r>
          <a:r>
            <a:rPr lang="en-US" sz="800" b="0" i="0" u="none" strike="noStrike" baseline="0">
              <a:solidFill>
                <a:srgbClr val="000000"/>
              </a:solidFill>
              <a:latin typeface="Verdana"/>
            </a:rPr>
            <a:t> way to enter an answer into an </a:t>
          </a:r>
          <a:r>
            <a:rPr lang="en-US" sz="800" b="0" i="1" u="none" strike="noStrike" baseline="0">
              <a:solidFill>
                <a:srgbClr val="000000"/>
              </a:solidFill>
              <a:latin typeface="Verdana"/>
            </a:rPr>
            <a:t>answer cell</a:t>
          </a:r>
          <a:r>
            <a:rPr lang="en-US" sz="800" b="0" i="0" u="none" strike="noStrike" baseline="0">
              <a:solidFill>
                <a:srgbClr val="000000"/>
              </a:solidFill>
              <a:latin typeface="Verdana"/>
            </a:rPr>
            <a:t> in an Excel homework is to </a:t>
          </a:r>
          <a:r>
            <a:rPr lang="en-US" sz="800" b="0" i="1" u="none" strike="noStrike" baseline="0">
              <a:solidFill>
                <a:srgbClr val="000000"/>
              </a:solidFill>
              <a:latin typeface="Verdana"/>
            </a:rPr>
            <a:t>copy </a:t>
          </a:r>
          <a:r>
            <a:rPr lang="en-US" sz="800" b="0" i="0" u="none" strike="noStrike" baseline="0">
              <a:solidFill>
                <a:srgbClr val="000000"/>
              </a:solidFill>
              <a:latin typeface="Verdana"/>
            </a:rPr>
            <a:t>the cell containing the answer, then </a:t>
          </a:r>
          <a:r>
            <a:rPr lang="en-US" sz="800" b="0" i="1" u="none" strike="noStrike" baseline="0">
              <a:solidFill>
                <a:srgbClr val="000000"/>
              </a:solidFill>
              <a:latin typeface="Verdana"/>
            </a:rPr>
            <a:t>select </a:t>
          </a:r>
          <a:r>
            <a:rPr lang="en-US" sz="800" b="0" i="0" u="none" strike="noStrike" baseline="0">
              <a:solidFill>
                <a:srgbClr val="000000"/>
              </a:solidFill>
              <a:latin typeface="Verdana"/>
            </a:rPr>
            <a:t>the answer cell on the </a:t>
          </a:r>
          <a:r>
            <a:rPr lang="en-US" sz="800" b="0" i="1" u="none" strike="noStrike" baseline="0">
              <a:solidFill>
                <a:srgbClr val="000000"/>
              </a:solidFill>
              <a:latin typeface="Verdana"/>
            </a:rPr>
            <a:t>Answers</a:t>
          </a:r>
          <a:r>
            <a:rPr lang="en-US" sz="800" b="0" i="0" u="none" strike="noStrike" baseline="0">
              <a:solidFill>
                <a:srgbClr val="000000"/>
              </a:solidFill>
              <a:latin typeface="Verdana"/>
            </a:rPr>
            <a:t>Worksheet, and choose 'Paste-Special' </a:t>
          </a:r>
          <a:r>
            <a:rPr lang="en-US" sz="800" b="0" i="0" u="none" strike="noStrike" baseline="0">
              <a:solidFill>
                <a:srgbClr val="000000"/>
              </a:solidFill>
              <a:latin typeface="Wingdings"/>
            </a:rPr>
            <a:t>è</a:t>
          </a:r>
          <a:r>
            <a:rPr lang="en-US" sz="800" b="0" i="0" u="none" strike="noStrike" baseline="0">
              <a:solidFill>
                <a:srgbClr val="000000"/>
              </a:solidFill>
              <a:latin typeface="Verdana"/>
            </a:rPr>
            <a:t>'Values.' This will ensure that we receive your </a:t>
          </a:r>
          <a:r>
            <a:rPr lang="en-US" sz="800" b="1" i="1" u="none" strike="noStrike" baseline="0">
              <a:solidFill>
                <a:srgbClr val="000000"/>
              </a:solidFill>
              <a:latin typeface="Verdana"/>
            </a:rPr>
            <a:t>exact</a:t>
          </a:r>
          <a:r>
            <a:rPr lang="en-US" sz="800" b="0" i="0" u="none" strike="noStrike" baseline="0">
              <a:solidFill>
                <a:srgbClr val="000000"/>
              </a:solidFill>
              <a:latin typeface="Verdana"/>
            </a:rPr>
            <a:t> answer and not a </a:t>
          </a:r>
          <a:r>
            <a:rPr lang="en-US" sz="800" b="1" i="1" u="none" strike="noStrike" baseline="0">
              <a:solidFill>
                <a:srgbClr val="000000"/>
              </a:solidFill>
              <a:latin typeface="Verdana"/>
            </a:rPr>
            <a:t>rounded</a:t>
          </a:r>
          <a:r>
            <a:rPr lang="en-US" sz="800" b="0" i="1" u="none" strike="noStrike" baseline="0">
              <a:solidFill>
                <a:srgbClr val="000000"/>
              </a:solidFill>
              <a:latin typeface="Verdana"/>
            </a:rPr>
            <a:t> </a:t>
          </a:r>
          <a:r>
            <a:rPr lang="en-US" sz="800" b="0" i="0" u="none" strike="noStrike" baseline="0">
              <a:solidFill>
                <a:srgbClr val="000000"/>
              </a:solidFill>
              <a:latin typeface="Verdana"/>
            </a:rPr>
            <a:t>answer or a formula referring to the wrong cell.  </a:t>
          </a:r>
        </a:p>
        <a:p>
          <a:pPr algn="l" rtl="0">
            <a:defRPr sz="1000"/>
          </a:pPr>
          <a:endParaRPr lang="en-US" sz="800" b="0" i="0" u="none" strike="noStrike" baseline="0">
            <a:solidFill>
              <a:srgbClr val="000000"/>
            </a:solidFill>
            <a:latin typeface="Verdana"/>
          </a:endParaRPr>
        </a:p>
        <a:p>
          <a:pPr algn="l" rtl="0">
            <a:defRPr sz="1000"/>
          </a:pPr>
          <a:r>
            <a:rPr lang="en-US" sz="800" b="0" i="0" u="none" strike="noStrike" baseline="0">
              <a:solidFill>
                <a:srgbClr val="000000"/>
              </a:solidFill>
              <a:latin typeface="Verdana"/>
            </a:rPr>
            <a:t>6. </a:t>
          </a:r>
          <a:r>
            <a:rPr lang="en-US" sz="800" b="1" i="1" u="sng" strike="noStrike" baseline="0">
              <a:solidFill>
                <a:srgbClr val="000000"/>
              </a:solidFill>
              <a:latin typeface="Verdana"/>
            </a:rPr>
            <a:t>All questions that ask for percentages must be formatted so that Excel can tell it is a percentage.</a:t>
          </a:r>
          <a:r>
            <a:rPr lang="en-US" sz="800" b="0" i="0" u="none" strike="noStrike" baseline="0">
              <a:solidFill>
                <a:srgbClr val="000000"/>
              </a:solidFill>
              <a:latin typeface="Verdana"/>
            </a:rPr>
            <a:t> If the answer it '20 percent,' you may submit an answer that looks like '20%' or '0.2' but </a:t>
          </a:r>
          <a:r>
            <a:rPr lang="en-US" sz="800" b="1" i="1" u="none" strike="noStrike" baseline="0">
              <a:solidFill>
                <a:srgbClr val="000000"/>
              </a:solidFill>
              <a:latin typeface="Verdana"/>
            </a:rPr>
            <a:t>NOT</a:t>
          </a:r>
          <a:r>
            <a:rPr lang="en-US" sz="800" b="0" i="0" u="none" strike="noStrike" baseline="0">
              <a:solidFill>
                <a:srgbClr val="000000"/>
              </a:solidFill>
              <a:latin typeface="Verdana"/>
            </a:rPr>
            <a:t> '20' because Excel doesn't understand it as a %. </a:t>
          </a:r>
        </a:p>
        <a:p>
          <a:pPr algn="l" rtl="0">
            <a:defRPr sz="1000"/>
          </a:pPr>
          <a:endParaRPr lang="tr-TR" sz="8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800" b="0" i="0" u="none" strike="noStrike" baseline="0">
              <a:solidFill>
                <a:srgbClr val="000000"/>
              </a:solidFill>
              <a:latin typeface="Verdana"/>
            </a:rPr>
            <a:t>7.</a:t>
          </a:r>
          <a:r>
            <a:rPr lang="tr-TR" sz="1000" b="0" i="0">
              <a:effectLst/>
              <a:latin typeface="+mn-lt"/>
              <a:ea typeface="+mn-ea"/>
              <a:cs typeface="+mn-cs"/>
            </a:rPr>
            <a:t>Please </a:t>
          </a:r>
          <a:r>
            <a:rPr lang="tr-TR" sz="1000" b="1" i="0">
              <a:effectLst/>
              <a:latin typeface="+mn-lt"/>
              <a:ea typeface="+mn-ea"/>
              <a:cs typeface="+mn-cs"/>
            </a:rPr>
            <a:t>DO</a:t>
          </a:r>
          <a:r>
            <a:rPr lang="tr-TR" sz="1000" b="1" i="0" baseline="0">
              <a:effectLst/>
              <a:latin typeface="+mn-lt"/>
              <a:ea typeface="+mn-ea"/>
              <a:cs typeface="+mn-cs"/>
            </a:rPr>
            <a:t> NOT </a:t>
          </a:r>
          <a:r>
            <a:rPr lang="tr-TR" sz="1000" b="0" i="0" baseline="0">
              <a:effectLst/>
              <a:latin typeface="+mn-lt"/>
              <a:ea typeface="+mn-ea"/>
              <a:cs typeface="+mn-cs"/>
            </a:rPr>
            <a:t>forget to </a:t>
          </a:r>
          <a:r>
            <a:rPr lang="en-US" sz="1000" b="0" i="0" baseline="0">
              <a:effectLst/>
              <a:latin typeface="+mn-lt"/>
              <a:ea typeface="+mn-ea"/>
              <a:cs typeface="+mn-cs"/>
            </a:rPr>
            <a:t>review the </a:t>
          </a:r>
          <a:r>
            <a:rPr lang="tr-TR" sz="1000" b="1" i="0" baseline="0">
              <a:effectLst/>
              <a:latin typeface="+mn-lt"/>
              <a:ea typeface="+mn-ea"/>
              <a:cs typeface="+mn-cs"/>
            </a:rPr>
            <a:t>Excel Manual </a:t>
          </a:r>
          <a:r>
            <a:rPr lang="tr-TR" sz="1000" b="0" i="0" baseline="0">
              <a:effectLst/>
              <a:latin typeface="+mn-lt"/>
              <a:ea typeface="+mn-ea"/>
              <a:cs typeface="+mn-cs"/>
            </a:rPr>
            <a:t>pdf file.</a:t>
          </a:r>
          <a:endParaRPr lang="tr-TR" sz="800">
            <a:effectLst/>
          </a:endParaRP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12</xdr:col>
      <xdr:colOff>590549</xdr:colOff>
      <xdr:row>9</xdr:row>
      <xdr:rowOff>31480</xdr:rowOff>
    </xdr:from>
    <xdr:to>
      <xdr:col>16</xdr:col>
      <xdr:colOff>600074</xdr:colOff>
      <xdr:row>19</xdr:row>
      <xdr:rowOff>152400</xdr:rowOff>
    </xdr:to>
    <xdr:pic>
      <xdr:nvPicPr>
        <xdr:cNvPr id="7" name="Picture 6" descr="http://techgeeze.techgeezecom.netdna-cdn.com/wp-content/uploads/2014/06/mota_smartwath_g2_press.jpg?c12099">
          <a:extLst>
            <a:ext uri="{FF2B5EF4-FFF2-40B4-BE49-F238E27FC236}">
              <a16:creationId xmlns:a16="http://schemas.microsoft.com/office/drawing/2014/main" xmlns=""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72474" y="1488805"/>
          <a:ext cx="2447925" cy="17401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609599</xdr:colOff>
      <xdr:row>20</xdr:row>
      <xdr:rowOff>23260</xdr:rowOff>
    </xdr:from>
    <xdr:to>
      <xdr:col>17</xdr:col>
      <xdr:colOff>28574</xdr:colOff>
      <xdr:row>28</xdr:row>
      <xdr:rowOff>114300</xdr:rowOff>
    </xdr:to>
    <xdr:pic>
      <xdr:nvPicPr>
        <xdr:cNvPr id="6" name="Picture 5" descr="http://gsm.tech-maniak.com/wp-content/uploads/gsmmaniak/2013/08/Omate-TrueSmart-2-medium.jpg">
          <a:extLst>
            <a:ext uri="{FF2B5EF4-FFF2-40B4-BE49-F238E27FC236}">
              <a16:creationId xmlns:a16="http://schemas.microsoft.com/office/drawing/2014/main" xmlns=""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4" y="3261760"/>
          <a:ext cx="2466975" cy="1386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88900</xdr:colOff>
      <xdr:row>31</xdr:row>
      <xdr:rowOff>101600</xdr:rowOff>
    </xdr:to>
    <xdr:pic>
      <xdr:nvPicPr>
        <xdr:cNvPr id="5" name="Picture 4" descr="Screen Shot 2014-10-14 at 14.59.57.png">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404100" cy="51212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561975</xdr:colOff>
      <xdr:row>5</xdr:row>
      <xdr:rowOff>0</xdr:rowOff>
    </xdr:from>
    <xdr:to>
      <xdr:col>9</xdr:col>
      <xdr:colOff>133350</xdr:colOff>
      <xdr:row>7</xdr:row>
      <xdr:rowOff>152400</xdr:rowOff>
    </xdr:to>
    <xdr:sp macro="" textlink="">
      <xdr:nvSpPr>
        <xdr:cNvPr id="2" name="Text Box 11">
          <a:extLst>
            <a:ext uri="{FF2B5EF4-FFF2-40B4-BE49-F238E27FC236}">
              <a16:creationId xmlns:a16="http://schemas.microsoft.com/office/drawing/2014/main" xmlns="" id="{00000000-0008-0000-0400-000002000000}"/>
            </a:ext>
          </a:extLst>
        </xdr:cNvPr>
        <xdr:cNvSpPr txBox="1">
          <a:spLocks noChangeArrowheads="1"/>
        </xdr:cNvSpPr>
      </xdr:nvSpPr>
      <xdr:spPr bwMode="auto">
        <a:xfrm>
          <a:off x="8496300" y="914400"/>
          <a:ext cx="2990850" cy="914400"/>
        </a:xfrm>
        <a:prstGeom prst="rect">
          <a:avLst/>
        </a:prstGeom>
        <a:solidFill>
          <a:srgbClr val="FFFFCC"/>
        </a:solidFill>
        <a:ln w="9525">
          <a:solidFill>
            <a:srgbClr val="000000"/>
          </a:solidFill>
          <a:miter lim="800000"/>
          <a:headEnd/>
          <a:tailEnd/>
        </a:ln>
      </xdr:spPr>
      <xdr:txBody>
        <a:bodyPr vertOverflow="clip" wrap="square" lIns="27432" tIns="22860" rIns="0" bIns="0" anchor="t" upright="1"/>
        <a:lstStyle/>
        <a:p>
          <a:pPr rtl="0"/>
          <a:r>
            <a:rPr lang="en-US" sz="1100" b="1" i="0">
              <a:effectLst/>
              <a:latin typeface="+mn-lt"/>
              <a:ea typeface="+mn-ea"/>
              <a:cs typeface="+mn-cs"/>
            </a:rPr>
            <a:t>Read all of the Instructions on the 'I</a:t>
          </a:r>
          <a:r>
            <a:rPr lang="tr-TR" sz="1100" b="1" i="0">
              <a:effectLst/>
              <a:latin typeface="+mn-lt"/>
              <a:ea typeface="+mn-ea"/>
              <a:cs typeface="+mn-cs"/>
            </a:rPr>
            <a:t>nstructions</a:t>
          </a:r>
          <a:r>
            <a:rPr lang="en-US" sz="1100" b="1" i="0">
              <a:effectLst/>
              <a:latin typeface="+mn-lt"/>
              <a:ea typeface="+mn-ea"/>
              <a:cs typeface="+mn-cs"/>
            </a:rPr>
            <a:t>' Page before beginning.</a:t>
          </a:r>
          <a:r>
            <a:rPr lang="en-US" sz="1100" b="0" i="0">
              <a:effectLst/>
              <a:latin typeface="+mn-lt"/>
              <a:ea typeface="+mn-ea"/>
              <a:cs typeface="+mn-cs"/>
            </a:rPr>
            <a:t> </a:t>
          </a:r>
          <a:r>
            <a:rPr lang="tr-TR" sz="1100" b="0" i="0">
              <a:effectLst/>
              <a:latin typeface="+mn-lt"/>
              <a:ea typeface="+mn-ea"/>
              <a:cs typeface="+mn-cs"/>
            </a:rPr>
            <a:t>If</a:t>
          </a:r>
          <a:r>
            <a:rPr lang="tr-TR" sz="1100" b="0" i="0" baseline="0">
              <a:effectLst/>
              <a:latin typeface="+mn-lt"/>
              <a:ea typeface="+mn-ea"/>
              <a:cs typeface="+mn-cs"/>
            </a:rPr>
            <a:t> you don't follow directions, you will </a:t>
          </a:r>
          <a:r>
            <a:rPr lang="tr-TR" sz="1100" b="1" i="0" baseline="0">
              <a:effectLst/>
              <a:latin typeface="+mn-lt"/>
              <a:ea typeface="+mn-ea"/>
              <a:cs typeface="+mn-cs"/>
            </a:rPr>
            <a:t>NOT</a:t>
          </a:r>
          <a:r>
            <a:rPr lang="tr-TR" sz="1100" b="0" i="0" baseline="0">
              <a:effectLst/>
              <a:latin typeface="+mn-lt"/>
              <a:ea typeface="+mn-ea"/>
              <a:cs typeface="+mn-cs"/>
            </a:rPr>
            <a:t> receive any credits.</a:t>
          </a:r>
          <a:endParaRPr lang="en-US" sz="1000">
            <a:effectLst/>
          </a:endParaRPr>
        </a:p>
        <a:p>
          <a:pPr algn="l" rtl="0">
            <a:defRPr sz="1000"/>
          </a:pPr>
          <a:endParaRPr lang="en-US" sz="1000" b="0" i="0" strike="noStrike">
            <a:solidFill>
              <a:srgbClr val="000000"/>
            </a:solidFill>
            <a:latin typeface="Arial"/>
            <a:cs typeface="Arial"/>
          </a:endParaRPr>
        </a:p>
        <a:p>
          <a:pPr algn="l" rtl="0">
            <a:defRPr sz="1000"/>
          </a:pPr>
          <a:r>
            <a:rPr lang="en-US" sz="1000" b="1" i="0" strike="noStrike">
              <a:solidFill>
                <a:srgbClr val="FF0000"/>
              </a:solidFill>
              <a:latin typeface="Arial"/>
              <a:cs typeface="Arial"/>
            </a:rPr>
            <a:t>***USE THE DATA IN </a:t>
          </a:r>
          <a:r>
            <a:rPr lang="en-US" sz="1000" b="1" i="1" u="sng" strike="noStrike">
              <a:solidFill>
                <a:srgbClr val="FF0000"/>
              </a:solidFill>
              <a:latin typeface="Arial"/>
              <a:cs typeface="Arial"/>
            </a:rPr>
            <a:t>THIS</a:t>
          </a:r>
          <a:r>
            <a:rPr lang="en-US" sz="1000" b="1" i="1" strike="noStrike">
              <a:solidFill>
                <a:srgbClr val="FF0000"/>
              </a:solidFill>
              <a:latin typeface="Arial"/>
              <a:cs typeface="Arial"/>
            </a:rPr>
            <a:t> </a:t>
          </a:r>
          <a:r>
            <a:rPr lang="en-US" sz="1000" b="1" i="0" strike="noStrike">
              <a:solidFill>
                <a:srgbClr val="FF0000"/>
              </a:solidFill>
              <a:latin typeface="Arial"/>
              <a:cs typeface="Arial"/>
            </a:rPr>
            <a:t>WORKBOOK***</a:t>
          </a: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3</xdr:col>
          <xdr:colOff>63500</xdr:colOff>
          <xdr:row>15</xdr:row>
          <xdr:rowOff>76200</xdr:rowOff>
        </xdr:from>
        <xdr:to>
          <xdr:col>3</xdr:col>
          <xdr:colOff>1244600</xdr:colOff>
          <xdr:row>15</xdr:row>
          <xdr:rowOff>342900</xdr:rowOff>
        </xdr:to>
        <xdr:sp macro="" textlink="">
          <xdr:nvSpPr>
            <xdr:cNvPr id="10241" name="Drop Down 1" hidden="1">
              <a:extLst>
                <a:ext uri="{63B3BB69-23CF-44E3-9099-C40C66FF867C}">
                  <a14:compatExt spid="_x0000_s10241"/>
                </a:ext>
                <a:ext uri="{FF2B5EF4-FFF2-40B4-BE49-F238E27FC236}">
                  <a16:creationId xmlns:a16="http://schemas.microsoft.com/office/drawing/2014/main" xmlns="" id="{00000000-0008-0000-04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20</xdr:row>
          <xdr:rowOff>76200</xdr:rowOff>
        </xdr:from>
        <xdr:to>
          <xdr:col>3</xdr:col>
          <xdr:colOff>1155700</xdr:colOff>
          <xdr:row>20</xdr:row>
          <xdr:rowOff>304800</xdr:rowOff>
        </xdr:to>
        <xdr:sp macro="" textlink="">
          <xdr:nvSpPr>
            <xdr:cNvPr id="10242" name="Drop Down 2" hidden="1">
              <a:extLst>
                <a:ext uri="{63B3BB69-23CF-44E3-9099-C40C66FF867C}">
                  <a14:compatExt spid="_x0000_s10242"/>
                </a:ext>
                <a:ext uri="{FF2B5EF4-FFF2-40B4-BE49-F238E27FC236}">
                  <a16:creationId xmlns:a16="http://schemas.microsoft.com/office/drawing/2014/main" xmlns="" id="{00000000-0008-0000-04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50800</xdr:rowOff>
        </xdr:from>
        <xdr:to>
          <xdr:col>3</xdr:col>
          <xdr:colOff>1181100</xdr:colOff>
          <xdr:row>29</xdr:row>
          <xdr:rowOff>279400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xmlns="" id="{00000000-0008-0000-04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101600</xdr:rowOff>
        </xdr:from>
        <xdr:to>
          <xdr:col>3</xdr:col>
          <xdr:colOff>1231900</xdr:colOff>
          <xdr:row>10</xdr:row>
          <xdr:rowOff>342900</xdr:rowOff>
        </xdr:to>
        <xdr:sp macro="" textlink="">
          <xdr:nvSpPr>
            <xdr:cNvPr id="10244" name="Drop Down 4" hidden="1">
              <a:extLst>
                <a:ext uri="{63B3BB69-23CF-44E3-9099-C40C66FF867C}">
                  <a14:compatExt spid="_x0000_s10244"/>
                </a:ext>
                <a:ext uri="{FF2B5EF4-FFF2-40B4-BE49-F238E27FC236}">
                  <a16:creationId xmlns:a16="http://schemas.microsoft.com/office/drawing/2014/main" xmlns="" id="{00000000-0008-0000-04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101600</xdr:rowOff>
        </xdr:from>
        <xdr:to>
          <xdr:col>3</xdr:col>
          <xdr:colOff>1231900</xdr:colOff>
          <xdr:row>9</xdr:row>
          <xdr:rowOff>342900</xdr:rowOff>
        </xdr:to>
        <xdr:sp macro="" textlink="">
          <xdr:nvSpPr>
            <xdr:cNvPr id="10245" name="Drop Down 5" hidden="1">
              <a:extLst>
                <a:ext uri="{63B3BB69-23CF-44E3-9099-C40C66FF867C}">
                  <a14:compatExt spid="_x0000_s10245"/>
                </a:ext>
                <a:ext uri="{FF2B5EF4-FFF2-40B4-BE49-F238E27FC236}">
                  <a16:creationId xmlns:a16="http://schemas.microsoft.com/office/drawing/2014/main" xmlns="" id="{00000000-0008-0000-04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101600</xdr:rowOff>
        </xdr:from>
        <xdr:to>
          <xdr:col>3</xdr:col>
          <xdr:colOff>1231900</xdr:colOff>
          <xdr:row>8</xdr:row>
          <xdr:rowOff>342900</xdr:rowOff>
        </xdr:to>
        <xdr:sp macro="" textlink="">
          <xdr:nvSpPr>
            <xdr:cNvPr id="10246" name="Drop Down 6" hidden="1">
              <a:extLst>
                <a:ext uri="{63B3BB69-23CF-44E3-9099-C40C66FF867C}">
                  <a14:compatExt spid="_x0000_s10246"/>
                </a:ext>
                <a:ext uri="{FF2B5EF4-FFF2-40B4-BE49-F238E27FC236}">
                  <a16:creationId xmlns:a16="http://schemas.microsoft.com/office/drawing/2014/main" xmlns="" id="{00000000-0008-0000-04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101600</xdr:rowOff>
        </xdr:from>
        <xdr:to>
          <xdr:col>3</xdr:col>
          <xdr:colOff>1231900</xdr:colOff>
          <xdr:row>7</xdr:row>
          <xdr:rowOff>342900</xdr:rowOff>
        </xdr:to>
        <xdr:sp macro="" textlink="">
          <xdr:nvSpPr>
            <xdr:cNvPr id="10247" name="Drop Down 7" hidden="1">
              <a:extLst>
                <a:ext uri="{63B3BB69-23CF-44E3-9099-C40C66FF867C}">
                  <a14:compatExt spid="_x0000_s10247"/>
                </a:ext>
                <a:ext uri="{FF2B5EF4-FFF2-40B4-BE49-F238E27FC236}">
                  <a16:creationId xmlns:a16="http://schemas.microsoft.com/office/drawing/2014/main" xmlns="" id="{00000000-0008-0000-04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6</xdr:row>
          <xdr:rowOff>101600</xdr:rowOff>
        </xdr:from>
        <xdr:to>
          <xdr:col>3</xdr:col>
          <xdr:colOff>1231900</xdr:colOff>
          <xdr:row>6</xdr:row>
          <xdr:rowOff>342900</xdr:rowOff>
        </xdr:to>
        <xdr:sp macro="" textlink="">
          <xdr:nvSpPr>
            <xdr:cNvPr id="10248" name="Drop Down 8" hidden="1">
              <a:extLst>
                <a:ext uri="{63B3BB69-23CF-44E3-9099-C40C66FF867C}">
                  <a14:compatExt spid="_x0000_s10248"/>
                </a:ext>
                <a:ext uri="{FF2B5EF4-FFF2-40B4-BE49-F238E27FC236}">
                  <a16:creationId xmlns:a16="http://schemas.microsoft.com/office/drawing/2014/main" xmlns="" id="{00000000-0008-0000-04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5</xdr:row>
          <xdr:rowOff>101600</xdr:rowOff>
        </xdr:from>
        <xdr:to>
          <xdr:col>3</xdr:col>
          <xdr:colOff>1231900</xdr:colOff>
          <xdr:row>5</xdr:row>
          <xdr:rowOff>342900</xdr:rowOff>
        </xdr:to>
        <xdr:sp macro="" textlink="">
          <xdr:nvSpPr>
            <xdr:cNvPr id="10249" name="Drop Down 9" hidden="1">
              <a:extLst>
                <a:ext uri="{63B3BB69-23CF-44E3-9099-C40C66FF867C}">
                  <a14:compatExt spid="_x0000_s10249"/>
                </a:ext>
                <a:ext uri="{FF2B5EF4-FFF2-40B4-BE49-F238E27FC236}">
                  <a16:creationId xmlns:a16="http://schemas.microsoft.com/office/drawing/2014/main" xmlns="" id="{00000000-0008-0000-04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563217</xdr:colOff>
      <xdr:row>12</xdr:row>
      <xdr:rowOff>22087</xdr:rowOff>
    </xdr:from>
    <xdr:to>
      <xdr:col>9</xdr:col>
      <xdr:colOff>134592</xdr:colOff>
      <xdr:row>14</xdr:row>
      <xdr:rowOff>329096</xdr:rowOff>
    </xdr:to>
    <xdr:sp macro="" textlink="">
      <xdr:nvSpPr>
        <xdr:cNvPr id="12" name="Text Box 11">
          <a:extLst>
            <a:ext uri="{FF2B5EF4-FFF2-40B4-BE49-F238E27FC236}">
              <a16:creationId xmlns:a16="http://schemas.microsoft.com/office/drawing/2014/main" xmlns="" id="{00000000-0008-0000-0400-000002000000}"/>
            </a:ext>
          </a:extLst>
        </xdr:cNvPr>
        <xdr:cNvSpPr txBox="1">
          <a:spLocks noChangeArrowheads="1"/>
        </xdr:cNvSpPr>
      </xdr:nvSpPr>
      <xdr:spPr bwMode="auto">
        <a:xfrm>
          <a:off x="9629913" y="3655391"/>
          <a:ext cx="3469722" cy="925444"/>
        </a:xfrm>
        <a:prstGeom prst="rect">
          <a:avLst/>
        </a:prstGeom>
        <a:solidFill>
          <a:schemeClr val="accent4">
            <a:lumMod val="40000"/>
            <a:lumOff val="60000"/>
          </a:schemeClr>
        </a:solidFill>
        <a:ln w="9525">
          <a:solidFill>
            <a:srgbClr val="000000"/>
          </a:solidFill>
          <a:miter lim="800000"/>
          <a:headEnd/>
          <a:tailEnd/>
        </a:ln>
      </xdr:spPr>
      <xdr:txBody>
        <a:bodyPr vertOverflow="clip" wrap="square" lIns="27432" tIns="22860" rIns="0" bIns="0" anchor="ctr" upright="1"/>
        <a:lstStyle/>
        <a:p>
          <a:pPr algn="ctr" rtl="0">
            <a:defRPr sz="1000"/>
          </a:pPr>
          <a:r>
            <a:rPr lang="tr-TR" sz="1400" b="0" i="0" baseline="0">
              <a:solidFill>
                <a:schemeClr val="accent4">
                  <a:lumMod val="50000"/>
                </a:schemeClr>
              </a:solidFill>
              <a:effectLst/>
              <a:latin typeface="+mn-lt"/>
              <a:ea typeface="+mn-ea"/>
              <a:cs typeface="+mn-cs"/>
            </a:rPr>
            <a:t>Questions in this Homework refer to data given in </a:t>
          </a:r>
          <a:r>
            <a:rPr lang="tr-TR" sz="1600" b="0" i="0" baseline="0">
              <a:solidFill>
                <a:srgbClr val="FF0000"/>
              </a:solidFill>
              <a:effectLst/>
              <a:latin typeface="+mn-lt"/>
              <a:ea typeface="+mn-ea"/>
              <a:cs typeface="+mn-cs"/>
            </a:rPr>
            <a:t>Case2_DataMate</a:t>
          </a:r>
          <a:r>
            <a:rPr lang="tr-TR" sz="1400" b="0" i="0" baseline="0">
              <a:solidFill>
                <a:schemeClr val="accent4">
                  <a:lumMod val="50000"/>
                </a:schemeClr>
              </a:solidFill>
              <a:effectLst/>
              <a:latin typeface="+mn-lt"/>
              <a:ea typeface="+mn-ea"/>
              <a:cs typeface="+mn-cs"/>
            </a:rPr>
            <a:t>, you can find it on </a:t>
          </a:r>
          <a:r>
            <a:rPr lang="tr-TR" sz="1600" b="0" i="0" baseline="0">
              <a:solidFill>
                <a:srgbClr val="FF0000"/>
              </a:solidFill>
              <a:effectLst/>
              <a:latin typeface="+mn-lt"/>
              <a:ea typeface="+mn-ea"/>
              <a:cs typeface="+mn-cs"/>
            </a:rPr>
            <a:t>LMS</a:t>
          </a:r>
          <a:r>
            <a:rPr lang="tr-TR" sz="1400" b="0" i="0" baseline="0">
              <a:solidFill>
                <a:schemeClr val="accent4">
                  <a:lumMod val="50000"/>
                </a:schemeClr>
              </a:solidFill>
              <a:effectLst/>
              <a:latin typeface="+mn-lt"/>
              <a:ea typeface="+mn-ea"/>
              <a:cs typeface="+mn-cs"/>
            </a:rPr>
            <a:t>.</a:t>
          </a:r>
          <a:endParaRPr lang="en-US" sz="1400" b="0" i="0" strike="noStrike">
            <a:solidFill>
              <a:schemeClr val="accent4">
                <a:lumMod val="50000"/>
              </a:schemeClr>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24</xdr:row>
          <xdr:rowOff>63500</xdr:rowOff>
        </xdr:from>
        <xdr:to>
          <xdr:col>3</xdr:col>
          <xdr:colOff>1066800</xdr:colOff>
          <xdr:row>24</xdr:row>
          <xdr:rowOff>304800</xdr:rowOff>
        </xdr:to>
        <xdr:sp macro="" textlink="">
          <xdr:nvSpPr>
            <xdr:cNvPr id="11265" name="Drop Down 1" hidden="1">
              <a:extLst>
                <a:ext uri="{63B3BB69-23CF-44E3-9099-C40C66FF867C}">
                  <a14:compatExt spid="_x0000_s11265"/>
                </a:ext>
                <a:ext uri="{FF2B5EF4-FFF2-40B4-BE49-F238E27FC236}">
                  <a16:creationId xmlns:a16="http://schemas.microsoft.com/office/drawing/2014/main" xmlns=""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63500</xdr:rowOff>
        </xdr:from>
        <xdr:to>
          <xdr:col>3</xdr:col>
          <xdr:colOff>1066800</xdr:colOff>
          <xdr:row>25</xdr:row>
          <xdr:rowOff>304800</xdr:rowOff>
        </xdr:to>
        <xdr:sp macro="" textlink="">
          <xdr:nvSpPr>
            <xdr:cNvPr id="11266" name="Drop Down 2" hidden="1">
              <a:extLst>
                <a:ext uri="{63B3BB69-23CF-44E3-9099-C40C66FF867C}">
                  <a14:compatExt spid="_x0000_s11266"/>
                </a:ext>
                <a:ext uri="{FF2B5EF4-FFF2-40B4-BE49-F238E27FC236}">
                  <a16:creationId xmlns:a16="http://schemas.microsoft.com/office/drawing/2014/main" xmlns=""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63500</xdr:rowOff>
        </xdr:from>
        <xdr:to>
          <xdr:col>3</xdr:col>
          <xdr:colOff>1066800</xdr:colOff>
          <xdr:row>23</xdr:row>
          <xdr:rowOff>304800</xdr:rowOff>
        </xdr:to>
        <xdr:sp macro="" textlink="">
          <xdr:nvSpPr>
            <xdr:cNvPr id="11267" name="Drop Down 3" hidden="1">
              <a:extLst>
                <a:ext uri="{63B3BB69-23CF-44E3-9099-C40C66FF867C}">
                  <a14:compatExt spid="_x0000_s11267"/>
                </a:ext>
                <a:ext uri="{FF2B5EF4-FFF2-40B4-BE49-F238E27FC236}">
                  <a16:creationId xmlns:a16="http://schemas.microsoft.com/office/drawing/2014/main" xmlns="" id="{00000000-0008-0000-05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20</xdr:row>
          <xdr:rowOff>50800</xdr:rowOff>
        </xdr:from>
        <xdr:to>
          <xdr:col>3</xdr:col>
          <xdr:colOff>1066800</xdr:colOff>
          <xdr:row>20</xdr:row>
          <xdr:rowOff>292100</xdr:rowOff>
        </xdr:to>
        <xdr:sp macro="" textlink="">
          <xdr:nvSpPr>
            <xdr:cNvPr id="11268" name="Drop Down 4" hidden="1">
              <a:extLst>
                <a:ext uri="{63B3BB69-23CF-44E3-9099-C40C66FF867C}">
                  <a14:compatExt spid="_x0000_s11268"/>
                </a:ext>
                <a:ext uri="{FF2B5EF4-FFF2-40B4-BE49-F238E27FC236}">
                  <a16:creationId xmlns:a16="http://schemas.microsoft.com/office/drawing/2014/main" xmlns="" id="{00000000-0008-0000-05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63500</xdr:rowOff>
        </xdr:from>
        <xdr:to>
          <xdr:col>3</xdr:col>
          <xdr:colOff>1066800</xdr:colOff>
          <xdr:row>24</xdr:row>
          <xdr:rowOff>304800</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xmlns="" id="{00000000-0008-0000-05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63500</xdr:rowOff>
        </xdr:from>
        <xdr:to>
          <xdr:col>3</xdr:col>
          <xdr:colOff>1066800</xdr:colOff>
          <xdr:row>25</xdr:row>
          <xdr:rowOff>304800</xdr:rowOff>
        </xdr:to>
        <xdr:sp macro="" textlink="">
          <xdr:nvSpPr>
            <xdr:cNvPr id="11270" name="Drop Down 6" hidden="1">
              <a:extLst>
                <a:ext uri="{63B3BB69-23CF-44E3-9099-C40C66FF867C}">
                  <a14:compatExt spid="_x0000_s11270"/>
                </a:ext>
                <a:ext uri="{FF2B5EF4-FFF2-40B4-BE49-F238E27FC236}">
                  <a16:creationId xmlns:a16="http://schemas.microsoft.com/office/drawing/2014/main" xmlns="" id="{00000000-0008-0000-05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63500</xdr:rowOff>
        </xdr:from>
        <xdr:to>
          <xdr:col>3</xdr:col>
          <xdr:colOff>1066800</xdr:colOff>
          <xdr:row>23</xdr:row>
          <xdr:rowOff>304800</xdr:rowOff>
        </xdr:to>
        <xdr:sp macro="" textlink="">
          <xdr:nvSpPr>
            <xdr:cNvPr id="11271" name="Drop Down 7" hidden="1">
              <a:extLst>
                <a:ext uri="{63B3BB69-23CF-44E3-9099-C40C66FF867C}">
                  <a14:compatExt spid="_x0000_s11271"/>
                </a:ext>
                <a:ext uri="{FF2B5EF4-FFF2-40B4-BE49-F238E27FC236}">
                  <a16:creationId xmlns:a16="http://schemas.microsoft.com/office/drawing/2014/main" xmlns="" id="{00000000-0008-0000-05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20</xdr:row>
          <xdr:rowOff>50800</xdr:rowOff>
        </xdr:from>
        <xdr:to>
          <xdr:col>3</xdr:col>
          <xdr:colOff>1066800</xdr:colOff>
          <xdr:row>20</xdr:row>
          <xdr:rowOff>292100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xmlns="" id="{00000000-0008-0000-05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63500</xdr:rowOff>
        </xdr:from>
        <xdr:to>
          <xdr:col>3</xdr:col>
          <xdr:colOff>1066800</xdr:colOff>
          <xdr:row>24</xdr:row>
          <xdr:rowOff>304800</xdr:rowOff>
        </xdr:to>
        <xdr:sp macro="" textlink="">
          <xdr:nvSpPr>
            <xdr:cNvPr id="11273" name="Drop Down 9" hidden="1">
              <a:extLst>
                <a:ext uri="{63B3BB69-23CF-44E3-9099-C40C66FF867C}">
                  <a14:compatExt spid="_x0000_s11273"/>
                </a:ext>
                <a:ext uri="{FF2B5EF4-FFF2-40B4-BE49-F238E27FC236}">
                  <a16:creationId xmlns:a16="http://schemas.microsoft.com/office/drawing/2014/main" xmlns="" id="{00000000-0008-0000-05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63500</xdr:rowOff>
        </xdr:from>
        <xdr:to>
          <xdr:col>3</xdr:col>
          <xdr:colOff>1066800</xdr:colOff>
          <xdr:row>25</xdr:row>
          <xdr:rowOff>304800</xdr:rowOff>
        </xdr:to>
        <xdr:sp macro="" textlink="">
          <xdr:nvSpPr>
            <xdr:cNvPr id="11274" name="Drop Down 10" hidden="1">
              <a:extLst>
                <a:ext uri="{63B3BB69-23CF-44E3-9099-C40C66FF867C}">
                  <a14:compatExt spid="_x0000_s11274"/>
                </a:ext>
                <a:ext uri="{FF2B5EF4-FFF2-40B4-BE49-F238E27FC236}">
                  <a16:creationId xmlns:a16="http://schemas.microsoft.com/office/drawing/2014/main" xmlns="" id="{00000000-0008-0000-05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63500</xdr:rowOff>
        </xdr:from>
        <xdr:to>
          <xdr:col>3</xdr:col>
          <xdr:colOff>1066800</xdr:colOff>
          <xdr:row>23</xdr:row>
          <xdr:rowOff>304800</xdr:rowOff>
        </xdr:to>
        <xdr:sp macro="" textlink="">
          <xdr:nvSpPr>
            <xdr:cNvPr id="11275" name="Drop Down 11" hidden="1">
              <a:extLst>
                <a:ext uri="{63B3BB69-23CF-44E3-9099-C40C66FF867C}">
                  <a14:compatExt spid="_x0000_s11275"/>
                </a:ext>
                <a:ext uri="{FF2B5EF4-FFF2-40B4-BE49-F238E27FC236}">
                  <a16:creationId xmlns:a16="http://schemas.microsoft.com/office/drawing/2014/main" xmlns="" id="{00000000-0008-0000-0500-00000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20</xdr:row>
          <xdr:rowOff>50800</xdr:rowOff>
        </xdr:from>
        <xdr:to>
          <xdr:col>3</xdr:col>
          <xdr:colOff>1066800</xdr:colOff>
          <xdr:row>20</xdr:row>
          <xdr:rowOff>292100</xdr:rowOff>
        </xdr:to>
        <xdr:sp macro="" textlink="">
          <xdr:nvSpPr>
            <xdr:cNvPr id="11276" name="Drop Down 12" hidden="1">
              <a:extLst>
                <a:ext uri="{63B3BB69-23CF-44E3-9099-C40C66FF867C}">
                  <a14:compatExt spid="_x0000_s11276"/>
                </a:ext>
                <a:ext uri="{FF2B5EF4-FFF2-40B4-BE49-F238E27FC236}">
                  <a16:creationId xmlns:a16="http://schemas.microsoft.com/office/drawing/2014/main" xmlns="" id="{00000000-0008-0000-0500-00000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4" Type="http://schemas.openxmlformats.org/officeDocument/2006/relationships/vmlDrawing" Target="../drawings/vmlDrawing1.vml"/><Relationship Id="rId5"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customProperty" Target="../customProperty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trlProp" Target="../ctrlProps/ctrlProp4.xml"/><Relationship Id="rId6" Type="http://schemas.openxmlformats.org/officeDocument/2006/relationships/ctrlProp" Target="../ctrlProps/ctrlProp5.xml"/><Relationship Id="rId7" Type="http://schemas.openxmlformats.org/officeDocument/2006/relationships/ctrlProp" Target="../ctrlProps/ctrlProp6.xml"/><Relationship Id="rId8" Type="http://schemas.openxmlformats.org/officeDocument/2006/relationships/ctrlProp" Target="../ctrlProps/ctrlProp7.xml"/><Relationship Id="rId9" Type="http://schemas.openxmlformats.org/officeDocument/2006/relationships/ctrlProp" Target="../ctrlProps/ctrlProp8.xml"/><Relationship Id="rId10" Type="http://schemas.openxmlformats.org/officeDocument/2006/relationships/ctrlProp" Target="../ctrlProps/ctrlProp9.xml"/><Relationship Id="rId11" Type="http://schemas.openxmlformats.org/officeDocument/2006/relationships/ctrlProp" Target="../ctrlProps/ctrlProp10.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1" Type="http://schemas.openxmlformats.org/officeDocument/2006/relationships/ctrlProp" Target="../ctrlProps/ctrlProp19.xml"/><Relationship Id="rId12" Type="http://schemas.openxmlformats.org/officeDocument/2006/relationships/ctrlProp" Target="../ctrlProps/ctrlProp20.xml"/><Relationship Id="rId13" Type="http://schemas.openxmlformats.org/officeDocument/2006/relationships/ctrlProp" Target="../ctrlProps/ctrlProp21.xml"/><Relationship Id="rId14" Type="http://schemas.openxmlformats.org/officeDocument/2006/relationships/ctrlProp" Target="../ctrlProps/ctrlProp22.xml"/><Relationship Id="rId1" Type="http://schemas.openxmlformats.org/officeDocument/2006/relationships/drawing" Target="../drawings/drawing4.xml"/><Relationship Id="rId2" Type="http://schemas.openxmlformats.org/officeDocument/2006/relationships/vmlDrawing" Target="../drawings/vmlDrawing3.vml"/><Relationship Id="rId3" Type="http://schemas.openxmlformats.org/officeDocument/2006/relationships/ctrlProp" Target="../ctrlProps/ctrlProp11.xml"/><Relationship Id="rId4" Type="http://schemas.openxmlformats.org/officeDocument/2006/relationships/ctrlProp" Target="../ctrlProps/ctrlProp12.xml"/><Relationship Id="rId5" Type="http://schemas.openxmlformats.org/officeDocument/2006/relationships/ctrlProp" Target="../ctrlProps/ctrlProp13.xml"/><Relationship Id="rId6" Type="http://schemas.openxmlformats.org/officeDocument/2006/relationships/ctrlProp" Target="../ctrlProps/ctrlProp14.xml"/><Relationship Id="rId7" Type="http://schemas.openxmlformats.org/officeDocument/2006/relationships/ctrlProp" Target="../ctrlProps/ctrlProp15.xml"/><Relationship Id="rId8" Type="http://schemas.openxmlformats.org/officeDocument/2006/relationships/ctrlProp" Target="../ctrlProps/ctrlProp16.xml"/><Relationship Id="rId9" Type="http://schemas.openxmlformats.org/officeDocument/2006/relationships/ctrlProp" Target="../ctrlProps/ctrlProp17.xml"/><Relationship Id="rId10"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C000"/>
  </sheetPr>
  <dimension ref="C1:GH26521"/>
  <sheetViews>
    <sheetView tabSelected="1" zoomScale="84" workbookViewId="0">
      <selection activeCell="D4" sqref="D4"/>
    </sheetView>
  </sheetViews>
  <sheetFormatPr baseColWidth="10" defaultColWidth="9.1640625" defaultRowHeight="13" x14ac:dyDescent="0.15"/>
  <cols>
    <col min="1" max="2" width="9.1640625" customWidth="1"/>
    <col min="3" max="3" width="11" customWidth="1"/>
    <col min="4" max="4" width="14.33203125" customWidth="1"/>
    <col min="5" max="244" width="9.1640625" customWidth="1"/>
  </cols>
  <sheetData>
    <row r="1" spans="3:15" x14ac:dyDescent="0.15">
      <c r="C1" s="1"/>
      <c r="D1" s="1"/>
      <c r="E1" s="1"/>
      <c r="F1" s="1"/>
      <c r="G1" s="1"/>
      <c r="H1" s="1"/>
      <c r="I1" s="1"/>
      <c r="J1" s="1"/>
      <c r="K1" s="1"/>
      <c r="L1" s="1"/>
      <c r="M1" s="1"/>
      <c r="N1" s="1"/>
      <c r="O1" s="1"/>
    </row>
    <row r="2" spans="3:15" x14ac:dyDescent="0.15">
      <c r="C2" s="2" t="s">
        <v>159</v>
      </c>
      <c r="D2" s="1"/>
      <c r="E2" s="1"/>
      <c r="F2" s="1"/>
      <c r="G2" s="1"/>
      <c r="H2" s="1"/>
      <c r="I2" s="1"/>
      <c r="J2" s="1"/>
      <c r="K2" s="1"/>
      <c r="L2" s="1"/>
      <c r="M2" s="1"/>
      <c r="N2" s="1"/>
      <c r="O2" s="1"/>
    </row>
    <row r="3" spans="3:15" x14ac:dyDescent="0.15">
      <c r="C3" s="1"/>
      <c r="D3" s="1"/>
      <c r="E3" s="1"/>
      <c r="F3" s="1"/>
      <c r="G3" s="1"/>
      <c r="H3" s="1"/>
      <c r="I3" s="1"/>
      <c r="J3" s="1"/>
      <c r="K3" s="1"/>
      <c r="L3" s="1"/>
      <c r="M3" s="1"/>
      <c r="N3" s="1"/>
      <c r="O3" s="1"/>
    </row>
    <row r="4" spans="3:15" x14ac:dyDescent="0.15">
      <c r="C4" s="3"/>
      <c r="D4" s="1"/>
      <c r="E4" s="1"/>
      <c r="F4" s="1"/>
      <c r="G4" s="1"/>
      <c r="H4" s="1"/>
      <c r="I4" s="1"/>
      <c r="J4" s="1"/>
      <c r="K4" s="1"/>
      <c r="L4" s="1"/>
      <c r="M4" s="1"/>
      <c r="N4" s="1"/>
      <c r="O4" s="1"/>
    </row>
    <row r="5" spans="3:15" x14ac:dyDescent="0.15">
      <c r="C5" s="1"/>
      <c r="D5" s="1"/>
      <c r="E5" s="1"/>
      <c r="F5" s="1"/>
      <c r="G5" s="1"/>
      <c r="H5" s="1"/>
      <c r="I5" s="1"/>
      <c r="J5" s="1"/>
      <c r="K5" s="1"/>
      <c r="L5" s="1"/>
      <c r="M5" s="1"/>
      <c r="N5" s="1"/>
      <c r="O5" s="1"/>
    </row>
    <row r="6" spans="3:15" x14ac:dyDescent="0.15">
      <c r="C6" s="1"/>
      <c r="D6" s="1"/>
      <c r="E6" s="1"/>
      <c r="F6" s="1"/>
      <c r="G6" s="1"/>
      <c r="H6" s="1"/>
      <c r="I6" s="1"/>
      <c r="J6" s="1"/>
      <c r="K6" s="1"/>
      <c r="L6" s="1"/>
      <c r="M6" s="1"/>
      <c r="N6" s="1"/>
      <c r="O6" s="1"/>
    </row>
    <row r="30" spans="4:4" x14ac:dyDescent="0.15">
      <c r="D30" s="4"/>
    </row>
    <row r="26521" spans="189:190" x14ac:dyDescent="0.15">
      <c r="GG26521" t="e">
        <f>#REF!</f>
        <v>#REF!</v>
      </c>
      <c r="GH26521" t="e">
        <f>#REF!</f>
        <v>#REF!</v>
      </c>
    </row>
  </sheetData>
  <phoneticPr fontId="3" type="noConversion"/>
  <pageMargins left="0.75" right="0.75" top="1" bottom="1" header="0.5" footer="0.5"/>
  <pageSetup paperSize="9" orientation="portrait" r:id="rId1"/>
  <headerFooter alignWithMargins="0"/>
  <customProperties>
    <customPr name="DVSECTION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openhwk">
                <anchor moveWithCells="1" sizeWithCells="1">
                  <from>
                    <xdr:col>7</xdr:col>
                    <xdr:colOff>266700</xdr:colOff>
                    <xdr:row>2</xdr:row>
                    <xdr:rowOff>12700</xdr:rowOff>
                  </from>
                  <to>
                    <xdr:col>10</xdr:col>
                    <xdr:colOff>114300</xdr:colOff>
                    <xdr:row>4</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4" tint="0.39997558519241921"/>
  </sheetPr>
  <dimension ref="A1:AB3765"/>
  <sheetViews>
    <sheetView showGridLines="0" workbookViewId="0">
      <selection activeCell="D21" sqref="D21"/>
    </sheetView>
  </sheetViews>
  <sheetFormatPr baseColWidth="10" defaultColWidth="8.83203125" defaultRowHeight="13" x14ac:dyDescent="0.15"/>
  <cols>
    <col min="1" max="1" width="3.1640625" style="133" customWidth="1"/>
    <col min="2" max="2" width="40.5" style="133" customWidth="1"/>
    <col min="3" max="3" width="26.6640625" style="133" customWidth="1"/>
    <col min="4" max="4" width="58.33203125" style="133" bestFit="1" customWidth="1"/>
    <col min="5" max="5" width="18.1640625" style="133" customWidth="1"/>
    <col min="6" max="6" width="36.6640625" style="25" bestFit="1" customWidth="1"/>
    <col min="7" max="7" width="23.5" style="25" customWidth="1"/>
    <col min="8" max="8" width="8.83203125" style="25"/>
    <col min="9" max="9" width="16.33203125" style="25" bestFit="1" customWidth="1"/>
    <col min="10" max="10" width="20.1640625" style="25" customWidth="1"/>
    <col min="11" max="16384" width="8.83203125" style="25"/>
  </cols>
  <sheetData>
    <row r="1" spans="1:10" ht="14" thickBot="1" x14ac:dyDescent="0.2">
      <c r="A1" s="108"/>
      <c r="B1" s="108"/>
      <c r="C1" s="108"/>
      <c r="D1" s="108"/>
      <c r="E1" s="108"/>
      <c r="F1" s="24"/>
      <c r="G1" s="24"/>
      <c r="H1" s="24"/>
    </row>
    <row r="2" spans="1:10" x14ac:dyDescent="0.15">
      <c r="A2" s="108"/>
      <c r="B2" s="109" t="s">
        <v>77</v>
      </c>
      <c r="C2" s="110"/>
      <c r="D2" s="110"/>
      <c r="E2" s="111"/>
      <c r="H2" s="24"/>
    </row>
    <row r="3" spans="1:10" ht="14" thickBot="1" x14ac:dyDescent="0.2">
      <c r="A3" s="108"/>
      <c r="B3" s="112" t="s">
        <v>198</v>
      </c>
      <c r="C3" s="113"/>
      <c r="D3" s="113"/>
      <c r="E3" s="114"/>
      <c r="H3" s="24"/>
    </row>
    <row r="4" spans="1:10" ht="14" thickBot="1" x14ac:dyDescent="0.2">
      <c r="A4" s="108"/>
      <c r="B4" s="115" t="s">
        <v>78</v>
      </c>
      <c r="C4" s="116"/>
      <c r="D4" s="115" t="s">
        <v>79</v>
      </c>
      <c r="E4" s="116"/>
      <c r="H4" s="24"/>
    </row>
    <row r="5" spans="1:10" x14ac:dyDescent="0.15">
      <c r="A5" s="108"/>
      <c r="B5" s="117"/>
      <c r="C5" s="118"/>
      <c r="D5" s="117"/>
      <c r="E5" s="118"/>
      <c r="H5" s="24"/>
    </row>
    <row r="6" spans="1:10" ht="16" x14ac:dyDescent="0.15">
      <c r="A6" s="108"/>
      <c r="B6" s="119" t="s">
        <v>80</v>
      </c>
      <c r="C6" s="26"/>
      <c r="D6" s="119" t="s">
        <v>81</v>
      </c>
      <c r="E6" s="26">
        <v>53561039</v>
      </c>
      <c r="H6" s="24"/>
      <c r="J6" s="27"/>
    </row>
    <row r="7" spans="1:10" x14ac:dyDescent="0.15">
      <c r="A7" s="108"/>
      <c r="B7" s="120" t="s">
        <v>82</v>
      </c>
      <c r="C7" s="28">
        <v>18577541</v>
      </c>
      <c r="D7" s="120" t="s">
        <v>83</v>
      </c>
      <c r="E7" s="29">
        <v>48410589</v>
      </c>
      <c r="H7" s="24"/>
    </row>
    <row r="8" spans="1:10" x14ac:dyDescent="0.15">
      <c r="A8" s="108"/>
      <c r="B8" s="120" t="s">
        <v>84</v>
      </c>
      <c r="C8" s="28">
        <v>40705207</v>
      </c>
      <c r="D8" s="120" t="s">
        <v>85</v>
      </c>
      <c r="E8" s="29">
        <v>1534155</v>
      </c>
      <c r="H8" s="24"/>
      <c r="J8" s="30"/>
    </row>
    <row r="9" spans="1:10" x14ac:dyDescent="0.15">
      <c r="A9" s="108"/>
      <c r="B9" s="120" t="s">
        <v>86</v>
      </c>
      <c r="C9" s="28">
        <v>14452545</v>
      </c>
      <c r="D9" s="120" t="s">
        <v>87</v>
      </c>
      <c r="E9" s="29">
        <v>3616295</v>
      </c>
      <c r="H9" s="24"/>
      <c r="J9" s="31"/>
    </row>
    <row r="10" spans="1:10" x14ac:dyDescent="0.15">
      <c r="A10" s="108"/>
      <c r="B10" s="120" t="s">
        <v>88</v>
      </c>
      <c r="C10" s="28">
        <v>1373549</v>
      </c>
      <c r="D10" s="121"/>
      <c r="E10" s="122"/>
      <c r="H10" s="24"/>
      <c r="J10" s="31"/>
    </row>
    <row r="11" spans="1:10" x14ac:dyDescent="0.15">
      <c r="A11" s="108"/>
      <c r="B11" s="120" t="s">
        <v>89</v>
      </c>
      <c r="C11" s="28">
        <v>332407</v>
      </c>
      <c r="D11" s="123" t="s">
        <v>90</v>
      </c>
      <c r="E11" s="32">
        <v>28480935</v>
      </c>
      <c r="H11" s="24"/>
    </row>
    <row r="12" spans="1:10" x14ac:dyDescent="0.15">
      <c r="A12" s="108"/>
      <c r="B12" s="120" t="s">
        <v>91</v>
      </c>
      <c r="C12" s="28">
        <v>6600725</v>
      </c>
      <c r="D12" s="121"/>
      <c r="E12" s="122"/>
      <c r="H12" s="24"/>
    </row>
    <row r="13" spans="1:10" ht="16" x14ac:dyDescent="0.15">
      <c r="A13" s="108"/>
      <c r="B13" s="121"/>
      <c r="C13" s="122"/>
      <c r="D13" s="123"/>
      <c r="E13" s="26"/>
      <c r="H13" s="24"/>
    </row>
    <row r="14" spans="1:10" ht="14" thickBot="1" x14ac:dyDescent="0.2">
      <c r="A14" s="108"/>
      <c r="B14" s="124" t="s">
        <v>92</v>
      </c>
      <c r="C14" s="33">
        <v>82041974</v>
      </c>
      <c r="D14" s="124" t="s">
        <v>93</v>
      </c>
      <c r="E14" s="33">
        <v>82041974</v>
      </c>
      <c r="G14" s="24"/>
      <c r="H14" s="24"/>
    </row>
    <row r="15" spans="1:10" x14ac:dyDescent="0.15">
      <c r="A15" s="108"/>
      <c r="B15" s="125"/>
      <c r="C15" s="126"/>
      <c r="D15" s="125"/>
      <c r="E15" s="126"/>
      <c r="G15" s="24"/>
      <c r="H15" s="24"/>
    </row>
    <row r="16" spans="1:10" ht="14" thickBot="1" x14ac:dyDescent="0.2">
      <c r="A16" s="108"/>
      <c r="B16" s="125"/>
      <c r="C16" s="126"/>
      <c r="D16" s="127"/>
      <c r="E16" s="126"/>
      <c r="G16" s="24"/>
      <c r="H16" s="24"/>
    </row>
    <row r="17" spans="1:8" x14ac:dyDescent="0.15">
      <c r="A17" s="108"/>
      <c r="B17" s="204" t="s">
        <v>77</v>
      </c>
      <c r="C17" s="205"/>
      <c r="D17" s="128"/>
      <c r="E17" s="34"/>
      <c r="G17" s="24"/>
      <c r="H17" s="24"/>
    </row>
    <row r="18" spans="1:8" ht="14" thickBot="1" x14ac:dyDescent="0.2">
      <c r="A18" s="108"/>
      <c r="B18" s="206" t="s">
        <v>197</v>
      </c>
      <c r="C18" s="207"/>
      <c r="D18" s="128"/>
      <c r="E18" s="34"/>
      <c r="F18" s="24"/>
      <c r="G18" s="24"/>
      <c r="H18" s="24"/>
    </row>
    <row r="19" spans="1:8" ht="14" thickBot="1" x14ac:dyDescent="0.2">
      <c r="A19" s="108"/>
      <c r="B19" s="129"/>
      <c r="C19" s="130"/>
      <c r="D19" s="128"/>
      <c r="E19" s="34"/>
      <c r="F19" s="24"/>
      <c r="G19" s="24"/>
      <c r="H19" s="24"/>
    </row>
    <row r="20" spans="1:8" ht="13.25" customHeight="1" x14ac:dyDescent="0.15">
      <c r="A20" s="108"/>
      <c r="B20" s="131" t="s">
        <v>94</v>
      </c>
      <c r="C20" s="28">
        <v>194446806</v>
      </c>
      <c r="D20" s="132"/>
      <c r="E20" s="208" t="s">
        <v>95</v>
      </c>
      <c r="F20" s="36"/>
      <c r="G20" s="24"/>
      <c r="H20" s="24"/>
    </row>
    <row r="21" spans="1:8" ht="15.5" customHeight="1" thickBot="1" x14ac:dyDescent="0.2">
      <c r="A21" s="108"/>
      <c r="B21" s="131" t="s">
        <v>96</v>
      </c>
      <c r="C21" s="35">
        <v>-185866522</v>
      </c>
      <c r="D21" s="132"/>
      <c r="E21" s="209"/>
      <c r="F21" s="36"/>
      <c r="G21" s="24"/>
      <c r="H21" s="24"/>
    </row>
    <row r="22" spans="1:8" ht="13.25" customHeight="1" x14ac:dyDescent="0.15">
      <c r="A22" s="108"/>
      <c r="B22" s="131" t="s">
        <v>29</v>
      </c>
      <c r="C22" s="28">
        <v>8580284</v>
      </c>
      <c r="E22" s="210">
        <v>0.2</v>
      </c>
      <c r="F22" s="24"/>
      <c r="G22" s="24"/>
      <c r="H22" s="24"/>
    </row>
    <row r="23" spans="1:8" ht="13.75" customHeight="1" thickBot="1" x14ac:dyDescent="0.2">
      <c r="A23" s="108"/>
      <c r="B23" s="131" t="s">
        <v>97</v>
      </c>
      <c r="C23" s="28">
        <v>-181047</v>
      </c>
      <c r="E23" s="211"/>
      <c r="F23" s="36"/>
      <c r="H23" s="24"/>
    </row>
    <row r="24" spans="1:8" x14ac:dyDescent="0.15">
      <c r="A24" s="108"/>
      <c r="B24" s="131" t="s">
        <v>98</v>
      </c>
      <c r="C24" s="28">
        <v>-2321387</v>
      </c>
      <c r="D24" s="134"/>
      <c r="E24" s="134"/>
      <c r="F24" s="36"/>
      <c r="H24" s="24"/>
    </row>
    <row r="25" spans="1:8" ht="16" x14ac:dyDescent="0.15">
      <c r="A25" s="108"/>
      <c r="B25" s="131" t="s">
        <v>99</v>
      </c>
      <c r="C25" s="35">
        <v>-4157730</v>
      </c>
      <c r="F25" s="36"/>
      <c r="H25" s="24"/>
    </row>
    <row r="26" spans="1:8" x14ac:dyDescent="0.15">
      <c r="A26" s="108"/>
      <c r="B26" s="131" t="s">
        <v>100</v>
      </c>
      <c r="C26" s="28">
        <v>1920120</v>
      </c>
      <c r="F26" s="24"/>
      <c r="H26" s="24"/>
    </row>
    <row r="27" spans="1:8" ht="16" x14ac:dyDescent="0.15">
      <c r="A27" s="108"/>
      <c r="B27" s="131" t="s">
        <v>101</v>
      </c>
      <c r="C27" s="35">
        <v>-384024</v>
      </c>
      <c r="F27" s="24"/>
      <c r="G27" s="24"/>
      <c r="H27" s="24"/>
    </row>
    <row r="28" spans="1:8" ht="14" thickBot="1" x14ac:dyDescent="0.2">
      <c r="A28" s="108"/>
      <c r="B28" s="135" t="s">
        <v>102</v>
      </c>
      <c r="C28" s="38">
        <v>1536096</v>
      </c>
      <c r="F28" s="24"/>
      <c r="G28" s="24"/>
      <c r="H28" s="24"/>
    </row>
    <row r="29" spans="1:8" x14ac:dyDescent="0.15">
      <c r="A29" s="108"/>
      <c r="F29" s="24"/>
      <c r="G29" s="24"/>
      <c r="H29" s="24"/>
    </row>
    <row r="30" spans="1:8" x14ac:dyDescent="0.15">
      <c r="A30" s="108"/>
      <c r="F30" s="24"/>
      <c r="G30" s="24"/>
      <c r="H30" s="24"/>
    </row>
    <row r="31" spans="1:8" x14ac:dyDescent="0.15">
      <c r="A31" s="108"/>
      <c r="F31" s="24"/>
      <c r="G31" s="24"/>
      <c r="H31" s="24"/>
    </row>
    <row r="32" spans="1:8" x14ac:dyDescent="0.15">
      <c r="A32" s="108"/>
      <c r="F32" s="24"/>
      <c r="G32" s="24"/>
      <c r="H32" s="24"/>
    </row>
    <row r="33" spans="1:8" x14ac:dyDescent="0.15">
      <c r="A33" s="108"/>
      <c r="F33" s="24"/>
      <c r="G33" s="24"/>
      <c r="H33" s="24"/>
    </row>
    <row r="34" spans="1:8" x14ac:dyDescent="0.15">
      <c r="A34" s="108"/>
      <c r="F34" s="24"/>
      <c r="G34" s="24"/>
      <c r="H34" s="24"/>
    </row>
    <row r="35" spans="1:8" x14ac:dyDescent="0.15">
      <c r="A35" s="108"/>
      <c r="F35" s="24"/>
      <c r="G35" s="24"/>
      <c r="H35" s="24"/>
    </row>
    <row r="36" spans="1:8" x14ac:dyDescent="0.15">
      <c r="A36" s="108"/>
      <c r="F36" s="24"/>
      <c r="G36" s="24"/>
      <c r="H36" s="24"/>
    </row>
    <row r="37" spans="1:8" ht="12" customHeight="1" x14ac:dyDescent="0.15">
      <c r="A37" s="108"/>
      <c r="F37" s="24"/>
      <c r="G37" s="24"/>
      <c r="H37" s="24"/>
    </row>
    <row r="38" spans="1:8" x14ac:dyDescent="0.15">
      <c r="A38" s="108"/>
      <c r="F38" s="24"/>
      <c r="G38" s="24"/>
      <c r="H38" s="24"/>
    </row>
    <row r="39" spans="1:8" x14ac:dyDescent="0.15">
      <c r="A39" s="108"/>
      <c r="F39" s="24"/>
      <c r="G39" s="24"/>
      <c r="H39" s="24"/>
    </row>
    <row r="40" spans="1:8" x14ac:dyDescent="0.15">
      <c r="A40" s="108"/>
      <c r="F40" s="24"/>
      <c r="G40" s="24"/>
      <c r="H40" s="24"/>
    </row>
    <row r="41" spans="1:8" x14ac:dyDescent="0.15">
      <c r="A41" s="108"/>
      <c r="F41" s="24"/>
      <c r="G41" s="24"/>
      <c r="H41" s="24"/>
    </row>
    <row r="42" spans="1:8" x14ac:dyDescent="0.15">
      <c r="A42" s="108"/>
      <c r="F42" s="24"/>
      <c r="G42" s="24"/>
      <c r="H42" s="24"/>
    </row>
    <row r="43" spans="1:8" x14ac:dyDescent="0.15">
      <c r="A43" s="108"/>
      <c r="F43" s="24"/>
      <c r="G43" s="24"/>
      <c r="H43" s="24"/>
    </row>
    <row r="44" spans="1:8" x14ac:dyDescent="0.15">
      <c r="A44" s="108"/>
      <c r="F44" s="24"/>
      <c r="G44" s="24"/>
      <c r="H44" s="24"/>
    </row>
    <row r="45" spans="1:8" x14ac:dyDescent="0.15">
      <c r="A45" s="108"/>
      <c r="B45" s="108"/>
      <c r="C45" s="108"/>
      <c r="D45" s="108"/>
      <c r="E45" s="108"/>
      <c r="F45" s="24"/>
      <c r="G45" s="24"/>
      <c r="H45" s="24"/>
    </row>
    <row r="46" spans="1:8" ht="13.5" customHeight="1" x14ac:dyDescent="0.15">
      <c r="A46" s="108"/>
      <c r="B46" s="136"/>
      <c r="C46" s="108"/>
      <c r="D46" s="108"/>
      <c r="E46" s="108"/>
      <c r="F46" s="24"/>
      <c r="G46" s="24"/>
      <c r="H46" s="24"/>
    </row>
    <row r="47" spans="1:8" x14ac:dyDescent="0.15">
      <c r="A47" s="108"/>
      <c r="B47" s="108"/>
      <c r="C47" s="108"/>
      <c r="D47" s="108"/>
      <c r="E47" s="108"/>
      <c r="F47" s="24"/>
      <c r="G47" s="24"/>
      <c r="H47" s="24"/>
    </row>
    <row r="48" spans="1:8" ht="18" x14ac:dyDescent="0.15">
      <c r="A48" s="108"/>
      <c r="B48" s="137"/>
      <c r="C48" s="108"/>
      <c r="D48" s="108"/>
      <c r="E48" s="108"/>
      <c r="F48" s="24"/>
      <c r="G48" s="24"/>
      <c r="H48" s="24"/>
    </row>
    <row r="49" spans="1:8" x14ac:dyDescent="0.15">
      <c r="A49" s="108"/>
      <c r="B49" s="108"/>
      <c r="C49" s="108"/>
      <c r="D49" s="108"/>
      <c r="E49" s="108"/>
      <c r="F49" s="24"/>
      <c r="G49" s="24"/>
      <c r="H49" s="24"/>
    </row>
    <row r="50" spans="1:8" x14ac:dyDescent="0.15">
      <c r="A50" s="108"/>
      <c r="E50" s="108"/>
      <c r="F50" s="24"/>
      <c r="G50" s="24"/>
      <c r="H50" s="24"/>
    </row>
    <row r="51" spans="1:8" x14ac:dyDescent="0.15">
      <c r="A51" s="108"/>
      <c r="E51" s="108"/>
      <c r="F51" s="24"/>
      <c r="G51" s="24"/>
      <c r="H51" s="24"/>
    </row>
    <row r="52" spans="1:8" x14ac:dyDescent="0.15">
      <c r="A52" s="108"/>
      <c r="E52" s="108"/>
      <c r="F52" s="24"/>
      <c r="G52" s="24"/>
      <c r="H52" s="24"/>
    </row>
    <row r="53" spans="1:8" x14ac:dyDescent="0.15">
      <c r="A53" s="108"/>
      <c r="E53" s="108"/>
      <c r="F53" s="24"/>
      <c r="G53" s="24"/>
      <c r="H53" s="24"/>
    </row>
    <row r="54" spans="1:8" x14ac:dyDescent="0.15">
      <c r="A54" s="108"/>
      <c r="E54" s="108"/>
      <c r="F54" s="24"/>
      <c r="G54" s="24"/>
      <c r="H54" s="24"/>
    </row>
    <row r="55" spans="1:8" x14ac:dyDescent="0.15">
      <c r="A55" s="108"/>
      <c r="E55" s="108"/>
      <c r="F55" s="24"/>
      <c r="G55" s="24"/>
      <c r="H55" s="24"/>
    </row>
    <row r="56" spans="1:8" x14ac:dyDescent="0.15">
      <c r="A56" s="108"/>
      <c r="E56" s="108"/>
      <c r="F56" s="24"/>
      <c r="G56" s="24"/>
      <c r="H56" s="24"/>
    </row>
    <row r="57" spans="1:8" x14ac:dyDescent="0.15">
      <c r="A57" s="108"/>
      <c r="E57" s="108"/>
      <c r="F57" s="24"/>
      <c r="G57" s="24"/>
      <c r="H57" s="24"/>
    </row>
    <row r="58" spans="1:8" x14ac:dyDescent="0.15">
      <c r="A58" s="108"/>
      <c r="E58" s="108"/>
      <c r="F58" s="24"/>
      <c r="G58" s="24"/>
      <c r="H58" s="24"/>
    </row>
    <row r="59" spans="1:8" x14ac:dyDescent="0.15">
      <c r="A59" s="108"/>
      <c r="E59" s="108"/>
      <c r="F59" s="24"/>
      <c r="G59" s="24"/>
      <c r="H59" s="24"/>
    </row>
    <row r="60" spans="1:8" x14ac:dyDescent="0.15">
      <c r="A60" s="108"/>
      <c r="E60" s="108"/>
      <c r="F60" s="24"/>
      <c r="G60" s="24"/>
      <c r="H60" s="24"/>
    </row>
    <row r="61" spans="1:8" x14ac:dyDescent="0.15">
      <c r="A61" s="108"/>
      <c r="E61" s="108"/>
      <c r="F61" s="24"/>
      <c r="G61" s="24"/>
      <c r="H61" s="24"/>
    </row>
    <row r="62" spans="1:8" x14ac:dyDescent="0.15">
      <c r="A62" s="108"/>
      <c r="E62" s="108"/>
      <c r="F62" s="24"/>
      <c r="G62" s="24"/>
      <c r="H62" s="24"/>
    </row>
    <row r="63" spans="1:8" x14ac:dyDescent="0.15">
      <c r="A63" s="108"/>
      <c r="E63" s="108"/>
      <c r="F63" s="24"/>
      <c r="G63" s="24"/>
      <c r="H63" s="24"/>
    </row>
    <row r="64" spans="1:8" x14ac:dyDescent="0.15">
      <c r="A64" s="108"/>
      <c r="E64" s="108"/>
      <c r="F64" s="24"/>
      <c r="G64" s="24"/>
      <c r="H64" s="24"/>
    </row>
    <row r="65" spans="1:8" x14ac:dyDescent="0.15">
      <c r="A65" s="108"/>
      <c r="E65" s="108"/>
      <c r="F65" s="24"/>
      <c r="G65" s="24"/>
      <c r="H65" s="24"/>
    </row>
    <row r="66" spans="1:8" x14ac:dyDescent="0.15">
      <c r="A66" s="108"/>
      <c r="E66" s="108"/>
      <c r="F66" s="24"/>
      <c r="G66" s="24"/>
      <c r="H66" s="24"/>
    </row>
    <row r="67" spans="1:8" x14ac:dyDescent="0.15">
      <c r="A67" s="108"/>
      <c r="E67" s="108"/>
      <c r="F67" s="24"/>
      <c r="G67" s="24"/>
      <c r="H67" s="24"/>
    </row>
    <row r="68" spans="1:8" x14ac:dyDescent="0.15">
      <c r="A68" s="108"/>
      <c r="E68" s="108"/>
      <c r="F68" s="24"/>
      <c r="G68" s="24"/>
      <c r="H68" s="24"/>
    </row>
    <row r="69" spans="1:8" x14ac:dyDescent="0.15">
      <c r="A69" s="108"/>
      <c r="B69" s="108"/>
      <c r="C69" s="108"/>
      <c r="D69" s="108"/>
      <c r="E69" s="108"/>
      <c r="F69" s="24"/>
      <c r="G69" s="24"/>
      <c r="H69" s="24"/>
    </row>
    <row r="70" spans="1:8" x14ac:dyDescent="0.15">
      <c r="A70" s="108"/>
      <c r="B70" s="108"/>
      <c r="C70" s="108"/>
      <c r="D70" s="108"/>
      <c r="E70" s="108"/>
      <c r="F70" s="24"/>
      <c r="G70" s="24"/>
      <c r="H70" s="24"/>
    </row>
    <row r="71" spans="1:8" x14ac:dyDescent="0.15">
      <c r="A71" s="108"/>
      <c r="B71" s="108"/>
      <c r="C71" s="108"/>
      <c r="D71" s="108"/>
      <c r="E71" s="108"/>
      <c r="F71" s="24"/>
      <c r="G71" s="24"/>
      <c r="H71" s="24"/>
    </row>
    <row r="3765" spans="28:28" s="25" customFormat="1" x14ac:dyDescent="0.15">
      <c r="AB3765" s="25" t="s">
        <v>200</v>
      </c>
    </row>
  </sheetData>
  <mergeCells count="4">
    <mergeCell ref="B17:C17"/>
    <mergeCell ref="B18:C18"/>
    <mergeCell ref="E20:E21"/>
    <mergeCell ref="E22:E23"/>
  </mergeCells>
  <conditionalFormatting sqref="C7:C12">
    <cfRule type="cellIs" dxfId="1" priority="1" operator="lessThan">
      <formula>0</formula>
    </cfRule>
  </conditionalFormatting>
  <conditionalFormatting sqref="C20:C28 E17:E19 E11">
    <cfRule type="cellIs" dxfId="0" priority="2" operator="lessThan">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4" tint="0.39997558519241921"/>
  </sheetPr>
  <dimension ref="B1:AB3765"/>
  <sheetViews>
    <sheetView showGridLines="0" zoomScale="115" zoomScaleNormal="115" workbookViewId="0">
      <selection activeCell="F18" sqref="F18"/>
    </sheetView>
  </sheetViews>
  <sheetFormatPr baseColWidth="10" defaultColWidth="8.83203125" defaultRowHeight="13" x14ac:dyDescent="0.15"/>
  <cols>
    <col min="1" max="1" width="10.1640625" style="25" customWidth="1"/>
    <col min="2" max="2" width="36.1640625" style="133" bestFit="1" customWidth="1"/>
    <col min="3" max="3" width="15" style="133" customWidth="1"/>
    <col min="4" max="4" width="54" style="133" customWidth="1"/>
    <col min="5" max="5" width="8.83203125" style="25"/>
    <col min="6" max="6" width="10.33203125" style="25" bestFit="1" customWidth="1"/>
    <col min="7" max="7" width="8.83203125" style="25"/>
    <col min="8" max="8" width="10.33203125" style="25" bestFit="1" customWidth="1"/>
    <col min="9" max="9" width="8.83203125" style="25"/>
    <col min="10" max="10" width="9.33203125" style="25" bestFit="1" customWidth="1"/>
    <col min="11" max="11" width="10.5" style="25" bestFit="1" customWidth="1"/>
    <col min="12" max="16384" width="8.83203125" style="25"/>
  </cols>
  <sheetData>
    <row r="1" spans="2:12" ht="4.5" customHeight="1" thickBot="1" x14ac:dyDescent="0.2"/>
    <row r="2" spans="2:12" x14ac:dyDescent="0.15">
      <c r="B2" s="204" t="s">
        <v>179</v>
      </c>
      <c r="C2" s="212"/>
      <c r="D2" s="205"/>
    </row>
    <row r="3" spans="2:12" ht="14" thickBot="1" x14ac:dyDescent="0.2">
      <c r="B3" s="206" t="s">
        <v>103</v>
      </c>
      <c r="C3" s="213"/>
      <c r="D3" s="207"/>
    </row>
    <row r="4" spans="2:12" ht="3.75" customHeight="1" x14ac:dyDescent="0.15">
      <c r="B4" s="129"/>
      <c r="C4" s="127"/>
      <c r="D4" s="130"/>
    </row>
    <row r="5" spans="2:12" x14ac:dyDescent="0.15">
      <c r="B5" s="129" t="s">
        <v>180</v>
      </c>
      <c r="C5" s="39">
        <v>310000</v>
      </c>
      <c r="D5" s="138"/>
    </row>
    <row r="6" spans="2:12" x14ac:dyDescent="0.15">
      <c r="B6" s="129" t="s">
        <v>181</v>
      </c>
      <c r="C6" s="40">
        <v>29812521.999999996</v>
      </c>
      <c r="D6" s="139"/>
    </row>
    <row r="7" spans="2:12" ht="3" customHeight="1" x14ac:dyDescent="0.15">
      <c r="B7" s="140"/>
      <c r="C7" s="41"/>
      <c r="D7" s="138"/>
    </row>
    <row r="8" spans="2:12" x14ac:dyDescent="0.15">
      <c r="B8" s="129" t="s">
        <v>104</v>
      </c>
      <c r="C8" s="41"/>
      <c r="D8" s="141" t="s">
        <v>105</v>
      </c>
    </row>
    <row r="9" spans="2:12" x14ac:dyDescent="0.15">
      <c r="B9" s="142" t="s">
        <v>106</v>
      </c>
      <c r="C9" s="40">
        <v>60</v>
      </c>
      <c r="D9" s="143" t="s">
        <v>107</v>
      </c>
      <c r="F9" s="42"/>
    </row>
    <row r="10" spans="2:12" x14ac:dyDescent="0.15">
      <c r="B10" s="142" t="s">
        <v>108</v>
      </c>
      <c r="C10" s="40">
        <v>115</v>
      </c>
      <c r="D10" s="143" t="s">
        <v>109</v>
      </c>
      <c r="L10" s="42"/>
    </row>
    <row r="11" spans="2:12" x14ac:dyDescent="0.15">
      <c r="B11" s="142" t="s">
        <v>110</v>
      </c>
      <c r="C11" s="40">
        <v>45</v>
      </c>
      <c r="D11" s="143" t="s">
        <v>111</v>
      </c>
      <c r="L11" s="42"/>
    </row>
    <row r="12" spans="2:12" x14ac:dyDescent="0.15">
      <c r="B12" s="142" t="s">
        <v>112</v>
      </c>
      <c r="C12" s="40">
        <v>35</v>
      </c>
      <c r="D12" s="143" t="s">
        <v>113</v>
      </c>
      <c r="L12" s="42"/>
    </row>
    <row r="13" spans="2:12" x14ac:dyDescent="0.15">
      <c r="B13" s="142" t="s">
        <v>114</v>
      </c>
      <c r="C13" s="40">
        <v>40</v>
      </c>
      <c r="D13" s="143" t="s">
        <v>115</v>
      </c>
      <c r="H13" s="42"/>
      <c r="L13" s="42"/>
    </row>
    <row r="14" spans="2:12" x14ac:dyDescent="0.15">
      <c r="B14" s="142" t="s">
        <v>116</v>
      </c>
      <c r="C14" s="40">
        <v>60</v>
      </c>
      <c r="D14" s="143" t="s">
        <v>117</v>
      </c>
      <c r="F14" s="42"/>
      <c r="L14" s="42"/>
    </row>
    <row r="15" spans="2:12" x14ac:dyDescent="0.15">
      <c r="B15" s="142" t="s">
        <v>118</v>
      </c>
      <c r="C15" s="40">
        <v>20</v>
      </c>
      <c r="D15" s="143" t="s">
        <v>119</v>
      </c>
      <c r="L15" s="42"/>
    </row>
    <row r="16" spans="2:12" x14ac:dyDescent="0.15">
      <c r="B16" s="142" t="s">
        <v>182</v>
      </c>
      <c r="C16" s="40">
        <v>15</v>
      </c>
      <c r="D16" s="143" t="s">
        <v>183</v>
      </c>
      <c r="L16" s="42"/>
    </row>
    <row r="17" spans="2:11" x14ac:dyDescent="0.15">
      <c r="B17" s="144"/>
      <c r="C17" s="125"/>
      <c r="D17" s="138"/>
    </row>
    <row r="18" spans="2:11" ht="14" thickBot="1" x14ac:dyDescent="0.2">
      <c r="B18" s="124" t="s">
        <v>184</v>
      </c>
      <c r="C18" s="202">
        <v>0.3</v>
      </c>
      <c r="D18" s="145" t="s">
        <v>203</v>
      </c>
    </row>
    <row r="19" spans="2:11" ht="14" thickBot="1" x14ac:dyDescent="0.2"/>
    <row r="20" spans="2:11" x14ac:dyDescent="0.15">
      <c r="B20" s="204" t="s">
        <v>120</v>
      </c>
      <c r="C20" s="212"/>
      <c r="D20" s="205"/>
    </row>
    <row r="21" spans="2:11" ht="14" thickBot="1" x14ac:dyDescent="0.2">
      <c r="B21" s="206" t="s">
        <v>103</v>
      </c>
      <c r="C21" s="213"/>
      <c r="D21" s="207"/>
    </row>
    <row r="22" spans="2:11" x14ac:dyDescent="0.15">
      <c r="B22" s="146" t="s">
        <v>121</v>
      </c>
      <c r="C22" s="147"/>
      <c r="D22" s="148"/>
      <c r="K22" s="43"/>
    </row>
    <row r="23" spans="2:11" ht="3" customHeight="1" x14ac:dyDescent="0.15">
      <c r="B23" s="149"/>
      <c r="C23" s="147"/>
      <c r="D23" s="148"/>
    </row>
    <row r="24" spans="2:11" x14ac:dyDescent="0.15">
      <c r="B24" s="150" t="s">
        <v>122</v>
      </c>
      <c r="C24" s="151">
        <v>65000</v>
      </c>
      <c r="D24" s="148"/>
    </row>
    <row r="25" spans="2:11" x14ac:dyDescent="0.15">
      <c r="B25" s="150" t="s">
        <v>185</v>
      </c>
      <c r="C25" s="152">
        <v>670</v>
      </c>
      <c r="D25" s="148" t="s">
        <v>123</v>
      </c>
    </row>
    <row r="26" spans="2:11" ht="3.75" customHeight="1" x14ac:dyDescent="0.15">
      <c r="B26" s="149"/>
      <c r="C26" s="147"/>
      <c r="D26" s="148"/>
    </row>
    <row r="27" spans="2:11" x14ac:dyDescent="0.15">
      <c r="B27" s="146" t="s">
        <v>124</v>
      </c>
      <c r="C27" s="147"/>
      <c r="D27" s="148"/>
    </row>
    <row r="28" spans="2:11" ht="3" customHeight="1" x14ac:dyDescent="0.15">
      <c r="B28" s="149"/>
      <c r="C28" s="147"/>
      <c r="D28" s="148"/>
    </row>
    <row r="29" spans="2:11" x14ac:dyDescent="0.15">
      <c r="B29" s="153" t="s">
        <v>125</v>
      </c>
      <c r="C29" s="147"/>
      <c r="D29" s="148"/>
    </row>
    <row r="30" spans="2:11" x14ac:dyDescent="0.15">
      <c r="B30" s="150" t="s">
        <v>186</v>
      </c>
      <c r="C30" s="154">
        <v>0.2</v>
      </c>
      <c r="D30" s="155" t="s">
        <v>187</v>
      </c>
      <c r="F30" s="30"/>
    </row>
    <row r="31" spans="2:11" x14ac:dyDescent="0.15">
      <c r="B31" s="150"/>
      <c r="C31" s="156"/>
      <c r="D31" s="155"/>
      <c r="F31" s="42"/>
    </row>
    <row r="32" spans="2:11" x14ac:dyDescent="0.15">
      <c r="B32" s="153" t="s">
        <v>126</v>
      </c>
      <c r="C32" s="147"/>
      <c r="D32" s="148"/>
    </row>
    <row r="33" spans="2:10" x14ac:dyDescent="0.15">
      <c r="B33" s="157" t="s">
        <v>127</v>
      </c>
      <c r="C33" s="147"/>
      <c r="D33" s="44" t="s">
        <v>105</v>
      </c>
    </row>
    <row r="34" spans="2:10" x14ac:dyDescent="0.15">
      <c r="B34" s="150" t="s">
        <v>106</v>
      </c>
      <c r="C34" s="158">
        <v>8.3333333333333329E-2</v>
      </c>
      <c r="D34" s="45" t="s">
        <v>128</v>
      </c>
    </row>
    <row r="35" spans="2:10" x14ac:dyDescent="0.15">
      <c r="B35" s="150" t="s">
        <v>108</v>
      </c>
      <c r="C35" s="158">
        <v>0.21739130434782608</v>
      </c>
      <c r="D35" s="45" t="s">
        <v>129</v>
      </c>
    </row>
    <row r="36" spans="2:10" x14ac:dyDescent="0.15">
      <c r="B36" s="150" t="s">
        <v>110</v>
      </c>
      <c r="C36" s="159">
        <v>0</v>
      </c>
      <c r="D36" s="45" t="s">
        <v>111</v>
      </c>
      <c r="H36" s="30"/>
      <c r="J36" s="42"/>
    </row>
    <row r="37" spans="2:10" x14ac:dyDescent="0.15">
      <c r="B37" s="150" t="s">
        <v>112</v>
      </c>
      <c r="C37" s="159">
        <v>0</v>
      </c>
      <c r="D37" s="45" t="s">
        <v>113</v>
      </c>
    </row>
    <row r="38" spans="2:10" x14ac:dyDescent="0.15">
      <c r="B38" s="150" t="s">
        <v>114</v>
      </c>
      <c r="C38" s="158">
        <v>0.25</v>
      </c>
      <c r="D38" s="45" t="s">
        <v>130</v>
      </c>
    </row>
    <row r="39" spans="2:10" x14ac:dyDescent="0.15">
      <c r="B39" s="150" t="s">
        <v>116</v>
      </c>
      <c r="C39" s="158">
        <v>8.3333333333333329E-2</v>
      </c>
      <c r="D39" s="45" t="s">
        <v>131</v>
      </c>
    </row>
    <row r="40" spans="2:10" x14ac:dyDescent="0.15">
      <c r="B40" s="150" t="s">
        <v>118</v>
      </c>
      <c r="C40" s="158">
        <v>0.75</v>
      </c>
      <c r="D40" s="45" t="s">
        <v>132</v>
      </c>
    </row>
    <row r="41" spans="2:10" x14ac:dyDescent="0.15">
      <c r="B41" s="150" t="s">
        <v>182</v>
      </c>
      <c r="C41" s="158">
        <v>0.8666666666666667</v>
      </c>
      <c r="D41" s="45" t="s">
        <v>188</v>
      </c>
    </row>
    <row r="42" spans="2:10" ht="3" customHeight="1" thickBot="1" x14ac:dyDescent="0.2">
      <c r="B42" s="160"/>
      <c r="C42" s="161"/>
      <c r="D42" s="162"/>
    </row>
    <row r="3765" spans="28:28" s="25" customFormat="1" x14ac:dyDescent="0.15">
      <c r="AB3765" s="25" t="s">
        <v>200</v>
      </c>
    </row>
  </sheetData>
  <mergeCells count="4">
    <mergeCell ref="B2:D2"/>
    <mergeCell ref="B3:D3"/>
    <mergeCell ref="B20:D20"/>
    <mergeCell ref="B21:D2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4" tint="0.59999389629810485"/>
  </sheetPr>
  <dimension ref="B4:AB3765"/>
  <sheetViews>
    <sheetView workbookViewId="0"/>
  </sheetViews>
  <sheetFormatPr baseColWidth="10" defaultColWidth="8.83203125" defaultRowHeight="13" x14ac:dyDescent="0.15"/>
  <sheetData>
    <row r="4" spans="2:17" x14ac:dyDescent="0.15">
      <c r="B4" s="17"/>
    </row>
    <row r="11" spans="2:17" x14ac:dyDescent="0.15">
      <c r="Q11" s="20"/>
    </row>
    <row r="3765" spans="28:28" x14ac:dyDescent="0.15">
      <c r="AB3765" t="s">
        <v>200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9" tint="0.39997558519241921"/>
  </sheetPr>
  <dimension ref="A1:IV65472"/>
  <sheetViews>
    <sheetView topLeftCell="B24" zoomScale="95" zoomScaleNormal="115" workbookViewId="0">
      <selection activeCell="C33" sqref="C33"/>
    </sheetView>
  </sheetViews>
  <sheetFormatPr baseColWidth="10" defaultColWidth="0" defaultRowHeight="13" x14ac:dyDescent="0.15"/>
  <cols>
    <col min="1" max="1" width="7.1640625" style="98" customWidth="1"/>
    <col min="2" max="2" width="10.5" style="94" bestFit="1" customWidth="1"/>
    <col min="3" max="3" width="82.1640625" style="90" customWidth="1"/>
    <col min="4" max="4" width="19.33203125" style="95" customWidth="1"/>
    <col min="5" max="5" width="14.6640625" style="51" bestFit="1" customWidth="1"/>
    <col min="6" max="9" width="9.1640625" style="51" customWidth="1"/>
    <col min="10" max="244" width="9.1640625" style="37" customWidth="1"/>
    <col min="245" max="16384" width="0" style="37" hidden="1"/>
  </cols>
  <sheetData>
    <row r="1" spans="1:12" x14ac:dyDescent="0.15">
      <c r="A1" s="46"/>
      <c r="B1" s="47"/>
      <c r="C1" s="48"/>
      <c r="D1" s="49"/>
      <c r="E1" s="50"/>
      <c r="J1" s="52"/>
      <c r="K1" s="52"/>
      <c r="L1" s="52"/>
    </row>
    <row r="2" spans="1:12" ht="16" x14ac:dyDescent="0.15">
      <c r="A2" s="46"/>
      <c r="B2" s="53" t="s">
        <v>17</v>
      </c>
      <c r="C2" s="54" t="s">
        <v>133</v>
      </c>
      <c r="D2" s="54"/>
      <c r="E2" s="55"/>
      <c r="F2" s="56"/>
      <c r="G2" s="56"/>
      <c r="J2" s="52"/>
      <c r="K2" s="52"/>
      <c r="L2" s="52"/>
    </row>
    <row r="3" spans="1:12" x14ac:dyDescent="0.15">
      <c r="A3" s="46"/>
      <c r="B3" s="57"/>
      <c r="C3" s="48"/>
      <c r="D3" s="49"/>
      <c r="E3" s="50"/>
      <c r="F3" s="58"/>
      <c r="J3" s="52"/>
      <c r="K3" s="52"/>
      <c r="L3" s="52"/>
    </row>
    <row r="4" spans="1:12" s="64" customFormat="1" x14ac:dyDescent="0.15">
      <c r="A4" s="164" t="s">
        <v>18</v>
      </c>
      <c r="B4" s="59" t="s">
        <v>27</v>
      </c>
      <c r="C4" s="60" t="s">
        <v>72</v>
      </c>
      <c r="D4" s="61" t="s">
        <v>19</v>
      </c>
      <c r="E4" s="62"/>
      <c r="F4" s="62"/>
      <c r="G4" s="62"/>
      <c r="H4" s="62"/>
      <c r="I4" s="62"/>
      <c r="J4" s="63"/>
      <c r="K4" s="63"/>
      <c r="L4" s="63"/>
    </row>
    <row r="5" spans="1:12" s="69" customFormat="1" ht="18" customHeight="1" x14ac:dyDescent="0.15">
      <c r="A5" s="165"/>
      <c r="B5" s="65">
        <v>1</v>
      </c>
      <c r="C5" s="66" t="s">
        <v>134</v>
      </c>
      <c r="D5" s="67"/>
      <c r="E5" s="68"/>
      <c r="F5" s="68"/>
      <c r="G5" s="68"/>
      <c r="H5" s="68"/>
      <c r="I5" s="68"/>
    </row>
    <row r="6" spans="1:12" s="69" customFormat="1" ht="30" customHeight="1" x14ac:dyDescent="0.15">
      <c r="A6" s="165">
        <v>0.5</v>
      </c>
      <c r="B6" s="70" t="s">
        <v>22</v>
      </c>
      <c r="C6" s="72" t="s">
        <v>161</v>
      </c>
      <c r="D6" s="71"/>
      <c r="E6" s="68"/>
      <c r="F6" s="68"/>
      <c r="G6" s="68"/>
      <c r="H6" s="68"/>
      <c r="I6" s="68"/>
    </row>
    <row r="7" spans="1:12" s="69" customFormat="1" ht="30" customHeight="1" x14ac:dyDescent="0.15">
      <c r="A7" s="165">
        <v>0.5</v>
      </c>
      <c r="B7" s="70" t="s">
        <v>20</v>
      </c>
      <c r="C7" s="72" t="s">
        <v>135</v>
      </c>
      <c r="D7" s="71"/>
      <c r="E7" s="68"/>
      <c r="F7" s="68"/>
      <c r="G7" s="68"/>
      <c r="H7" s="68"/>
      <c r="I7" s="68"/>
    </row>
    <row r="8" spans="1:12" s="69" customFormat="1" ht="30" customHeight="1" x14ac:dyDescent="0.15">
      <c r="A8" s="165">
        <v>0.5</v>
      </c>
      <c r="B8" s="70" t="s">
        <v>21</v>
      </c>
      <c r="C8" s="72" t="s">
        <v>165</v>
      </c>
      <c r="D8" s="71"/>
      <c r="E8" s="68"/>
      <c r="F8" s="68"/>
      <c r="G8" s="68"/>
      <c r="H8" s="68"/>
      <c r="I8" s="68"/>
    </row>
    <row r="9" spans="1:12" s="69" customFormat="1" ht="30" customHeight="1" x14ac:dyDescent="0.15">
      <c r="A9" s="165">
        <v>0.5</v>
      </c>
      <c r="B9" s="70" t="s">
        <v>23</v>
      </c>
      <c r="C9" s="73" t="s">
        <v>136</v>
      </c>
      <c r="D9" s="71"/>
      <c r="E9" s="68"/>
      <c r="F9" s="68"/>
      <c r="G9" s="68"/>
      <c r="H9" s="68"/>
      <c r="I9" s="68"/>
    </row>
    <row r="10" spans="1:12" s="69" customFormat="1" ht="30" customHeight="1" x14ac:dyDescent="0.15">
      <c r="A10" s="165">
        <v>0.5</v>
      </c>
      <c r="B10" s="70" t="s">
        <v>24</v>
      </c>
      <c r="C10" s="73" t="s">
        <v>73</v>
      </c>
      <c r="D10" s="71"/>
      <c r="E10" s="68"/>
      <c r="F10" s="68"/>
      <c r="G10" s="68"/>
      <c r="H10" s="68"/>
      <c r="I10" s="68"/>
    </row>
    <row r="11" spans="1:12" s="69" customFormat="1" ht="30" customHeight="1" x14ac:dyDescent="0.15">
      <c r="A11" s="165">
        <v>0.5</v>
      </c>
      <c r="B11" s="88" t="s">
        <v>25</v>
      </c>
      <c r="C11" s="22" t="s">
        <v>160</v>
      </c>
      <c r="D11" s="74"/>
      <c r="E11" s="68"/>
      <c r="F11" s="68"/>
      <c r="G11" s="68"/>
      <c r="H11" s="68"/>
      <c r="I11" s="68"/>
    </row>
    <row r="12" spans="1:12" s="69" customFormat="1" ht="30" customHeight="1" x14ac:dyDescent="0.15">
      <c r="A12" s="165"/>
      <c r="B12" s="75"/>
      <c r="C12" s="214" t="s">
        <v>205</v>
      </c>
      <c r="D12" s="215"/>
      <c r="E12" s="68"/>
      <c r="F12" s="68"/>
      <c r="G12" s="68"/>
      <c r="H12" s="68"/>
      <c r="I12" s="68"/>
    </row>
    <row r="13" spans="1:12" s="69" customFormat="1" ht="18" customHeight="1" x14ac:dyDescent="0.15">
      <c r="A13" s="165"/>
      <c r="B13" s="76">
        <v>2</v>
      </c>
      <c r="C13" s="77" t="s">
        <v>137</v>
      </c>
      <c r="D13" s="67"/>
      <c r="E13" s="68"/>
      <c r="F13" s="68"/>
      <c r="H13" s="68"/>
      <c r="I13" s="68"/>
    </row>
    <row r="14" spans="1:12" s="69" customFormat="1" ht="30" customHeight="1" x14ac:dyDescent="0.15">
      <c r="A14" s="165">
        <v>1</v>
      </c>
      <c r="B14" s="70" t="s">
        <v>22</v>
      </c>
      <c r="C14" s="72" t="s">
        <v>138</v>
      </c>
      <c r="D14" s="196"/>
      <c r="E14" s="68"/>
      <c r="F14" s="68"/>
      <c r="G14" s="68"/>
      <c r="H14" s="68"/>
      <c r="I14" s="68"/>
    </row>
    <row r="15" spans="1:12" s="69" customFormat="1" ht="30" customHeight="1" x14ac:dyDescent="0.15">
      <c r="A15" s="165">
        <v>1</v>
      </c>
      <c r="B15" s="70" t="s">
        <v>20</v>
      </c>
      <c r="C15" s="200" t="s">
        <v>201</v>
      </c>
      <c r="D15" s="196"/>
      <c r="E15" s="68"/>
      <c r="F15" s="68"/>
      <c r="G15" s="68"/>
      <c r="H15" s="68"/>
      <c r="I15" s="68"/>
    </row>
    <row r="16" spans="1:12" s="69" customFormat="1" ht="30" customHeight="1" x14ac:dyDescent="0.15">
      <c r="A16" s="165">
        <v>0.5</v>
      </c>
      <c r="B16" s="103" t="s">
        <v>21</v>
      </c>
      <c r="C16" s="78" t="s">
        <v>139</v>
      </c>
      <c r="D16" s="79"/>
      <c r="E16" s="68"/>
      <c r="F16" s="68"/>
      <c r="G16" s="68"/>
      <c r="H16" s="68"/>
      <c r="I16" s="68"/>
    </row>
    <row r="17" spans="1:16" s="69" customFormat="1" ht="18" customHeight="1" x14ac:dyDescent="0.15">
      <c r="A17" s="165"/>
      <c r="B17" s="76">
        <v>3</v>
      </c>
      <c r="C17" s="77" t="s">
        <v>176</v>
      </c>
      <c r="D17" s="67"/>
      <c r="E17" s="68"/>
      <c r="F17" s="68"/>
      <c r="G17" s="68"/>
      <c r="H17" s="68"/>
      <c r="I17" s="68"/>
    </row>
    <row r="18" spans="1:16" s="69" customFormat="1" ht="30" customHeight="1" x14ac:dyDescent="0.15">
      <c r="A18" s="165">
        <v>1</v>
      </c>
      <c r="B18" s="70" t="s">
        <v>22</v>
      </c>
      <c r="C18" s="80" t="s">
        <v>189</v>
      </c>
      <c r="D18" s="198"/>
      <c r="E18" s="68"/>
      <c r="F18" s="68"/>
      <c r="G18" s="68"/>
      <c r="H18" s="68"/>
      <c r="I18" s="68"/>
    </row>
    <row r="19" spans="1:16" s="69" customFormat="1" ht="30" customHeight="1" x14ac:dyDescent="0.15">
      <c r="A19" s="165">
        <v>0.75</v>
      </c>
      <c r="B19" s="70" t="s">
        <v>20</v>
      </c>
      <c r="C19" s="104" t="s">
        <v>190</v>
      </c>
      <c r="D19" s="198"/>
      <c r="E19" s="68"/>
      <c r="F19" s="68"/>
      <c r="G19" s="68"/>
      <c r="H19" s="68"/>
      <c r="I19" s="68"/>
    </row>
    <row r="20" spans="1:16" s="69" customFormat="1" ht="30" customHeight="1" x14ac:dyDescent="0.15">
      <c r="A20" s="165">
        <v>0.75</v>
      </c>
      <c r="B20" s="70" t="s">
        <v>21</v>
      </c>
      <c r="C20" s="82" t="s">
        <v>174</v>
      </c>
      <c r="D20" s="198"/>
      <c r="E20" s="68"/>
      <c r="F20" s="68"/>
      <c r="G20" s="68"/>
      <c r="H20" s="68"/>
      <c r="I20" s="68"/>
    </row>
    <row r="21" spans="1:16" s="69" customFormat="1" ht="30" customHeight="1" x14ac:dyDescent="0.15">
      <c r="A21" s="165">
        <v>1</v>
      </c>
      <c r="B21" s="103" t="s">
        <v>23</v>
      </c>
      <c r="C21" s="78" t="s">
        <v>191</v>
      </c>
      <c r="D21" s="74"/>
      <c r="E21" s="68"/>
      <c r="F21" s="68"/>
      <c r="G21" s="68"/>
      <c r="H21" s="68"/>
      <c r="I21" s="68"/>
    </row>
    <row r="22" spans="1:16" s="69" customFormat="1" ht="18" customHeight="1" x14ac:dyDescent="0.15">
      <c r="A22" s="165"/>
      <c r="B22" s="76">
        <v>4</v>
      </c>
      <c r="C22" s="201" t="s">
        <v>204</v>
      </c>
      <c r="D22" s="67"/>
      <c r="E22" s="68"/>
      <c r="F22" s="68"/>
      <c r="G22" s="68"/>
      <c r="H22" s="68"/>
      <c r="I22" s="68"/>
    </row>
    <row r="23" spans="1:16" s="69" customFormat="1" ht="30" customHeight="1" x14ac:dyDescent="0.15">
      <c r="A23" s="165">
        <v>0.5</v>
      </c>
      <c r="B23" s="70" t="s">
        <v>22</v>
      </c>
      <c r="C23" s="83" t="s">
        <v>192</v>
      </c>
      <c r="D23" s="198"/>
      <c r="E23" s="68"/>
      <c r="F23" s="68"/>
      <c r="G23" s="68"/>
      <c r="H23" s="68"/>
      <c r="I23" s="68"/>
    </row>
    <row r="24" spans="1:16" s="69" customFormat="1" ht="30" customHeight="1" x14ac:dyDescent="0.15">
      <c r="A24" s="165">
        <v>0.5</v>
      </c>
      <c r="B24" s="70" t="s">
        <v>20</v>
      </c>
      <c r="C24" s="84" t="s">
        <v>140</v>
      </c>
      <c r="D24" s="85"/>
      <c r="E24" s="68"/>
      <c r="F24" s="68"/>
      <c r="G24" s="68"/>
      <c r="H24" s="68"/>
      <c r="I24" s="68"/>
    </row>
    <row r="25" spans="1:16" s="69" customFormat="1" ht="30" customHeight="1" x14ac:dyDescent="0.15">
      <c r="A25" s="165">
        <v>0.5</v>
      </c>
      <c r="B25" s="70" t="s">
        <v>21</v>
      </c>
      <c r="C25" s="80" t="s">
        <v>175</v>
      </c>
      <c r="D25" s="86"/>
      <c r="E25" s="68"/>
      <c r="F25" s="68"/>
      <c r="G25" s="68"/>
      <c r="H25" s="68"/>
      <c r="I25" s="68"/>
    </row>
    <row r="26" spans="1:16" s="69" customFormat="1" x14ac:dyDescent="0.15">
      <c r="A26" s="165">
        <v>1</v>
      </c>
      <c r="B26" s="101" t="s">
        <v>23</v>
      </c>
      <c r="C26" s="80" t="s">
        <v>141</v>
      </c>
      <c r="D26" s="196"/>
      <c r="E26" s="68"/>
      <c r="F26" s="68"/>
      <c r="G26" s="68"/>
      <c r="H26" s="68"/>
      <c r="I26" s="68"/>
      <c r="J26" s="68"/>
      <c r="K26" s="68"/>
      <c r="L26" s="68"/>
      <c r="M26" s="68"/>
      <c r="N26" s="68"/>
      <c r="O26" s="68"/>
    </row>
    <row r="27" spans="1:16" s="69" customFormat="1" ht="26" x14ac:dyDescent="0.15">
      <c r="A27" s="165">
        <v>2</v>
      </c>
      <c r="B27" s="163" t="s">
        <v>24</v>
      </c>
      <c r="C27" s="83" t="s">
        <v>193</v>
      </c>
      <c r="D27" s="199"/>
      <c r="E27" s="68"/>
      <c r="F27" s="68"/>
      <c r="G27" s="68"/>
      <c r="H27" s="68"/>
      <c r="I27" s="68"/>
      <c r="J27" s="68"/>
      <c r="K27" s="68"/>
      <c r="L27" s="68"/>
      <c r="M27" s="68"/>
      <c r="N27" s="68"/>
      <c r="O27" s="68"/>
    </row>
    <row r="28" spans="1:16" s="69" customFormat="1" ht="15" customHeight="1" x14ac:dyDescent="0.15">
      <c r="A28" s="165"/>
      <c r="B28" s="100">
        <v>5</v>
      </c>
      <c r="C28" s="201" t="s">
        <v>202</v>
      </c>
      <c r="D28" s="67"/>
      <c r="E28" s="68"/>
      <c r="F28" s="68"/>
      <c r="G28" s="68"/>
      <c r="H28" s="68"/>
      <c r="I28" s="68"/>
      <c r="J28" s="68"/>
      <c r="K28" s="68"/>
      <c r="L28" s="68"/>
      <c r="M28" s="68"/>
      <c r="N28" s="68"/>
      <c r="O28" s="68"/>
    </row>
    <row r="29" spans="1:16" s="69" customFormat="1" ht="69" customHeight="1" x14ac:dyDescent="0.15">
      <c r="A29" s="165">
        <v>1.5</v>
      </c>
      <c r="B29" s="87" t="s">
        <v>22</v>
      </c>
      <c r="C29" s="107" t="s">
        <v>173</v>
      </c>
      <c r="D29" s="196"/>
      <c r="E29" s="68"/>
      <c r="F29" s="68"/>
      <c r="G29" s="68"/>
      <c r="H29" s="102"/>
      <c r="I29" s="102"/>
      <c r="J29" s="102"/>
      <c r="K29" s="102"/>
      <c r="L29" s="102"/>
      <c r="M29" s="102"/>
      <c r="N29" s="102"/>
      <c r="O29" s="102"/>
      <c r="P29" s="102"/>
    </row>
    <row r="30" spans="1:16" s="69" customFormat="1" ht="30" customHeight="1" x14ac:dyDescent="0.15">
      <c r="A30" s="165">
        <v>0.5</v>
      </c>
      <c r="B30" s="88" t="s">
        <v>20</v>
      </c>
      <c r="C30" s="105" t="s">
        <v>167</v>
      </c>
      <c r="D30" s="89"/>
      <c r="E30" s="68"/>
      <c r="F30" s="68"/>
      <c r="G30" s="68"/>
      <c r="H30" s="102"/>
      <c r="I30" s="102"/>
      <c r="J30" s="102"/>
      <c r="K30" s="102"/>
      <c r="L30" s="102"/>
      <c r="M30" s="102"/>
      <c r="N30" s="102"/>
      <c r="O30" s="102"/>
      <c r="P30" s="102"/>
    </row>
    <row r="31" spans="1:16" s="69" customFormat="1" ht="18.75" customHeight="1" x14ac:dyDescent="0.15">
      <c r="A31" s="166"/>
      <c r="B31" s="91">
        <v>6</v>
      </c>
      <c r="C31" s="77" t="s">
        <v>62</v>
      </c>
      <c r="D31" s="92"/>
      <c r="E31" s="68"/>
      <c r="F31" s="68"/>
      <c r="G31" s="68"/>
      <c r="H31" s="102"/>
      <c r="I31" s="102"/>
      <c r="J31" s="102"/>
      <c r="K31" s="102"/>
      <c r="L31" s="102"/>
      <c r="M31" s="102"/>
      <c r="N31" s="102"/>
      <c r="O31" s="102"/>
      <c r="P31" s="102"/>
    </row>
    <row r="32" spans="1:16" s="69" customFormat="1" ht="27.75" customHeight="1" x14ac:dyDescent="0.15">
      <c r="A32" s="165">
        <v>0.5</v>
      </c>
      <c r="B32" s="88" t="s">
        <v>22</v>
      </c>
      <c r="C32" s="93" t="s">
        <v>170</v>
      </c>
      <c r="D32" s="197"/>
      <c r="E32" s="68"/>
      <c r="F32" s="68"/>
      <c r="G32" s="68"/>
      <c r="H32" s="68"/>
      <c r="I32" s="68"/>
    </row>
    <row r="33" spans="1:256" s="69" customFormat="1" ht="15" customHeight="1" x14ac:dyDescent="0.15">
      <c r="A33" s="165">
        <v>0.5</v>
      </c>
      <c r="B33" s="88" t="s">
        <v>20</v>
      </c>
      <c r="C33" s="93" t="s">
        <v>164</v>
      </c>
      <c r="D33" s="197"/>
      <c r="E33" s="68"/>
      <c r="F33" s="68"/>
      <c r="G33" s="68"/>
      <c r="H33" s="68"/>
      <c r="I33" s="68"/>
    </row>
    <row r="34" spans="1:256" s="69" customFormat="1" ht="15" customHeight="1" x14ac:dyDescent="0.15">
      <c r="A34" s="15">
        <f>SUM(A6:A33)</f>
        <v>16.5</v>
      </c>
      <c r="E34" s="68"/>
      <c r="F34" s="68"/>
      <c r="G34" s="68"/>
      <c r="H34" s="68"/>
      <c r="I34" s="68"/>
    </row>
    <row r="35" spans="1:256" s="69" customFormat="1" ht="15" customHeight="1" x14ac:dyDescent="0.15">
      <c r="A35" s="90"/>
      <c r="E35" s="68"/>
      <c r="F35" s="68"/>
      <c r="G35" s="68"/>
      <c r="H35" s="68"/>
      <c r="I35" s="68"/>
    </row>
    <row r="36" spans="1:256" s="51" customFormat="1" ht="15" customHeight="1" x14ac:dyDescent="0.15">
      <c r="A36" s="90"/>
      <c r="B36" s="94"/>
      <c r="C36" s="90"/>
      <c r="D36" s="95"/>
      <c r="J36" s="37"/>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c r="BU36" s="37"/>
      <c r="BV36" s="37"/>
      <c r="BW36" s="37"/>
      <c r="BX36" s="37"/>
      <c r="BY36" s="37"/>
      <c r="BZ36" s="37"/>
      <c r="CA36" s="37"/>
      <c r="CB36" s="37"/>
      <c r="CC36" s="37"/>
      <c r="CD36" s="37"/>
      <c r="CE36" s="37"/>
      <c r="CF36" s="37"/>
      <c r="CG36" s="37"/>
      <c r="CH36" s="37"/>
      <c r="CI36" s="37"/>
      <c r="CJ36" s="37"/>
      <c r="CK36" s="37"/>
      <c r="CL36" s="37"/>
      <c r="CM36" s="37"/>
      <c r="CN36" s="37"/>
      <c r="CO36" s="37"/>
      <c r="CP36" s="37"/>
      <c r="CQ36" s="37"/>
      <c r="CR36" s="37"/>
      <c r="CS36" s="37"/>
      <c r="CT36" s="37"/>
      <c r="CU36" s="37"/>
      <c r="CV36" s="37"/>
      <c r="CW36" s="37"/>
      <c r="CX36" s="37"/>
      <c r="CY36" s="37"/>
      <c r="CZ36" s="37"/>
      <c r="DA36" s="37"/>
      <c r="DB36" s="37"/>
      <c r="DC36" s="37"/>
      <c r="DD36" s="37"/>
      <c r="DE36" s="37"/>
      <c r="DF36" s="37"/>
      <c r="DG36" s="37"/>
      <c r="DH36" s="37"/>
      <c r="DI36" s="37"/>
      <c r="DJ36" s="37"/>
      <c r="DK36" s="37"/>
      <c r="DL36" s="37"/>
      <c r="DM36" s="37"/>
      <c r="DN36" s="37"/>
      <c r="DO36" s="37"/>
      <c r="DP36" s="37"/>
      <c r="DQ36" s="37"/>
      <c r="DR36" s="37"/>
      <c r="DS36" s="37"/>
      <c r="DT36" s="37"/>
      <c r="DU36" s="37"/>
      <c r="DV36" s="37"/>
      <c r="DW36" s="37"/>
      <c r="DX36" s="37"/>
      <c r="DY36" s="37"/>
      <c r="DZ36" s="37"/>
      <c r="EA36" s="37"/>
      <c r="EB36" s="37"/>
      <c r="EC36" s="37"/>
      <c r="ED36" s="37"/>
      <c r="EE36" s="37"/>
      <c r="EF36" s="37"/>
      <c r="EG36" s="37"/>
      <c r="EH36" s="37"/>
      <c r="EI36" s="37"/>
      <c r="EJ36" s="37"/>
      <c r="EK36" s="37"/>
      <c r="EL36" s="37"/>
      <c r="EM36" s="37"/>
      <c r="EN36" s="37"/>
      <c r="EO36" s="37"/>
      <c r="EP36" s="37"/>
      <c r="EQ36" s="37"/>
      <c r="ER36" s="37"/>
      <c r="ES36" s="37"/>
      <c r="ET36" s="37"/>
      <c r="EU36" s="37"/>
      <c r="EV36" s="37"/>
      <c r="EW36" s="37"/>
      <c r="EX36" s="37"/>
      <c r="EY36" s="37"/>
      <c r="EZ36" s="37"/>
      <c r="FA36" s="37"/>
      <c r="FB36" s="37"/>
      <c r="FC36" s="37"/>
      <c r="FD36" s="37"/>
      <c r="FE36" s="37"/>
      <c r="FF36" s="37"/>
      <c r="FG36" s="37"/>
      <c r="FH36" s="37"/>
      <c r="FI36" s="37"/>
      <c r="FJ36" s="37"/>
      <c r="FK36" s="37"/>
      <c r="FL36" s="37"/>
      <c r="FM36" s="37"/>
      <c r="FN36" s="37"/>
      <c r="FO36" s="37"/>
      <c r="FP36" s="37"/>
      <c r="FQ36" s="37"/>
      <c r="FR36" s="37"/>
      <c r="FS36" s="37"/>
      <c r="FT36" s="37"/>
      <c r="FU36" s="37"/>
      <c r="FV36" s="37"/>
      <c r="FW36" s="37"/>
      <c r="FX36" s="37"/>
      <c r="FY36" s="37"/>
      <c r="FZ36" s="37"/>
      <c r="GA36" s="37"/>
      <c r="GB36" s="37"/>
      <c r="GC36" s="37"/>
      <c r="GD36" s="37"/>
      <c r="GE36" s="37"/>
      <c r="GF36" s="37"/>
      <c r="GG36" s="37"/>
      <c r="GH36" s="37"/>
      <c r="GI36" s="37"/>
      <c r="GJ36" s="37"/>
      <c r="GK36" s="37"/>
      <c r="GL36" s="37"/>
      <c r="GM36" s="37"/>
      <c r="GN36" s="37"/>
      <c r="GO36" s="37"/>
      <c r="GP36" s="37"/>
      <c r="GQ36" s="37"/>
      <c r="GR36" s="37"/>
      <c r="GS36" s="37"/>
      <c r="GT36" s="37"/>
      <c r="GU36" s="37"/>
      <c r="GV36" s="37"/>
      <c r="GW36" s="37"/>
      <c r="GX36" s="37"/>
      <c r="GY36" s="37"/>
      <c r="GZ36" s="37"/>
      <c r="HA36" s="37"/>
      <c r="HB36" s="37"/>
      <c r="HC36" s="37"/>
      <c r="HD36" s="37"/>
      <c r="HE36" s="37"/>
      <c r="HF36" s="37"/>
      <c r="HG36" s="37"/>
      <c r="HH36" s="37"/>
      <c r="HI36" s="37"/>
      <c r="HJ36" s="37"/>
      <c r="HK36" s="37"/>
      <c r="HL36" s="37"/>
      <c r="HM36" s="37"/>
      <c r="HN36" s="37"/>
      <c r="HO36" s="37"/>
      <c r="HP36" s="37"/>
      <c r="HQ36" s="37"/>
      <c r="HR36" s="37"/>
      <c r="HS36" s="37"/>
      <c r="HT36" s="37"/>
      <c r="HU36" s="37"/>
      <c r="HV36" s="37"/>
      <c r="HW36" s="37"/>
      <c r="HX36" s="37"/>
      <c r="HY36" s="37"/>
      <c r="HZ36" s="37"/>
      <c r="IA36" s="37"/>
      <c r="IB36" s="37"/>
      <c r="IC36" s="37"/>
      <c r="ID36" s="37"/>
      <c r="IE36" s="37"/>
      <c r="IF36" s="37"/>
      <c r="IG36" s="37"/>
      <c r="IH36" s="37"/>
      <c r="II36" s="37"/>
      <c r="IJ36" s="37"/>
      <c r="IK36" s="37"/>
      <c r="IL36" s="37"/>
      <c r="IM36" s="37"/>
      <c r="IN36" s="37"/>
      <c r="IO36" s="37"/>
      <c r="IP36" s="37"/>
      <c r="IQ36" s="37"/>
      <c r="IR36" s="37"/>
      <c r="IS36" s="37"/>
      <c r="IT36" s="37"/>
      <c r="IU36" s="37"/>
      <c r="IV36" s="37"/>
    </row>
    <row r="37" spans="1:256" s="51" customFormat="1" ht="15" customHeight="1" x14ac:dyDescent="0.15">
      <c r="A37" s="90"/>
      <c r="B37" s="94"/>
      <c r="C37" s="90"/>
      <c r="D37" s="95"/>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c r="BT37" s="37"/>
      <c r="BU37" s="37"/>
      <c r="BV37" s="37"/>
      <c r="BW37" s="37"/>
      <c r="BX37" s="37"/>
      <c r="BY37" s="37"/>
      <c r="BZ37" s="37"/>
      <c r="CA37" s="37"/>
      <c r="CB37" s="37"/>
      <c r="CC37" s="37"/>
      <c r="CD37" s="37"/>
      <c r="CE37" s="37"/>
      <c r="CF37" s="37"/>
      <c r="CG37" s="37"/>
      <c r="CH37" s="37"/>
      <c r="CI37" s="37"/>
      <c r="CJ37" s="37"/>
      <c r="CK37" s="37"/>
      <c r="CL37" s="37"/>
      <c r="CM37" s="37"/>
      <c r="CN37" s="37"/>
      <c r="CO37" s="37"/>
      <c r="CP37" s="37"/>
      <c r="CQ37" s="37"/>
      <c r="CR37" s="37"/>
      <c r="CS37" s="37"/>
      <c r="CT37" s="37"/>
      <c r="CU37" s="37"/>
      <c r="CV37" s="37"/>
      <c r="CW37" s="37"/>
      <c r="CX37" s="37"/>
      <c r="CY37" s="37"/>
      <c r="CZ37" s="37"/>
      <c r="DA37" s="37"/>
      <c r="DB37" s="37"/>
      <c r="DC37" s="37"/>
      <c r="DD37" s="37"/>
      <c r="DE37" s="37"/>
      <c r="DF37" s="37"/>
      <c r="DG37" s="37"/>
      <c r="DH37" s="37"/>
      <c r="DI37" s="37"/>
      <c r="DJ37" s="37"/>
      <c r="DK37" s="37"/>
      <c r="DL37" s="37"/>
      <c r="DM37" s="37"/>
      <c r="DN37" s="37"/>
      <c r="DO37" s="37"/>
      <c r="DP37" s="37"/>
      <c r="DQ37" s="37"/>
      <c r="DR37" s="37"/>
      <c r="DS37" s="37"/>
      <c r="DT37" s="37"/>
      <c r="DU37" s="37"/>
      <c r="DV37" s="37"/>
      <c r="DW37" s="37"/>
      <c r="DX37" s="37"/>
      <c r="DY37" s="37"/>
      <c r="DZ37" s="37"/>
      <c r="EA37" s="37"/>
      <c r="EB37" s="37"/>
      <c r="EC37" s="37"/>
      <c r="ED37" s="37"/>
      <c r="EE37" s="37"/>
      <c r="EF37" s="37"/>
      <c r="EG37" s="37"/>
      <c r="EH37" s="37"/>
      <c r="EI37" s="37"/>
      <c r="EJ37" s="37"/>
      <c r="EK37" s="37"/>
      <c r="EL37" s="37"/>
      <c r="EM37" s="37"/>
      <c r="EN37" s="37"/>
      <c r="EO37" s="37"/>
      <c r="EP37" s="37"/>
      <c r="EQ37" s="37"/>
      <c r="ER37" s="37"/>
      <c r="ES37" s="37"/>
      <c r="ET37" s="37"/>
      <c r="EU37" s="37"/>
      <c r="EV37" s="37"/>
      <c r="EW37" s="37"/>
      <c r="EX37" s="37"/>
      <c r="EY37" s="37"/>
      <c r="EZ37" s="37"/>
      <c r="FA37" s="37"/>
      <c r="FB37" s="37"/>
      <c r="FC37" s="37"/>
      <c r="FD37" s="37"/>
      <c r="FE37" s="37"/>
      <c r="FF37" s="37"/>
      <c r="FG37" s="37"/>
      <c r="FH37" s="37"/>
      <c r="FI37" s="37"/>
      <c r="FJ37" s="37"/>
      <c r="FK37" s="37"/>
      <c r="FL37" s="37"/>
      <c r="FM37" s="37"/>
      <c r="FN37" s="37"/>
      <c r="FO37" s="37"/>
      <c r="FP37" s="37"/>
      <c r="FQ37" s="37"/>
      <c r="FR37" s="37"/>
      <c r="FS37" s="37"/>
      <c r="FT37" s="37"/>
      <c r="FU37" s="37"/>
      <c r="FV37" s="37"/>
      <c r="FW37" s="37"/>
      <c r="FX37" s="37"/>
      <c r="FY37" s="37"/>
      <c r="FZ37" s="37"/>
      <c r="GA37" s="37"/>
      <c r="GB37" s="37"/>
      <c r="GC37" s="37"/>
      <c r="GD37" s="37"/>
      <c r="GE37" s="37"/>
      <c r="GF37" s="37"/>
      <c r="GG37" s="37"/>
      <c r="GH37" s="37"/>
      <c r="GI37" s="37"/>
      <c r="GJ37" s="37"/>
      <c r="GK37" s="37"/>
      <c r="GL37" s="37"/>
      <c r="GM37" s="37"/>
      <c r="GN37" s="37"/>
      <c r="GO37" s="37"/>
      <c r="GP37" s="37"/>
      <c r="GQ37" s="37"/>
      <c r="GR37" s="37"/>
      <c r="GS37" s="37"/>
      <c r="GT37" s="37"/>
      <c r="GU37" s="37"/>
      <c r="GV37" s="37"/>
      <c r="GW37" s="37"/>
      <c r="GX37" s="37"/>
      <c r="GY37" s="37"/>
      <c r="GZ37" s="37"/>
      <c r="HA37" s="37"/>
      <c r="HB37" s="37"/>
      <c r="HC37" s="37"/>
      <c r="HD37" s="37"/>
      <c r="HE37" s="37"/>
      <c r="HF37" s="37"/>
      <c r="HG37" s="37"/>
      <c r="HH37" s="37"/>
      <c r="HI37" s="37"/>
      <c r="HJ37" s="37"/>
      <c r="HK37" s="37"/>
      <c r="HL37" s="37"/>
      <c r="HM37" s="37"/>
      <c r="HN37" s="37"/>
      <c r="HO37" s="37"/>
      <c r="HP37" s="37"/>
      <c r="HQ37" s="37"/>
      <c r="HR37" s="37"/>
      <c r="HS37" s="37"/>
      <c r="HT37" s="37"/>
      <c r="HU37" s="37"/>
      <c r="HV37" s="37"/>
      <c r="HW37" s="37"/>
      <c r="HX37" s="37"/>
      <c r="HY37" s="37"/>
      <c r="HZ37" s="37"/>
      <c r="IA37" s="37"/>
      <c r="IB37" s="37"/>
      <c r="IC37" s="37"/>
      <c r="ID37" s="37"/>
      <c r="IE37" s="37"/>
      <c r="IF37" s="37"/>
      <c r="IG37" s="37"/>
      <c r="IH37" s="37"/>
      <c r="II37" s="37"/>
      <c r="IJ37" s="37"/>
      <c r="IK37" s="37"/>
      <c r="IL37" s="37"/>
      <c r="IM37" s="37"/>
      <c r="IN37" s="37"/>
      <c r="IO37" s="37"/>
      <c r="IP37" s="37"/>
      <c r="IQ37" s="37"/>
      <c r="IR37" s="37"/>
      <c r="IS37" s="37"/>
      <c r="IT37" s="37"/>
      <c r="IU37" s="37"/>
      <c r="IV37" s="37"/>
    </row>
    <row r="38" spans="1:256" s="51" customFormat="1" ht="15" customHeight="1" x14ac:dyDescent="0.15">
      <c r="A38" s="90"/>
      <c r="B38" s="94"/>
      <c r="C38" s="90"/>
      <c r="D38" s="95"/>
      <c r="J38" s="37"/>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c r="BU38" s="37"/>
      <c r="BV38" s="37"/>
      <c r="BW38" s="37"/>
      <c r="BX38" s="37"/>
      <c r="BY38" s="37"/>
      <c r="BZ38" s="37"/>
      <c r="CA38" s="37"/>
      <c r="CB38" s="37"/>
      <c r="CC38" s="37"/>
      <c r="CD38" s="37"/>
      <c r="CE38" s="37"/>
      <c r="CF38" s="37"/>
      <c r="CG38" s="37"/>
      <c r="CH38" s="37"/>
      <c r="CI38" s="37"/>
      <c r="CJ38" s="37"/>
      <c r="CK38" s="37"/>
      <c r="CL38" s="37"/>
      <c r="CM38" s="37"/>
      <c r="CN38" s="37"/>
      <c r="CO38" s="37"/>
      <c r="CP38" s="37"/>
      <c r="CQ38" s="37"/>
      <c r="CR38" s="37"/>
      <c r="CS38" s="37"/>
      <c r="CT38" s="37"/>
      <c r="CU38" s="37"/>
      <c r="CV38" s="37"/>
      <c r="CW38" s="37"/>
      <c r="CX38" s="37"/>
      <c r="CY38" s="37"/>
      <c r="CZ38" s="37"/>
      <c r="DA38" s="37"/>
      <c r="DB38" s="37"/>
      <c r="DC38" s="37"/>
      <c r="DD38" s="37"/>
      <c r="DE38" s="37"/>
      <c r="DF38" s="37"/>
      <c r="DG38" s="37"/>
      <c r="DH38" s="37"/>
      <c r="DI38" s="37"/>
      <c r="DJ38" s="37"/>
      <c r="DK38" s="37"/>
      <c r="DL38" s="37"/>
      <c r="DM38" s="37"/>
      <c r="DN38" s="37"/>
      <c r="DO38" s="37"/>
      <c r="DP38" s="37"/>
      <c r="DQ38" s="37"/>
      <c r="DR38" s="37"/>
      <c r="DS38" s="37"/>
      <c r="DT38" s="37"/>
      <c r="DU38" s="37"/>
      <c r="DV38" s="37"/>
      <c r="DW38" s="37"/>
      <c r="DX38" s="37"/>
      <c r="DY38" s="37"/>
      <c r="DZ38" s="37"/>
      <c r="EA38" s="37"/>
      <c r="EB38" s="37"/>
      <c r="EC38" s="37"/>
      <c r="ED38" s="37"/>
      <c r="EE38" s="37"/>
      <c r="EF38" s="37"/>
      <c r="EG38" s="37"/>
      <c r="EH38" s="37"/>
      <c r="EI38" s="37"/>
      <c r="EJ38" s="37"/>
      <c r="EK38" s="37"/>
      <c r="EL38" s="37"/>
      <c r="EM38" s="37"/>
      <c r="EN38" s="37"/>
      <c r="EO38" s="37"/>
      <c r="EP38" s="37"/>
      <c r="EQ38" s="37"/>
      <c r="ER38" s="37"/>
      <c r="ES38" s="37"/>
      <c r="ET38" s="37"/>
      <c r="EU38" s="37"/>
      <c r="EV38" s="37"/>
      <c r="EW38" s="37"/>
      <c r="EX38" s="37"/>
      <c r="EY38" s="37"/>
      <c r="EZ38" s="37"/>
      <c r="FA38" s="37"/>
      <c r="FB38" s="37"/>
      <c r="FC38" s="37"/>
      <c r="FD38" s="37"/>
      <c r="FE38" s="37"/>
      <c r="FF38" s="37"/>
      <c r="FG38" s="37"/>
      <c r="FH38" s="37"/>
      <c r="FI38" s="37"/>
      <c r="FJ38" s="37"/>
      <c r="FK38" s="37"/>
      <c r="FL38" s="37"/>
      <c r="FM38" s="37"/>
      <c r="FN38" s="37"/>
      <c r="FO38" s="37"/>
      <c r="FP38" s="37"/>
      <c r="FQ38" s="37"/>
      <c r="FR38" s="37"/>
      <c r="FS38" s="37"/>
      <c r="FT38" s="37"/>
      <c r="FU38" s="37"/>
      <c r="FV38" s="37"/>
      <c r="FW38" s="37"/>
      <c r="FX38" s="37"/>
      <c r="FY38" s="37"/>
      <c r="FZ38" s="37"/>
      <c r="GA38" s="37"/>
      <c r="GB38" s="37"/>
      <c r="GC38" s="37"/>
      <c r="GD38" s="37"/>
      <c r="GE38" s="37"/>
      <c r="GF38" s="37"/>
      <c r="GG38" s="37"/>
      <c r="GH38" s="37"/>
      <c r="GI38" s="37"/>
      <c r="GJ38" s="37"/>
      <c r="GK38" s="37"/>
      <c r="GL38" s="37"/>
      <c r="GM38" s="37"/>
      <c r="GN38" s="37"/>
      <c r="GO38" s="37"/>
      <c r="GP38" s="37"/>
      <c r="GQ38" s="37"/>
      <c r="GR38" s="37"/>
      <c r="GS38" s="37"/>
      <c r="GT38" s="37"/>
      <c r="GU38" s="37"/>
      <c r="GV38" s="37"/>
      <c r="GW38" s="37"/>
      <c r="GX38" s="37"/>
      <c r="GY38" s="37"/>
      <c r="GZ38" s="37"/>
      <c r="HA38" s="37"/>
      <c r="HB38" s="37"/>
      <c r="HC38" s="37"/>
      <c r="HD38" s="37"/>
      <c r="HE38" s="37"/>
      <c r="HF38" s="37"/>
      <c r="HG38" s="37"/>
      <c r="HH38" s="37"/>
      <c r="HI38" s="37"/>
      <c r="HJ38" s="37"/>
      <c r="HK38" s="37"/>
      <c r="HL38" s="37"/>
      <c r="HM38" s="37"/>
      <c r="HN38" s="37"/>
      <c r="HO38" s="37"/>
      <c r="HP38" s="37"/>
      <c r="HQ38" s="37"/>
      <c r="HR38" s="37"/>
      <c r="HS38" s="37"/>
      <c r="HT38" s="37"/>
      <c r="HU38" s="37"/>
      <c r="HV38" s="37"/>
      <c r="HW38" s="37"/>
      <c r="HX38" s="37"/>
      <c r="HY38" s="37"/>
      <c r="HZ38" s="37"/>
      <c r="IA38" s="37"/>
      <c r="IB38" s="37"/>
      <c r="IC38" s="37"/>
      <c r="ID38" s="37"/>
      <c r="IE38" s="37"/>
      <c r="IF38" s="37"/>
      <c r="IG38" s="37"/>
      <c r="IH38" s="37"/>
      <c r="II38" s="37"/>
      <c r="IJ38" s="37"/>
      <c r="IK38" s="37"/>
      <c r="IL38" s="37"/>
      <c r="IM38" s="37"/>
      <c r="IN38" s="37"/>
      <c r="IO38" s="37"/>
      <c r="IP38" s="37"/>
      <c r="IQ38" s="37"/>
      <c r="IR38" s="37"/>
      <c r="IS38" s="37"/>
      <c r="IT38" s="37"/>
      <c r="IU38" s="37"/>
      <c r="IV38" s="37"/>
    </row>
    <row r="39" spans="1:256" s="51" customFormat="1" x14ac:dyDescent="0.15">
      <c r="A39" s="90"/>
      <c r="B39" s="94"/>
      <c r="C39" s="90"/>
      <c r="D39" s="95"/>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c r="BT39" s="37"/>
      <c r="BU39" s="37"/>
      <c r="BV39" s="37"/>
      <c r="BW39" s="37"/>
      <c r="BX39" s="37"/>
      <c r="BY39" s="37"/>
      <c r="BZ39" s="37"/>
      <c r="CA39" s="37"/>
      <c r="CB39" s="37"/>
      <c r="CC39" s="37"/>
      <c r="CD39" s="37"/>
      <c r="CE39" s="37"/>
      <c r="CF39" s="37"/>
      <c r="CG39" s="37"/>
      <c r="CH39" s="37"/>
      <c r="CI39" s="37"/>
      <c r="CJ39" s="37"/>
      <c r="CK39" s="37"/>
      <c r="CL39" s="37"/>
      <c r="CM39" s="37"/>
      <c r="CN39" s="37"/>
      <c r="CO39" s="37"/>
      <c r="CP39" s="37"/>
      <c r="CQ39" s="37"/>
      <c r="CR39" s="37"/>
      <c r="CS39" s="37"/>
      <c r="CT39" s="37"/>
      <c r="CU39" s="37"/>
      <c r="CV39" s="37"/>
      <c r="CW39" s="37"/>
      <c r="CX39" s="37"/>
      <c r="CY39" s="37"/>
      <c r="CZ39" s="37"/>
      <c r="DA39" s="37"/>
      <c r="DB39" s="37"/>
      <c r="DC39" s="37"/>
      <c r="DD39" s="37"/>
      <c r="DE39" s="37"/>
      <c r="DF39" s="37"/>
      <c r="DG39" s="37"/>
      <c r="DH39" s="37"/>
      <c r="DI39" s="37"/>
      <c r="DJ39" s="37"/>
      <c r="DK39" s="37"/>
      <c r="DL39" s="37"/>
      <c r="DM39" s="37"/>
      <c r="DN39" s="37"/>
      <c r="DO39" s="37"/>
      <c r="DP39" s="37"/>
      <c r="DQ39" s="37"/>
      <c r="DR39" s="37"/>
      <c r="DS39" s="37"/>
      <c r="DT39" s="37"/>
      <c r="DU39" s="37"/>
      <c r="DV39" s="37"/>
      <c r="DW39" s="37"/>
      <c r="DX39" s="37"/>
      <c r="DY39" s="37"/>
      <c r="DZ39" s="37"/>
      <c r="EA39" s="37"/>
      <c r="EB39" s="37"/>
      <c r="EC39" s="37"/>
      <c r="ED39" s="37"/>
      <c r="EE39" s="37"/>
      <c r="EF39" s="37"/>
      <c r="EG39" s="37"/>
      <c r="EH39" s="37"/>
      <c r="EI39" s="37"/>
      <c r="EJ39" s="37"/>
      <c r="EK39" s="37"/>
      <c r="EL39" s="37"/>
      <c r="EM39" s="37"/>
      <c r="EN39" s="37"/>
      <c r="EO39" s="37"/>
      <c r="EP39" s="37"/>
      <c r="EQ39" s="37"/>
      <c r="ER39" s="37"/>
      <c r="ES39" s="37"/>
      <c r="ET39" s="37"/>
      <c r="EU39" s="37"/>
      <c r="EV39" s="37"/>
      <c r="EW39" s="37"/>
      <c r="EX39" s="37"/>
      <c r="EY39" s="37"/>
      <c r="EZ39" s="37"/>
      <c r="FA39" s="37"/>
      <c r="FB39" s="37"/>
      <c r="FC39" s="37"/>
      <c r="FD39" s="37"/>
      <c r="FE39" s="37"/>
      <c r="FF39" s="37"/>
      <c r="FG39" s="37"/>
      <c r="FH39" s="37"/>
      <c r="FI39" s="37"/>
      <c r="FJ39" s="37"/>
      <c r="FK39" s="37"/>
      <c r="FL39" s="37"/>
      <c r="FM39" s="37"/>
      <c r="FN39" s="37"/>
      <c r="FO39" s="37"/>
      <c r="FP39" s="37"/>
      <c r="FQ39" s="37"/>
      <c r="FR39" s="37"/>
      <c r="FS39" s="37"/>
      <c r="FT39" s="37"/>
      <c r="FU39" s="37"/>
      <c r="FV39" s="37"/>
      <c r="FW39" s="37"/>
      <c r="FX39" s="37"/>
      <c r="FY39" s="37"/>
      <c r="FZ39" s="37"/>
      <c r="GA39" s="37"/>
      <c r="GB39" s="37"/>
      <c r="GC39" s="37"/>
      <c r="GD39" s="37"/>
      <c r="GE39" s="37"/>
      <c r="GF39" s="37"/>
      <c r="GG39" s="37"/>
      <c r="GH39" s="37"/>
      <c r="GI39" s="37"/>
      <c r="GJ39" s="37"/>
      <c r="GK39" s="37"/>
      <c r="GL39" s="37"/>
      <c r="GM39" s="37"/>
      <c r="GN39" s="37"/>
      <c r="GO39" s="37"/>
      <c r="GP39" s="37"/>
      <c r="GQ39" s="37"/>
      <c r="GR39" s="37"/>
      <c r="GS39" s="37"/>
      <c r="GT39" s="37"/>
      <c r="GU39" s="37"/>
      <c r="GV39" s="37"/>
      <c r="GW39" s="37"/>
      <c r="GX39" s="37"/>
      <c r="GY39" s="37"/>
      <c r="GZ39" s="37"/>
      <c r="HA39" s="37"/>
      <c r="HB39" s="37"/>
      <c r="HC39" s="37"/>
      <c r="HD39" s="37"/>
      <c r="HE39" s="37"/>
      <c r="HF39" s="37"/>
      <c r="HG39" s="37"/>
      <c r="HH39" s="37"/>
      <c r="HI39" s="37"/>
      <c r="HJ39" s="37"/>
      <c r="HK39" s="37"/>
      <c r="HL39" s="37"/>
      <c r="HM39" s="37"/>
      <c r="HN39" s="37"/>
      <c r="HO39" s="37"/>
      <c r="HP39" s="37"/>
      <c r="HQ39" s="37"/>
      <c r="HR39" s="37"/>
      <c r="HS39" s="37"/>
      <c r="HT39" s="37"/>
      <c r="HU39" s="37"/>
      <c r="HV39" s="37"/>
      <c r="HW39" s="37"/>
      <c r="HX39" s="37"/>
      <c r="HY39" s="37"/>
      <c r="HZ39" s="37"/>
      <c r="IA39" s="37"/>
      <c r="IB39" s="37"/>
      <c r="IC39" s="37"/>
      <c r="ID39" s="37"/>
      <c r="IE39" s="37"/>
      <c r="IF39" s="37"/>
      <c r="IG39" s="37"/>
      <c r="IH39" s="37"/>
      <c r="II39" s="37"/>
      <c r="IJ39" s="37"/>
      <c r="IK39" s="37"/>
      <c r="IL39" s="37"/>
      <c r="IM39" s="37"/>
      <c r="IN39" s="37"/>
      <c r="IO39" s="37"/>
      <c r="IP39" s="37"/>
      <c r="IQ39" s="37"/>
      <c r="IR39" s="37"/>
      <c r="IS39" s="37"/>
      <c r="IT39" s="37"/>
      <c r="IU39" s="37"/>
      <c r="IV39" s="37"/>
    </row>
    <row r="40" spans="1:256" s="51" customFormat="1" ht="27" customHeight="1" x14ac:dyDescent="0.15">
      <c r="A40" s="90"/>
      <c r="B40" s="94"/>
      <c r="C40" s="90"/>
      <c r="D40" s="95"/>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c r="BT40" s="37"/>
      <c r="BU40" s="37"/>
      <c r="BV40" s="37"/>
      <c r="BW40" s="37"/>
      <c r="BX40" s="37"/>
      <c r="BY40" s="37"/>
      <c r="BZ40" s="37"/>
      <c r="CA40" s="37"/>
      <c r="CB40" s="37"/>
      <c r="CC40" s="37"/>
      <c r="CD40" s="37"/>
      <c r="CE40" s="37"/>
      <c r="CF40" s="37"/>
      <c r="CG40" s="37"/>
      <c r="CH40" s="37"/>
      <c r="CI40" s="37"/>
      <c r="CJ40" s="37"/>
      <c r="CK40" s="37"/>
      <c r="CL40" s="37"/>
      <c r="CM40" s="37"/>
      <c r="CN40" s="37"/>
      <c r="CO40" s="37"/>
      <c r="CP40" s="37"/>
      <c r="CQ40" s="37"/>
      <c r="CR40" s="37"/>
      <c r="CS40" s="37"/>
      <c r="CT40" s="37"/>
      <c r="CU40" s="37"/>
      <c r="CV40" s="37"/>
      <c r="CW40" s="37"/>
      <c r="CX40" s="37"/>
      <c r="CY40" s="37"/>
      <c r="CZ40" s="37"/>
      <c r="DA40" s="37"/>
      <c r="DB40" s="37"/>
      <c r="DC40" s="37"/>
      <c r="DD40" s="37"/>
      <c r="DE40" s="37"/>
      <c r="DF40" s="37"/>
      <c r="DG40" s="37"/>
      <c r="DH40" s="37"/>
      <c r="DI40" s="37"/>
      <c r="DJ40" s="37"/>
      <c r="DK40" s="37"/>
      <c r="DL40" s="37"/>
      <c r="DM40" s="37"/>
      <c r="DN40" s="37"/>
      <c r="DO40" s="37"/>
      <c r="DP40" s="37"/>
      <c r="DQ40" s="37"/>
      <c r="DR40" s="37"/>
      <c r="DS40" s="37"/>
      <c r="DT40" s="37"/>
      <c r="DU40" s="37"/>
      <c r="DV40" s="37"/>
      <c r="DW40" s="37"/>
      <c r="DX40" s="37"/>
      <c r="DY40" s="37"/>
      <c r="DZ40" s="37"/>
      <c r="EA40" s="37"/>
      <c r="EB40" s="37"/>
      <c r="EC40" s="37"/>
      <c r="ED40" s="37"/>
      <c r="EE40" s="37"/>
      <c r="EF40" s="37"/>
      <c r="EG40" s="37"/>
      <c r="EH40" s="37"/>
      <c r="EI40" s="37"/>
      <c r="EJ40" s="37"/>
      <c r="EK40" s="37"/>
      <c r="EL40" s="37"/>
      <c r="EM40" s="37"/>
      <c r="EN40" s="37"/>
      <c r="EO40" s="37"/>
      <c r="EP40" s="37"/>
      <c r="EQ40" s="37"/>
      <c r="ER40" s="37"/>
      <c r="ES40" s="37"/>
      <c r="ET40" s="37"/>
      <c r="EU40" s="37"/>
      <c r="EV40" s="37"/>
      <c r="EW40" s="37"/>
      <c r="EX40" s="37"/>
      <c r="EY40" s="37"/>
      <c r="EZ40" s="37"/>
      <c r="FA40" s="37"/>
      <c r="FB40" s="37"/>
      <c r="FC40" s="37"/>
      <c r="FD40" s="37"/>
      <c r="FE40" s="37"/>
      <c r="FF40" s="37"/>
      <c r="FG40" s="37"/>
      <c r="FH40" s="37"/>
      <c r="FI40" s="37"/>
      <c r="FJ40" s="37"/>
      <c r="FK40" s="37"/>
      <c r="FL40" s="37"/>
      <c r="FM40" s="37"/>
      <c r="FN40" s="37"/>
      <c r="FO40" s="37"/>
      <c r="FP40" s="37"/>
      <c r="FQ40" s="37"/>
      <c r="FR40" s="37"/>
      <c r="FS40" s="37"/>
      <c r="FT40" s="37"/>
      <c r="FU40" s="37"/>
      <c r="FV40" s="37"/>
      <c r="FW40" s="37"/>
      <c r="FX40" s="37"/>
      <c r="FY40" s="37"/>
      <c r="FZ40" s="37"/>
      <c r="GA40" s="37"/>
      <c r="GB40" s="37"/>
      <c r="GC40" s="37"/>
      <c r="GD40" s="37"/>
      <c r="GE40" s="37"/>
      <c r="GF40" s="37"/>
      <c r="GG40" s="37"/>
      <c r="GH40" s="37"/>
      <c r="GI40" s="37"/>
      <c r="GJ40" s="37"/>
      <c r="GK40" s="37"/>
      <c r="GL40" s="37"/>
      <c r="GM40" s="37"/>
      <c r="GN40" s="37"/>
      <c r="GO40" s="37"/>
      <c r="GP40" s="37"/>
      <c r="GQ40" s="37"/>
      <c r="GR40" s="37"/>
      <c r="GS40" s="37"/>
      <c r="GT40" s="37"/>
      <c r="GU40" s="37"/>
      <c r="GV40" s="37"/>
      <c r="GW40" s="37"/>
      <c r="GX40" s="37"/>
      <c r="GY40" s="37"/>
      <c r="GZ40" s="37"/>
      <c r="HA40" s="37"/>
      <c r="HB40" s="37"/>
      <c r="HC40" s="37"/>
      <c r="HD40" s="37"/>
      <c r="HE40" s="37"/>
      <c r="HF40" s="37"/>
      <c r="HG40" s="37"/>
      <c r="HH40" s="37"/>
      <c r="HI40" s="37"/>
      <c r="HJ40" s="37"/>
      <c r="HK40" s="37"/>
      <c r="HL40" s="37"/>
      <c r="HM40" s="37"/>
      <c r="HN40" s="37"/>
      <c r="HO40" s="37"/>
      <c r="HP40" s="37"/>
      <c r="HQ40" s="37"/>
      <c r="HR40" s="37"/>
      <c r="HS40" s="37"/>
      <c r="HT40" s="37"/>
      <c r="HU40" s="37"/>
      <c r="HV40" s="37"/>
      <c r="HW40" s="37"/>
      <c r="HX40" s="37"/>
      <c r="HY40" s="37"/>
      <c r="HZ40" s="37"/>
      <c r="IA40" s="37"/>
      <c r="IB40" s="37"/>
      <c r="IC40" s="37"/>
      <c r="ID40" s="37"/>
      <c r="IE40" s="37"/>
      <c r="IF40" s="37"/>
      <c r="IG40" s="37"/>
      <c r="IH40" s="37"/>
      <c r="II40" s="37"/>
      <c r="IJ40" s="37"/>
      <c r="IK40" s="37"/>
      <c r="IL40" s="37"/>
      <c r="IM40" s="37"/>
      <c r="IN40" s="37"/>
      <c r="IO40" s="37"/>
      <c r="IP40" s="37"/>
      <c r="IQ40" s="37"/>
      <c r="IR40" s="37"/>
      <c r="IS40" s="37"/>
      <c r="IT40" s="37"/>
      <c r="IU40" s="37"/>
      <c r="IV40" s="37"/>
    </row>
    <row r="41" spans="1:256" s="51" customFormat="1" ht="17.25" customHeight="1" x14ac:dyDescent="0.15">
      <c r="A41" s="90"/>
      <c r="B41" s="94"/>
      <c r="C41" s="90"/>
      <c r="D41" s="95"/>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c r="BT41" s="37"/>
      <c r="BU41" s="37"/>
      <c r="BV41" s="37"/>
      <c r="BW41" s="37"/>
      <c r="BX41" s="37"/>
      <c r="BY41" s="37"/>
      <c r="BZ41" s="37"/>
      <c r="CA41" s="37"/>
      <c r="CB41" s="37"/>
      <c r="CC41" s="37"/>
      <c r="CD41" s="37"/>
      <c r="CE41" s="37"/>
      <c r="CF41" s="37"/>
      <c r="CG41" s="37"/>
      <c r="CH41" s="37"/>
      <c r="CI41" s="37"/>
      <c r="CJ41" s="37"/>
      <c r="CK41" s="37"/>
      <c r="CL41" s="37"/>
      <c r="CM41" s="37"/>
      <c r="CN41" s="37"/>
      <c r="CO41" s="37"/>
      <c r="CP41" s="37"/>
      <c r="CQ41" s="37"/>
      <c r="CR41" s="37"/>
      <c r="CS41" s="37"/>
      <c r="CT41" s="37"/>
      <c r="CU41" s="37"/>
      <c r="CV41" s="37"/>
      <c r="CW41" s="37"/>
      <c r="CX41" s="37"/>
      <c r="CY41" s="37"/>
      <c r="CZ41" s="37"/>
      <c r="DA41" s="37"/>
      <c r="DB41" s="37"/>
      <c r="DC41" s="37"/>
      <c r="DD41" s="37"/>
      <c r="DE41" s="37"/>
      <c r="DF41" s="37"/>
      <c r="DG41" s="37"/>
      <c r="DH41" s="37"/>
      <c r="DI41" s="37"/>
      <c r="DJ41" s="37"/>
      <c r="DK41" s="37"/>
      <c r="DL41" s="37"/>
      <c r="DM41" s="37"/>
      <c r="DN41" s="37"/>
      <c r="DO41" s="37"/>
      <c r="DP41" s="37"/>
      <c r="DQ41" s="37"/>
      <c r="DR41" s="37"/>
      <c r="DS41" s="37"/>
      <c r="DT41" s="37"/>
      <c r="DU41" s="37"/>
      <c r="DV41" s="37"/>
      <c r="DW41" s="37"/>
      <c r="DX41" s="37"/>
      <c r="DY41" s="37"/>
      <c r="DZ41" s="37"/>
      <c r="EA41" s="37"/>
      <c r="EB41" s="37"/>
      <c r="EC41" s="37"/>
      <c r="ED41" s="37"/>
      <c r="EE41" s="37"/>
      <c r="EF41" s="37"/>
      <c r="EG41" s="37"/>
      <c r="EH41" s="37"/>
      <c r="EI41" s="37"/>
      <c r="EJ41" s="37"/>
      <c r="EK41" s="37"/>
      <c r="EL41" s="37"/>
      <c r="EM41" s="37"/>
      <c r="EN41" s="37"/>
      <c r="EO41" s="37"/>
      <c r="EP41" s="37"/>
      <c r="EQ41" s="37"/>
      <c r="ER41" s="37"/>
      <c r="ES41" s="37"/>
      <c r="ET41" s="37"/>
      <c r="EU41" s="37"/>
      <c r="EV41" s="37"/>
      <c r="EW41" s="37"/>
      <c r="EX41" s="37"/>
      <c r="EY41" s="37"/>
      <c r="EZ41" s="37"/>
      <c r="FA41" s="37"/>
      <c r="FB41" s="37"/>
      <c r="FC41" s="37"/>
      <c r="FD41" s="37"/>
      <c r="FE41" s="37"/>
      <c r="FF41" s="37"/>
      <c r="FG41" s="37"/>
      <c r="FH41" s="37"/>
      <c r="FI41" s="37"/>
      <c r="FJ41" s="37"/>
      <c r="FK41" s="37"/>
      <c r="FL41" s="37"/>
      <c r="FM41" s="37"/>
      <c r="FN41" s="37"/>
      <c r="FO41" s="37"/>
      <c r="FP41" s="37"/>
      <c r="FQ41" s="37"/>
      <c r="FR41" s="37"/>
      <c r="FS41" s="37"/>
      <c r="FT41" s="37"/>
      <c r="FU41" s="37"/>
      <c r="FV41" s="37"/>
      <c r="FW41" s="37"/>
      <c r="FX41" s="37"/>
      <c r="FY41" s="37"/>
      <c r="FZ41" s="37"/>
      <c r="GA41" s="37"/>
      <c r="GB41" s="37"/>
      <c r="GC41" s="37"/>
      <c r="GD41" s="37"/>
      <c r="GE41" s="37"/>
      <c r="GF41" s="37"/>
      <c r="GG41" s="37"/>
      <c r="GH41" s="37"/>
      <c r="GI41" s="37"/>
      <c r="GJ41" s="37"/>
      <c r="GK41" s="37"/>
      <c r="GL41" s="37"/>
      <c r="GM41" s="37"/>
      <c r="GN41" s="37"/>
      <c r="GO41" s="37"/>
      <c r="GP41" s="37"/>
      <c r="GQ41" s="37"/>
      <c r="GR41" s="37"/>
      <c r="GS41" s="37"/>
      <c r="GT41" s="37"/>
      <c r="GU41" s="37"/>
      <c r="GV41" s="37"/>
      <c r="GW41" s="37"/>
      <c r="GX41" s="37"/>
      <c r="GY41" s="37"/>
      <c r="GZ41" s="37"/>
      <c r="HA41" s="37"/>
      <c r="HB41" s="37"/>
      <c r="HC41" s="37"/>
      <c r="HD41" s="37"/>
      <c r="HE41" s="37"/>
      <c r="HF41" s="37"/>
      <c r="HG41" s="37"/>
      <c r="HH41" s="37"/>
      <c r="HI41" s="37"/>
      <c r="HJ41" s="37"/>
      <c r="HK41" s="37"/>
      <c r="HL41" s="37"/>
      <c r="HM41" s="37"/>
      <c r="HN41" s="37"/>
      <c r="HO41" s="37"/>
      <c r="HP41" s="37"/>
      <c r="HQ41" s="37"/>
      <c r="HR41" s="37"/>
      <c r="HS41" s="37"/>
      <c r="HT41" s="37"/>
      <c r="HU41" s="37"/>
      <c r="HV41" s="37"/>
      <c r="HW41" s="37"/>
      <c r="HX41" s="37"/>
      <c r="HY41" s="37"/>
      <c r="HZ41" s="37"/>
      <c r="IA41" s="37"/>
      <c r="IB41" s="37"/>
      <c r="IC41" s="37"/>
      <c r="ID41" s="37"/>
      <c r="IE41" s="37"/>
      <c r="IF41" s="37"/>
      <c r="IG41" s="37"/>
      <c r="IH41" s="37"/>
      <c r="II41" s="37"/>
      <c r="IJ41" s="37"/>
      <c r="IK41" s="37"/>
      <c r="IL41" s="37"/>
      <c r="IM41" s="37"/>
      <c r="IN41" s="37"/>
      <c r="IO41" s="37"/>
      <c r="IP41" s="37"/>
      <c r="IQ41" s="37"/>
      <c r="IR41" s="37"/>
      <c r="IS41" s="37"/>
      <c r="IT41" s="37"/>
      <c r="IU41" s="37"/>
      <c r="IV41" s="37"/>
    </row>
    <row r="42" spans="1:256" s="51" customFormat="1" ht="15" customHeight="1" x14ac:dyDescent="0.15">
      <c r="A42" s="90"/>
      <c r="B42" s="94"/>
      <c r="C42" s="90"/>
      <c r="D42" s="95"/>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c r="BT42" s="37"/>
      <c r="BU42" s="37"/>
      <c r="BV42" s="37"/>
      <c r="BW42" s="37"/>
      <c r="BX42" s="37"/>
      <c r="BY42" s="37"/>
      <c r="BZ42" s="37"/>
      <c r="CA42" s="37"/>
      <c r="CB42" s="37"/>
      <c r="CC42" s="37"/>
      <c r="CD42" s="37"/>
      <c r="CE42" s="37"/>
      <c r="CF42" s="37"/>
      <c r="CG42" s="37"/>
      <c r="CH42" s="37"/>
      <c r="CI42" s="37"/>
      <c r="CJ42" s="37"/>
      <c r="CK42" s="37"/>
      <c r="CL42" s="37"/>
      <c r="CM42" s="37"/>
      <c r="CN42" s="37"/>
      <c r="CO42" s="37"/>
      <c r="CP42" s="37"/>
      <c r="CQ42" s="37"/>
      <c r="CR42" s="37"/>
      <c r="CS42" s="37"/>
      <c r="CT42" s="37"/>
      <c r="CU42" s="37"/>
      <c r="CV42" s="37"/>
      <c r="CW42" s="37"/>
      <c r="CX42" s="37"/>
      <c r="CY42" s="37"/>
      <c r="CZ42" s="37"/>
      <c r="DA42" s="37"/>
      <c r="DB42" s="37"/>
      <c r="DC42" s="37"/>
      <c r="DD42" s="37"/>
      <c r="DE42" s="37"/>
      <c r="DF42" s="37"/>
      <c r="DG42" s="37"/>
      <c r="DH42" s="37"/>
      <c r="DI42" s="37"/>
      <c r="DJ42" s="37"/>
      <c r="DK42" s="37"/>
      <c r="DL42" s="37"/>
      <c r="DM42" s="37"/>
      <c r="DN42" s="37"/>
      <c r="DO42" s="37"/>
      <c r="DP42" s="37"/>
      <c r="DQ42" s="37"/>
      <c r="DR42" s="37"/>
      <c r="DS42" s="37"/>
      <c r="DT42" s="37"/>
      <c r="DU42" s="37"/>
      <c r="DV42" s="37"/>
      <c r="DW42" s="37"/>
      <c r="DX42" s="37"/>
      <c r="DY42" s="37"/>
      <c r="DZ42" s="37"/>
      <c r="EA42" s="37"/>
      <c r="EB42" s="37"/>
      <c r="EC42" s="37"/>
      <c r="ED42" s="37"/>
      <c r="EE42" s="37"/>
      <c r="EF42" s="37"/>
      <c r="EG42" s="37"/>
      <c r="EH42" s="37"/>
      <c r="EI42" s="37"/>
      <c r="EJ42" s="37"/>
      <c r="EK42" s="37"/>
      <c r="EL42" s="37"/>
      <c r="EM42" s="37"/>
      <c r="EN42" s="37"/>
      <c r="EO42" s="37"/>
      <c r="EP42" s="37"/>
      <c r="EQ42" s="37"/>
      <c r="ER42" s="37"/>
      <c r="ES42" s="37"/>
      <c r="ET42" s="37"/>
      <c r="EU42" s="37"/>
      <c r="EV42" s="37"/>
      <c r="EW42" s="37"/>
      <c r="EX42" s="37"/>
      <c r="EY42" s="37"/>
      <c r="EZ42" s="37"/>
      <c r="FA42" s="37"/>
      <c r="FB42" s="37"/>
      <c r="FC42" s="37"/>
      <c r="FD42" s="37"/>
      <c r="FE42" s="37"/>
      <c r="FF42" s="37"/>
      <c r="FG42" s="37"/>
      <c r="FH42" s="37"/>
      <c r="FI42" s="37"/>
      <c r="FJ42" s="37"/>
      <c r="FK42" s="37"/>
      <c r="FL42" s="37"/>
      <c r="FM42" s="37"/>
      <c r="FN42" s="37"/>
      <c r="FO42" s="37"/>
      <c r="FP42" s="37"/>
      <c r="FQ42" s="37"/>
      <c r="FR42" s="37"/>
      <c r="FS42" s="37"/>
      <c r="FT42" s="37"/>
      <c r="FU42" s="37"/>
      <c r="FV42" s="37"/>
      <c r="FW42" s="37"/>
      <c r="FX42" s="37"/>
      <c r="FY42" s="37"/>
      <c r="FZ42" s="37"/>
      <c r="GA42" s="37"/>
      <c r="GB42" s="37"/>
      <c r="GC42" s="37"/>
      <c r="GD42" s="37"/>
      <c r="GE42" s="37"/>
      <c r="GF42" s="37"/>
      <c r="GG42" s="37"/>
      <c r="GH42" s="37"/>
      <c r="GI42" s="37"/>
      <c r="GJ42" s="37"/>
      <c r="GK42" s="37"/>
      <c r="GL42" s="37"/>
      <c r="GM42" s="37"/>
      <c r="GN42" s="37"/>
      <c r="GO42" s="37"/>
      <c r="GP42" s="37"/>
      <c r="GQ42" s="37"/>
      <c r="GR42" s="37"/>
      <c r="GS42" s="37"/>
      <c r="GT42" s="37"/>
      <c r="GU42" s="37"/>
      <c r="GV42" s="37"/>
      <c r="GW42" s="37"/>
      <c r="GX42" s="37"/>
      <c r="GY42" s="37"/>
      <c r="GZ42" s="37"/>
      <c r="HA42" s="37"/>
      <c r="HB42" s="37"/>
      <c r="HC42" s="37"/>
      <c r="HD42" s="37"/>
      <c r="HE42" s="37"/>
      <c r="HF42" s="37"/>
      <c r="HG42" s="37"/>
      <c r="HH42" s="37"/>
      <c r="HI42" s="37"/>
      <c r="HJ42" s="37"/>
      <c r="HK42" s="37"/>
      <c r="HL42" s="37"/>
      <c r="HM42" s="37"/>
      <c r="HN42" s="37"/>
      <c r="HO42" s="37"/>
      <c r="HP42" s="37"/>
      <c r="HQ42" s="37"/>
      <c r="HR42" s="37"/>
      <c r="HS42" s="37"/>
      <c r="HT42" s="37"/>
      <c r="HU42" s="37"/>
      <c r="HV42" s="37"/>
      <c r="HW42" s="37"/>
      <c r="HX42" s="37"/>
      <c r="HY42" s="37"/>
      <c r="HZ42" s="37"/>
      <c r="IA42" s="37"/>
      <c r="IB42" s="37"/>
      <c r="IC42" s="37"/>
      <c r="ID42" s="37"/>
      <c r="IE42" s="37"/>
      <c r="IF42" s="37"/>
      <c r="IG42" s="37"/>
      <c r="IH42" s="37"/>
      <c r="II42" s="37"/>
      <c r="IJ42" s="37"/>
      <c r="IK42" s="37"/>
      <c r="IL42" s="37"/>
      <c r="IM42" s="37"/>
      <c r="IN42" s="37"/>
      <c r="IO42" s="37"/>
      <c r="IP42" s="37"/>
      <c r="IQ42" s="37"/>
      <c r="IR42" s="37"/>
      <c r="IS42" s="37"/>
      <c r="IT42" s="37"/>
      <c r="IU42" s="37"/>
      <c r="IV42" s="37"/>
    </row>
    <row r="43" spans="1:256" s="51" customFormat="1" ht="15" customHeight="1" x14ac:dyDescent="0.15">
      <c r="A43" s="90"/>
      <c r="B43" s="90"/>
      <c r="C43" s="90"/>
      <c r="D43" s="90"/>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c r="BT43" s="37"/>
      <c r="BU43" s="37"/>
      <c r="BV43" s="37"/>
      <c r="BW43" s="37"/>
      <c r="BX43" s="37"/>
      <c r="BY43" s="37"/>
      <c r="BZ43" s="37"/>
      <c r="CA43" s="37"/>
      <c r="CB43" s="37"/>
      <c r="CC43" s="37"/>
      <c r="CD43" s="37"/>
      <c r="CE43" s="37"/>
      <c r="CF43" s="37"/>
      <c r="CG43" s="37"/>
      <c r="CH43" s="37"/>
      <c r="CI43" s="37"/>
      <c r="CJ43" s="37"/>
      <c r="CK43" s="37"/>
      <c r="CL43" s="37"/>
      <c r="CM43" s="37"/>
      <c r="CN43" s="37"/>
      <c r="CO43" s="37"/>
      <c r="CP43" s="37"/>
      <c r="CQ43" s="37"/>
      <c r="CR43" s="37"/>
      <c r="CS43" s="37"/>
      <c r="CT43" s="37"/>
      <c r="CU43" s="37"/>
      <c r="CV43" s="37"/>
      <c r="CW43" s="37"/>
      <c r="CX43" s="37"/>
      <c r="CY43" s="37"/>
      <c r="CZ43" s="37"/>
      <c r="DA43" s="37"/>
      <c r="DB43" s="37"/>
      <c r="DC43" s="37"/>
      <c r="DD43" s="37"/>
      <c r="DE43" s="37"/>
      <c r="DF43" s="37"/>
      <c r="DG43" s="37"/>
      <c r="DH43" s="37"/>
      <c r="DI43" s="37"/>
      <c r="DJ43" s="37"/>
      <c r="DK43" s="37"/>
      <c r="DL43" s="37"/>
      <c r="DM43" s="37"/>
      <c r="DN43" s="37"/>
      <c r="DO43" s="37"/>
      <c r="DP43" s="37"/>
      <c r="DQ43" s="37"/>
      <c r="DR43" s="37"/>
      <c r="DS43" s="37"/>
      <c r="DT43" s="37"/>
      <c r="DU43" s="37"/>
      <c r="DV43" s="37"/>
      <c r="DW43" s="37"/>
      <c r="DX43" s="37"/>
      <c r="DY43" s="37"/>
      <c r="DZ43" s="37"/>
      <c r="EA43" s="37"/>
      <c r="EB43" s="37"/>
      <c r="EC43" s="37"/>
      <c r="ED43" s="37"/>
      <c r="EE43" s="37"/>
      <c r="EF43" s="37"/>
      <c r="EG43" s="37"/>
      <c r="EH43" s="37"/>
      <c r="EI43" s="37"/>
      <c r="EJ43" s="37"/>
      <c r="EK43" s="37"/>
      <c r="EL43" s="37"/>
      <c r="EM43" s="37"/>
      <c r="EN43" s="37"/>
      <c r="EO43" s="37"/>
      <c r="EP43" s="37"/>
      <c r="EQ43" s="37"/>
      <c r="ER43" s="37"/>
      <c r="ES43" s="37"/>
      <c r="ET43" s="37"/>
      <c r="EU43" s="37"/>
      <c r="EV43" s="37"/>
      <c r="EW43" s="37"/>
      <c r="EX43" s="37"/>
      <c r="EY43" s="37"/>
      <c r="EZ43" s="37"/>
      <c r="FA43" s="37"/>
      <c r="FB43" s="37"/>
      <c r="FC43" s="37"/>
      <c r="FD43" s="37"/>
      <c r="FE43" s="37"/>
      <c r="FF43" s="37"/>
      <c r="FG43" s="37"/>
      <c r="FH43" s="37"/>
      <c r="FI43" s="37"/>
      <c r="FJ43" s="37"/>
      <c r="FK43" s="37"/>
      <c r="FL43" s="37"/>
      <c r="FM43" s="37"/>
      <c r="FN43" s="37"/>
      <c r="FO43" s="37"/>
      <c r="FP43" s="37"/>
      <c r="FQ43" s="37"/>
      <c r="FR43" s="37"/>
      <c r="FS43" s="37"/>
      <c r="FT43" s="37"/>
      <c r="FU43" s="37"/>
      <c r="FV43" s="37"/>
      <c r="FW43" s="37"/>
      <c r="FX43" s="37"/>
      <c r="FY43" s="37"/>
      <c r="FZ43" s="37"/>
      <c r="GA43" s="37"/>
      <c r="GB43" s="37"/>
      <c r="GC43" s="37"/>
      <c r="GD43" s="37"/>
      <c r="GE43" s="37"/>
      <c r="GF43" s="37"/>
      <c r="GG43" s="37"/>
      <c r="GH43" s="37"/>
      <c r="GI43" s="37"/>
      <c r="GJ43" s="37"/>
      <c r="GK43" s="37"/>
      <c r="GL43" s="37"/>
      <c r="GM43" s="37"/>
      <c r="GN43" s="37"/>
      <c r="GO43" s="37"/>
      <c r="GP43" s="37"/>
      <c r="GQ43" s="37"/>
      <c r="GR43" s="37"/>
      <c r="GS43" s="37"/>
      <c r="GT43" s="37"/>
      <c r="GU43" s="37"/>
      <c r="GV43" s="37"/>
      <c r="GW43" s="37"/>
      <c r="GX43" s="37"/>
      <c r="GY43" s="37"/>
      <c r="GZ43" s="37"/>
      <c r="HA43" s="37"/>
      <c r="HB43" s="37"/>
      <c r="HC43" s="37"/>
      <c r="HD43" s="37"/>
      <c r="HE43" s="37"/>
      <c r="HF43" s="37"/>
      <c r="HG43" s="37"/>
      <c r="HH43" s="37"/>
      <c r="HI43" s="37"/>
      <c r="HJ43" s="37"/>
      <c r="HK43" s="37"/>
      <c r="HL43" s="37"/>
      <c r="HM43" s="37"/>
      <c r="HN43" s="37"/>
      <c r="HO43" s="37"/>
      <c r="HP43" s="37"/>
      <c r="HQ43" s="37"/>
      <c r="HR43" s="37"/>
      <c r="HS43" s="37"/>
      <c r="HT43" s="37"/>
      <c r="HU43" s="37"/>
      <c r="HV43" s="37"/>
      <c r="HW43" s="37"/>
      <c r="HX43" s="37"/>
      <c r="HY43" s="37"/>
      <c r="HZ43" s="37"/>
      <c r="IA43" s="37"/>
      <c r="IB43" s="37"/>
      <c r="IC43" s="37"/>
      <c r="ID43" s="37"/>
      <c r="IE43" s="37"/>
      <c r="IF43" s="37"/>
      <c r="IG43" s="37"/>
      <c r="IH43" s="37"/>
      <c r="II43" s="37"/>
      <c r="IJ43" s="37"/>
      <c r="IK43" s="37"/>
      <c r="IL43" s="37"/>
      <c r="IM43" s="37"/>
      <c r="IN43" s="37"/>
      <c r="IO43" s="37"/>
      <c r="IP43" s="37"/>
      <c r="IQ43" s="37"/>
      <c r="IR43" s="37"/>
      <c r="IS43" s="37"/>
      <c r="IT43" s="37"/>
      <c r="IU43" s="37"/>
      <c r="IV43" s="37"/>
    </row>
    <row r="44" spans="1:256" s="51" customFormat="1" ht="15" customHeight="1" x14ac:dyDescent="0.15">
      <c r="A44" s="90"/>
      <c r="B44" s="90"/>
      <c r="C44" s="90"/>
      <c r="D44" s="90"/>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c r="BT44" s="37"/>
      <c r="BU44" s="37"/>
      <c r="BV44" s="37"/>
      <c r="BW44" s="37"/>
      <c r="BX44" s="37"/>
      <c r="BY44" s="37"/>
      <c r="BZ44" s="37"/>
      <c r="CA44" s="37"/>
      <c r="CB44" s="37"/>
      <c r="CC44" s="37"/>
      <c r="CD44" s="37"/>
      <c r="CE44" s="37"/>
      <c r="CF44" s="37"/>
      <c r="CG44" s="37"/>
      <c r="CH44" s="37"/>
      <c r="CI44" s="37"/>
      <c r="CJ44" s="37"/>
      <c r="CK44" s="37"/>
      <c r="CL44" s="37"/>
      <c r="CM44" s="37"/>
      <c r="CN44" s="37"/>
      <c r="CO44" s="37"/>
      <c r="CP44" s="37"/>
      <c r="CQ44" s="37"/>
      <c r="CR44" s="37"/>
      <c r="CS44" s="37"/>
      <c r="CT44" s="37"/>
      <c r="CU44" s="37"/>
      <c r="CV44" s="37"/>
      <c r="CW44" s="37"/>
      <c r="CX44" s="37"/>
      <c r="CY44" s="37"/>
      <c r="CZ44" s="37"/>
      <c r="DA44" s="37"/>
      <c r="DB44" s="37"/>
      <c r="DC44" s="37"/>
      <c r="DD44" s="37"/>
      <c r="DE44" s="37"/>
      <c r="DF44" s="37"/>
      <c r="DG44" s="37"/>
      <c r="DH44" s="37"/>
      <c r="DI44" s="37"/>
      <c r="DJ44" s="37"/>
      <c r="DK44" s="37"/>
      <c r="DL44" s="37"/>
      <c r="DM44" s="37"/>
      <c r="DN44" s="37"/>
      <c r="DO44" s="37"/>
      <c r="DP44" s="37"/>
      <c r="DQ44" s="37"/>
      <c r="DR44" s="37"/>
      <c r="DS44" s="37"/>
      <c r="DT44" s="37"/>
      <c r="DU44" s="37"/>
      <c r="DV44" s="37"/>
      <c r="DW44" s="37"/>
      <c r="DX44" s="37"/>
      <c r="DY44" s="37"/>
      <c r="DZ44" s="37"/>
      <c r="EA44" s="37"/>
      <c r="EB44" s="37"/>
      <c r="EC44" s="37"/>
      <c r="ED44" s="37"/>
      <c r="EE44" s="37"/>
      <c r="EF44" s="37"/>
      <c r="EG44" s="37"/>
      <c r="EH44" s="37"/>
      <c r="EI44" s="37"/>
      <c r="EJ44" s="37"/>
      <c r="EK44" s="37"/>
      <c r="EL44" s="37"/>
      <c r="EM44" s="37"/>
      <c r="EN44" s="37"/>
      <c r="EO44" s="37"/>
      <c r="EP44" s="37"/>
      <c r="EQ44" s="37"/>
      <c r="ER44" s="37"/>
      <c r="ES44" s="37"/>
      <c r="ET44" s="37"/>
      <c r="EU44" s="37"/>
      <c r="EV44" s="37"/>
      <c r="EW44" s="37"/>
      <c r="EX44" s="37"/>
      <c r="EY44" s="37"/>
      <c r="EZ44" s="37"/>
      <c r="FA44" s="37"/>
      <c r="FB44" s="37"/>
      <c r="FC44" s="37"/>
      <c r="FD44" s="37"/>
      <c r="FE44" s="37"/>
      <c r="FF44" s="37"/>
      <c r="FG44" s="37"/>
      <c r="FH44" s="37"/>
      <c r="FI44" s="37"/>
      <c r="FJ44" s="37"/>
      <c r="FK44" s="37"/>
      <c r="FL44" s="37"/>
      <c r="FM44" s="37"/>
      <c r="FN44" s="37"/>
      <c r="FO44" s="37"/>
      <c r="FP44" s="37"/>
      <c r="FQ44" s="37"/>
      <c r="FR44" s="37"/>
      <c r="FS44" s="37"/>
      <c r="FT44" s="37"/>
      <c r="FU44" s="37"/>
      <c r="FV44" s="37"/>
      <c r="FW44" s="37"/>
      <c r="FX44" s="37"/>
      <c r="FY44" s="37"/>
      <c r="FZ44" s="37"/>
      <c r="GA44" s="37"/>
      <c r="GB44" s="37"/>
      <c r="GC44" s="37"/>
      <c r="GD44" s="37"/>
      <c r="GE44" s="37"/>
      <c r="GF44" s="37"/>
      <c r="GG44" s="37"/>
      <c r="GH44" s="37"/>
      <c r="GI44" s="37"/>
      <c r="GJ44" s="37"/>
      <c r="GK44" s="37"/>
      <c r="GL44" s="37"/>
      <c r="GM44" s="37"/>
      <c r="GN44" s="37"/>
      <c r="GO44" s="37"/>
      <c r="GP44" s="37"/>
      <c r="GQ44" s="37"/>
      <c r="GR44" s="37"/>
      <c r="GS44" s="37"/>
      <c r="GT44" s="37"/>
      <c r="GU44" s="37"/>
      <c r="GV44" s="37"/>
      <c r="GW44" s="37"/>
      <c r="GX44" s="37"/>
      <c r="GY44" s="37"/>
      <c r="GZ44" s="37"/>
      <c r="HA44" s="37"/>
      <c r="HB44" s="37"/>
      <c r="HC44" s="37"/>
      <c r="HD44" s="37"/>
      <c r="HE44" s="37"/>
      <c r="HF44" s="37"/>
      <c r="HG44" s="37"/>
      <c r="HH44" s="37"/>
      <c r="HI44" s="37"/>
      <c r="HJ44" s="37"/>
      <c r="HK44" s="37"/>
      <c r="HL44" s="37"/>
      <c r="HM44" s="37"/>
      <c r="HN44" s="37"/>
      <c r="HO44" s="37"/>
      <c r="HP44" s="37"/>
      <c r="HQ44" s="37"/>
      <c r="HR44" s="37"/>
      <c r="HS44" s="37"/>
      <c r="HT44" s="37"/>
      <c r="HU44" s="37"/>
      <c r="HV44" s="37"/>
      <c r="HW44" s="37"/>
      <c r="HX44" s="37"/>
      <c r="HY44" s="37"/>
      <c r="HZ44" s="37"/>
      <c r="IA44" s="37"/>
      <c r="IB44" s="37"/>
      <c r="IC44" s="37"/>
      <c r="ID44" s="37"/>
      <c r="IE44" s="37"/>
      <c r="IF44" s="37"/>
      <c r="IG44" s="37"/>
      <c r="IH44" s="37"/>
      <c r="II44" s="37"/>
      <c r="IJ44" s="37"/>
      <c r="IK44" s="37"/>
      <c r="IL44" s="37"/>
      <c r="IM44" s="37"/>
      <c r="IN44" s="37"/>
      <c r="IO44" s="37"/>
      <c r="IP44" s="37"/>
      <c r="IQ44" s="37"/>
      <c r="IR44" s="37"/>
      <c r="IS44" s="37"/>
      <c r="IT44" s="37"/>
      <c r="IU44" s="37"/>
      <c r="IV44" s="37"/>
    </row>
    <row r="45" spans="1:256" s="51" customFormat="1" x14ac:dyDescent="0.15">
      <c r="A45" s="90"/>
      <c r="B45" s="90"/>
      <c r="C45" s="90"/>
      <c r="D45" s="90"/>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37"/>
      <c r="CN45" s="37"/>
      <c r="CO45" s="37"/>
      <c r="CP45" s="37"/>
      <c r="CQ45" s="37"/>
      <c r="CR45" s="37"/>
      <c r="CS45" s="37"/>
      <c r="CT45" s="37"/>
      <c r="CU45" s="37"/>
      <c r="CV45" s="37"/>
      <c r="CW45" s="37"/>
      <c r="CX45" s="37"/>
      <c r="CY45" s="37"/>
      <c r="CZ45" s="37"/>
      <c r="DA45" s="37"/>
      <c r="DB45" s="37"/>
      <c r="DC45" s="37"/>
      <c r="DD45" s="37"/>
      <c r="DE45" s="37"/>
      <c r="DF45" s="37"/>
      <c r="DG45" s="37"/>
      <c r="DH45" s="37"/>
      <c r="DI45" s="37"/>
      <c r="DJ45" s="37"/>
      <c r="DK45" s="37"/>
      <c r="DL45" s="37"/>
      <c r="DM45" s="37"/>
      <c r="DN45" s="37"/>
      <c r="DO45" s="37"/>
      <c r="DP45" s="37"/>
      <c r="DQ45" s="37"/>
      <c r="DR45" s="37"/>
      <c r="DS45" s="37"/>
      <c r="DT45" s="37"/>
      <c r="DU45" s="37"/>
      <c r="DV45" s="37"/>
      <c r="DW45" s="37"/>
      <c r="DX45" s="37"/>
      <c r="DY45" s="37"/>
      <c r="DZ45" s="37"/>
      <c r="EA45" s="37"/>
      <c r="EB45" s="37"/>
      <c r="EC45" s="37"/>
      <c r="ED45" s="37"/>
      <c r="EE45" s="37"/>
      <c r="EF45" s="37"/>
      <c r="EG45" s="37"/>
      <c r="EH45" s="37"/>
      <c r="EI45" s="37"/>
      <c r="EJ45" s="37"/>
      <c r="EK45" s="37"/>
      <c r="EL45" s="37"/>
      <c r="EM45" s="37"/>
      <c r="EN45" s="37"/>
      <c r="EO45" s="37"/>
      <c r="EP45" s="37"/>
      <c r="EQ45" s="37"/>
      <c r="ER45" s="37"/>
      <c r="ES45" s="37"/>
      <c r="ET45" s="37"/>
      <c r="EU45" s="37"/>
      <c r="EV45" s="37"/>
      <c r="EW45" s="37"/>
      <c r="EX45" s="37"/>
      <c r="EY45" s="37"/>
      <c r="EZ45" s="37"/>
      <c r="FA45" s="37"/>
      <c r="FB45" s="37"/>
      <c r="FC45" s="37"/>
      <c r="FD45" s="37"/>
      <c r="FE45" s="37"/>
      <c r="FF45" s="37"/>
      <c r="FG45" s="37"/>
      <c r="FH45" s="37"/>
      <c r="FI45" s="37"/>
      <c r="FJ45" s="37"/>
      <c r="FK45" s="37"/>
      <c r="FL45" s="37"/>
      <c r="FM45" s="37"/>
      <c r="FN45" s="37"/>
      <c r="FO45" s="37"/>
      <c r="FP45" s="37"/>
      <c r="FQ45" s="37"/>
      <c r="FR45" s="37"/>
      <c r="FS45" s="37"/>
      <c r="FT45" s="37"/>
      <c r="FU45" s="37"/>
      <c r="FV45" s="37"/>
      <c r="FW45" s="37"/>
      <c r="FX45" s="37"/>
      <c r="FY45" s="37"/>
      <c r="FZ45" s="37"/>
      <c r="GA45" s="37"/>
      <c r="GB45" s="37"/>
      <c r="GC45" s="37"/>
      <c r="GD45" s="37"/>
      <c r="GE45" s="37"/>
      <c r="GF45" s="37"/>
      <c r="GG45" s="37"/>
      <c r="GH45" s="37"/>
      <c r="GI45" s="37"/>
      <c r="GJ45" s="37"/>
      <c r="GK45" s="37"/>
      <c r="GL45" s="37"/>
      <c r="GM45" s="37"/>
      <c r="GN45" s="37"/>
      <c r="GO45" s="37"/>
      <c r="GP45" s="37"/>
      <c r="GQ45" s="37"/>
      <c r="GR45" s="37"/>
      <c r="GS45" s="37"/>
      <c r="GT45" s="37"/>
      <c r="GU45" s="37"/>
      <c r="GV45" s="37"/>
      <c r="GW45" s="37"/>
      <c r="GX45" s="37"/>
      <c r="GY45" s="37"/>
      <c r="GZ45" s="37"/>
      <c r="HA45" s="37"/>
      <c r="HB45" s="37"/>
      <c r="HC45" s="37"/>
      <c r="HD45" s="37"/>
      <c r="HE45" s="37"/>
      <c r="HF45" s="37"/>
      <c r="HG45" s="37"/>
      <c r="HH45" s="37"/>
      <c r="HI45" s="37"/>
      <c r="HJ45" s="37"/>
      <c r="HK45" s="37"/>
      <c r="HL45" s="37"/>
      <c r="HM45" s="37"/>
      <c r="HN45" s="37"/>
      <c r="HO45" s="37"/>
      <c r="HP45" s="37"/>
      <c r="HQ45" s="37"/>
      <c r="HR45" s="37"/>
      <c r="HS45" s="37"/>
      <c r="HT45" s="37"/>
      <c r="HU45" s="37"/>
      <c r="HV45" s="37"/>
      <c r="HW45" s="37"/>
      <c r="HX45" s="37"/>
      <c r="HY45" s="37"/>
      <c r="HZ45" s="37"/>
      <c r="IA45" s="37"/>
      <c r="IB45" s="37"/>
      <c r="IC45" s="37"/>
      <c r="ID45" s="37"/>
      <c r="IE45" s="37"/>
      <c r="IF45" s="37"/>
      <c r="IG45" s="37"/>
      <c r="IH45" s="37"/>
      <c r="II45" s="37"/>
      <c r="IJ45" s="37"/>
      <c r="IK45" s="37"/>
      <c r="IL45" s="37"/>
      <c r="IM45" s="37"/>
      <c r="IN45" s="37"/>
      <c r="IO45" s="37"/>
      <c r="IP45" s="37"/>
      <c r="IQ45" s="37"/>
      <c r="IR45" s="37"/>
      <c r="IS45" s="37"/>
      <c r="IT45" s="37"/>
      <c r="IU45" s="37"/>
      <c r="IV45" s="37"/>
    </row>
    <row r="46" spans="1:256" s="51" customFormat="1" x14ac:dyDescent="0.15">
      <c r="A46" s="90"/>
      <c r="B46" s="94"/>
      <c r="C46" s="96"/>
      <c r="D46" s="9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c r="BT46" s="37"/>
      <c r="BU46" s="37"/>
      <c r="BV46" s="37"/>
      <c r="BW46" s="37"/>
      <c r="BX46" s="37"/>
      <c r="BY46" s="37"/>
      <c r="BZ46" s="37"/>
      <c r="CA46" s="37"/>
      <c r="CB46" s="37"/>
      <c r="CC46" s="37"/>
      <c r="CD46" s="37"/>
      <c r="CE46" s="37"/>
      <c r="CF46" s="37"/>
      <c r="CG46" s="37"/>
      <c r="CH46" s="37"/>
      <c r="CI46" s="37"/>
      <c r="CJ46" s="37"/>
      <c r="CK46" s="37"/>
      <c r="CL46" s="37"/>
      <c r="CM46" s="37"/>
      <c r="CN46" s="37"/>
      <c r="CO46" s="37"/>
      <c r="CP46" s="37"/>
      <c r="CQ46" s="37"/>
      <c r="CR46" s="37"/>
      <c r="CS46" s="37"/>
      <c r="CT46" s="37"/>
      <c r="CU46" s="37"/>
      <c r="CV46" s="37"/>
      <c r="CW46" s="37"/>
      <c r="CX46" s="37"/>
      <c r="CY46" s="37"/>
      <c r="CZ46" s="37"/>
      <c r="DA46" s="37"/>
      <c r="DB46" s="37"/>
      <c r="DC46" s="37"/>
      <c r="DD46" s="37"/>
      <c r="DE46" s="37"/>
      <c r="DF46" s="37"/>
      <c r="DG46" s="37"/>
      <c r="DH46" s="37"/>
      <c r="DI46" s="37"/>
      <c r="DJ46" s="37"/>
      <c r="DK46" s="37"/>
      <c r="DL46" s="37"/>
      <c r="DM46" s="37"/>
      <c r="DN46" s="37"/>
      <c r="DO46" s="37"/>
      <c r="DP46" s="37"/>
      <c r="DQ46" s="37"/>
      <c r="DR46" s="37"/>
      <c r="DS46" s="37"/>
      <c r="DT46" s="37"/>
      <c r="DU46" s="37"/>
      <c r="DV46" s="37"/>
      <c r="DW46" s="37"/>
      <c r="DX46" s="37"/>
      <c r="DY46" s="37"/>
      <c r="DZ46" s="37"/>
      <c r="EA46" s="37"/>
      <c r="EB46" s="37"/>
      <c r="EC46" s="37"/>
      <c r="ED46" s="37"/>
      <c r="EE46" s="37"/>
      <c r="EF46" s="37"/>
      <c r="EG46" s="37"/>
      <c r="EH46" s="37"/>
      <c r="EI46" s="37"/>
      <c r="EJ46" s="37"/>
      <c r="EK46" s="37"/>
      <c r="EL46" s="37"/>
      <c r="EM46" s="37"/>
      <c r="EN46" s="37"/>
      <c r="EO46" s="37"/>
      <c r="EP46" s="37"/>
      <c r="EQ46" s="37"/>
      <c r="ER46" s="37"/>
      <c r="ES46" s="37"/>
      <c r="ET46" s="37"/>
      <c r="EU46" s="37"/>
      <c r="EV46" s="37"/>
      <c r="EW46" s="37"/>
      <c r="EX46" s="37"/>
      <c r="EY46" s="37"/>
      <c r="EZ46" s="37"/>
      <c r="FA46" s="37"/>
      <c r="FB46" s="37"/>
      <c r="FC46" s="37"/>
      <c r="FD46" s="37"/>
      <c r="FE46" s="37"/>
      <c r="FF46" s="37"/>
      <c r="FG46" s="37"/>
      <c r="FH46" s="37"/>
      <c r="FI46" s="37"/>
      <c r="FJ46" s="37"/>
      <c r="FK46" s="37"/>
      <c r="FL46" s="37"/>
      <c r="FM46" s="37"/>
      <c r="FN46" s="37"/>
      <c r="FO46" s="37"/>
      <c r="FP46" s="37"/>
      <c r="FQ46" s="37"/>
      <c r="FR46" s="37"/>
      <c r="FS46" s="37"/>
      <c r="FT46" s="37"/>
      <c r="FU46" s="37"/>
      <c r="FV46" s="37"/>
      <c r="FW46" s="37"/>
      <c r="FX46" s="37"/>
      <c r="FY46" s="37"/>
      <c r="FZ46" s="37"/>
      <c r="GA46" s="37"/>
      <c r="GB46" s="37"/>
      <c r="GC46" s="37"/>
      <c r="GD46" s="37"/>
      <c r="GE46" s="37"/>
      <c r="GF46" s="37"/>
      <c r="GG46" s="37"/>
      <c r="GH46" s="37"/>
      <c r="GI46" s="37"/>
      <c r="GJ46" s="37"/>
      <c r="GK46" s="37"/>
      <c r="GL46" s="37"/>
      <c r="GM46" s="37"/>
      <c r="GN46" s="37"/>
      <c r="GO46" s="37"/>
      <c r="GP46" s="37"/>
      <c r="GQ46" s="37"/>
      <c r="GR46" s="37"/>
      <c r="GS46" s="37"/>
      <c r="GT46" s="37"/>
      <c r="GU46" s="37"/>
      <c r="GV46" s="37"/>
      <c r="GW46" s="37"/>
      <c r="GX46" s="37"/>
      <c r="GY46" s="37"/>
      <c r="GZ46" s="37"/>
      <c r="HA46" s="37"/>
      <c r="HB46" s="37"/>
      <c r="HC46" s="37"/>
      <c r="HD46" s="37"/>
      <c r="HE46" s="37"/>
      <c r="HF46" s="37"/>
      <c r="HG46" s="37"/>
      <c r="HH46" s="37"/>
      <c r="HI46" s="37"/>
      <c r="HJ46" s="37"/>
      <c r="HK46" s="37"/>
      <c r="HL46" s="37"/>
      <c r="HM46" s="37"/>
      <c r="HN46" s="37"/>
      <c r="HO46" s="37"/>
      <c r="HP46" s="37"/>
      <c r="HQ46" s="37"/>
      <c r="HR46" s="37"/>
      <c r="HS46" s="37"/>
      <c r="HT46" s="37"/>
      <c r="HU46" s="37"/>
      <c r="HV46" s="37"/>
      <c r="HW46" s="37"/>
      <c r="HX46" s="37"/>
      <c r="HY46" s="37"/>
      <c r="HZ46" s="37"/>
      <c r="IA46" s="37"/>
      <c r="IB46" s="37"/>
      <c r="IC46" s="37"/>
      <c r="ID46" s="37"/>
      <c r="IE46" s="37"/>
      <c r="IF46" s="37"/>
      <c r="IG46" s="37"/>
      <c r="IH46" s="37"/>
      <c r="II46" s="37"/>
      <c r="IJ46" s="37"/>
      <c r="IK46" s="37"/>
      <c r="IL46" s="37"/>
      <c r="IM46" s="37"/>
      <c r="IN46" s="37"/>
      <c r="IO46" s="37"/>
      <c r="IP46" s="37"/>
      <c r="IQ46" s="37"/>
      <c r="IR46" s="37"/>
      <c r="IS46" s="37"/>
      <c r="IT46" s="37"/>
      <c r="IU46" s="37"/>
      <c r="IV46" s="37"/>
    </row>
    <row r="47" spans="1:256" s="51" customFormat="1" x14ac:dyDescent="0.15">
      <c r="A47" s="98"/>
      <c r="B47" s="94"/>
      <c r="C47" s="90"/>
      <c r="D47" s="9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37"/>
      <c r="CH47" s="37"/>
      <c r="CI47" s="37"/>
      <c r="CJ47" s="37"/>
      <c r="CK47" s="37"/>
      <c r="CL47" s="37"/>
      <c r="CM47" s="37"/>
      <c r="CN47" s="37"/>
      <c r="CO47" s="37"/>
      <c r="CP47" s="37"/>
      <c r="CQ47" s="37"/>
      <c r="CR47" s="37"/>
      <c r="CS47" s="37"/>
      <c r="CT47" s="37"/>
      <c r="CU47" s="37"/>
      <c r="CV47" s="37"/>
      <c r="CW47" s="37"/>
      <c r="CX47" s="37"/>
      <c r="CY47" s="37"/>
      <c r="CZ47" s="37"/>
      <c r="DA47" s="37"/>
      <c r="DB47" s="37"/>
      <c r="DC47" s="37"/>
      <c r="DD47" s="37"/>
      <c r="DE47" s="37"/>
      <c r="DF47" s="37"/>
      <c r="DG47" s="37"/>
      <c r="DH47" s="37"/>
      <c r="DI47" s="37"/>
      <c r="DJ47" s="37"/>
      <c r="DK47" s="37"/>
      <c r="DL47" s="37"/>
      <c r="DM47" s="37"/>
      <c r="DN47" s="37"/>
      <c r="DO47" s="37"/>
      <c r="DP47" s="37"/>
      <c r="DQ47" s="37"/>
      <c r="DR47" s="37"/>
      <c r="DS47" s="37"/>
      <c r="DT47" s="37"/>
      <c r="DU47" s="37"/>
      <c r="DV47" s="37"/>
      <c r="DW47" s="37"/>
      <c r="DX47" s="37"/>
      <c r="DY47" s="37"/>
      <c r="DZ47" s="37"/>
      <c r="EA47" s="37"/>
      <c r="EB47" s="37"/>
      <c r="EC47" s="37"/>
      <c r="ED47" s="37"/>
      <c r="EE47" s="37"/>
      <c r="EF47" s="37"/>
      <c r="EG47" s="37"/>
      <c r="EH47" s="37"/>
      <c r="EI47" s="37"/>
      <c r="EJ47" s="37"/>
      <c r="EK47" s="37"/>
      <c r="EL47" s="37"/>
      <c r="EM47" s="37"/>
      <c r="EN47" s="37"/>
      <c r="EO47" s="37"/>
      <c r="EP47" s="37"/>
      <c r="EQ47" s="37"/>
      <c r="ER47" s="37"/>
      <c r="ES47" s="37"/>
      <c r="ET47" s="37"/>
      <c r="EU47" s="37"/>
      <c r="EV47" s="37"/>
      <c r="EW47" s="37"/>
      <c r="EX47" s="37"/>
      <c r="EY47" s="37"/>
      <c r="EZ47" s="37"/>
      <c r="FA47" s="37"/>
      <c r="FB47" s="37"/>
      <c r="FC47" s="37"/>
      <c r="FD47" s="37"/>
      <c r="FE47" s="37"/>
      <c r="FF47" s="37"/>
      <c r="FG47" s="37"/>
      <c r="FH47" s="37"/>
      <c r="FI47" s="37"/>
      <c r="FJ47" s="37"/>
      <c r="FK47" s="37"/>
      <c r="FL47" s="37"/>
      <c r="FM47" s="37"/>
      <c r="FN47" s="37"/>
      <c r="FO47" s="37"/>
      <c r="FP47" s="37"/>
      <c r="FQ47" s="37"/>
      <c r="FR47" s="37"/>
      <c r="FS47" s="37"/>
      <c r="FT47" s="37"/>
      <c r="FU47" s="37"/>
      <c r="FV47" s="37"/>
      <c r="FW47" s="37"/>
      <c r="FX47" s="37"/>
      <c r="FY47" s="37"/>
      <c r="FZ47" s="37"/>
      <c r="GA47" s="37"/>
      <c r="GB47" s="37"/>
      <c r="GC47" s="37"/>
      <c r="GD47" s="37"/>
      <c r="GE47" s="37"/>
      <c r="GF47" s="37"/>
      <c r="GG47" s="37"/>
      <c r="GH47" s="37"/>
      <c r="GI47" s="37"/>
      <c r="GJ47" s="37"/>
      <c r="GK47" s="37"/>
      <c r="GL47" s="37"/>
      <c r="GM47" s="37"/>
      <c r="GN47" s="37"/>
      <c r="GO47" s="37"/>
      <c r="GP47" s="37"/>
      <c r="GQ47" s="37"/>
      <c r="GR47" s="37"/>
      <c r="GS47" s="37"/>
      <c r="GT47" s="37"/>
      <c r="GU47" s="37"/>
      <c r="GV47" s="37"/>
      <c r="GW47" s="37"/>
      <c r="GX47" s="37"/>
      <c r="GY47" s="37"/>
      <c r="GZ47" s="37"/>
      <c r="HA47" s="37"/>
      <c r="HB47" s="37"/>
      <c r="HC47" s="37"/>
      <c r="HD47" s="37"/>
      <c r="HE47" s="37"/>
      <c r="HF47" s="37"/>
      <c r="HG47" s="37"/>
      <c r="HH47" s="37"/>
      <c r="HI47" s="37"/>
      <c r="HJ47" s="37"/>
      <c r="HK47" s="37"/>
      <c r="HL47" s="37"/>
      <c r="HM47" s="37"/>
      <c r="HN47" s="37"/>
      <c r="HO47" s="37"/>
      <c r="HP47" s="37"/>
      <c r="HQ47" s="37"/>
      <c r="HR47" s="37"/>
      <c r="HS47" s="37"/>
      <c r="HT47" s="37"/>
      <c r="HU47" s="37"/>
      <c r="HV47" s="37"/>
      <c r="HW47" s="37"/>
      <c r="HX47" s="37"/>
      <c r="HY47" s="37"/>
      <c r="HZ47" s="37"/>
      <c r="IA47" s="37"/>
      <c r="IB47" s="37"/>
      <c r="IC47" s="37"/>
      <c r="ID47" s="37"/>
      <c r="IE47" s="37"/>
      <c r="IF47" s="37"/>
      <c r="IG47" s="37"/>
      <c r="IH47" s="37"/>
      <c r="II47" s="37"/>
      <c r="IJ47" s="37"/>
      <c r="IK47" s="37"/>
      <c r="IL47" s="37"/>
      <c r="IM47" s="37"/>
      <c r="IN47" s="37"/>
      <c r="IO47" s="37"/>
      <c r="IP47" s="37"/>
      <c r="IQ47" s="37"/>
      <c r="IR47" s="37"/>
      <c r="IS47" s="37"/>
      <c r="IT47" s="37"/>
      <c r="IU47" s="37"/>
      <c r="IV47" s="37"/>
    </row>
    <row r="48" spans="1:256" s="51" customFormat="1" x14ac:dyDescent="0.15">
      <c r="A48" s="98"/>
      <c r="B48" s="94"/>
      <c r="C48" s="90"/>
      <c r="D48" s="9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c r="BT48" s="37"/>
      <c r="BU48" s="37"/>
      <c r="BV48" s="37"/>
      <c r="BW48" s="37"/>
      <c r="BX48" s="37"/>
      <c r="BY48" s="37"/>
      <c r="BZ48" s="37"/>
      <c r="CA48" s="37"/>
      <c r="CB48" s="37"/>
      <c r="CC48" s="37"/>
      <c r="CD48" s="37"/>
      <c r="CE48" s="37"/>
      <c r="CF48" s="37"/>
      <c r="CG48" s="37"/>
      <c r="CH48" s="37"/>
      <c r="CI48" s="37"/>
      <c r="CJ48" s="37"/>
      <c r="CK48" s="37"/>
      <c r="CL48" s="37"/>
      <c r="CM48" s="37"/>
      <c r="CN48" s="37"/>
      <c r="CO48" s="37"/>
      <c r="CP48" s="37"/>
      <c r="CQ48" s="37"/>
      <c r="CR48" s="37"/>
      <c r="CS48" s="37"/>
      <c r="CT48" s="37"/>
      <c r="CU48" s="37"/>
      <c r="CV48" s="37"/>
      <c r="CW48" s="37"/>
      <c r="CX48" s="37"/>
      <c r="CY48" s="37"/>
      <c r="CZ48" s="37"/>
      <c r="DA48" s="37"/>
      <c r="DB48" s="37"/>
      <c r="DC48" s="37"/>
      <c r="DD48" s="37"/>
      <c r="DE48" s="37"/>
      <c r="DF48" s="37"/>
      <c r="DG48" s="37"/>
      <c r="DH48" s="37"/>
      <c r="DI48" s="37"/>
      <c r="DJ48" s="37"/>
      <c r="DK48" s="37"/>
      <c r="DL48" s="37"/>
      <c r="DM48" s="37"/>
      <c r="DN48" s="37"/>
      <c r="DO48" s="37"/>
      <c r="DP48" s="37"/>
      <c r="DQ48" s="37"/>
      <c r="DR48" s="37"/>
      <c r="DS48" s="37"/>
      <c r="DT48" s="37"/>
      <c r="DU48" s="37"/>
      <c r="DV48" s="37"/>
      <c r="DW48" s="37"/>
      <c r="DX48" s="37"/>
      <c r="DY48" s="37"/>
      <c r="DZ48" s="37"/>
      <c r="EA48" s="37"/>
      <c r="EB48" s="37"/>
      <c r="EC48" s="37"/>
      <c r="ED48" s="37"/>
      <c r="EE48" s="37"/>
      <c r="EF48" s="37"/>
      <c r="EG48" s="37"/>
      <c r="EH48" s="37"/>
      <c r="EI48" s="37"/>
      <c r="EJ48" s="37"/>
      <c r="EK48" s="37"/>
      <c r="EL48" s="37"/>
      <c r="EM48" s="37"/>
      <c r="EN48" s="37"/>
      <c r="EO48" s="37"/>
      <c r="EP48" s="37"/>
      <c r="EQ48" s="37"/>
      <c r="ER48" s="37"/>
      <c r="ES48" s="37"/>
      <c r="ET48" s="37"/>
      <c r="EU48" s="37"/>
      <c r="EV48" s="37"/>
      <c r="EW48" s="37"/>
      <c r="EX48" s="37"/>
      <c r="EY48" s="37"/>
      <c r="EZ48" s="37"/>
      <c r="FA48" s="37"/>
      <c r="FB48" s="37"/>
      <c r="FC48" s="37"/>
      <c r="FD48" s="37"/>
      <c r="FE48" s="37"/>
      <c r="FF48" s="37"/>
      <c r="FG48" s="37"/>
      <c r="FH48" s="37"/>
      <c r="FI48" s="37"/>
      <c r="FJ48" s="37"/>
      <c r="FK48" s="37"/>
      <c r="FL48" s="37"/>
      <c r="FM48" s="37"/>
      <c r="FN48" s="37"/>
      <c r="FO48" s="37"/>
      <c r="FP48" s="37"/>
      <c r="FQ48" s="37"/>
      <c r="FR48" s="37"/>
      <c r="FS48" s="37"/>
      <c r="FT48" s="37"/>
      <c r="FU48" s="37"/>
      <c r="FV48" s="37"/>
      <c r="FW48" s="37"/>
      <c r="FX48" s="37"/>
      <c r="FY48" s="37"/>
      <c r="FZ48" s="37"/>
      <c r="GA48" s="37"/>
      <c r="GB48" s="37"/>
      <c r="GC48" s="37"/>
      <c r="GD48" s="37"/>
      <c r="GE48" s="37"/>
      <c r="GF48" s="37"/>
      <c r="GG48" s="37"/>
      <c r="GH48" s="37"/>
      <c r="GI48" s="37"/>
      <c r="GJ48" s="37"/>
      <c r="GK48" s="37"/>
      <c r="GL48" s="37"/>
      <c r="GM48" s="37"/>
      <c r="GN48" s="37"/>
      <c r="GO48" s="37"/>
      <c r="GP48" s="37"/>
      <c r="GQ48" s="37"/>
      <c r="GR48" s="37"/>
      <c r="GS48" s="37"/>
      <c r="GT48" s="37"/>
      <c r="GU48" s="37"/>
      <c r="GV48" s="37"/>
      <c r="GW48" s="37"/>
      <c r="GX48" s="37"/>
      <c r="GY48" s="37"/>
      <c r="GZ48" s="37"/>
      <c r="HA48" s="37"/>
      <c r="HB48" s="37"/>
      <c r="HC48" s="37"/>
      <c r="HD48" s="37"/>
      <c r="HE48" s="37"/>
      <c r="HF48" s="37"/>
      <c r="HG48" s="37"/>
      <c r="HH48" s="37"/>
      <c r="HI48" s="37"/>
      <c r="HJ48" s="37"/>
      <c r="HK48" s="37"/>
      <c r="HL48" s="37"/>
      <c r="HM48" s="37"/>
      <c r="HN48" s="37"/>
      <c r="HO48" s="37"/>
      <c r="HP48" s="37"/>
      <c r="HQ48" s="37"/>
      <c r="HR48" s="37"/>
      <c r="HS48" s="37"/>
      <c r="HT48" s="37"/>
      <c r="HU48" s="37"/>
      <c r="HV48" s="37"/>
      <c r="HW48" s="37"/>
      <c r="HX48" s="37"/>
      <c r="HY48" s="37"/>
      <c r="HZ48" s="37"/>
      <c r="IA48" s="37"/>
      <c r="IB48" s="37"/>
      <c r="IC48" s="37"/>
      <c r="ID48" s="37"/>
      <c r="IE48" s="37"/>
      <c r="IF48" s="37"/>
      <c r="IG48" s="37"/>
      <c r="IH48" s="37"/>
      <c r="II48" s="37"/>
      <c r="IJ48" s="37"/>
      <c r="IK48" s="37"/>
      <c r="IL48" s="37"/>
      <c r="IM48" s="37"/>
      <c r="IN48" s="37"/>
      <c r="IO48" s="37"/>
      <c r="IP48" s="37"/>
      <c r="IQ48" s="37"/>
      <c r="IR48" s="37"/>
      <c r="IS48" s="37"/>
      <c r="IT48" s="37"/>
      <c r="IU48" s="37"/>
      <c r="IV48" s="37"/>
    </row>
    <row r="49" spans="1:256" s="51" customFormat="1" x14ac:dyDescent="0.15">
      <c r="A49" s="98"/>
      <c r="B49" s="94"/>
      <c r="C49" s="90"/>
      <c r="D49" s="9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c r="BS49" s="37"/>
      <c r="BT49" s="37"/>
      <c r="BU49" s="37"/>
      <c r="BV49" s="37"/>
      <c r="BW49" s="37"/>
      <c r="BX49" s="37"/>
      <c r="BY49" s="37"/>
      <c r="BZ49" s="37"/>
      <c r="CA49" s="37"/>
      <c r="CB49" s="37"/>
      <c r="CC49" s="37"/>
      <c r="CD49" s="37"/>
      <c r="CE49" s="37"/>
      <c r="CF49" s="37"/>
      <c r="CG49" s="37"/>
      <c r="CH49" s="37"/>
      <c r="CI49" s="37"/>
      <c r="CJ49" s="37"/>
      <c r="CK49" s="37"/>
      <c r="CL49" s="37"/>
      <c r="CM49" s="37"/>
      <c r="CN49" s="37"/>
      <c r="CO49" s="37"/>
      <c r="CP49" s="37"/>
      <c r="CQ49" s="37"/>
      <c r="CR49" s="37"/>
      <c r="CS49" s="37"/>
      <c r="CT49" s="37"/>
      <c r="CU49" s="37"/>
      <c r="CV49" s="37"/>
      <c r="CW49" s="37"/>
      <c r="CX49" s="37"/>
      <c r="CY49" s="37"/>
      <c r="CZ49" s="37"/>
      <c r="DA49" s="37"/>
      <c r="DB49" s="37"/>
      <c r="DC49" s="37"/>
      <c r="DD49" s="37"/>
      <c r="DE49" s="37"/>
      <c r="DF49" s="37"/>
      <c r="DG49" s="37"/>
      <c r="DH49" s="37"/>
      <c r="DI49" s="37"/>
      <c r="DJ49" s="37"/>
      <c r="DK49" s="37"/>
      <c r="DL49" s="37"/>
      <c r="DM49" s="37"/>
      <c r="DN49" s="37"/>
      <c r="DO49" s="37"/>
      <c r="DP49" s="37"/>
      <c r="DQ49" s="37"/>
      <c r="DR49" s="37"/>
      <c r="DS49" s="37"/>
      <c r="DT49" s="37"/>
      <c r="DU49" s="37"/>
      <c r="DV49" s="37"/>
      <c r="DW49" s="37"/>
      <c r="DX49" s="37"/>
      <c r="DY49" s="37"/>
      <c r="DZ49" s="37"/>
      <c r="EA49" s="37"/>
      <c r="EB49" s="37"/>
      <c r="EC49" s="37"/>
      <c r="ED49" s="37"/>
      <c r="EE49" s="37"/>
      <c r="EF49" s="37"/>
      <c r="EG49" s="37"/>
      <c r="EH49" s="37"/>
      <c r="EI49" s="37"/>
      <c r="EJ49" s="37"/>
      <c r="EK49" s="37"/>
      <c r="EL49" s="37"/>
      <c r="EM49" s="37"/>
      <c r="EN49" s="37"/>
      <c r="EO49" s="37"/>
      <c r="EP49" s="37"/>
      <c r="EQ49" s="37"/>
      <c r="ER49" s="37"/>
      <c r="ES49" s="37"/>
      <c r="ET49" s="37"/>
      <c r="EU49" s="37"/>
      <c r="EV49" s="37"/>
      <c r="EW49" s="37"/>
      <c r="EX49" s="37"/>
      <c r="EY49" s="37"/>
      <c r="EZ49" s="37"/>
      <c r="FA49" s="37"/>
      <c r="FB49" s="37"/>
      <c r="FC49" s="37"/>
      <c r="FD49" s="37"/>
      <c r="FE49" s="37"/>
      <c r="FF49" s="37"/>
      <c r="FG49" s="37"/>
      <c r="FH49" s="37"/>
      <c r="FI49" s="37"/>
      <c r="FJ49" s="37"/>
      <c r="FK49" s="37"/>
      <c r="FL49" s="37"/>
      <c r="FM49" s="37"/>
      <c r="FN49" s="37"/>
      <c r="FO49" s="37"/>
      <c r="FP49" s="37"/>
      <c r="FQ49" s="37"/>
      <c r="FR49" s="37"/>
      <c r="FS49" s="37"/>
      <c r="FT49" s="37"/>
      <c r="FU49" s="37"/>
      <c r="FV49" s="37"/>
      <c r="FW49" s="37"/>
      <c r="FX49" s="37"/>
      <c r="FY49" s="37"/>
      <c r="FZ49" s="37"/>
      <c r="GA49" s="37"/>
      <c r="GB49" s="37"/>
      <c r="GC49" s="37"/>
      <c r="GD49" s="37"/>
      <c r="GE49" s="37"/>
      <c r="GF49" s="37"/>
      <c r="GG49" s="37"/>
      <c r="GH49" s="37"/>
      <c r="GI49" s="37"/>
      <c r="GJ49" s="37"/>
      <c r="GK49" s="37"/>
      <c r="GL49" s="37"/>
      <c r="GM49" s="37"/>
      <c r="GN49" s="37"/>
      <c r="GO49" s="37"/>
      <c r="GP49" s="37"/>
      <c r="GQ49" s="37"/>
      <c r="GR49" s="37"/>
      <c r="GS49" s="37"/>
      <c r="GT49" s="37"/>
      <c r="GU49" s="37"/>
      <c r="GV49" s="37"/>
      <c r="GW49" s="37"/>
      <c r="GX49" s="37"/>
      <c r="GY49" s="37"/>
      <c r="GZ49" s="37"/>
      <c r="HA49" s="37"/>
      <c r="HB49" s="37"/>
      <c r="HC49" s="37"/>
      <c r="HD49" s="37"/>
      <c r="HE49" s="37"/>
      <c r="HF49" s="37"/>
      <c r="HG49" s="37"/>
      <c r="HH49" s="37"/>
      <c r="HI49" s="37"/>
      <c r="HJ49" s="37"/>
      <c r="HK49" s="37"/>
      <c r="HL49" s="37"/>
      <c r="HM49" s="37"/>
      <c r="HN49" s="37"/>
      <c r="HO49" s="37"/>
      <c r="HP49" s="37"/>
      <c r="HQ49" s="37"/>
      <c r="HR49" s="37"/>
      <c r="HS49" s="37"/>
      <c r="HT49" s="37"/>
      <c r="HU49" s="37"/>
      <c r="HV49" s="37"/>
      <c r="HW49" s="37"/>
      <c r="HX49" s="37"/>
      <c r="HY49" s="37"/>
      <c r="HZ49" s="37"/>
      <c r="IA49" s="37"/>
      <c r="IB49" s="37"/>
      <c r="IC49" s="37"/>
      <c r="ID49" s="37"/>
      <c r="IE49" s="37"/>
      <c r="IF49" s="37"/>
      <c r="IG49" s="37"/>
      <c r="IH49" s="37"/>
      <c r="II49" s="37"/>
      <c r="IJ49" s="37"/>
      <c r="IK49" s="37"/>
      <c r="IL49" s="37"/>
      <c r="IM49" s="37"/>
      <c r="IN49" s="37"/>
      <c r="IO49" s="37"/>
      <c r="IP49" s="37"/>
      <c r="IQ49" s="37"/>
      <c r="IR49" s="37"/>
      <c r="IS49" s="37"/>
      <c r="IT49" s="37"/>
      <c r="IU49" s="37"/>
      <c r="IV49" s="37"/>
    </row>
    <row r="50" spans="1:256" s="51" customFormat="1" x14ac:dyDescent="0.15">
      <c r="A50" s="98"/>
      <c r="B50" s="94"/>
      <c r="C50" s="90"/>
      <c r="D50" s="9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7"/>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c r="BS50" s="37"/>
      <c r="BT50" s="37"/>
      <c r="BU50" s="37"/>
      <c r="BV50" s="37"/>
      <c r="BW50" s="37"/>
      <c r="BX50" s="37"/>
      <c r="BY50" s="37"/>
      <c r="BZ50" s="37"/>
      <c r="CA50" s="37"/>
      <c r="CB50" s="37"/>
      <c r="CC50" s="37"/>
      <c r="CD50" s="37"/>
      <c r="CE50" s="37"/>
      <c r="CF50" s="37"/>
      <c r="CG50" s="37"/>
      <c r="CH50" s="37"/>
      <c r="CI50" s="37"/>
      <c r="CJ50" s="37"/>
      <c r="CK50" s="37"/>
      <c r="CL50" s="37"/>
      <c r="CM50" s="37"/>
      <c r="CN50" s="37"/>
      <c r="CO50" s="37"/>
      <c r="CP50" s="37"/>
      <c r="CQ50" s="37"/>
      <c r="CR50" s="37"/>
      <c r="CS50" s="37"/>
      <c r="CT50" s="37"/>
      <c r="CU50" s="37"/>
      <c r="CV50" s="37"/>
      <c r="CW50" s="37"/>
      <c r="CX50" s="37"/>
      <c r="CY50" s="37"/>
      <c r="CZ50" s="37"/>
      <c r="DA50" s="37"/>
      <c r="DB50" s="37"/>
      <c r="DC50" s="37"/>
      <c r="DD50" s="37"/>
      <c r="DE50" s="37"/>
      <c r="DF50" s="37"/>
      <c r="DG50" s="37"/>
      <c r="DH50" s="37"/>
      <c r="DI50" s="37"/>
      <c r="DJ50" s="37"/>
      <c r="DK50" s="37"/>
      <c r="DL50" s="37"/>
      <c r="DM50" s="37"/>
      <c r="DN50" s="37"/>
      <c r="DO50" s="37"/>
      <c r="DP50" s="37"/>
      <c r="DQ50" s="37"/>
      <c r="DR50" s="37"/>
      <c r="DS50" s="37"/>
      <c r="DT50" s="37"/>
      <c r="DU50" s="37"/>
      <c r="DV50" s="37"/>
      <c r="DW50" s="37"/>
      <c r="DX50" s="37"/>
      <c r="DY50" s="37"/>
      <c r="DZ50" s="37"/>
      <c r="EA50" s="37"/>
      <c r="EB50" s="37"/>
      <c r="EC50" s="37"/>
      <c r="ED50" s="37"/>
      <c r="EE50" s="37"/>
      <c r="EF50" s="37"/>
      <c r="EG50" s="37"/>
      <c r="EH50" s="37"/>
      <c r="EI50" s="37"/>
      <c r="EJ50" s="37"/>
      <c r="EK50" s="37"/>
      <c r="EL50" s="37"/>
      <c r="EM50" s="37"/>
      <c r="EN50" s="37"/>
      <c r="EO50" s="37"/>
      <c r="EP50" s="37"/>
      <c r="EQ50" s="37"/>
      <c r="ER50" s="37"/>
      <c r="ES50" s="37"/>
      <c r="ET50" s="37"/>
      <c r="EU50" s="37"/>
      <c r="EV50" s="37"/>
      <c r="EW50" s="37"/>
      <c r="EX50" s="37"/>
      <c r="EY50" s="37"/>
      <c r="EZ50" s="37"/>
      <c r="FA50" s="37"/>
      <c r="FB50" s="37"/>
      <c r="FC50" s="37"/>
      <c r="FD50" s="37"/>
      <c r="FE50" s="37"/>
      <c r="FF50" s="37"/>
      <c r="FG50" s="37"/>
      <c r="FH50" s="37"/>
      <c r="FI50" s="37"/>
      <c r="FJ50" s="37"/>
      <c r="FK50" s="37"/>
      <c r="FL50" s="37"/>
      <c r="FM50" s="37"/>
      <c r="FN50" s="37"/>
      <c r="FO50" s="37"/>
      <c r="FP50" s="37"/>
      <c r="FQ50" s="37"/>
      <c r="FR50" s="37"/>
      <c r="FS50" s="37"/>
      <c r="FT50" s="37"/>
      <c r="FU50" s="37"/>
      <c r="FV50" s="37"/>
      <c r="FW50" s="37"/>
      <c r="FX50" s="37"/>
      <c r="FY50" s="37"/>
      <c r="FZ50" s="37"/>
      <c r="GA50" s="37"/>
      <c r="GB50" s="37"/>
      <c r="GC50" s="37"/>
      <c r="GD50" s="37"/>
      <c r="GE50" s="37"/>
      <c r="GF50" s="37"/>
      <c r="GG50" s="37"/>
      <c r="GH50" s="37"/>
      <c r="GI50" s="37"/>
      <c r="GJ50" s="37"/>
      <c r="GK50" s="37"/>
      <c r="GL50" s="37"/>
      <c r="GM50" s="37"/>
      <c r="GN50" s="37"/>
      <c r="GO50" s="37"/>
      <c r="GP50" s="37"/>
      <c r="GQ50" s="37"/>
      <c r="GR50" s="37"/>
      <c r="GS50" s="37"/>
      <c r="GT50" s="37"/>
      <c r="GU50" s="37"/>
      <c r="GV50" s="37"/>
      <c r="GW50" s="37"/>
      <c r="GX50" s="37"/>
      <c r="GY50" s="37"/>
      <c r="GZ50" s="37"/>
      <c r="HA50" s="37"/>
      <c r="HB50" s="37"/>
      <c r="HC50" s="37"/>
      <c r="HD50" s="37"/>
      <c r="HE50" s="37"/>
      <c r="HF50" s="37"/>
      <c r="HG50" s="37"/>
      <c r="HH50" s="37"/>
      <c r="HI50" s="37"/>
      <c r="HJ50" s="37"/>
      <c r="HK50" s="37"/>
      <c r="HL50" s="37"/>
      <c r="HM50" s="37"/>
      <c r="HN50" s="37"/>
      <c r="HO50" s="37"/>
      <c r="HP50" s="37"/>
      <c r="HQ50" s="37"/>
      <c r="HR50" s="37"/>
      <c r="HS50" s="37"/>
      <c r="HT50" s="37"/>
      <c r="HU50" s="37"/>
      <c r="HV50" s="37"/>
      <c r="HW50" s="37"/>
      <c r="HX50" s="37"/>
      <c r="HY50" s="37"/>
      <c r="HZ50" s="37"/>
      <c r="IA50" s="37"/>
      <c r="IB50" s="37"/>
      <c r="IC50" s="37"/>
      <c r="ID50" s="37"/>
      <c r="IE50" s="37"/>
      <c r="IF50" s="37"/>
      <c r="IG50" s="37"/>
      <c r="IH50" s="37"/>
      <c r="II50" s="37"/>
      <c r="IJ50" s="37"/>
      <c r="IK50" s="37"/>
      <c r="IL50" s="37"/>
      <c r="IM50" s="37"/>
      <c r="IN50" s="37"/>
      <c r="IO50" s="37"/>
      <c r="IP50" s="37"/>
      <c r="IQ50" s="37"/>
      <c r="IR50" s="37"/>
      <c r="IS50" s="37"/>
      <c r="IT50" s="37"/>
      <c r="IU50" s="37"/>
      <c r="IV50" s="37"/>
    </row>
    <row r="51" spans="1:256" s="51" customFormat="1" x14ac:dyDescent="0.15">
      <c r="A51" s="98"/>
      <c r="B51" s="94"/>
      <c r="C51" s="90"/>
      <c r="D51" s="9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c r="BS51" s="37"/>
      <c r="BT51" s="37"/>
      <c r="BU51" s="37"/>
      <c r="BV51" s="37"/>
      <c r="BW51" s="37"/>
      <c r="BX51" s="37"/>
      <c r="BY51" s="37"/>
      <c r="BZ51" s="37"/>
      <c r="CA51" s="37"/>
      <c r="CB51" s="37"/>
      <c r="CC51" s="37"/>
      <c r="CD51" s="37"/>
      <c r="CE51" s="37"/>
      <c r="CF51" s="37"/>
      <c r="CG51" s="37"/>
      <c r="CH51" s="37"/>
      <c r="CI51" s="37"/>
      <c r="CJ51" s="37"/>
      <c r="CK51" s="37"/>
      <c r="CL51" s="37"/>
      <c r="CM51" s="37"/>
      <c r="CN51" s="37"/>
      <c r="CO51" s="37"/>
      <c r="CP51" s="37"/>
      <c r="CQ51" s="37"/>
      <c r="CR51" s="37"/>
      <c r="CS51" s="37"/>
      <c r="CT51" s="37"/>
      <c r="CU51" s="37"/>
      <c r="CV51" s="37"/>
      <c r="CW51" s="37"/>
      <c r="CX51" s="37"/>
      <c r="CY51" s="37"/>
      <c r="CZ51" s="37"/>
      <c r="DA51" s="37"/>
      <c r="DB51" s="37"/>
      <c r="DC51" s="37"/>
      <c r="DD51" s="37"/>
      <c r="DE51" s="37"/>
      <c r="DF51" s="37"/>
      <c r="DG51" s="37"/>
      <c r="DH51" s="37"/>
      <c r="DI51" s="37"/>
      <c r="DJ51" s="37"/>
      <c r="DK51" s="37"/>
      <c r="DL51" s="37"/>
      <c r="DM51" s="37"/>
      <c r="DN51" s="37"/>
      <c r="DO51" s="37"/>
      <c r="DP51" s="37"/>
      <c r="DQ51" s="37"/>
      <c r="DR51" s="37"/>
      <c r="DS51" s="37"/>
      <c r="DT51" s="37"/>
      <c r="DU51" s="37"/>
      <c r="DV51" s="37"/>
      <c r="DW51" s="37"/>
      <c r="DX51" s="37"/>
      <c r="DY51" s="37"/>
      <c r="DZ51" s="37"/>
      <c r="EA51" s="37"/>
      <c r="EB51" s="37"/>
      <c r="EC51" s="37"/>
      <c r="ED51" s="37"/>
      <c r="EE51" s="37"/>
      <c r="EF51" s="37"/>
      <c r="EG51" s="37"/>
      <c r="EH51" s="37"/>
      <c r="EI51" s="37"/>
      <c r="EJ51" s="37"/>
      <c r="EK51" s="37"/>
      <c r="EL51" s="37"/>
      <c r="EM51" s="37"/>
      <c r="EN51" s="37"/>
      <c r="EO51" s="37"/>
      <c r="EP51" s="37"/>
      <c r="EQ51" s="37"/>
      <c r="ER51" s="37"/>
      <c r="ES51" s="37"/>
      <c r="ET51" s="37"/>
      <c r="EU51" s="37"/>
      <c r="EV51" s="37"/>
      <c r="EW51" s="37"/>
      <c r="EX51" s="37"/>
      <c r="EY51" s="37"/>
      <c r="EZ51" s="37"/>
      <c r="FA51" s="37"/>
      <c r="FB51" s="37"/>
      <c r="FC51" s="37"/>
      <c r="FD51" s="37"/>
      <c r="FE51" s="37"/>
      <c r="FF51" s="37"/>
      <c r="FG51" s="37"/>
      <c r="FH51" s="37"/>
      <c r="FI51" s="37"/>
      <c r="FJ51" s="37"/>
      <c r="FK51" s="37"/>
      <c r="FL51" s="37"/>
      <c r="FM51" s="37"/>
      <c r="FN51" s="37"/>
      <c r="FO51" s="37"/>
      <c r="FP51" s="37"/>
      <c r="FQ51" s="37"/>
      <c r="FR51" s="37"/>
      <c r="FS51" s="37"/>
      <c r="FT51" s="37"/>
      <c r="FU51" s="37"/>
      <c r="FV51" s="37"/>
      <c r="FW51" s="37"/>
      <c r="FX51" s="37"/>
      <c r="FY51" s="37"/>
      <c r="FZ51" s="37"/>
      <c r="GA51" s="37"/>
      <c r="GB51" s="37"/>
      <c r="GC51" s="37"/>
      <c r="GD51" s="37"/>
      <c r="GE51" s="37"/>
      <c r="GF51" s="37"/>
      <c r="GG51" s="37"/>
      <c r="GH51" s="37"/>
      <c r="GI51" s="37"/>
      <c r="GJ51" s="37"/>
      <c r="GK51" s="37"/>
      <c r="GL51" s="37"/>
      <c r="GM51" s="37"/>
      <c r="GN51" s="37"/>
      <c r="GO51" s="37"/>
      <c r="GP51" s="37"/>
      <c r="GQ51" s="37"/>
      <c r="GR51" s="37"/>
      <c r="GS51" s="37"/>
      <c r="GT51" s="37"/>
      <c r="GU51" s="37"/>
      <c r="GV51" s="37"/>
      <c r="GW51" s="37"/>
      <c r="GX51" s="37"/>
      <c r="GY51" s="37"/>
      <c r="GZ51" s="37"/>
      <c r="HA51" s="37"/>
      <c r="HB51" s="37"/>
      <c r="HC51" s="37"/>
      <c r="HD51" s="37"/>
      <c r="HE51" s="37"/>
      <c r="HF51" s="37"/>
      <c r="HG51" s="37"/>
      <c r="HH51" s="37"/>
      <c r="HI51" s="37"/>
      <c r="HJ51" s="37"/>
      <c r="HK51" s="37"/>
      <c r="HL51" s="37"/>
      <c r="HM51" s="37"/>
      <c r="HN51" s="37"/>
      <c r="HO51" s="37"/>
      <c r="HP51" s="37"/>
      <c r="HQ51" s="37"/>
      <c r="HR51" s="37"/>
      <c r="HS51" s="37"/>
      <c r="HT51" s="37"/>
      <c r="HU51" s="37"/>
      <c r="HV51" s="37"/>
      <c r="HW51" s="37"/>
      <c r="HX51" s="37"/>
      <c r="HY51" s="37"/>
      <c r="HZ51" s="37"/>
      <c r="IA51" s="37"/>
      <c r="IB51" s="37"/>
      <c r="IC51" s="37"/>
      <c r="ID51" s="37"/>
      <c r="IE51" s="37"/>
      <c r="IF51" s="37"/>
      <c r="IG51" s="37"/>
      <c r="IH51" s="37"/>
      <c r="II51" s="37"/>
      <c r="IJ51" s="37"/>
      <c r="IK51" s="37"/>
      <c r="IL51" s="37"/>
      <c r="IM51" s="37"/>
      <c r="IN51" s="37"/>
      <c r="IO51" s="37"/>
      <c r="IP51" s="37"/>
      <c r="IQ51" s="37"/>
      <c r="IR51" s="37"/>
      <c r="IS51" s="37"/>
      <c r="IT51" s="37"/>
      <c r="IU51" s="37"/>
      <c r="IV51" s="37"/>
    </row>
    <row r="52" spans="1:256" s="51" customFormat="1" x14ac:dyDescent="0.15">
      <c r="A52" s="98"/>
      <c r="B52" s="94"/>
      <c r="C52" s="90"/>
      <c r="D52" s="9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c r="DU52" s="37"/>
      <c r="DV52" s="37"/>
      <c r="DW52" s="37"/>
      <c r="DX52" s="37"/>
      <c r="DY52" s="37"/>
      <c r="DZ52" s="37"/>
      <c r="EA52" s="37"/>
      <c r="EB52" s="37"/>
      <c r="EC52" s="37"/>
      <c r="ED52" s="37"/>
      <c r="EE52" s="37"/>
      <c r="EF52" s="37"/>
      <c r="EG52" s="37"/>
      <c r="EH52" s="37"/>
      <c r="EI52" s="37"/>
      <c r="EJ52" s="37"/>
      <c r="EK52" s="37"/>
      <c r="EL52" s="37"/>
      <c r="EM52" s="37"/>
      <c r="EN52" s="37"/>
      <c r="EO52" s="37"/>
      <c r="EP52" s="37"/>
      <c r="EQ52" s="37"/>
      <c r="ER52" s="37"/>
      <c r="ES52" s="37"/>
      <c r="ET52" s="37"/>
      <c r="EU52" s="37"/>
      <c r="EV52" s="37"/>
      <c r="EW52" s="37"/>
      <c r="EX52" s="37"/>
      <c r="EY52" s="37"/>
      <c r="EZ52" s="37"/>
      <c r="FA52" s="37"/>
      <c r="FB52" s="37"/>
      <c r="FC52" s="37"/>
      <c r="FD52" s="37"/>
      <c r="FE52" s="37"/>
      <c r="FF52" s="37"/>
      <c r="FG52" s="37"/>
      <c r="FH52" s="37"/>
      <c r="FI52" s="37"/>
      <c r="FJ52" s="37"/>
      <c r="FK52" s="37"/>
      <c r="FL52" s="37"/>
      <c r="FM52" s="37"/>
      <c r="FN52" s="37"/>
      <c r="FO52" s="37"/>
      <c r="FP52" s="37"/>
      <c r="FQ52" s="37"/>
      <c r="FR52" s="37"/>
      <c r="FS52" s="37"/>
      <c r="FT52" s="37"/>
      <c r="FU52" s="37"/>
      <c r="FV52" s="37"/>
      <c r="FW52" s="37"/>
      <c r="FX52" s="37"/>
      <c r="FY52" s="37"/>
      <c r="FZ52" s="37"/>
      <c r="GA52" s="37"/>
      <c r="GB52" s="37"/>
      <c r="GC52" s="37"/>
      <c r="GD52" s="37"/>
      <c r="GE52" s="37"/>
      <c r="GF52" s="37"/>
      <c r="GG52" s="37"/>
      <c r="GH52" s="37"/>
      <c r="GI52" s="37"/>
      <c r="GJ52" s="37"/>
      <c r="GK52" s="37"/>
      <c r="GL52" s="37"/>
      <c r="GM52" s="37"/>
      <c r="GN52" s="37"/>
      <c r="GO52" s="37"/>
      <c r="GP52" s="37"/>
      <c r="GQ52" s="37"/>
      <c r="GR52" s="37"/>
      <c r="GS52" s="37"/>
      <c r="GT52" s="37"/>
      <c r="GU52" s="37"/>
      <c r="GV52" s="37"/>
      <c r="GW52" s="37"/>
      <c r="GX52" s="37"/>
      <c r="GY52" s="37"/>
      <c r="GZ52" s="37"/>
      <c r="HA52" s="37"/>
      <c r="HB52" s="37"/>
      <c r="HC52" s="37"/>
      <c r="HD52" s="37"/>
      <c r="HE52" s="37"/>
      <c r="HF52" s="37"/>
      <c r="HG52" s="37"/>
      <c r="HH52" s="37"/>
      <c r="HI52" s="37"/>
      <c r="HJ52" s="37"/>
      <c r="HK52" s="37"/>
      <c r="HL52" s="37"/>
      <c r="HM52" s="37"/>
      <c r="HN52" s="37"/>
      <c r="HO52" s="37"/>
      <c r="HP52" s="37"/>
      <c r="HQ52" s="37"/>
      <c r="HR52" s="37"/>
      <c r="HS52" s="37"/>
      <c r="HT52" s="37"/>
      <c r="HU52" s="37"/>
      <c r="HV52" s="37"/>
      <c r="HW52" s="37"/>
      <c r="HX52" s="37"/>
      <c r="HY52" s="37"/>
      <c r="HZ52" s="37"/>
      <c r="IA52" s="37"/>
      <c r="IB52" s="37"/>
      <c r="IC52" s="37"/>
      <c r="ID52" s="37"/>
      <c r="IE52" s="37"/>
      <c r="IF52" s="37"/>
      <c r="IG52" s="37"/>
      <c r="IH52" s="37"/>
      <c r="II52" s="37"/>
      <c r="IJ52" s="37"/>
      <c r="IK52" s="37"/>
      <c r="IL52" s="37"/>
      <c r="IM52" s="37"/>
      <c r="IN52" s="37"/>
      <c r="IO52" s="37"/>
      <c r="IP52" s="37"/>
      <c r="IQ52" s="37"/>
      <c r="IR52" s="37"/>
      <c r="IS52" s="37"/>
      <c r="IT52" s="37"/>
      <c r="IU52" s="37"/>
      <c r="IV52" s="37"/>
    </row>
    <row r="53" spans="1:256" s="51" customFormat="1" x14ac:dyDescent="0.15">
      <c r="A53" s="98"/>
      <c r="B53" s="94"/>
      <c r="C53" s="90"/>
      <c r="D53" s="9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c r="DU53" s="37"/>
      <c r="DV53" s="37"/>
      <c r="DW53" s="37"/>
      <c r="DX53" s="37"/>
      <c r="DY53" s="37"/>
      <c r="DZ53" s="37"/>
      <c r="EA53" s="37"/>
      <c r="EB53" s="37"/>
      <c r="EC53" s="37"/>
      <c r="ED53" s="37"/>
      <c r="EE53" s="37"/>
      <c r="EF53" s="37"/>
      <c r="EG53" s="37"/>
      <c r="EH53" s="37"/>
      <c r="EI53" s="37"/>
      <c r="EJ53" s="37"/>
      <c r="EK53" s="37"/>
      <c r="EL53" s="37"/>
      <c r="EM53" s="37"/>
      <c r="EN53" s="37"/>
      <c r="EO53" s="37"/>
      <c r="EP53" s="37"/>
      <c r="EQ53" s="37"/>
      <c r="ER53" s="37"/>
      <c r="ES53" s="37"/>
      <c r="ET53" s="37"/>
      <c r="EU53" s="37"/>
      <c r="EV53" s="37"/>
      <c r="EW53" s="37"/>
      <c r="EX53" s="37"/>
      <c r="EY53" s="37"/>
      <c r="EZ53" s="37"/>
      <c r="FA53" s="37"/>
      <c r="FB53" s="37"/>
      <c r="FC53" s="37"/>
      <c r="FD53" s="37"/>
      <c r="FE53" s="37"/>
      <c r="FF53" s="37"/>
      <c r="FG53" s="37"/>
      <c r="FH53" s="37"/>
      <c r="FI53" s="37"/>
      <c r="FJ53" s="37"/>
      <c r="FK53" s="37"/>
      <c r="FL53" s="37"/>
      <c r="FM53" s="37"/>
      <c r="FN53" s="37"/>
      <c r="FO53" s="37"/>
      <c r="FP53" s="37"/>
      <c r="FQ53" s="37"/>
      <c r="FR53" s="37"/>
      <c r="FS53" s="37"/>
      <c r="FT53" s="37"/>
      <c r="FU53" s="37"/>
      <c r="FV53" s="37"/>
      <c r="FW53" s="37"/>
      <c r="FX53" s="37"/>
      <c r="FY53" s="37"/>
      <c r="FZ53" s="37"/>
      <c r="GA53" s="37"/>
      <c r="GB53" s="37"/>
      <c r="GC53" s="37"/>
      <c r="GD53" s="37"/>
      <c r="GE53" s="37"/>
      <c r="GF53" s="37"/>
      <c r="GG53" s="37"/>
      <c r="GH53" s="37"/>
      <c r="GI53" s="37"/>
      <c r="GJ53" s="37"/>
      <c r="GK53" s="37"/>
      <c r="GL53" s="37"/>
      <c r="GM53" s="37"/>
      <c r="GN53" s="37"/>
      <c r="GO53" s="37"/>
      <c r="GP53" s="37"/>
      <c r="GQ53" s="37"/>
      <c r="GR53" s="37"/>
      <c r="GS53" s="37"/>
      <c r="GT53" s="37"/>
      <c r="GU53" s="37"/>
      <c r="GV53" s="37"/>
      <c r="GW53" s="37"/>
      <c r="GX53" s="37"/>
      <c r="GY53" s="37"/>
      <c r="GZ53" s="37"/>
      <c r="HA53" s="37"/>
      <c r="HB53" s="37"/>
      <c r="HC53" s="37"/>
      <c r="HD53" s="37"/>
      <c r="HE53" s="37"/>
      <c r="HF53" s="37"/>
      <c r="HG53" s="37"/>
      <c r="HH53" s="37"/>
      <c r="HI53" s="37"/>
      <c r="HJ53" s="37"/>
      <c r="HK53" s="37"/>
      <c r="HL53" s="37"/>
      <c r="HM53" s="37"/>
      <c r="HN53" s="37"/>
      <c r="HO53" s="37"/>
      <c r="HP53" s="37"/>
      <c r="HQ53" s="37"/>
      <c r="HR53" s="37"/>
      <c r="HS53" s="37"/>
      <c r="HT53" s="37"/>
      <c r="HU53" s="37"/>
      <c r="HV53" s="37"/>
      <c r="HW53" s="37"/>
      <c r="HX53" s="37"/>
      <c r="HY53" s="37"/>
      <c r="HZ53" s="37"/>
      <c r="IA53" s="37"/>
      <c r="IB53" s="37"/>
      <c r="IC53" s="37"/>
      <c r="ID53" s="37"/>
      <c r="IE53" s="37"/>
      <c r="IF53" s="37"/>
      <c r="IG53" s="37"/>
      <c r="IH53" s="37"/>
      <c r="II53" s="37"/>
      <c r="IJ53" s="37"/>
      <c r="IK53" s="37"/>
      <c r="IL53" s="37"/>
      <c r="IM53" s="37"/>
      <c r="IN53" s="37"/>
      <c r="IO53" s="37"/>
      <c r="IP53" s="37"/>
      <c r="IQ53" s="37"/>
      <c r="IR53" s="37"/>
      <c r="IS53" s="37"/>
      <c r="IT53" s="37"/>
      <c r="IU53" s="37"/>
      <c r="IV53" s="37"/>
    </row>
    <row r="54" spans="1:256" s="51" customFormat="1" x14ac:dyDescent="0.15">
      <c r="A54" s="98"/>
      <c r="B54" s="94"/>
      <c r="C54" s="96"/>
      <c r="D54" s="9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c r="DU54" s="37"/>
      <c r="DV54" s="37"/>
      <c r="DW54" s="37"/>
      <c r="DX54" s="37"/>
      <c r="DY54" s="37"/>
      <c r="DZ54" s="37"/>
      <c r="EA54" s="37"/>
      <c r="EB54" s="37"/>
      <c r="EC54" s="37"/>
      <c r="ED54" s="37"/>
      <c r="EE54" s="37"/>
      <c r="EF54" s="37"/>
      <c r="EG54" s="37"/>
      <c r="EH54" s="37"/>
      <c r="EI54" s="37"/>
      <c r="EJ54" s="37"/>
      <c r="EK54" s="37"/>
      <c r="EL54" s="37"/>
      <c r="EM54" s="37"/>
      <c r="EN54" s="37"/>
      <c r="EO54" s="37"/>
      <c r="EP54" s="37"/>
      <c r="EQ54" s="37"/>
      <c r="ER54" s="37"/>
      <c r="ES54" s="37"/>
      <c r="ET54" s="37"/>
      <c r="EU54" s="37"/>
      <c r="EV54" s="37"/>
      <c r="EW54" s="37"/>
      <c r="EX54" s="37"/>
      <c r="EY54" s="37"/>
      <c r="EZ54" s="37"/>
      <c r="FA54" s="37"/>
      <c r="FB54" s="37"/>
      <c r="FC54" s="37"/>
      <c r="FD54" s="37"/>
      <c r="FE54" s="37"/>
      <c r="FF54" s="37"/>
      <c r="FG54" s="37"/>
      <c r="FH54" s="37"/>
      <c r="FI54" s="37"/>
      <c r="FJ54" s="37"/>
      <c r="FK54" s="37"/>
      <c r="FL54" s="37"/>
      <c r="FM54" s="37"/>
      <c r="FN54" s="37"/>
      <c r="FO54" s="37"/>
      <c r="FP54" s="37"/>
      <c r="FQ54" s="37"/>
      <c r="FR54" s="37"/>
      <c r="FS54" s="37"/>
      <c r="FT54" s="37"/>
      <c r="FU54" s="37"/>
      <c r="FV54" s="37"/>
      <c r="FW54" s="37"/>
      <c r="FX54" s="37"/>
      <c r="FY54" s="37"/>
      <c r="FZ54" s="37"/>
      <c r="GA54" s="37"/>
      <c r="GB54" s="37"/>
      <c r="GC54" s="37"/>
      <c r="GD54" s="37"/>
      <c r="GE54" s="37"/>
      <c r="GF54" s="37"/>
      <c r="GG54" s="37"/>
      <c r="GH54" s="37"/>
      <c r="GI54" s="37"/>
      <c r="GJ54" s="37"/>
      <c r="GK54" s="37"/>
      <c r="GL54" s="37"/>
      <c r="GM54" s="37"/>
      <c r="GN54" s="37"/>
      <c r="GO54" s="37"/>
      <c r="GP54" s="37"/>
      <c r="GQ54" s="37"/>
      <c r="GR54" s="37"/>
      <c r="GS54" s="37"/>
      <c r="GT54" s="37"/>
      <c r="GU54" s="37"/>
      <c r="GV54" s="37"/>
      <c r="GW54" s="37"/>
      <c r="GX54" s="37"/>
      <c r="GY54" s="37"/>
      <c r="GZ54" s="37"/>
      <c r="HA54" s="37"/>
      <c r="HB54" s="37"/>
      <c r="HC54" s="37"/>
      <c r="HD54" s="37"/>
      <c r="HE54" s="37"/>
      <c r="HF54" s="37"/>
      <c r="HG54" s="37"/>
      <c r="HH54" s="37"/>
      <c r="HI54" s="37"/>
      <c r="HJ54" s="37"/>
      <c r="HK54" s="37"/>
      <c r="HL54" s="37"/>
      <c r="HM54" s="37"/>
      <c r="HN54" s="37"/>
      <c r="HO54" s="37"/>
      <c r="HP54" s="37"/>
      <c r="HQ54" s="37"/>
      <c r="HR54" s="37"/>
      <c r="HS54" s="37"/>
      <c r="HT54" s="37"/>
      <c r="HU54" s="37"/>
      <c r="HV54" s="37"/>
      <c r="HW54" s="37"/>
      <c r="HX54" s="37"/>
      <c r="HY54" s="37"/>
      <c r="HZ54" s="37"/>
      <c r="IA54" s="37"/>
      <c r="IB54" s="37"/>
      <c r="IC54" s="37"/>
      <c r="ID54" s="37"/>
      <c r="IE54" s="37"/>
      <c r="IF54" s="37"/>
      <c r="IG54" s="37"/>
      <c r="IH54" s="37"/>
      <c r="II54" s="37"/>
      <c r="IJ54" s="37"/>
      <c r="IK54" s="37"/>
      <c r="IL54" s="37"/>
      <c r="IM54" s="37"/>
      <c r="IN54" s="37"/>
      <c r="IO54" s="37"/>
      <c r="IP54" s="37"/>
      <c r="IQ54" s="37"/>
      <c r="IR54" s="37"/>
      <c r="IS54" s="37"/>
      <c r="IT54" s="37"/>
      <c r="IU54" s="37"/>
      <c r="IV54" s="37"/>
    </row>
    <row r="55" spans="1:256" s="51" customFormat="1" x14ac:dyDescent="0.15">
      <c r="A55" s="98"/>
      <c r="B55" s="94"/>
      <c r="C55" s="96"/>
      <c r="D55" s="9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c r="BS55" s="37"/>
      <c r="BT55" s="37"/>
      <c r="BU55" s="37"/>
      <c r="BV55" s="37"/>
      <c r="BW55" s="37"/>
      <c r="BX55" s="37"/>
      <c r="BY55" s="37"/>
      <c r="BZ55" s="37"/>
      <c r="CA55" s="37"/>
      <c r="CB55" s="37"/>
      <c r="CC55" s="37"/>
      <c r="CD55" s="37"/>
      <c r="CE55" s="37"/>
      <c r="CF55" s="37"/>
      <c r="CG55" s="37"/>
      <c r="CH55" s="37"/>
      <c r="CI55" s="37"/>
      <c r="CJ55" s="37"/>
      <c r="CK55" s="37"/>
      <c r="CL55" s="37"/>
      <c r="CM55" s="37"/>
      <c r="CN55" s="37"/>
      <c r="CO55" s="37"/>
      <c r="CP55" s="37"/>
      <c r="CQ55" s="37"/>
      <c r="CR55" s="37"/>
      <c r="CS55" s="37"/>
      <c r="CT55" s="37"/>
      <c r="CU55" s="37"/>
      <c r="CV55" s="37"/>
      <c r="CW55" s="37"/>
      <c r="CX55" s="37"/>
      <c r="CY55" s="37"/>
      <c r="CZ55" s="37"/>
      <c r="DA55" s="37"/>
      <c r="DB55" s="37"/>
      <c r="DC55" s="37"/>
      <c r="DD55" s="37"/>
      <c r="DE55" s="37"/>
      <c r="DF55" s="37"/>
      <c r="DG55" s="37"/>
      <c r="DH55" s="37"/>
      <c r="DI55" s="37"/>
      <c r="DJ55" s="37"/>
      <c r="DK55" s="37"/>
      <c r="DL55" s="37"/>
      <c r="DM55" s="37"/>
      <c r="DN55" s="37"/>
      <c r="DO55" s="37"/>
      <c r="DP55" s="37"/>
      <c r="DQ55" s="37"/>
      <c r="DR55" s="37"/>
      <c r="DS55" s="37"/>
      <c r="DT55" s="37"/>
      <c r="DU55" s="37"/>
      <c r="DV55" s="37"/>
      <c r="DW55" s="37"/>
      <c r="DX55" s="37"/>
      <c r="DY55" s="37"/>
      <c r="DZ55" s="37"/>
      <c r="EA55" s="37"/>
      <c r="EB55" s="37"/>
      <c r="EC55" s="37"/>
      <c r="ED55" s="37"/>
      <c r="EE55" s="37"/>
      <c r="EF55" s="37"/>
      <c r="EG55" s="37"/>
      <c r="EH55" s="37"/>
      <c r="EI55" s="37"/>
      <c r="EJ55" s="37"/>
      <c r="EK55" s="37"/>
      <c r="EL55" s="37"/>
      <c r="EM55" s="37"/>
      <c r="EN55" s="37"/>
      <c r="EO55" s="37"/>
      <c r="EP55" s="37"/>
      <c r="EQ55" s="37"/>
      <c r="ER55" s="37"/>
      <c r="ES55" s="37"/>
      <c r="ET55" s="37"/>
      <c r="EU55" s="37"/>
      <c r="EV55" s="37"/>
      <c r="EW55" s="37"/>
      <c r="EX55" s="37"/>
      <c r="EY55" s="37"/>
      <c r="EZ55" s="37"/>
      <c r="FA55" s="37"/>
      <c r="FB55" s="37"/>
      <c r="FC55" s="37"/>
      <c r="FD55" s="37"/>
      <c r="FE55" s="37"/>
      <c r="FF55" s="37"/>
      <c r="FG55" s="37"/>
      <c r="FH55" s="37"/>
      <c r="FI55" s="37"/>
      <c r="FJ55" s="37"/>
      <c r="FK55" s="37"/>
      <c r="FL55" s="37"/>
      <c r="FM55" s="37"/>
      <c r="FN55" s="37"/>
      <c r="FO55" s="37"/>
      <c r="FP55" s="37"/>
      <c r="FQ55" s="37"/>
      <c r="FR55" s="37"/>
      <c r="FS55" s="37"/>
      <c r="FT55" s="37"/>
      <c r="FU55" s="37"/>
      <c r="FV55" s="37"/>
      <c r="FW55" s="37"/>
      <c r="FX55" s="37"/>
      <c r="FY55" s="37"/>
      <c r="FZ55" s="37"/>
      <c r="GA55" s="37"/>
      <c r="GB55" s="37"/>
      <c r="GC55" s="37"/>
      <c r="GD55" s="37"/>
      <c r="GE55" s="37"/>
      <c r="GF55" s="37"/>
      <c r="GG55" s="37"/>
      <c r="GH55" s="37"/>
      <c r="GI55" s="37"/>
      <c r="GJ55" s="37"/>
      <c r="GK55" s="37"/>
      <c r="GL55" s="37"/>
      <c r="GM55" s="37"/>
      <c r="GN55" s="37"/>
      <c r="GO55" s="37"/>
      <c r="GP55" s="37"/>
      <c r="GQ55" s="37"/>
      <c r="GR55" s="37"/>
      <c r="GS55" s="37"/>
      <c r="GT55" s="37"/>
      <c r="GU55" s="37"/>
      <c r="GV55" s="37"/>
      <c r="GW55" s="37"/>
      <c r="GX55" s="37"/>
      <c r="GY55" s="37"/>
      <c r="GZ55" s="37"/>
      <c r="HA55" s="37"/>
      <c r="HB55" s="37"/>
      <c r="HC55" s="37"/>
      <c r="HD55" s="37"/>
      <c r="HE55" s="37"/>
      <c r="HF55" s="37"/>
      <c r="HG55" s="37"/>
      <c r="HH55" s="37"/>
      <c r="HI55" s="37"/>
      <c r="HJ55" s="37"/>
      <c r="HK55" s="37"/>
      <c r="HL55" s="37"/>
      <c r="HM55" s="37"/>
      <c r="HN55" s="37"/>
      <c r="HO55" s="37"/>
      <c r="HP55" s="37"/>
      <c r="HQ55" s="37"/>
      <c r="HR55" s="37"/>
      <c r="HS55" s="37"/>
      <c r="HT55" s="37"/>
      <c r="HU55" s="37"/>
      <c r="HV55" s="37"/>
      <c r="HW55" s="37"/>
      <c r="HX55" s="37"/>
      <c r="HY55" s="37"/>
      <c r="HZ55" s="37"/>
      <c r="IA55" s="37"/>
      <c r="IB55" s="37"/>
      <c r="IC55" s="37"/>
      <c r="ID55" s="37"/>
      <c r="IE55" s="37"/>
      <c r="IF55" s="37"/>
      <c r="IG55" s="37"/>
      <c r="IH55" s="37"/>
      <c r="II55" s="37"/>
      <c r="IJ55" s="37"/>
      <c r="IK55" s="37"/>
      <c r="IL55" s="37"/>
      <c r="IM55" s="37"/>
      <c r="IN55" s="37"/>
      <c r="IO55" s="37"/>
      <c r="IP55" s="37"/>
      <c r="IQ55" s="37"/>
      <c r="IR55" s="37"/>
      <c r="IS55" s="37"/>
      <c r="IT55" s="37"/>
      <c r="IU55" s="37"/>
      <c r="IV55" s="37"/>
    </row>
    <row r="56" spans="1:256" s="51" customFormat="1" x14ac:dyDescent="0.15">
      <c r="A56" s="98"/>
      <c r="B56" s="94"/>
      <c r="C56" s="96"/>
      <c r="D56" s="9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c r="BS56" s="37"/>
      <c r="BT56" s="37"/>
      <c r="BU56" s="37"/>
      <c r="BV56" s="37"/>
      <c r="BW56" s="37"/>
      <c r="BX56" s="37"/>
      <c r="BY56" s="37"/>
      <c r="BZ56" s="37"/>
      <c r="CA56" s="37"/>
      <c r="CB56" s="37"/>
      <c r="CC56" s="37"/>
      <c r="CD56" s="37"/>
      <c r="CE56" s="37"/>
      <c r="CF56" s="37"/>
      <c r="CG56" s="37"/>
      <c r="CH56" s="37"/>
      <c r="CI56" s="37"/>
      <c r="CJ56" s="37"/>
      <c r="CK56" s="37"/>
      <c r="CL56" s="37"/>
      <c r="CM56" s="37"/>
      <c r="CN56" s="37"/>
      <c r="CO56" s="37"/>
      <c r="CP56" s="37"/>
      <c r="CQ56" s="37"/>
      <c r="CR56" s="37"/>
      <c r="CS56" s="37"/>
      <c r="CT56" s="37"/>
      <c r="CU56" s="37"/>
      <c r="CV56" s="37"/>
      <c r="CW56" s="37"/>
      <c r="CX56" s="37"/>
      <c r="CY56" s="37"/>
      <c r="CZ56" s="37"/>
      <c r="DA56" s="37"/>
      <c r="DB56" s="37"/>
      <c r="DC56" s="37"/>
      <c r="DD56" s="37"/>
      <c r="DE56" s="37"/>
      <c r="DF56" s="37"/>
      <c r="DG56" s="37"/>
      <c r="DH56" s="37"/>
      <c r="DI56" s="37"/>
      <c r="DJ56" s="37"/>
      <c r="DK56" s="37"/>
      <c r="DL56" s="37"/>
      <c r="DM56" s="37"/>
      <c r="DN56" s="37"/>
      <c r="DO56" s="37"/>
      <c r="DP56" s="37"/>
      <c r="DQ56" s="37"/>
      <c r="DR56" s="37"/>
      <c r="DS56" s="37"/>
      <c r="DT56" s="37"/>
      <c r="DU56" s="37"/>
      <c r="DV56" s="37"/>
      <c r="DW56" s="37"/>
      <c r="DX56" s="37"/>
      <c r="DY56" s="37"/>
      <c r="DZ56" s="37"/>
      <c r="EA56" s="37"/>
      <c r="EB56" s="37"/>
      <c r="EC56" s="37"/>
      <c r="ED56" s="37"/>
      <c r="EE56" s="37"/>
      <c r="EF56" s="37"/>
      <c r="EG56" s="37"/>
      <c r="EH56" s="37"/>
      <c r="EI56" s="37"/>
      <c r="EJ56" s="37"/>
      <c r="EK56" s="37"/>
      <c r="EL56" s="37"/>
      <c r="EM56" s="37"/>
      <c r="EN56" s="37"/>
      <c r="EO56" s="37"/>
      <c r="EP56" s="37"/>
      <c r="EQ56" s="37"/>
      <c r="ER56" s="37"/>
      <c r="ES56" s="37"/>
      <c r="ET56" s="37"/>
      <c r="EU56" s="37"/>
      <c r="EV56" s="37"/>
      <c r="EW56" s="37"/>
      <c r="EX56" s="37"/>
      <c r="EY56" s="37"/>
      <c r="EZ56" s="37"/>
      <c r="FA56" s="37"/>
      <c r="FB56" s="37"/>
      <c r="FC56" s="37"/>
      <c r="FD56" s="37"/>
      <c r="FE56" s="37"/>
      <c r="FF56" s="37"/>
      <c r="FG56" s="37"/>
      <c r="FH56" s="37"/>
      <c r="FI56" s="37"/>
      <c r="FJ56" s="37"/>
      <c r="FK56" s="37"/>
      <c r="FL56" s="37"/>
      <c r="FM56" s="37"/>
      <c r="FN56" s="37"/>
      <c r="FO56" s="37"/>
      <c r="FP56" s="37"/>
      <c r="FQ56" s="37"/>
      <c r="FR56" s="37"/>
      <c r="FS56" s="37"/>
      <c r="FT56" s="37"/>
      <c r="FU56" s="37"/>
      <c r="FV56" s="37"/>
      <c r="FW56" s="37"/>
      <c r="FX56" s="37"/>
      <c r="FY56" s="37"/>
      <c r="FZ56" s="37"/>
      <c r="GA56" s="37"/>
      <c r="GB56" s="37"/>
      <c r="GC56" s="37"/>
      <c r="GD56" s="37"/>
      <c r="GE56" s="37"/>
      <c r="GF56" s="37"/>
      <c r="GG56" s="37"/>
      <c r="GH56" s="37"/>
      <c r="GI56" s="37"/>
      <c r="GJ56" s="37"/>
      <c r="GK56" s="37"/>
      <c r="GL56" s="37"/>
      <c r="GM56" s="37"/>
      <c r="GN56" s="37"/>
      <c r="GO56" s="37"/>
      <c r="GP56" s="37"/>
      <c r="GQ56" s="37"/>
      <c r="GR56" s="37"/>
      <c r="GS56" s="37"/>
      <c r="GT56" s="37"/>
      <c r="GU56" s="37"/>
      <c r="GV56" s="37"/>
      <c r="GW56" s="37"/>
      <c r="GX56" s="37"/>
      <c r="GY56" s="37"/>
      <c r="GZ56" s="37"/>
      <c r="HA56" s="37"/>
      <c r="HB56" s="37"/>
      <c r="HC56" s="37"/>
      <c r="HD56" s="37"/>
      <c r="HE56" s="37"/>
      <c r="HF56" s="37"/>
      <c r="HG56" s="37"/>
      <c r="HH56" s="37"/>
      <c r="HI56" s="37"/>
      <c r="HJ56" s="37"/>
      <c r="HK56" s="37"/>
      <c r="HL56" s="37"/>
      <c r="HM56" s="37"/>
      <c r="HN56" s="37"/>
      <c r="HO56" s="37"/>
      <c r="HP56" s="37"/>
      <c r="HQ56" s="37"/>
      <c r="HR56" s="37"/>
      <c r="HS56" s="37"/>
      <c r="HT56" s="37"/>
      <c r="HU56" s="37"/>
      <c r="HV56" s="37"/>
      <c r="HW56" s="37"/>
      <c r="HX56" s="37"/>
      <c r="HY56" s="37"/>
      <c r="HZ56" s="37"/>
      <c r="IA56" s="37"/>
      <c r="IB56" s="37"/>
      <c r="IC56" s="37"/>
      <c r="ID56" s="37"/>
      <c r="IE56" s="37"/>
      <c r="IF56" s="37"/>
      <c r="IG56" s="37"/>
      <c r="IH56" s="37"/>
      <c r="II56" s="37"/>
      <c r="IJ56" s="37"/>
      <c r="IK56" s="37"/>
      <c r="IL56" s="37"/>
      <c r="IM56" s="37"/>
      <c r="IN56" s="37"/>
      <c r="IO56" s="37"/>
      <c r="IP56" s="37"/>
      <c r="IQ56" s="37"/>
      <c r="IR56" s="37"/>
      <c r="IS56" s="37"/>
      <c r="IT56" s="37"/>
      <c r="IU56" s="37"/>
      <c r="IV56" s="37"/>
    </row>
    <row r="57" spans="1:256" s="51" customFormat="1" x14ac:dyDescent="0.15">
      <c r="A57" s="98"/>
      <c r="B57" s="94"/>
      <c r="C57" s="96"/>
      <c r="D57" s="9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c r="BS57" s="37"/>
      <c r="BT57" s="37"/>
      <c r="BU57" s="37"/>
      <c r="BV57" s="37"/>
      <c r="BW57" s="37"/>
      <c r="BX57" s="37"/>
      <c r="BY57" s="37"/>
      <c r="BZ57" s="37"/>
      <c r="CA57" s="37"/>
      <c r="CB57" s="37"/>
      <c r="CC57" s="37"/>
      <c r="CD57" s="37"/>
      <c r="CE57" s="37"/>
      <c r="CF57" s="37"/>
      <c r="CG57" s="37"/>
      <c r="CH57" s="37"/>
      <c r="CI57" s="37"/>
      <c r="CJ57" s="37"/>
      <c r="CK57" s="37"/>
      <c r="CL57" s="37"/>
      <c r="CM57" s="37"/>
      <c r="CN57" s="37"/>
      <c r="CO57" s="37"/>
      <c r="CP57" s="37"/>
      <c r="CQ57" s="37"/>
      <c r="CR57" s="37"/>
      <c r="CS57" s="37"/>
      <c r="CT57" s="37"/>
      <c r="CU57" s="37"/>
      <c r="CV57" s="37"/>
      <c r="CW57" s="37"/>
      <c r="CX57" s="37"/>
      <c r="CY57" s="37"/>
      <c r="CZ57" s="37"/>
      <c r="DA57" s="37"/>
      <c r="DB57" s="37"/>
      <c r="DC57" s="37"/>
      <c r="DD57" s="37"/>
      <c r="DE57" s="37"/>
      <c r="DF57" s="37"/>
      <c r="DG57" s="37"/>
      <c r="DH57" s="37"/>
      <c r="DI57" s="37"/>
      <c r="DJ57" s="37"/>
      <c r="DK57" s="37"/>
      <c r="DL57" s="37"/>
      <c r="DM57" s="37"/>
      <c r="DN57" s="37"/>
      <c r="DO57" s="37"/>
      <c r="DP57" s="37"/>
      <c r="DQ57" s="37"/>
      <c r="DR57" s="37"/>
      <c r="DS57" s="37"/>
      <c r="DT57" s="37"/>
      <c r="DU57" s="37"/>
      <c r="DV57" s="37"/>
      <c r="DW57" s="37"/>
      <c r="DX57" s="37"/>
      <c r="DY57" s="37"/>
      <c r="DZ57" s="37"/>
      <c r="EA57" s="37"/>
      <c r="EB57" s="37"/>
      <c r="EC57" s="37"/>
      <c r="ED57" s="37"/>
      <c r="EE57" s="37"/>
      <c r="EF57" s="37"/>
      <c r="EG57" s="37"/>
      <c r="EH57" s="37"/>
      <c r="EI57" s="37"/>
      <c r="EJ57" s="37"/>
      <c r="EK57" s="37"/>
      <c r="EL57" s="37"/>
      <c r="EM57" s="37"/>
      <c r="EN57" s="37"/>
      <c r="EO57" s="37"/>
      <c r="EP57" s="37"/>
      <c r="EQ57" s="37"/>
      <c r="ER57" s="37"/>
      <c r="ES57" s="37"/>
      <c r="ET57" s="37"/>
      <c r="EU57" s="37"/>
      <c r="EV57" s="37"/>
      <c r="EW57" s="37"/>
      <c r="EX57" s="37"/>
      <c r="EY57" s="37"/>
      <c r="EZ57" s="37"/>
      <c r="FA57" s="37"/>
      <c r="FB57" s="37"/>
      <c r="FC57" s="37"/>
      <c r="FD57" s="37"/>
      <c r="FE57" s="37"/>
      <c r="FF57" s="37"/>
      <c r="FG57" s="37"/>
      <c r="FH57" s="37"/>
      <c r="FI57" s="37"/>
      <c r="FJ57" s="37"/>
      <c r="FK57" s="37"/>
      <c r="FL57" s="37"/>
      <c r="FM57" s="37"/>
      <c r="FN57" s="37"/>
      <c r="FO57" s="37"/>
      <c r="FP57" s="37"/>
      <c r="FQ57" s="37"/>
      <c r="FR57" s="37"/>
      <c r="FS57" s="37"/>
      <c r="FT57" s="37"/>
      <c r="FU57" s="37"/>
      <c r="FV57" s="37"/>
      <c r="FW57" s="37"/>
      <c r="FX57" s="37"/>
      <c r="FY57" s="37"/>
      <c r="FZ57" s="37"/>
      <c r="GA57" s="37"/>
      <c r="GB57" s="37"/>
      <c r="GC57" s="37"/>
      <c r="GD57" s="37"/>
      <c r="GE57" s="37"/>
      <c r="GF57" s="37"/>
      <c r="GG57" s="37"/>
      <c r="GH57" s="37"/>
      <c r="GI57" s="37"/>
      <c r="GJ57" s="37"/>
      <c r="GK57" s="37"/>
      <c r="GL57" s="37"/>
      <c r="GM57" s="37"/>
      <c r="GN57" s="37"/>
      <c r="GO57" s="37"/>
      <c r="GP57" s="37"/>
      <c r="GQ57" s="37"/>
      <c r="GR57" s="37"/>
      <c r="GS57" s="37"/>
      <c r="GT57" s="37"/>
      <c r="GU57" s="37"/>
      <c r="GV57" s="37"/>
      <c r="GW57" s="37"/>
      <c r="GX57" s="37"/>
      <c r="GY57" s="37"/>
      <c r="GZ57" s="37"/>
      <c r="HA57" s="37"/>
      <c r="HB57" s="37"/>
      <c r="HC57" s="37"/>
      <c r="HD57" s="37"/>
      <c r="HE57" s="37"/>
      <c r="HF57" s="37"/>
      <c r="HG57" s="37"/>
      <c r="HH57" s="37"/>
      <c r="HI57" s="37"/>
      <c r="HJ57" s="37"/>
      <c r="HK57" s="37"/>
      <c r="HL57" s="37"/>
      <c r="HM57" s="37"/>
      <c r="HN57" s="37"/>
      <c r="HO57" s="37"/>
      <c r="HP57" s="37"/>
      <c r="HQ57" s="37"/>
      <c r="HR57" s="37"/>
      <c r="HS57" s="37"/>
      <c r="HT57" s="37"/>
      <c r="HU57" s="37"/>
      <c r="HV57" s="37"/>
      <c r="HW57" s="37"/>
      <c r="HX57" s="37"/>
      <c r="HY57" s="37"/>
      <c r="HZ57" s="37"/>
      <c r="IA57" s="37"/>
      <c r="IB57" s="37"/>
      <c r="IC57" s="37"/>
      <c r="ID57" s="37"/>
      <c r="IE57" s="37"/>
      <c r="IF57" s="37"/>
      <c r="IG57" s="37"/>
      <c r="IH57" s="37"/>
      <c r="II57" s="37"/>
      <c r="IJ57" s="37"/>
      <c r="IK57" s="37"/>
      <c r="IL57" s="37"/>
      <c r="IM57" s="37"/>
      <c r="IN57" s="37"/>
      <c r="IO57" s="37"/>
      <c r="IP57" s="37"/>
      <c r="IQ57" s="37"/>
      <c r="IR57" s="37"/>
      <c r="IS57" s="37"/>
      <c r="IT57" s="37"/>
      <c r="IU57" s="37"/>
      <c r="IV57" s="37"/>
    </row>
    <row r="58" spans="1:256" s="51" customFormat="1" x14ac:dyDescent="0.15">
      <c r="A58" s="98"/>
      <c r="B58" s="94"/>
      <c r="C58" s="96"/>
      <c r="D58" s="9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c r="BS58" s="37"/>
      <c r="BT58" s="37"/>
      <c r="BU58" s="37"/>
      <c r="BV58" s="37"/>
      <c r="BW58" s="37"/>
      <c r="BX58" s="37"/>
      <c r="BY58" s="37"/>
      <c r="BZ58" s="37"/>
      <c r="CA58" s="37"/>
      <c r="CB58" s="37"/>
      <c r="CC58" s="37"/>
      <c r="CD58" s="37"/>
      <c r="CE58" s="37"/>
      <c r="CF58" s="37"/>
      <c r="CG58" s="37"/>
      <c r="CH58" s="37"/>
      <c r="CI58" s="37"/>
      <c r="CJ58" s="37"/>
      <c r="CK58" s="37"/>
      <c r="CL58" s="37"/>
      <c r="CM58" s="37"/>
      <c r="CN58" s="37"/>
      <c r="CO58" s="37"/>
      <c r="CP58" s="37"/>
      <c r="CQ58" s="37"/>
      <c r="CR58" s="37"/>
      <c r="CS58" s="37"/>
      <c r="CT58" s="37"/>
      <c r="CU58" s="37"/>
      <c r="CV58" s="37"/>
      <c r="CW58" s="37"/>
      <c r="CX58" s="37"/>
      <c r="CY58" s="37"/>
      <c r="CZ58" s="37"/>
      <c r="DA58" s="37"/>
      <c r="DB58" s="37"/>
      <c r="DC58" s="37"/>
      <c r="DD58" s="37"/>
      <c r="DE58" s="37"/>
      <c r="DF58" s="37"/>
      <c r="DG58" s="37"/>
      <c r="DH58" s="37"/>
      <c r="DI58" s="37"/>
      <c r="DJ58" s="37"/>
      <c r="DK58" s="37"/>
      <c r="DL58" s="37"/>
      <c r="DM58" s="37"/>
      <c r="DN58" s="37"/>
      <c r="DO58" s="37"/>
      <c r="DP58" s="37"/>
      <c r="DQ58" s="37"/>
      <c r="DR58" s="37"/>
      <c r="DS58" s="37"/>
      <c r="DT58" s="37"/>
      <c r="DU58" s="37"/>
      <c r="DV58" s="37"/>
      <c r="DW58" s="37"/>
      <c r="DX58" s="37"/>
      <c r="DY58" s="37"/>
      <c r="DZ58" s="37"/>
      <c r="EA58" s="37"/>
      <c r="EB58" s="37"/>
      <c r="EC58" s="37"/>
      <c r="ED58" s="37"/>
      <c r="EE58" s="37"/>
      <c r="EF58" s="37"/>
      <c r="EG58" s="37"/>
      <c r="EH58" s="37"/>
      <c r="EI58" s="37"/>
      <c r="EJ58" s="37"/>
      <c r="EK58" s="37"/>
      <c r="EL58" s="37"/>
      <c r="EM58" s="37"/>
      <c r="EN58" s="37"/>
      <c r="EO58" s="37"/>
      <c r="EP58" s="37"/>
      <c r="EQ58" s="37"/>
      <c r="ER58" s="37"/>
      <c r="ES58" s="37"/>
      <c r="ET58" s="37"/>
      <c r="EU58" s="37"/>
      <c r="EV58" s="37"/>
      <c r="EW58" s="37"/>
      <c r="EX58" s="37"/>
      <c r="EY58" s="37"/>
      <c r="EZ58" s="37"/>
      <c r="FA58" s="37"/>
      <c r="FB58" s="37"/>
      <c r="FC58" s="37"/>
      <c r="FD58" s="37"/>
      <c r="FE58" s="37"/>
      <c r="FF58" s="37"/>
      <c r="FG58" s="37"/>
      <c r="FH58" s="37"/>
      <c r="FI58" s="37"/>
      <c r="FJ58" s="37"/>
      <c r="FK58" s="37"/>
      <c r="FL58" s="37"/>
      <c r="FM58" s="37"/>
      <c r="FN58" s="37"/>
      <c r="FO58" s="37"/>
      <c r="FP58" s="37"/>
      <c r="FQ58" s="37"/>
      <c r="FR58" s="37"/>
      <c r="FS58" s="37"/>
      <c r="FT58" s="37"/>
      <c r="FU58" s="37"/>
      <c r="FV58" s="37"/>
      <c r="FW58" s="37"/>
      <c r="FX58" s="37"/>
      <c r="FY58" s="37"/>
      <c r="FZ58" s="37"/>
      <c r="GA58" s="37"/>
      <c r="GB58" s="37"/>
      <c r="GC58" s="37"/>
      <c r="GD58" s="37"/>
      <c r="GE58" s="37"/>
      <c r="GF58" s="37"/>
      <c r="GG58" s="37"/>
      <c r="GH58" s="37"/>
      <c r="GI58" s="37"/>
      <c r="GJ58" s="37"/>
      <c r="GK58" s="37"/>
      <c r="GL58" s="37"/>
      <c r="GM58" s="37"/>
      <c r="GN58" s="37"/>
      <c r="GO58" s="37"/>
      <c r="GP58" s="37"/>
      <c r="GQ58" s="37"/>
      <c r="GR58" s="37"/>
      <c r="GS58" s="37"/>
      <c r="GT58" s="37"/>
      <c r="GU58" s="37"/>
      <c r="GV58" s="37"/>
      <c r="GW58" s="37"/>
      <c r="GX58" s="37"/>
      <c r="GY58" s="37"/>
      <c r="GZ58" s="37"/>
      <c r="HA58" s="37"/>
      <c r="HB58" s="37"/>
      <c r="HC58" s="37"/>
      <c r="HD58" s="37"/>
      <c r="HE58" s="37"/>
      <c r="HF58" s="37"/>
      <c r="HG58" s="37"/>
      <c r="HH58" s="37"/>
      <c r="HI58" s="37"/>
      <c r="HJ58" s="37"/>
      <c r="HK58" s="37"/>
      <c r="HL58" s="37"/>
      <c r="HM58" s="37"/>
      <c r="HN58" s="37"/>
      <c r="HO58" s="37"/>
      <c r="HP58" s="37"/>
      <c r="HQ58" s="37"/>
      <c r="HR58" s="37"/>
      <c r="HS58" s="37"/>
      <c r="HT58" s="37"/>
      <c r="HU58" s="37"/>
      <c r="HV58" s="37"/>
      <c r="HW58" s="37"/>
      <c r="HX58" s="37"/>
      <c r="HY58" s="37"/>
      <c r="HZ58" s="37"/>
      <c r="IA58" s="37"/>
      <c r="IB58" s="37"/>
      <c r="IC58" s="37"/>
      <c r="ID58" s="37"/>
      <c r="IE58" s="37"/>
      <c r="IF58" s="37"/>
      <c r="IG58" s="37"/>
      <c r="IH58" s="37"/>
      <c r="II58" s="37"/>
      <c r="IJ58" s="37"/>
      <c r="IK58" s="37"/>
      <c r="IL58" s="37"/>
      <c r="IM58" s="37"/>
      <c r="IN58" s="37"/>
      <c r="IO58" s="37"/>
      <c r="IP58" s="37"/>
      <c r="IQ58" s="37"/>
      <c r="IR58" s="37"/>
      <c r="IS58" s="37"/>
      <c r="IT58" s="37"/>
      <c r="IU58" s="37"/>
      <c r="IV58" s="37"/>
    </row>
    <row r="59" spans="1:256" s="51" customFormat="1" x14ac:dyDescent="0.15">
      <c r="A59" s="98"/>
      <c r="B59" s="94"/>
      <c r="C59" s="96"/>
      <c r="D59" s="9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c r="BT59" s="37"/>
      <c r="BU59" s="37"/>
      <c r="BV59" s="37"/>
      <c r="BW59" s="37"/>
      <c r="BX59" s="37"/>
      <c r="BY59" s="37"/>
      <c r="BZ59" s="37"/>
      <c r="CA59" s="37"/>
      <c r="CB59" s="37"/>
      <c r="CC59" s="37"/>
      <c r="CD59" s="37"/>
      <c r="CE59" s="37"/>
      <c r="CF59" s="37"/>
      <c r="CG59" s="37"/>
      <c r="CH59" s="37"/>
      <c r="CI59" s="37"/>
      <c r="CJ59" s="37"/>
      <c r="CK59" s="37"/>
      <c r="CL59" s="37"/>
      <c r="CM59" s="37"/>
      <c r="CN59" s="37"/>
      <c r="CO59" s="37"/>
      <c r="CP59" s="37"/>
      <c r="CQ59" s="37"/>
      <c r="CR59" s="37"/>
      <c r="CS59" s="37"/>
      <c r="CT59" s="37"/>
      <c r="CU59" s="37"/>
      <c r="CV59" s="37"/>
      <c r="CW59" s="37"/>
      <c r="CX59" s="37"/>
      <c r="CY59" s="37"/>
      <c r="CZ59" s="37"/>
      <c r="DA59" s="37"/>
      <c r="DB59" s="37"/>
      <c r="DC59" s="37"/>
      <c r="DD59" s="37"/>
      <c r="DE59" s="37"/>
      <c r="DF59" s="37"/>
      <c r="DG59" s="37"/>
      <c r="DH59" s="37"/>
      <c r="DI59" s="37"/>
      <c r="DJ59" s="37"/>
      <c r="DK59" s="37"/>
      <c r="DL59" s="37"/>
      <c r="DM59" s="37"/>
      <c r="DN59" s="37"/>
      <c r="DO59" s="37"/>
      <c r="DP59" s="37"/>
      <c r="DQ59" s="37"/>
      <c r="DR59" s="37"/>
      <c r="DS59" s="37"/>
      <c r="DT59" s="37"/>
      <c r="DU59" s="37"/>
      <c r="DV59" s="37"/>
      <c r="DW59" s="37"/>
      <c r="DX59" s="37"/>
      <c r="DY59" s="37"/>
      <c r="DZ59" s="37"/>
      <c r="EA59" s="37"/>
      <c r="EB59" s="37"/>
      <c r="EC59" s="37"/>
      <c r="ED59" s="37"/>
      <c r="EE59" s="37"/>
      <c r="EF59" s="37"/>
      <c r="EG59" s="37"/>
      <c r="EH59" s="37"/>
      <c r="EI59" s="37"/>
      <c r="EJ59" s="37"/>
      <c r="EK59" s="37"/>
      <c r="EL59" s="37"/>
      <c r="EM59" s="37"/>
      <c r="EN59" s="37"/>
      <c r="EO59" s="37"/>
      <c r="EP59" s="37"/>
      <c r="EQ59" s="37"/>
      <c r="ER59" s="37"/>
      <c r="ES59" s="37"/>
      <c r="ET59" s="37"/>
      <c r="EU59" s="37"/>
      <c r="EV59" s="37"/>
      <c r="EW59" s="37"/>
      <c r="EX59" s="37"/>
      <c r="EY59" s="37"/>
      <c r="EZ59" s="37"/>
      <c r="FA59" s="37"/>
      <c r="FB59" s="37"/>
      <c r="FC59" s="37"/>
      <c r="FD59" s="37"/>
      <c r="FE59" s="37"/>
      <c r="FF59" s="37"/>
      <c r="FG59" s="37"/>
      <c r="FH59" s="37"/>
      <c r="FI59" s="37"/>
      <c r="FJ59" s="37"/>
      <c r="FK59" s="37"/>
      <c r="FL59" s="37"/>
      <c r="FM59" s="37"/>
      <c r="FN59" s="37"/>
      <c r="FO59" s="37"/>
      <c r="FP59" s="37"/>
      <c r="FQ59" s="37"/>
      <c r="FR59" s="37"/>
      <c r="FS59" s="37"/>
      <c r="FT59" s="37"/>
      <c r="FU59" s="37"/>
      <c r="FV59" s="37"/>
      <c r="FW59" s="37"/>
      <c r="FX59" s="37"/>
      <c r="FY59" s="37"/>
      <c r="FZ59" s="37"/>
      <c r="GA59" s="37"/>
      <c r="GB59" s="37"/>
      <c r="GC59" s="37"/>
      <c r="GD59" s="37"/>
      <c r="GE59" s="37"/>
      <c r="GF59" s="37"/>
      <c r="GG59" s="37"/>
      <c r="GH59" s="37"/>
      <c r="GI59" s="37"/>
      <c r="GJ59" s="37"/>
      <c r="GK59" s="37"/>
      <c r="GL59" s="37"/>
      <c r="GM59" s="37"/>
      <c r="GN59" s="37"/>
      <c r="GO59" s="37"/>
      <c r="GP59" s="37"/>
      <c r="GQ59" s="37"/>
      <c r="GR59" s="37"/>
      <c r="GS59" s="37"/>
      <c r="GT59" s="37"/>
      <c r="GU59" s="37"/>
      <c r="GV59" s="37"/>
      <c r="GW59" s="37"/>
      <c r="GX59" s="37"/>
      <c r="GY59" s="37"/>
      <c r="GZ59" s="37"/>
      <c r="HA59" s="37"/>
      <c r="HB59" s="37"/>
      <c r="HC59" s="37"/>
      <c r="HD59" s="37"/>
      <c r="HE59" s="37"/>
      <c r="HF59" s="37"/>
      <c r="HG59" s="37"/>
      <c r="HH59" s="37"/>
      <c r="HI59" s="37"/>
      <c r="HJ59" s="37"/>
      <c r="HK59" s="37"/>
      <c r="HL59" s="37"/>
      <c r="HM59" s="37"/>
      <c r="HN59" s="37"/>
      <c r="HO59" s="37"/>
      <c r="HP59" s="37"/>
      <c r="HQ59" s="37"/>
      <c r="HR59" s="37"/>
      <c r="HS59" s="37"/>
      <c r="HT59" s="37"/>
      <c r="HU59" s="37"/>
      <c r="HV59" s="37"/>
      <c r="HW59" s="37"/>
      <c r="HX59" s="37"/>
      <c r="HY59" s="37"/>
      <c r="HZ59" s="37"/>
      <c r="IA59" s="37"/>
      <c r="IB59" s="37"/>
      <c r="IC59" s="37"/>
      <c r="ID59" s="37"/>
      <c r="IE59" s="37"/>
      <c r="IF59" s="37"/>
      <c r="IG59" s="37"/>
      <c r="IH59" s="37"/>
      <c r="II59" s="37"/>
      <c r="IJ59" s="37"/>
      <c r="IK59" s="37"/>
      <c r="IL59" s="37"/>
      <c r="IM59" s="37"/>
      <c r="IN59" s="37"/>
      <c r="IO59" s="37"/>
      <c r="IP59" s="37"/>
      <c r="IQ59" s="37"/>
      <c r="IR59" s="37"/>
      <c r="IS59" s="37"/>
      <c r="IT59" s="37"/>
      <c r="IU59" s="37"/>
      <c r="IV59" s="37"/>
    </row>
    <row r="60" spans="1:256" s="51" customFormat="1" x14ac:dyDescent="0.15">
      <c r="A60" s="98"/>
      <c r="B60" s="94"/>
      <c r="C60" s="96"/>
      <c r="D60" s="9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c r="BT60" s="37"/>
      <c r="BU60" s="37"/>
      <c r="BV60" s="37"/>
      <c r="BW60" s="37"/>
      <c r="BX60" s="37"/>
      <c r="BY60" s="37"/>
      <c r="BZ60" s="37"/>
      <c r="CA60" s="37"/>
      <c r="CB60" s="37"/>
      <c r="CC60" s="37"/>
      <c r="CD60" s="37"/>
      <c r="CE60" s="37"/>
      <c r="CF60" s="37"/>
      <c r="CG60" s="37"/>
      <c r="CH60" s="37"/>
      <c r="CI60" s="37"/>
      <c r="CJ60" s="37"/>
      <c r="CK60" s="37"/>
      <c r="CL60" s="37"/>
      <c r="CM60" s="37"/>
      <c r="CN60" s="37"/>
      <c r="CO60" s="37"/>
      <c r="CP60" s="37"/>
      <c r="CQ60" s="37"/>
      <c r="CR60" s="37"/>
      <c r="CS60" s="37"/>
      <c r="CT60" s="37"/>
      <c r="CU60" s="37"/>
      <c r="CV60" s="37"/>
      <c r="CW60" s="37"/>
      <c r="CX60" s="37"/>
      <c r="CY60" s="37"/>
      <c r="CZ60" s="37"/>
      <c r="DA60" s="37"/>
      <c r="DB60" s="37"/>
      <c r="DC60" s="37"/>
      <c r="DD60" s="37"/>
      <c r="DE60" s="37"/>
      <c r="DF60" s="37"/>
      <c r="DG60" s="37"/>
      <c r="DH60" s="37"/>
      <c r="DI60" s="37"/>
      <c r="DJ60" s="37"/>
      <c r="DK60" s="37"/>
      <c r="DL60" s="37"/>
      <c r="DM60" s="37"/>
      <c r="DN60" s="37"/>
      <c r="DO60" s="37"/>
      <c r="DP60" s="37"/>
      <c r="DQ60" s="37"/>
      <c r="DR60" s="37"/>
      <c r="DS60" s="37"/>
      <c r="DT60" s="37"/>
      <c r="DU60" s="37"/>
      <c r="DV60" s="37"/>
      <c r="DW60" s="37"/>
      <c r="DX60" s="37"/>
      <c r="DY60" s="37"/>
      <c r="DZ60" s="37"/>
      <c r="EA60" s="37"/>
      <c r="EB60" s="37"/>
      <c r="EC60" s="37"/>
      <c r="ED60" s="37"/>
      <c r="EE60" s="37"/>
      <c r="EF60" s="37"/>
      <c r="EG60" s="37"/>
      <c r="EH60" s="37"/>
      <c r="EI60" s="37"/>
      <c r="EJ60" s="37"/>
      <c r="EK60" s="37"/>
      <c r="EL60" s="37"/>
      <c r="EM60" s="37"/>
      <c r="EN60" s="37"/>
      <c r="EO60" s="37"/>
      <c r="EP60" s="37"/>
      <c r="EQ60" s="37"/>
      <c r="ER60" s="37"/>
      <c r="ES60" s="37"/>
      <c r="ET60" s="37"/>
      <c r="EU60" s="37"/>
      <c r="EV60" s="37"/>
      <c r="EW60" s="37"/>
      <c r="EX60" s="37"/>
      <c r="EY60" s="37"/>
      <c r="EZ60" s="37"/>
      <c r="FA60" s="37"/>
      <c r="FB60" s="37"/>
      <c r="FC60" s="37"/>
      <c r="FD60" s="37"/>
      <c r="FE60" s="37"/>
      <c r="FF60" s="37"/>
      <c r="FG60" s="37"/>
      <c r="FH60" s="37"/>
      <c r="FI60" s="37"/>
      <c r="FJ60" s="37"/>
      <c r="FK60" s="37"/>
      <c r="FL60" s="37"/>
      <c r="FM60" s="37"/>
      <c r="FN60" s="37"/>
      <c r="FO60" s="37"/>
      <c r="FP60" s="37"/>
      <c r="FQ60" s="37"/>
      <c r="FR60" s="37"/>
      <c r="FS60" s="37"/>
      <c r="FT60" s="37"/>
      <c r="FU60" s="37"/>
      <c r="FV60" s="37"/>
      <c r="FW60" s="37"/>
      <c r="FX60" s="37"/>
      <c r="FY60" s="37"/>
      <c r="FZ60" s="37"/>
      <c r="GA60" s="37"/>
      <c r="GB60" s="37"/>
      <c r="GC60" s="37"/>
      <c r="GD60" s="37"/>
      <c r="GE60" s="37"/>
      <c r="GF60" s="37"/>
      <c r="GG60" s="37"/>
      <c r="GH60" s="37"/>
      <c r="GI60" s="37"/>
      <c r="GJ60" s="37"/>
      <c r="GK60" s="37"/>
      <c r="GL60" s="37"/>
      <c r="GM60" s="37"/>
      <c r="GN60" s="37"/>
      <c r="GO60" s="37"/>
      <c r="GP60" s="37"/>
      <c r="GQ60" s="37"/>
      <c r="GR60" s="37"/>
      <c r="GS60" s="37"/>
      <c r="GT60" s="37"/>
      <c r="GU60" s="37"/>
      <c r="GV60" s="37"/>
      <c r="GW60" s="37"/>
      <c r="GX60" s="37"/>
      <c r="GY60" s="37"/>
      <c r="GZ60" s="37"/>
      <c r="HA60" s="37"/>
      <c r="HB60" s="37"/>
      <c r="HC60" s="37"/>
      <c r="HD60" s="37"/>
      <c r="HE60" s="37"/>
      <c r="HF60" s="37"/>
      <c r="HG60" s="37"/>
      <c r="HH60" s="37"/>
      <c r="HI60" s="37"/>
      <c r="HJ60" s="37"/>
      <c r="HK60" s="37"/>
      <c r="HL60" s="37"/>
      <c r="HM60" s="37"/>
      <c r="HN60" s="37"/>
      <c r="HO60" s="37"/>
      <c r="HP60" s="37"/>
      <c r="HQ60" s="37"/>
      <c r="HR60" s="37"/>
      <c r="HS60" s="37"/>
      <c r="HT60" s="37"/>
      <c r="HU60" s="37"/>
      <c r="HV60" s="37"/>
      <c r="HW60" s="37"/>
      <c r="HX60" s="37"/>
      <c r="HY60" s="37"/>
      <c r="HZ60" s="37"/>
      <c r="IA60" s="37"/>
      <c r="IB60" s="37"/>
      <c r="IC60" s="37"/>
      <c r="ID60" s="37"/>
      <c r="IE60" s="37"/>
      <c r="IF60" s="37"/>
      <c r="IG60" s="37"/>
      <c r="IH60" s="37"/>
      <c r="II60" s="37"/>
      <c r="IJ60" s="37"/>
      <c r="IK60" s="37"/>
      <c r="IL60" s="37"/>
      <c r="IM60" s="37"/>
      <c r="IN60" s="37"/>
      <c r="IO60" s="37"/>
      <c r="IP60" s="37"/>
      <c r="IQ60" s="37"/>
      <c r="IR60" s="37"/>
      <c r="IS60" s="37"/>
      <c r="IT60" s="37"/>
      <c r="IU60" s="37"/>
      <c r="IV60" s="37"/>
    </row>
    <row r="61" spans="1:256" s="51" customFormat="1" x14ac:dyDescent="0.15">
      <c r="A61" s="98"/>
      <c r="B61" s="94"/>
      <c r="C61" s="96"/>
      <c r="D61" s="9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c r="BS61" s="37"/>
      <c r="BT61" s="37"/>
      <c r="BU61" s="37"/>
      <c r="BV61" s="37"/>
      <c r="BW61" s="37"/>
      <c r="BX61" s="37"/>
      <c r="BY61" s="37"/>
      <c r="BZ61" s="37"/>
      <c r="CA61" s="37"/>
      <c r="CB61" s="37"/>
      <c r="CC61" s="37"/>
      <c r="CD61" s="37"/>
      <c r="CE61" s="37"/>
      <c r="CF61" s="37"/>
      <c r="CG61" s="37"/>
      <c r="CH61" s="37"/>
      <c r="CI61" s="37"/>
      <c r="CJ61" s="37"/>
      <c r="CK61" s="37"/>
      <c r="CL61" s="37"/>
      <c r="CM61" s="37"/>
      <c r="CN61" s="37"/>
      <c r="CO61" s="37"/>
      <c r="CP61" s="37"/>
      <c r="CQ61" s="37"/>
      <c r="CR61" s="37"/>
      <c r="CS61" s="37"/>
      <c r="CT61" s="37"/>
      <c r="CU61" s="37"/>
      <c r="CV61" s="37"/>
      <c r="CW61" s="37"/>
      <c r="CX61" s="37"/>
      <c r="CY61" s="37"/>
      <c r="CZ61" s="37"/>
      <c r="DA61" s="37"/>
      <c r="DB61" s="37"/>
      <c r="DC61" s="37"/>
      <c r="DD61" s="37"/>
      <c r="DE61" s="37"/>
      <c r="DF61" s="37"/>
      <c r="DG61" s="37"/>
      <c r="DH61" s="37"/>
      <c r="DI61" s="37"/>
      <c r="DJ61" s="37"/>
      <c r="DK61" s="37"/>
      <c r="DL61" s="37"/>
      <c r="DM61" s="37"/>
      <c r="DN61" s="37"/>
      <c r="DO61" s="37"/>
      <c r="DP61" s="37"/>
      <c r="DQ61" s="37"/>
      <c r="DR61" s="37"/>
      <c r="DS61" s="37"/>
      <c r="DT61" s="37"/>
      <c r="DU61" s="37"/>
      <c r="DV61" s="37"/>
      <c r="DW61" s="37"/>
      <c r="DX61" s="37"/>
      <c r="DY61" s="37"/>
      <c r="DZ61" s="37"/>
      <c r="EA61" s="37"/>
      <c r="EB61" s="37"/>
      <c r="EC61" s="37"/>
      <c r="ED61" s="37"/>
      <c r="EE61" s="37"/>
      <c r="EF61" s="37"/>
      <c r="EG61" s="37"/>
      <c r="EH61" s="37"/>
      <c r="EI61" s="37"/>
      <c r="EJ61" s="37"/>
      <c r="EK61" s="37"/>
      <c r="EL61" s="37"/>
      <c r="EM61" s="37"/>
      <c r="EN61" s="37"/>
      <c r="EO61" s="37"/>
      <c r="EP61" s="37"/>
      <c r="EQ61" s="37"/>
      <c r="ER61" s="37"/>
      <c r="ES61" s="37"/>
      <c r="ET61" s="37"/>
      <c r="EU61" s="37"/>
      <c r="EV61" s="37"/>
      <c r="EW61" s="37"/>
      <c r="EX61" s="37"/>
      <c r="EY61" s="37"/>
      <c r="EZ61" s="37"/>
      <c r="FA61" s="37"/>
      <c r="FB61" s="37"/>
      <c r="FC61" s="37"/>
      <c r="FD61" s="37"/>
      <c r="FE61" s="37"/>
      <c r="FF61" s="37"/>
      <c r="FG61" s="37"/>
      <c r="FH61" s="37"/>
      <c r="FI61" s="37"/>
      <c r="FJ61" s="37"/>
      <c r="FK61" s="37"/>
      <c r="FL61" s="37"/>
      <c r="FM61" s="37"/>
      <c r="FN61" s="37"/>
      <c r="FO61" s="37"/>
      <c r="FP61" s="37"/>
      <c r="FQ61" s="37"/>
      <c r="FR61" s="37"/>
      <c r="FS61" s="37"/>
      <c r="FT61" s="37"/>
      <c r="FU61" s="37"/>
      <c r="FV61" s="37"/>
      <c r="FW61" s="37"/>
      <c r="FX61" s="37"/>
      <c r="FY61" s="37"/>
      <c r="FZ61" s="37"/>
      <c r="GA61" s="37"/>
      <c r="GB61" s="37"/>
      <c r="GC61" s="37"/>
      <c r="GD61" s="37"/>
      <c r="GE61" s="37"/>
      <c r="GF61" s="37"/>
      <c r="GG61" s="37"/>
      <c r="GH61" s="37"/>
      <c r="GI61" s="37"/>
      <c r="GJ61" s="37"/>
      <c r="GK61" s="37"/>
      <c r="GL61" s="37"/>
      <c r="GM61" s="37"/>
      <c r="GN61" s="37"/>
      <c r="GO61" s="37"/>
      <c r="GP61" s="37"/>
      <c r="GQ61" s="37"/>
      <c r="GR61" s="37"/>
      <c r="GS61" s="37"/>
      <c r="GT61" s="37"/>
      <c r="GU61" s="37"/>
      <c r="GV61" s="37"/>
      <c r="GW61" s="37"/>
      <c r="GX61" s="37"/>
      <c r="GY61" s="37"/>
      <c r="GZ61" s="37"/>
      <c r="HA61" s="37"/>
      <c r="HB61" s="37"/>
      <c r="HC61" s="37"/>
      <c r="HD61" s="37"/>
      <c r="HE61" s="37"/>
      <c r="HF61" s="37"/>
      <c r="HG61" s="37"/>
      <c r="HH61" s="37"/>
      <c r="HI61" s="37"/>
      <c r="HJ61" s="37"/>
      <c r="HK61" s="37"/>
      <c r="HL61" s="37"/>
      <c r="HM61" s="37"/>
      <c r="HN61" s="37"/>
      <c r="HO61" s="37"/>
      <c r="HP61" s="37"/>
      <c r="HQ61" s="37"/>
      <c r="HR61" s="37"/>
      <c r="HS61" s="37"/>
      <c r="HT61" s="37"/>
      <c r="HU61" s="37"/>
      <c r="HV61" s="37"/>
      <c r="HW61" s="37"/>
      <c r="HX61" s="37"/>
      <c r="HY61" s="37"/>
      <c r="HZ61" s="37"/>
      <c r="IA61" s="37"/>
      <c r="IB61" s="37"/>
      <c r="IC61" s="37"/>
      <c r="ID61" s="37"/>
      <c r="IE61" s="37"/>
      <c r="IF61" s="37"/>
      <c r="IG61" s="37"/>
      <c r="IH61" s="37"/>
      <c r="II61" s="37"/>
      <c r="IJ61" s="37"/>
      <c r="IK61" s="37"/>
      <c r="IL61" s="37"/>
      <c r="IM61" s="37"/>
      <c r="IN61" s="37"/>
      <c r="IO61" s="37"/>
      <c r="IP61" s="37"/>
      <c r="IQ61" s="37"/>
      <c r="IR61" s="37"/>
      <c r="IS61" s="37"/>
      <c r="IT61" s="37"/>
      <c r="IU61" s="37"/>
      <c r="IV61" s="37"/>
    </row>
    <row r="62" spans="1:256" s="51" customFormat="1" x14ac:dyDescent="0.15">
      <c r="A62" s="98"/>
      <c r="B62" s="94"/>
      <c r="C62" s="96"/>
      <c r="D62" s="9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c r="BS62" s="37"/>
      <c r="BT62" s="37"/>
      <c r="BU62" s="37"/>
      <c r="BV62" s="37"/>
      <c r="BW62" s="37"/>
      <c r="BX62" s="37"/>
      <c r="BY62" s="37"/>
      <c r="BZ62" s="37"/>
      <c r="CA62" s="37"/>
      <c r="CB62" s="37"/>
      <c r="CC62" s="37"/>
      <c r="CD62" s="37"/>
      <c r="CE62" s="37"/>
      <c r="CF62" s="37"/>
      <c r="CG62" s="37"/>
      <c r="CH62" s="37"/>
      <c r="CI62" s="37"/>
      <c r="CJ62" s="37"/>
      <c r="CK62" s="37"/>
      <c r="CL62" s="37"/>
      <c r="CM62" s="37"/>
      <c r="CN62" s="37"/>
      <c r="CO62" s="37"/>
      <c r="CP62" s="37"/>
      <c r="CQ62" s="37"/>
      <c r="CR62" s="37"/>
      <c r="CS62" s="37"/>
      <c r="CT62" s="37"/>
      <c r="CU62" s="37"/>
      <c r="CV62" s="37"/>
      <c r="CW62" s="37"/>
      <c r="CX62" s="37"/>
      <c r="CY62" s="37"/>
      <c r="CZ62" s="37"/>
      <c r="DA62" s="37"/>
      <c r="DB62" s="37"/>
      <c r="DC62" s="37"/>
      <c r="DD62" s="37"/>
      <c r="DE62" s="37"/>
      <c r="DF62" s="37"/>
      <c r="DG62" s="37"/>
      <c r="DH62" s="37"/>
      <c r="DI62" s="37"/>
      <c r="DJ62" s="37"/>
      <c r="DK62" s="37"/>
      <c r="DL62" s="37"/>
      <c r="DM62" s="37"/>
      <c r="DN62" s="37"/>
      <c r="DO62" s="37"/>
      <c r="DP62" s="37"/>
      <c r="DQ62" s="37"/>
      <c r="DR62" s="37"/>
      <c r="DS62" s="37"/>
      <c r="DT62" s="37"/>
      <c r="DU62" s="37"/>
      <c r="DV62" s="37"/>
      <c r="DW62" s="37"/>
      <c r="DX62" s="37"/>
      <c r="DY62" s="37"/>
      <c r="DZ62" s="37"/>
      <c r="EA62" s="37"/>
      <c r="EB62" s="37"/>
      <c r="EC62" s="37"/>
      <c r="ED62" s="37"/>
      <c r="EE62" s="37"/>
      <c r="EF62" s="37"/>
      <c r="EG62" s="37"/>
      <c r="EH62" s="37"/>
      <c r="EI62" s="37"/>
      <c r="EJ62" s="37"/>
      <c r="EK62" s="37"/>
      <c r="EL62" s="37"/>
      <c r="EM62" s="37"/>
      <c r="EN62" s="37"/>
      <c r="EO62" s="37"/>
      <c r="EP62" s="37"/>
      <c r="EQ62" s="37"/>
      <c r="ER62" s="37"/>
      <c r="ES62" s="37"/>
      <c r="ET62" s="37"/>
      <c r="EU62" s="37"/>
      <c r="EV62" s="37"/>
      <c r="EW62" s="37"/>
      <c r="EX62" s="37"/>
      <c r="EY62" s="37"/>
      <c r="EZ62" s="37"/>
      <c r="FA62" s="37"/>
      <c r="FB62" s="37"/>
      <c r="FC62" s="37"/>
      <c r="FD62" s="37"/>
      <c r="FE62" s="37"/>
      <c r="FF62" s="37"/>
      <c r="FG62" s="37"/>
      <c r="FH62" s="37"/>
      <c r="FI62" s="37"/>
      <c r="FJ62" s="37"/>
      <c r="FK62" s="37"/>
      <c r="FL62" s="37"/>
      <c r="FM62" s="37"/>
      <c r="FN62" s="37"/>
      <c r="FO62" s="37"/>
      <c r="FP62" s="37"/>
      <c r="FQ62" s="37"/>
      <c r="FR62" s="37"/>
      <c r="FS62" s="37"/>
      <c r="FT62" s="37"/>
      <c r="FU62" s="37"/>
      <c r="FV62" s="37"/>
      <c r="FW62" s="37"/>
      <c r="FX62" s="37"/>
      <c r="FY62" s="37"/>
      <c r="FZ62" s="37"/>
      <c r="GA62" s="37"/>
      <c r="GB62" s="37"/>
      <c r="GC62" s="37"/>
      <c r="GD62" s="37"/>
      <c r="GE62" s="37"/>
      <c r="GF62" s="37"/>
      <c r="GG62" s="37"/>
      <c r="GH62" s="37"/>
      <c r="GI62" s="37"/>
      <c r="GJ62" s="37"/>
      <c r="GK62" s="37"/>
      <c r="GL62" s="37"/>
      <c r="GM62" s="37"/>
      <c r="GN62" s="37"/>
      <c r="GO62" s="37"/>
      <c r="GP62" s="37"/>
      <c r="GQ62" s="37"/>
      <c r="GR62" s="37"/>
      <c r="GS62" s="37"/>
      <c r="GT62" s="37"/>
      <c r="GU62" s="37"/>
      <c r="GV62" s="37"/>
      <c r="GW62" s="37"/>
      <c r="GX62" s="37"/>
      <c r="GY62" s="37"/>
      <c r="GZ62" s="37"/>
      <c r="HA62" s="37"/>
      <c r="HB62" s="37"/>
      <c r="HC62" s="37"/>
      <c r="HD62" s="37"/>
      <c r="HE62" s="37"/>
      <c r="HF62" s="37"/>
      <c r="HG62" s="37"/>
      <c r="HH62" s="37"/>
      <c r="HI62" s="37"/>
      <c r="HJ62" s="37"/>
      <c r="HK62" s="37"/>
      <c r="HL62" s="37"/>
      <c r="HM62" s="37"/>
      <c r="HN62" s="37"/>
      <c r="HO62" s="37"/>
      <c r="HP62" s="37"/>
      <c r="HQ62" s="37"/>
      <c r="HR62" s="37"/>
      <c r="HS62" s="37"/>
      <c r="HT62" s="37"/>
      <c r="HU62" s="37"/>
      <c r="HV62" s="37"/>
      <c r="HW62" s="37"/>
      <c r="HX62" s="37"/>
      <c r="HY62" s="37"/>
      <c r="HZ62" s="37"/>
      <c r="IA62" s="37"/>
      <c r="IB62" s="37"/>
      <c r="IC62" s="37"/>
      <c r="ID62" s="37"/>
      <c r="IE62" s="37"/>
      <c r="IF62" s="37"/>
      <c r="IG62" s="37"/>
      <c r="IH62" s="37"/>
      <c r="II62" s="37"/>
      <c r="IJ62" s="37"/>
      <c r="IK62" s="37"/>
      <c r="IL62" s="37"/>
      <c r="IM62" s="37"/>
      <c r="IN62" s="37"/>
      <c r="IO62" s="37"/>
      <c r="IP62" s="37"/>
      <c r="IQ62" s="37"/>
      <c r="IR62" s="37"/>
      <c r="IS62" s="37"/>
      <c r="IT62" s="37"/>
      <c r="IU62" s="37"/>
      <c r="IV62" s="37"/>
    </row>
    <row r="63" spans="1:256" s="51" customFormat="1" x14ac:dyDescent="0.15">
      <c r="A63" s="98"/>
      <c r="B63" s="94"/>
      <c r="C63" s="96"/>
      <c r="D63" s="9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c r="BS63" s="37"/>
      <c r="BT63" s="37"/>
      <c r="BU63" s="37"/>
      <c r="BV63" s="37"/>
      <c r="BW63" s="37"/>
      <c r="BX63" s="37"/>
      <c r="BY63" s="37"/>
      <c r="BZ63" s="37"/>
      <c r="CA63" s="37"/>
      <c r="CB63" s="37"/>
      <c r="CC63" s="37"/>
      <c r="CD63" s="37"/>
      <c r="CE63" s="37"/>
      <c r="CF63" s="37"/>
      <c r="CG63" s="37"/>
      <c r="CH63" s="37"/>
      <c r="CI63" s="37"/>
      <c r="CJ63" s="37"/>
      <c r="CK63" s="37"/>
      <c r="CL63" s="37"/>
      <c r="CM63" s="37"/>
      <c r="CN63" s="37"/>
      <c r="CO63" s="37"/>
      <c r="CP63" s="37"/>
      <c r="CQ63" s="37"/>
      <c r="CR63" s="37"/>
      <c r="CS63" s="37"/>
      <c r="CT63" s="37"/>
      <c r="CU63" s="37"/>
      <c r="CV63" s="37"/>
      <c r="CW63" s="37"/>
      <c r="CX63" s="37"/>
      <c r="CY63" s="37"/>
      <c r="CZ63" s="37"/>
      <c r="DA63" s="37"/>
      <c r="DB63" s="37"/>
      <c r="DC63" s="37"/>
      <c r="DD63" s="37"/>
      <c r="DE63" s="37"/>
      <c r="DF63" s="37"/>
      <c r="DG63" s="37"/>
      <c r="DH63" s="37"/>
      <c r="DI63" s="37"/>
      <c r="DJ63" s="37"/>
      <c r="DK63" s="37"/>
      <c r="DL63" s="37"/>
      <c r="DM63" s="37"/>
      <c r="DN63" s="37"/>
      <c r="DO63" s="37"/>
      <c r="DP63" s="37"/>
      <c r="DQ63" s="37"/>
      <c r="DR63" s="37"/>
      <c r="DS63" s="37"/>
      <c r="DT63" s="37"/>
      <c r="DU63" s="37"/>
      <c r="DV63" s="37"/>
      <c r="DW63" s="37"/>
      <c r="DX63" s="37"/>
      <c r="DY63" s="37"/>
      <c r="DZ63" s="37"/>
      <c r="EA63" s="37"/>
      <c r="EB63" s="37"/>
      <c r="EC63" s="37"/>
      <c r="ED63" s="37"/>
      <c r="EE63" s="37"/>
      <c r="EF63" s="37"/>
      <c r="EG63" s="37"/>
      <c r="EH63" s="37"/>
      <c r="EI63" s="37"/>
      <c r="EJ63" s="37"/>
      <c r="EK63" s="37"/>
      <c r="EL63" s="37"/>
      <c r="EM63" s="37"/>
      <c r="EN63" s="37"/>
      <c r="EO63" s="37"/>
      <c r="EP63" s="37"/>
      <c r="EQ63" s="37"/>
      <c r="ER63" s="37"/>
      <c r="ES63" s="37"/>
      <c r="ET63" s="37"/>
      <c r="EU63" s="37"/>
      <c r="EV63" s="37"/>
      <c r="EW63" s="37"/>
      <c r="EX63" s="37"/>
      <c r="EY63" s="37"/>
      <c r="EZ63" s="37"/>
      <c r="FA63" s="37"/>
      <c r="FB63" s="37"/>
      <c r="FC63" s="37"/>
      <c r="FD63" s="37"/>
      <c r="FE63" s="37"/>
      <c r="FF63" s="37"/>
      <c r="FG63" s="37"/>
      <c r="FH63" s="37"/>
      <c r="FI63" s="37"/>
      <c r="FJ63" s="37"/>
      <c r="FK63" s="37"/>
      <c r="FL63" s="37"/>
      <c r="FM63" s="37"/>
      <c r="FN63" s="37"/>
      <c r="FO63" s="37"/>
      <c r="FP63" s="37"/>
      <c r="FQ63" s="37"/>
      <c r="FR63" s="37"/>
      <c r="FS63" s="37"/>
      <c r="FT63" s="37"/>
      <c r="FU63" s="37"/>
      <c r="FV63" s="37"/>
      <c r="FW63" s="37"/>
      <c r="FX63" s="37"/>
      <c r="FY63" s="37"/>
      <c r="FZ63" s="37"/>
      <c r="GA63" s="37"/>
      <c r="GB63" s="37"/>
      <c r="GC63" s="37"/>
      <c r="GD63" s="37"/>
      <c r="GE63" s="37"/>
      <c r="GF63" s="37"/>
      <c r="GG63" s="37"/>
      <c r="GH63" s="37"/>
      <c r="GI63" s="37"/>
      <c r="GJ63" s="37"/>
      <c r="GK63" s="37"/>
      <c r="GL63" s="37"/>
      <c r="GM63" s="37"/>
      <c r="GN63" s="37"/>
      <c r="GO63" s="37"/>
      <c r="GP63" s="37"/>
      <c r="GQ63" s="37"/>
      <c r="GR63" s="37"/>
      <c r="GS63" s="37"/>
      <c r="GT63" s="37"/>
      <c r="GU63" s="37"/>
      <c r="GV63" s="37"/>
      <c r="GW63" s="37"/>
      <c r="GX63" s="37"/>
      <c r="GY63" s="37"/>
      <c r="GZ63" s="37"/>
      <c r="HA63" s="37"/>
      <c r="HB63" s="37"/>
      <c r="HC63" s="37"/>
      <c r="HD63" s="37"/>
      <c r="HE63" s="37"/>
      <c r="HF63" s="37"/>
      <c r="HG63" s="37"/>
      <c r="HH63" s="37"/>
      <c r="HI63" s="37"/>
      <c r="HJ63" s="37"/>
      <c r="HK63" s="37"/>
      <c r="HL63" s="37"/>
      <c r="HM63" s="37"/>
      <c r="HN63" s="37"/>
      <c r="HO63" s="37"/>
      <c r="HP63" s="37"/>
      <c r="HQ63" s="37"/>
      <c r="HR63" s="37"/>
      <c r="HS63" s="37"/>
      <c r="HT63" s="37"/>
      <c r="HU63" s="37"/>
      <c r="HV63" s="37"/>
      <c r="HW63" s="37"/>
      <c r="HX63" s="37"/>
      <c r="HY63" s="37"/>
      <c r="HZ63" s="37"/>
      <c r="IA63" s="37"/>
      <c r="IB63" s="37"/>
      <c r="IC63" s="37"/>
      <c r="ID63" s="37"/>
      <c r="IE63" s="37"/>
      <c r="IF63" s="37"/>
      <c r="IG63" s="37"/>
      <c r="IH63" s="37"/>
      <c r="II63" s="37"/>
      <c r="IJ63" s="37"/>
      <c r="IK63" s="37"/>
      <c r="IL63" s="37"/>
      <c r="IM63" s="37"/>
      <c r="IN63" s="37"/>
      <c r="IO63" s="37"/>
      <c r="IP63" s="37"/>
      <c r="IQ63" s="37"/>
      <c r="IR63" s="37"/>
      <c r="IS63" s="37"/>
      <c r="IT63" s="37"/>
      <c r="IU63" s="37"/>
      <c r="IV63" s="37"/>
    </row>
    <row r="64" spans="1:256" s="51" customFormat="1" x14ac:dyDescent="0.15">
      <c r="A64" s="98"/>
      <c r="B64" s="94"/>
      <c r="C64" s="96"/>
      <c r="D64" s="9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c r="BS64" s="37"/>
      <c r="BT64" s="37"/>
      <c r="BU64" s="37"/>
      <c r="BV64" s="37"/>
      <c r="BW64" s="37"/>
      <c r="BX64" s="37"/>
      <c r="BY64" s="37"/>
      <c r="BZ64" s="37"/>
      <c r="CA64" s="37"/>
      <c r="CB64" s="37"/>
      <c r="CC64" s="37"/>
      <c r="CD64" s="37"/>
      <c r="CE64" s="37"/>
      <c r="CF64" s="37"/>
      <c r="CG64" s="37"/>
      <c r="CH64" s="37"/>
      <c r="CI64" s="37"/>
      <c r="CJ64" s="37"/>
      <c r="CK64" s="37"/>
      <c r="CL64" s="37"/>
      <c r="CM64" s="37"/>
      <c r="CN64" s="37"/>
      <c r="CO64" s="37"/>
      <c r="CP64" s="37"/>
      <c r="CQ64" s="37"/>
      <c r="CR64" s="37"/>
      <c r="CS64" s="37"/>
      <c r="CT64" s="37"/>
      <c r="CU64" s="37"/>
      <c r="CV64" s="37"/>
      <c r="CW64" s="37"/>
      <c r="CX64" s="37"/>
      <c r="CY64" s="37"/>
      <c r="CZ64" s="37"/>
      <c r="DA64" s="37"/>
      <c r="DB64" s="37"/>
      <c r="DC64" s="37"/>
      <c r="DD64" s="37"/>
      <c r="DE64" s="37"/>
      <c r="DF64" s="37"/>
      <c r="DG64" s="37"/>
      <c r="DH64" s="37"/>
      <c r="DI64" s="37"/>
      <c r="DJ64" s="37"/>
      <c r="DK64" s="37"/>
      <c r="DL64" s="37"/>
      <c r="DM64" s="37"/>
      <c r="DN64" s="37"/>
      <c r="DO64" s="37"/>
      <c r="DP64" s="37"/>
      <c r="DQ64" s="37"/>
      <c r="DR64" s="37"/>
      <c r="DS64" s="37"/>
      <c r="DT64" s="37"/>
      <c r="DU64" s="37"/>
      <c r="DV64" s="37"/>
      <c r="DW64" s="37"/>
      <c r="DX64" s="37"/>
      <c r="DY64" s="37"/>
      <c r="DZ64" s="37"/>
      <c r="EA64" s="37"/>
      <c r="EB64" s="37"/>
      <c r="EC64" s="37"/>
      <c r="ED64" s="37"/>
      <c r="EE64" s="37"/>
      <c r="EF64" s="37"/>
      <c r="EG64" s="37"/>
      <c r="EH64" s="37"/>
      <c r="EI64" s="37"/>
      <c r="EJ64" s="37"/>
      <c r="EK64" s="37"/>
      <c r="EL64" s="37"/>
      <c r="EM64" s="37"/>
      <c r="EN64" s="37"/>
      <c r="EO64" s="37"/>
      <c r="EP64" s="37"/>
      <c r="EQ64" s="37"/>
      <c r="ER64" s="37"/>
      <c r="ES64" s="37"/>
      <c r="ET64" s="37"/>
      <c r="EU64" s="37"/>
      <c r="EV64" s="37"/>
      <c r="EW64" s="37"/>
      <c r="EX64" s="37"/>
      <c r="EY64" s="37"/>
      <c r="EZ64" s="37"/>
      <c r="FA64" s="37"/>
      <c r="FB64" s="37"/>
      <c r="FC64" s="37"/>
      <c r="FD64" s="37"/>
      <c r="FE64" s="37"/>
      <c r="FF64" s="37"/>
      <c r="FG64" s="37"/>
      <c r="FH64" s="37"/>
      <c r="FI64" s="37"/>
      <c r="FJ64" s="37"/>
      <c r="FK64" s="37"/>
      <c r="FL64" s="37"/>
      <c r="FM64" s="37"/>
      <c r="FN64" s="37"/>
      <c r="FO64" s="37"/>
      <c r="FP64" s="37"/>
      <c r="FQ64" s="37"/>
      <c r="FR64" s="37"/>
      <c r="FS64" s="37"/>
      <c r="FT64" s="37"/>
      <c r="FU64" s="37"/>
      <c r="FV64" s="37"/>
      <c r="FW64" s="37"/>
      <c r="FX64" s="37"/>
      <c r="FY64" s="37"/>
      <c r="FZ64" s="37"/>
      <c r="GA64" s="37"/>
      <c r="GB64" s="37"/>
      <c r="GC64" s="37"/>
      <c r="GD64" s="37"/>
      <c r="GE64" s="37"/>
      <c r="GF64" s="37"/>
      <c r="GG64" s="37"/>
      <c r="GH64" s="37"/>
      <c r="GI64" s="37"/>
      <c r="GJ64" s="37"/>
      <c r="GK64" s="37"/>
      <c r="GL64" s="37"/>
      <c r="GM64" s="37"/>
      <c r="GN64" s="37"/>
      <c r="GO64" s="37"/>
      <c r="GP64" s="37"/>
      <c r="GQ64" s="37"/>
      <c r="GR64" s="37"/>
      <c r="GS64" s="37"/>
      <c r="GT64" s="37"/>
      <c r="GU64" s="37"/>
      <c r="GV64" s="37"/>
      <c r="GW64" s="37"/>
      <c r="GX64" s="37"/>
      <c r="GY64" s="37"/>
      <c r="GZ64" s="37"/>
      <c r="HA64" s="37"/>
      <c r="HB64" s="37"/>
      <c r="HC64" s="37"/>
      <c r="HD64" s="37"/>
      <c r="HE64" s="37"/>
      <c r="HF64" s="37"/>
      <c r="HG64" s="37"/>
      <c r="HH64" s="37"/>
      <c r="HI64" s="37"/>
      <c r="HJ64" s="37"/>
      <c r="HK64" s="37"/>
      <c r="HL64" s="37"/>
      <c r="HM64" s="37"/>
      <c r="HN64" s="37"/>
      <c r="HO64" s="37"/>
      <c r="HP64" s="37"/>
      <c r="HQ64" s="37"/>
      <c r="HR64" s="37"/>
      <c r="HS64" s="37"/>
      <c r="HT64" s="37"/>
      <c r="HU64" s="37"/>
      <c r="HV64" s="37"/>
      <c r="HW64" s="37"/>
      <c r="HX64" s="37"/>
      <c r="HY64" s="37"/>
      <c r="HZ64" s="37"/>
      <c r="IA64" s="37"/>
      <c r="IB64" s="37"/>
      <c r="IC64" s="37"/>
      <c r="ID64" s="37"/>
      <c r="IE64" s="37"/>
      <c r="IF64" s="37"/>
      <c r="IG64" s="37"/>
      <c r="IH64" s="37"/>
      <c r="II64" s="37"/>
      <c r="IJ64" s="37"/>
      <c r="IK64" s="37"/>
      <c r="IL64" s="37"/>
      <c r="IM64" s="37"/>
      <c r="IN64" s="37"/>
      <c r="IO64" s="37"/>
      <c r="IP64" s="37"/>
      <c r="IQ64" s="37"/>
      <c r="IR64" s="37"/>
      <c r="IS64" s="37"/>
      <c r="IT64" s="37"/>
      <c r="IU64" s="37"/>
      <c r="IV64" s="37"/>
    </row>
    <row r="3765" spans="28:28" x14ac:dyDescent="0.15">
      <c r="AB3765" s="37" t="s">
        <v>200</v>
      </c>
    </row>
    <row r="65469" spans="1:256" x14ac:dyDescent="0.15">
      <c r="A65469" s="37"/>
      <c r="B65469" s="37"/>
      <c r="C65469" s="37"/>
      <c r="D65469" s="37"/>
      <c r="E65469" s="37"/>
      <c r="F65469" s="37"/>
      <c r="G65469" s="37"/>
      <c r="H65469" s="37"/>
      <c r="I65469" s="37"/>
    </row>
    <row r="65472" spans="1:256" x14ac:dyDescent="0.15">
      <c r="A65472" s="37"/>
      <c r="B65472" s="37"/>
      <c r="C65472" s="37"/>
      <c r="D65472" s="37"/>
      <c r="E65472" s="37"/>
      <c r="F65472" s="37"/>
      <c r="G65472" s="37"/>
      <c r="H65472" s="37"/>
      <c r="I65472" s="37"/>
      <c r="IV65472" s="37">
        <v>36700664990</v>
      </c>
    </row>
  </sheetData>
  <mergeCells count="1">
    <mergeCell ref="C12:D12"/>
  </mergeCell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Drop Down 1">
              <controlPr defaultSize="0" autoLine="0" autoPict="0">
                <anchor moveWithCells="1">
                  <from>
                    <xdr:col>3</xdr:col>
                    <xdr:colOff>63500</xdr:colOff>
                    <xdr:row>15</xdr:row>
                    <xdr:rowOff>76200</xdr:rowOff>
                  </from>
                  <to>
                    <xdr:col>3</xdr:col>
                    <xdr:colOff>1244600</xdr:colOff>
                    <xdr:row>15</xdr:row>
                    <xdr:rowOff>342900</xdr:rowOff>
                  </to>
                </anchor>
              </controlPr>
            </control>
          </mc:Choice>
          <mc:Fallback/>
        </mc:AlternateContent>
        <mc:AlternateContent xmlns:mc="http://schemas.openxmlformats.org/markup-compatibility/2006">
          <mc:Choice Requires="x14">
            <control shapeId="10242" r:id="rId4" name="Drop Down 2">
              <controlPr defaultSize="0" autoLine="0" autoPict="0">
                <anchor moveWithCells="1">
                  <from>
                    <xdr:col>3</xdr:col>
                    <xdr:colOff>50800</xdr:colOff>
                    <xdr:row>20</xdr:row>
                    <xdr:rowOff>76200</xdr:rowOff>
                  </from>
                  <to>
                    <xdr:col>3</xdr:col>
                    <xdr:colOff>1155700</xdr:colOff>
                    <xdr:row>20</xdr:row>
                    <xdr:rowOff>304800</xdr:rowOff>
                  </to>
                </anchor>
              </controlPr>
            </control>
          </mc:Choice>
          <mc:Fallback/>
        </mc:AlternateContent>
        <mc:AlternateContent xmlns:mc="http://schemas.openxmlformats.org/markup-compatibility/2006">
          <mc:Choice Requires="x14">
            <control shapeId="10243" r:id="rId5" name="Drop Down 3">
              <controlPr defaultSize="0" autoLine="0" autoPict="0">
                <anchor moveWithCells="1">
                  <from>
                    <xdr:col>3</xdr:col>
                    <xdr:colOff>76200</xdr:colOff>
                    <xdr:row>29</xdr:row>
                    <xdr:rowOff>50800</xdr:rowOff>
                  </from>
                  <to>
                    <xdr:col>3</xdr:col>
                    <xdr:colOff>1181100</xdr:colOff>
                    <xdr:row>29</xdr:row>
                    <xdr:rowOff>279400</xdr:rowOff>
                  </to>
                </anchor>
              </controlPr>
            </control>
          </mc:Choice>
          <mc:Fallback/>
        </mc:AlternateContent>
        <mc:AlternateContent xmlns:mc="http://schemas.openxmlformats.org/markup-compatibility/2006">
          <mc:Choice Requires="x14">
            <control shapeId="10244" r:id="rId6" name="Drop Down 4">
              <controlPr defaultSize="0" autoLine="0" autoPict="0">
                <anchor moveWithCells="1">
                  <from>
                    <xdr:col>3</xdr:col>
                    <xdr:colOff>63500</xdr:colOff>
                    <xdr:row>10</xdr:row>
                    <xdr:rowOff>101600</xdr:rowOff>
                  </from>
                  <to>
                    <xdr:col>3</xdr:col>
                    <xdr:colOff>1231900</xdr:colOff>
                    <xdr:row>10</xdr:row>
                    <xdr:rowOff>342900</xdr:rowOff>
                  </to>
                </anchor>
              </controlPr>
            </control>
          </mc:Choice>
          <mc:Fallback/>
        </mc:AlternateContent>
        <mc:AlternateContent xmlns:mc="http://schemas.openxmlformats.org/markup-compatibility/2006">
          <mc:Choice Requires="x14">
            <control shapeId="10245" r:id="rId7" name="Drop Down 5">
              <controlPr defaultSize="0" autoLine="0" autoPict="0">
                <anchor moveWithCells="1">
                  <from>
                    <xdr:col>3</xdr:col>
                    <xdr:colOff>63500</xdr:colOff>
                    <xdr:row>9</xdr:row>
                    <xdr:rowOff>101600</xdr:rowOff>
                  </from>
                  <to>
                    <xdr:col>3</xdr:col>
                    <xdr:colOff>1231900</xdr:colOff>
                    <xdr:row>9</xdr:row>
                    <xdr:rowOff>342900</xdr:rowOff>
                  </to>
                </anchor>
              </controlPr>
            </control>
          </mc:Choice>
          <mc:Fallback/>
        </mc:AlternateContent>
        <mc:AlternateContent xmlns:mc="http://schemas.openxmlformats.org/markup-compatibility/2006">
          <mc:Choice Requires="x14">
            <control shapeId="10246" r:id="rId8" name="Drop Down 6">
              <controlPr defaultSize="0" autoLine="0" autoPict="0">
                <anchor moveWithCells="1">
                  <from>
                    <xdr:col>3</xdr:col>
                    <xdr:colOff>63500</xdr:colOff>
                    <xdr:row>8</xdr:row>
                    <xdr:rowOff>101600</xdr:rowOff>
                  </from>
                  <to>
                    <xdr:col>3</xdr:col>
                    <xdr:colOff>1231900</xdr:colOff>
                    <xdr:row>8</xdr:row>
                    <xdr:rowOff>342900</xdr:rowOff>
                  </to>
                </anchor>
              </controlPr>
            </control>
          </mc:Choice>
          <mc:Fallback/>
        </mc:AlternateContent>
        <mc:AlternateContent xmlns:mc="http://schemas.openxmlformats.org/markup-compatibility/2006">
          <mc:Choice Requires="x14">
            <control shapeId="10247" r:id="rId9" name="Drop Down 7">
              <controlPr defaultSize="0" autoLine="0" autoPict="0">
                <anchor moveWithCells="1">
                  <from>
                    <xdr:col>3</xdr:col>
                    <xdr:colOff>63500</xdr:colOff>
                    <xdr:row>7</xdr:row>
                    <xdr:rowOff>101600</xdr:rowOff>
                  </from>
                  <to>
                    <xdr:col>3</xdr:col>
                    <xdr:colOff>1231900</xdr:colOff>
                    <xdr:row>7</xdr:row>
                    <xdr:rowOff>342900</xdr:rowOff>
                  </to>
                </anchor>
              </controlPr>
            </control>
          </mc:Choice>
          <mc:Fallback/>
        </mc:AlternateContent>
        <mc:AlternateContent xmlns:mc="http://schemas.openxmlformats.org/markup-compatibility/2006">
          <mc:Choice Requires="x14">
            <control shapeId="10248" r:id="rId10" name="Drop Down 8">
              <controlPr defaultSize="0" autoLine="0" autoPict="0">
                <anchor moveWithCells="1">
                  <from>
                    <xdr:col>3</xdr:col>
                    <xdr:colOff>63500</xdr:colOff>
                    <xdr:row>6</xdr:row>
                    <xdr:rowOff>101600</xdr:rowOff>
                  </from>
                  <to>
                    <xdr:col>3</xdr:col>
                    <xdr:colOff>1231900</xdr:colOff>
                    <xdr:row>6</xdr:row>
                    <xdr:rowOff>342900</xdr:rowOff>
                  </to>
                </anchor>
              </controlPr>
            </control>
          </mc:Choice>
          <mc:Fallback/>
        </mc:AlternateContent>
        <mc:AlternateContent xmlns:mc="http://schemas.openxmlformats.org/markup-compatibility/2006">
          <mc:Choice Requires="x14">
            <control shapeId="10249" r:id="rId11" name="Drop Down 9">
              <controlPr defaultSize="0" autoLine="0" autoPict="0">
                <anchor moveWithCells="1">
                  <from>
                    <xdr:col>3</xdr:col>
                    <xdr:colOff>63500</xdr:colOff>
                    <xdr:row>5</xdr:row>
                    <xdr:rowOff>101600</xdr:rowOff>
                  </from>
                  <to>
                    <xdr:col>3</xdr:col>
                    <xdr:colOff>1231900</xdr:colOff>
                    <xdr:row>5</xdr:row>
                    <xdr:rowOff>342900</xdr:rowOff>
                  </to>
                </anchor>
              </controlPr>
            </control>
          </mc:Choice>
          <mc:Fallback/>
        </mc:AlternateContent>
      </controls>
    </mc:Choice>
    <mc:Fallback/>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6" tint="0.39997558519241921"/>
  </sheetPr>
  <dimension ref="A1:AB3765"/>
  <sheetViews>
    <sheetView topLeftCell="B12" zoomScale="92" workbookViewId="0">
      <selection activeCell="C26" sqref="C26"/>
    </sheetView>
  </sheetViews>
  <sheetFormatPr baseColWidth="10" defaultColWidth="8.83203125" defaultRowHeight="13" x14ac:dyDescent="0.15"/>
  <cols>
    <col min="1" max="1" width="8.83203125" style="170"/>
    <col min="2" max="2" width="10.33203125" style="170" customWidth="1"/>
    <col min="3" max="3" width="92.5" style="170" customWidth="1"/>
    <col min="4" max="4" width="17.33203125" style="170" customWidth="1"/>
    <col min="5" max="5" width="22" style="170" bestFit="1" customWidth="1"/>
    <col min="6" max="6" width="15.5" style="170" bestFit="1" customWidth="1"/>
    <col min="7" max="7" width="14" style="170" bestFit="1" customWidth="1"/>
    <col min="8" max="16384" width="8.83203125" style="170"/>
  </cols>
  <sheetData>
    <row r="1" spans="1:7" x14ac:dyDescent="0.15">
      <c r="A1" s="165"/>
      <c r="B1" s="165"/>
      <c r="C1" s="167"/>
      <c r="D1" s="168"/>
      <c r="E1" s="169"/>
    </row>
    <row r="2" spans="1:7" ht="21" customHeight="1" x14ac:dyDescent="0.15">
      <c r="A2" s="165"/>
      <c r="B2" s="171" t="s">
        <v>17</v>
      </c>
      <c r="C2" s="172" t="s">
        <v>142</v>
      </c>
      <c r="D2" s="168"/>
      <c r="E2" s="169"/>
    </row>
    <row r="3" spans="1:7" ht="15" customHeight="1" x14ac:dyDescent="0.15">
      <c r="A3" s="165"/>
      <c r="B3" s="165"/>
      <c r="C3" s="165"/>
      <c r="D3" s="168"/>
      <c r="E3" s="169"/>
    </row>
    <row r="4" spans="1:7" ht="26" x14ac:dyDescent="0.15">
      <c r="A4" s="165"/>
      <c r="B4" s="173" t="s">
        <v>27</v>
      </c>
      <c r="C4" s="174" t="s">
        <v>194</v>
      </c>
      <c r="D4" s="99" t="s">
        <v>19</v>
      </c>
      <c r="E4" s="169"/>
    </row>
    <row r="5" spans="1:7" ht="16.5" customHeight="1" x14ac:dyDescent="0.15">
      <c r="A5" s="164" t="s">
        <v>18</v>
      </c>
      <c r="B5" s="216" t="s">
        <v>46</v>
      </c>
      <c r="C5" s="217"/>
      <c r="D5" s="218"/>
    </row>
    <row r="6" spans="1:7" ht="57" customHeight="1" x14ac:dyDescent="0.15">
      <c r="A6" s="165"/>
      <c r="B6" s="175">
        <v>7</v>
      </c>
      <c r="C6" s="219" t="s">
        <v>143</v>
      </c>
      <c r="D6" s="220"/>
    </row>
    <row r="7" spans="1:7" ht="18.75" customHeight="1" x14ac:dyDescent="0.15">
      <c r="A7" s="165">
        <v>1</v>
      </c>
      <c r="B7" s="176" t="s">
        <v>22</v>
      </c>
      <c r="C7" s="177" t="s">
        <v>28</v>
      </c>
      <c r="D7" s="178"/>
    </row>
    <row r="8" spans="1:7" ht="18.75" customHeight="1" x14ac:dyDescent="0.15">
      <c r="A8" s="165">
        <v>1</v>
      </c>
      <c r="B8" s="176" t="s">
        <v>20</v>
      </c>
      <c r="C8" s="179" t="s">
        <v>195</v>
      </c>
      <c r="D8" s="178"/>
    </row>
    <row r="9" spans="1:7" ht="19.5" customHeight="1" x14ac:dyDescent="0.15">
      <c r="A9" s="165">
        <v>0.25</v>
      </c>
      <c r="B9" s="176" t="s">
        <v>21</v>
      </c>
      <c r="C9" s="177" t="s">
        <v>29</v>
      </c>
      <c r="D9" s="178"/>
      <c r="F9" s="180"/>
    </row>
    <row r="10" spans="1:7" ht="19.5" customHeight="1" x14ac:dyDescent="0.15">
      <c r="A10" s="165">
        <v>0.25</v>
      </c>
      <c r="B10" s="176" t="s">
        <v>23</v>
      </c>
      <c r="C10" s="177" t="s">
        <v>97</v>
      </c>
      <c r="D10" s="178"/>
      <c r="G10" s="181"/>
    </row>
    <row r="11" spans="1:7" ht="19.5" customHeight="1" x14ac:dyDescent="0.15">
      <c r="A11" s="165">
        <v>0.25</v>
      </c>
      <c r="B11" s="176" t="s">
        <v>24</v>
      </c>
      <c r="C11" s="177" t="s">
        <v>98</v>
      </c>
      <c r="D11" s="178"/>
    </row>
    <row r="12" spans="1:7" ht="15.75" customHeight="1" x14ac:dyDescent="0.15">
      <c r="A12" s="165">
        <v>0.25</v>
      </c>
      <c r="B12" s="176" t="s">
        <v>25</v>
      </c>
      <c r="C12" s="177" t="s">
        <v>99</v>
      </c>
      <c r="D12" s="178"/>
    </row>
    <row r="13" spans="1:7" ht="18" customHeight="1" x14ac:dyDescent="0.15">
      <c r="A13" s="182">
        <v>0.25</v>
      </c>
      <c r="B13" s="176" t="s">
        <v>33</v>
      </c>
      <c r="C13" s="177" t="s">
        <v>30</v>
      </c>
      <c r="D13" s="178"/>
    </row>
    <row r="14" spans="1:7" ht="15" customHeight="1" x14ac:dyDescent="0.15">
      <c r="A14" s="182">
        <v>0.25</v>
      </c>
      <c r="B14" s="176" t="s">
        <v>144</v>
      </c>
      <c r="C14" s="177" t="s">
        <v>31</v>
      </c>
      <c r="D14" s="178"/>
    </row>
    <row r="15" spans="1:7" ht="15.75" customHeight="1" thickBot="1" x14ac:dyDescent="0.2">
      <c r="A15" s="182">
        <v>0.25</v>
      </c>
      <c r="B15" s="176" t="s">
        <v>145</v>
      </c>
      <c r="C15" s="183" t="s">
        <v>32</v>
      </c>
      <c r="D15" s="184"/>
    </row>
    <row r="16" spans="1:7" ht="15.75" customHeight="1" x14ac:dyDescent="0.15">
      <c r="A16" s="182">
        <v>0.25</v>
      </c>
      <c r="B16" s="176" t="s">
        <v>146</v>
      </c>
      <c r="C16" s="185" t="s">
        <v>172</v>
      </c>
      <c r="D16" s="186"/>
    </row>
    <row r="17" spans="1:4" ht="29.25" customHeight="1" x14ac:dyDescent="0.15">
      <c r="A17" s="182"/>
      <c r="B17" s="187">
        <v>8</v>
      </c>
      <c r="C17" s="219" t="s">
        <v>147</v>
      </c>
      <c r="D17" s="220"/>
    </row>
    <row r="18" spans="1:4" ht="15.75" customHeight="1" x14ac:dyDescent="0.15">
      <c r="A18" s="182">
        <v>1.5</v>
      </c>
      <c r="B18" s="176" t="s">
        <v>22</v>
      </c>
      <c r="C18" s="188" t="s">
        <v>28</v>
      </c>
      <c r="D18" s="178"/>
    </row>
    <row r="19" spans="1:4" ht="18.75" customHeight="1" x14ac:dyDescent="0.15">
      <c r="A19" s="182">
        <v>1.5</v>
      </c>
      <c r="B19" s="189" t="s">
        <v>20</v>
      </c>
      <c r="C19" s="177" t="s">
        <v>32</v>
      </c>
      <c r="D19" s="178"/>
    </row>
    <row r="20" spans="1:4" ht="40" customHeight="1" x14ac:dyDescent="0.15">
      <c r="A20" s="182">
        <v>2</v>
      </c>
      <c r="B20" s="189" t="s">
        <v>21</v>
      </c>
      <c r="C20" s="190" t="s">
        <v>177</v>
      </c>
      <c r="D20" s="191"/>
    </row>
    <row r="21" spans="1:4" ht="51" customHeight="1" x14ac:dyDescent="0.15">
      <c r="A21" s="182">
        <v>1</v>
      </c>
      <c r="B21" s="189" t="s">
        <v>23</v>
      </c>
      <c r="C21" s="192" t="s">
        <v>76</v>
      </c>
      <c r="D21" s="81"/>
    </row>
    <row r="22" spans="1:4" ht="24" customHeight="1" x14ac:dyDescent="0.15">
      <c r="B22" s="221" t="s">
        <v>148</v>
      </c>
      <c r="C22" s="222"/>
      <c r="D22" s="223"/>
    </row>
    <row r="23" spans="1:4" ht="25.5" customHeight="1" x14ac:dyDescent="0.15">
      <c r="A23" s="182"/>
      <c r="B23" s="187">
        <v>9</v>
      </c>
      <c r="C23" s="219" t="s">
        <v>49</v>
      </c>
      <c r="D23" s="220"/>
    </row>
    <row r="24" spans="1:4" ht="33" customHeight="1" x14ac:dyDescent="0.15">
      <c r="A24" s="182">
        <v>1</v>
      </c>
      <c r="B24" s="176" t="s">
        <v>22</v>
      </c>
      <c r="C24" s="193" t="s">
        <v>171</v>
      </c>
      <c r="D24" s="81"/>
    </row>
    <row r="25" spans="1:4" ht="27.75" customHeight="1" x14ac:dyDescent="0.15">
      <c r="A25" s="182">
        <v>1</v>
      </c>
      <c r="B25" s="189" t="s">
        <v>20</v>
      </c>
      <c r="C25" s="193" t="s">
        <v>74</v>
      </c>
      <c r="D25" s="81"/>
    </row>
    <row r="26" spans="1:4" ht="27" customHeight="1" x14ac:dyDescent="0.15">
      <c r="A26" s="182">
        <v>1</v>
      </c>
      <c r="B26" s="194" t="s">
        <v>21</v>
      </c>
      <c r="C26" s="203" t="s">
        <v>206</v>
      </c>
      <c r="D26" s="81"/>
    </row>
    <row r="27" spans="1:4" x14ac:dyDescent="0.15">
      <c r="A27" s="182">
        <f>SUM(A7:A26)</f>
        <v>13</v>
      </c>
    </row>
    <row r="28" spans="1:4" x14ac:dyDescent="0.15">
      <c r="A28" s="195"/>
    </row>
    <row r="3765" spans="28:28" x14ac:dyDescent="0.15">
      <c r="AB3765" s="170" t="s">
        <v>200</v>
      </c>
    </row>
  </sheetData>
  <mergeCells count="5">
    <mergeCell ref="B5:D5"/>
    <mergeCell ref="C6:D6"/>
    <mergeCell ref="C17:D17"/>
    <mergeCell ref="B22:D22"/>
    <mergeCell ref="C23:D2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Drop Down 1">
              <controlPr defaultSize="0" autoLine="0" autoPict="0">
                <anchor moveWithCells="1">
                  <from>
                    <xdr:col>3</xdr:col>
                    <xdr:colOff>0</xdr:colOff>
                    <xdr:row>24</xdr:row>
                    <xdr:rowOff>63500</xdr:rowOff>
                  </from>
                  <to>
                    <xdr:col>3</xdr:col>
                    <xdr:colOff>1066800</xdr:colOff>
                    <xdr:row>24</xdr:row>
                    <xdr:rowOff>304800</xdr:rowOff>
                  </to>
                </anchor>
              </controlPr>
            </control>
          </mc:Choice>
          <mc:Fallback/>
        </mc:AlternateContent>
        <mc:AlternateContent xmlns:mc="http://schemas.openxmlformats.org/markup-compatibility/2006">
          <mc:Choice Requires="x14">
            <control shapeId="11266" r:id="rId4" name="Drop Down 2">
              <controlPr defaultSize="0" autoLine="0" autoPict="0">
                <anchor moveWithCells="1">
                  <from>
                    <xdr:col>3</xdr:col>
                    <xdr:colOff>0</xdr:colOff>
                    <xdr:row>25</xdr:row>
                    <xdr:rowOff>63500</xdr:rowOff>
                  </from>
                  <to>
                    <xdr:col>3</xdr:col>
                    <xdr:colOff>1066800</xdr:colOff>
                    <xdr:row>25</xdr:row>
                    <xdr:rowOff>304800</xdr:rowOff>
                  </to>
                </anchor>
              </controlPr>
            </control>
          </mc:Choice>
          <mc:Fallback/>
        </mc:AlternateContent>
        <mc:AlternateContent xmlns:mc="http://schemas.openxmlformats.org/markup-compatibility/2006">
          <mc:Choice Requires="x14">
            <control shapeId="11267" r:id="rId5" name="Drop Down 3">
              <controlPr defaultSize="0" autoLine="0" autoPict="0">
                <anchor moveWithCells="1">
                  <from>
                    <xdr:col>3</xdr:col>
                    <xdr:colOff>0</xdr:colOff>
                    <xdr:row>23</xdr:row>
                    <xdr:rowOff>63500</xdr:rowOff>
                  </from>
                  <to>
                    <xdr:col>3</xdr:col>
                    <xdr:colOff>1066800</xdr:colOff>
                    <xdr:row>23</xdr:row>
                    <xdr:rowOff>304800</xdr:rowOff>
                  </to>
                </anchor>
              </controlPr>
            </control>
          </mc:Choice>
          <mc:Fallback/>
        </mc:AlternateContent>
        <mc:AlternateContent xmlns:mc="http://schemas.openxmlformats.org/markup-compatibility/2006">
          <mc:Choice Requires="x14">
            <control shapeId="11268" r:id="rId6" name="Drop Down 4">
              <controlPr defaultSize="0" autoLine="0" autoPict="0">
                <anchor moveWithCells="1">
                  <from>
                    <xdr:col>3</xdr:col>
                    <xdr:colOff>25400</xdr:colOff>
                    <xdr:row>20</xdr:row>
                    <xdr:rowOff>50800</xdr:rowOff>
                  </from>
                  <to>
                    <xdr:col>3</xdr:col>
                    <xdr:colOff>1066800</xdr:colOff>
                    <xdr:row>20</xdr:row>
                    <xdr:rowOff>292100</xdr:rowOff>
                  </to>
                </anchor>
              </controlPr>
            </control>
          </mc:Choice>
          <mc:Fallback/>
        </mc:AlternateContent>
        <mc:AlternateContent xmlns:mc="http://schemas.openxmlformats.org/markup-compatibility/2006">
          <mc:Choice Requires="x14">
            <control shapeId="11269" r:id="rId7" name="Drop Down 5">
              <controlPr defaultSize="0" autoLine="0" autoPict="0">
                <anchor moveWithCells="1">
                  <from>
                    <xdr:col>3</xdr:col>
                    <xdr:colOff>0</xdr:colOff>
                    <xdr:row>24</xdr:row>
                    <xdr:rowOff>63500</xdr:rowOff>
                  </from>
                  <to>
                    <xdr:col>3</xdr:col>
                    <xdr:colOff>1066800</xdr:colOff>
                    <xdr:row>24</xdr:row>
                    <xdr:rowOff>304800</xdr:rowOff>
                  </to>
                </anchor>
              </controlPr>
            </control>
          </mc:Choice>
          <mc:Fallback/>
        </mc:AlternateContent>
        <mc:AlternateContent xmlns:mc="http://schemas.openxmlformats.org/markup-compatibility/2006">
          <mc:Choice Requires="x14">
            <control shapeId="11270" r:id="rId8" name="Drop Down 6">
              <controlPr defaultSize="0" autoLine="0" autoPict="0">
                <anchor moveWithCells="1">
                  <from>
                    <xdr:col>3</xdr:col>
                    <xdr:colOff>0</xdr:colOff>
                    <xdr:row>25</xdr:row>
                    <xdr:rowOff>63500</xdr:rowOff>
                  </from>
                  <to>
                    <xdr:col>3</xdr:col>
                    <xdr:colOff>1066800</xdr:colOff>
                    <xdr:row>25</xdr:row>
                    <xdr:rowOff>304800</xdr:rowOff>
                  </to>
                </anchor>
              </controlPr>
            </control>
          </mc:Choice>
          <mc:Fallback/>
        </mc:AlternateContent>
        <mc:AlternateContent xmlns:mc="http://schemas.openxmlformats.org/markup-compatibility/2006">
          <mc:Choice Requires="x14">
            <control shapeId="11271" r:id="rId9" name="Drop Down 7">
              <controlPr defaultSize="0" autoLine="0" autoPict="0">
                <anchor moveWithCells="1">
                  <from>
                    <xdr:col>3</xdr:col>
                    <xdr:colOff>0</xdr:colOff>
                    <xdr:row>23</xdr:row>
                    <xdr:rowOff>63500</xdr:rowOff>
                  </from>
                  <to>
                    <xdr:col>3</xdr:col>
                    <xdr:colOff>1066800</xdr:colOff>
                    <xdr:row>23</xdr:row>
                    <xdr:rowOff>304800</xdr:rowOff>
                  </to>
                </anchor>
              </controlPr>
            </control>
          </mc:Choice>
          <mc:Fallback/>
        </mc:AlternateContent>
        <mc:AlternateContent xmlns:mc="http://schemas.openxmlformats.org/markup-compatibility/2006">
          <mc:Choice Requires="x14">
            <control shapeId="11272" r:id="rId10" name="Drop Down 8">
              <controlPr defaultSize="0" autoLine="0" autoPict="0">
                <anchor moveWithCells="1">
                  <from>
                    <xdr:col>3</xdr:col>
                    <xdr:colOff>25400</xdr:colOff>
                    <xdr:row>20</xdr:row>
                    <xdr:rowOff>50800</xdr:rowOff>
                  </from>
                  <to>
                    <xdr:col>3</xdr:col>
                    <xdr:colOff>1066800</xdr:colOff>
                    <xdr:row>20</xdr:row>
                    <xdr:rowOff>292100</xdr:rowOff>
                  </to>
                </anchor>
              </controlPr>
            </control>
          </mc:Choice>
          <mc:Fallback/>
        </mc:AlternateContent>
        <mc:AlternateContent xmlns:mc="http://schemas.openxmlformats.org/markup-compatibility/2006">
          <mc:Choice Requires="x14">
            <control shapeId="11273" r:id="rId11" name="Drop Down 9">
              <controlPr defaultSize="0" autoLine="0" autoPict="0">
                <anchor moveWithCells="1">
                  <from>
                    <xdr:col>3</xdr:col>
                    <xdr:colOff>0</xdr:colOff>
                    <xdr:row>24</xdr:row>
                    <xdr:rowOff>63500</xdr:rowOff>
                  </from>
                  <to>
                    <xdr:col>3</xdr:col>
                    <xdr:colOff>1066800</xdr:colOff>
                    <xdr:row>24</xdr:row>
                    <xdr:rowOff>304800</xdr:rowOff>
                  </to>
                </anchor>
              </controlPr>
            </control>
          </mc:Choice>
          <mc:Fallback/>
        </mc:AlternateContent>
        <mc:AlternateContent xmlns:mc="http://schemas.openxmlformats.org/markup-compatibility/2006">
          <mc:Choice Requires="x14">
            <control shapeId="11274" r:id="rId12" name="Drop Down 10">
              <controlPr defaultSize="0" autoLine="0" autoPict="0">
                <anchor moveWithCells="1">
                  <from>
                    <xdr:col>3</xdr:col>
                    <xdr:colOff>0</xdr:colOff>
                    <xdr:row>25</xdr:row>
                    <xdr:rowOff>63500</xdr:rowOff>
                  </from>
                  <to>
                    <xdr:col>3</xdr:col>
                    <xdr:colOff>1066800</xdr:colOff>
                    <xdr:row>25</xdr:row>
                    <xdr:rowOff>304800</xdr:rowOff>
                  </to>
                </anchor>
              </controlPr>
            </control>
          </mc:Choice>
          <mc:Fallback/>
        </mc:AlternateContent>
        <mc:AlternateContent xmlns:mc="http://schemas.openxmlformats.org/markup-compatibility/2006">
          <mc:Choice Requires="x14">
            <control shapeId="11275" r:id="rId13" name="Drop Down 11">
              <controlPr defaultSize="0" autoLine="0" autoPict="0">
                <anchor moveWithCells="1">
                  <from>
                    <xdr:col>3</xdr:col>
                    <xdr:colOff>0</xdr:colOff>
                    <xdr:row>23</xdr:row>
                    <xdr:rowOff>63500</xdr:rowOff>
                  </from>
                  <to>
                    <xdr:col>3</xdr:col>
                    <xdr:colOff>1066800</xdr:colOff>
                    <xdr:row>23</xdr:row>
                    <xdr:rowOff>304800</xdr:rowOff>
                  </to>
                </anchor>
              </controlPr>
            </control>
          </mc:Choice>
          <mc:Fallback/>
        </mc:AlternateContent>
        <mc:AlternateContent xmlns:mc="http://schemas.openxmlformats.org/markup-compatibility/2006">
          <mc:Choice Requires="x14">
            <control shapeId="11276" r:id="rId14" name="Drop Down 12">
              <controlPr defaultSize="0" autoLine="0" autoPict="0">
                <anchor moveWithCells="1">
                  <from>
                    <xdr:col>3</xdr:col>
                    <xdr:colOff>25400</xdr:colOff>
                    <xdr:row>20</xdr:row>
                    <xdr:rowOff>50800</xdr:rowOff>
                  </from>
                  <to>
                    <xdr:col>3</xdr:col>
                    <xdr:colOff>1066800</xdr:colOff>
                    <xdr:row>20</xdr:row>
                    <xdr:rowOff>292100</xdr:rowOff>
                  </to>
                </anchor>
              </controlPr>
            </control>
          </mc:Choice>
          <mc:Fallback/>
        </mc:AlternateContent>
      </controls>
    </mc:Choice>
    <mc:Fallback/>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2:N85"/>
  <sheetViews>
    <sheetView workbookViewId="0">
      <selection activeCell="D39" sqref="D39"/>
    </sheetView>
  </sheetViews>
  <sheetFormatPr baseColWidth="10" defaultColWidth="8.83203125" defaultRowHeight="13" x14ac:dyDescent="0.15"/>
  <cols>
    <col min="3" max="3" width="15.5" bestFit="1" customWidth="1"/>
    <col min="4" max="4" width="17.5" bestFit="1" customWidth="1"/>
    <col min="13" max="13" width="12.1640625" bestFit="1" customWidth="1"/>
    <col min="14" max="14" width="12.5" bestFit="1" customWidth="1"/>
    <col min="27" max="104" width="0" hidden="1" customWidth="1"/>
  </cols>
  <sheetData>
    <row r="2" spans="1:14" x14ac:dyDescent="0.15">
      <c r="B2" s="5"/>
      <c r="C2" s="5"/>
      <c r="D2" s="5"/>
      <c r="E2" s="5"/>
    </row>
    <row r="3" spans="1:14" x14ac:dyDescent="0.15">
      <c r="B3" s="5" t="s">
        <v>43</v>
      </c>
      <c r="C3" s="5"/>
      <c r="D3" s="5"/>
      <c r="E3" s="5"/>
    </row>
    <row r="4" spans="1:14" x14ac:dyDescent="0.15">
      <c r="B4" s="5"/>
      <c r="C4" s="5"/>
      <c r="D4" s="5"/>
      <c r="E4" s="5"/>
    </row>
    <row r="5" spans="1:14" x14ac:dyDescent="0.15">
      <c r="B5" s="5" t="s">
        <v>34</v>
      </c>
      <c r="C5" s="10" t="s">
        <v>149</v>
      </c>
      <c r="D5" s="5"/>
      <c r="E5" s="5" t="s">
        <v>12</v>
      </c>
      <c r="F5" s="5"/>
      <c r="G5" s="5"/>
      <c r="H5" s="5"/>
      <c r="I5" s="5"/>
      <c r="J5" s="5"/>
    </row>
    <row r="6" spans="1:14" x14ac:dyDescent="0.15">
      <c r="B6" s="5" t="s">
        <v>35</v>
      </c>
      <c r="C6" s="5" t="s">
        <v>200</v>
      </c>
      <c r="D6" s="5"/>
      <c r="E6" s="18" t="s">
        <v>158</v>
      </c>
      <c r="F6" s="5">
        <v>29812521.999999996</v>
      </c>
      <c r="G6" s="5"/>
      <c r="H6" s="5"/>
      <c r="I6" s="5"/>
      <c r="J6" s="5"/>
    </row>
    <row r="7" spans="1:14" x14ac:dyDescent="0.15">
      <c r="B7" s="5" t="s">
        <v>36</v>
      </c>
      <c r="C7" s="9" t="s">
        <v>61</v>
      </c>
      <c r="D7" s="5"/>
      <c r="E7" s="5"/>
      <c r="F7" s="5"/>
      <c r="G7" s="5"/>
      <c r="H7" s="5" t="s">
        <v>2</v>
      </c>
      <c r="I7" s="5"/>
      <c r="J7" s="5" t="s">
        <v>3</v>
      </c>
    </row>
    <row r="8" spans="1:14" x14ac:dyDescent="0.15">
      <c r="A8" s="5"/>
      <c r="B8" s="5" t="s">
        <v>37</v>
      </c>
      <c r="C8" s="5"/>
      <c r="D8" s="5"/>
      <c r="E8" s="5"/>
      <c r="F8" s="5"/>
      <c r="G8" s="5"/>
      <c r="H8" s="6" t="s">
        <v>5</v>
      </c>
      <c r="I8" s="6">
        <v>1</v>
      </c>
      <c r="J8" s="6" t="str">
        <f t="shared" ref="J8:J13" si="0">VLOOKUP(I8,$B$14:$E$22,3,FALSE)</f>
        <v>Left Click</v>
      </c>
    </row>
    <row r="9" spans="1:14" x14ac:dyDescent="0.15">
      <c r="A9" s="5"/>
      <c r="B9" s="5" t="s">
        <v>0</v>
      </c>
      <c r="C9" s="5" t="e">
        <f>#REF!</f>
        <v>#REF!</v>
      </c>
      <c r="D9" s="5"/>
      <c r="E9" s="5"/>
      <c r="F9" s="5"/>
      <c r="G9" s="5"/>
      <c r="H9" s="6" t="s">
        <v>7</v>
      </c>
      <c r="I9" s="6">
        <v>1</v>
      </c>
      <c r="J9" s="6" t="str">
        <f t="shared" si="0"/>
        <v>Left Click</v>
      </c>
    </row>
    <row r="10" spans="1:14" x14ac:dyDescent="0.15">
      <c r="A10" s="5"/>
      <c r="B10" s="5" t="s">
        <v>1</v>
      </c>
      <c r="C10" s="5" t="e">
        <f>#REF!</f>
        <v>#REF!</v>
      </c>
      <c r="D10" s="5"/>
      <c r="E10" s="5"/>
      <c r="F10" s="5"/>
      <c r="G10" s="5"/>
      <c r="H10" s="6" t="s">
        <v>9</v>
      </c>
      <c r="I10" s="6">
        <v>1</v>
      </c>
      <c r="J10" s="6" t="str">
        <f t="shared" si="0"/>
        <v>Left Click</v>
      </c>
    </row>
    <row r="11" spans="1:14" x14ac:dyDescent="0.15">
      <c r="A11" s="5"/>
      <c r="B11" s="5"/>
      <c r="C11" s="5"/>
      <c r="D11" s="5"/>
      <c r="E11" s="5"/>
      <c r="F11" s="5"/>
      <c r="G11" s="5"/>
      <c r="H11" s="13" t="s">
        <v>71</v>
      </c>
      <c r="I11" s="6">
        <v>1</v>
      </c>
      <c r="J11" s="6" t="str">
        <f t="shared" si="0"/>
        <v>Left Click</v>
      </c>
    </row>
    <row r="12" spans="1:14" x14ac:dyDescent="0.15">
      <c r="A12" s="5"/>
      <c r="B12" s="5"/>
      <c r="C12" s="5"/>
      <c r="D12" s="5"/>
      <c r="E12" s="5"/>
      <c r="F12" s="5"/>
      <c r="G12" s="5"/>
      <c r="H12" s="13" t="s">
        <v>152</v>
      </c>
      <c r="I12" s="6">
        <v>1</v>
      </c>
      <c r="J12" s="6" t="str">
        <f t="shared" si="0"/>
        <v>Left Click</v>
      </c>
    </row>
    <row r="13" spans="1:14" x14ac:dyDescent="0.15">
      <c r="A13" s="5"/>
      <c r="B13" s="5"/>
      <c r="C13" s="5"/>
      <c r="D13" s="5"/>
      <c r="E13" s="5"/>
      <c r="F13" s="5"/>
      <c r="G13" s="5"/>
      <c r="H13" s="13" t="s">
        <v>153</v>
      </c>
      <c r="I13" s="6">
        <v>1</v>
      </c>
      <c r="J13" s="6" t="str">
        <f t="shared" si="0"/>
        <v>Left Click</v>
      </c>
    </row>
    <row r="14" spans="1:14" x14ac:dyDescent="0.15">
      <c r="A14" s="5"/>
      <c r="B14" s="5">
        <v>1</v>
      </c>
      <c r="C14" s="5" t="s">
        <v>4</v>
      </c>
      <c r="D14" s="5" t="s">
        <v>4</v>
      </c>
      <c r="E14" s="10" t="s">
        <v>4</v>
      </c>
      <c r="F14" s="5"/>
      <c r="G14" s="5"/>
      <c r="H14" s="7" t="s">
        <v>10</v>
      </c>
      <c r="I14" s="7"/>
      <c r="J14" s="7">
        <f>Answers!$D$14</f>
        <v>0</v>
      </c>
      <c r="L14" s="5">
        <v>1</v>
      </c>
      <c r="M14" s="5" t="s">
        <v>4</v>
      </c>
      <c r="N14" s="19" t="s">
        <v>4</v>
      </c>
    </row>
    <row r="15" spans="1:14" x14ac:dyDescent="0.15">
      <c r="A15" s="5"/>
      <c r="B15" s="5">
        <v>2</v>
      </c>
      <c r="C15" s="5" t="s">
        <v>6</v>
      </c>
      <c r="D15" s="10" t="s">
        <v>163</v>
      </c>
      <c r="E15" s="106" t="s">
        <v>168</v>
      </c>
      <c r="F15" s="5"/>
      <c r="G15" s="5"/>
      <c r="H15" s="7" t="s">
        <v>11</v>
      </c>
      <c r="I15" s="7"/>
      <c r="J15" s="7">
        <f>Answers!$D$15</f>
        <v>0</v>
      </c>
      <c r="L15" s="5">
        <v>2</v>
      </c>
      <c r="M15" s="18" t="s">
        <v>53</v>
      </c>
      <c r="N15" s="19" t="s">
        <v>54</v>
      </c>
    </row>
    <row r="16" spans="1:14" x14ac:dyDescent="0.15">
      <c r="A16" s="5"/>
      <c r="B16" s="5">
        <v>3</v>
      </c>
      <c r="C16" s="5" t="s">
        <v>8</v>
      </c>
      <c r="D16" s="10" t="s">
        <v>162</v>
      </c>
      <c r="E16" s="106" t="s">
        <v>169</v>
      </c>
      <c r="F16" s="5"/>
      <c r="G16" s="5"/>
      <c r="H16" s="6" t="s">
        <v>13</v>
      </c>
      <c r="I16" s="6">
        <v>1</v>
      </c>
      <c r="J16" s="6" t="str">
        <f>VLOOKUP(I16,$B$14:$E$16,2,FALSE)</f>
        <v>Left Click</v>
      </c>
      <c r="L16" s="5">
        <v>3</v>
      </c>
      <c r="M16" s="18" t="s">
        <v>50</v>
      </c>
      <c r="N16" s="19" t="s">
        <v>55</v>
      </c>
    </row>
    <row r="17" spans="1:14" x14ac:dyDescent="0.15">
      <c r="A17" s="5"/>
      <c r="B17" s="5">
        <v>4</v>
      </c>
      <c r="C17" s="5"/>
      <c r="D17" s="5" t="s">
        <v>56</v>
      </c>
      <c r="E17" s="5"/>
      <c r="F17" s="5"/>
      <c r="G17" s="5"/>
      <c r="H17" s="11" t="s">
        <v>38</v>
      </c>
      <c r="I17" s="7"/>
      <c r="J17" s="7">
        <f>Answers!$D$18</f>
        <v>0</v>
      </c>
      <c r="L17" s="5">
        <v>4</v>
      </c>
      <c r="M17" s="18" t="s">
        <v>51</v>
      </c>
      <c r="N17" s="19" t="s">
        <v>56</v>
      </c>
    </row>
    <row r="18" spans="1:14" x14ac:dyDescent="0.15">
      <c r="A18" s="5"/>
      <c r="B18" s="5">
        <v>5</v>
      </c>
      <c r="C18" s="5"/>
      <c r="D18" s="10" t="s">
        <v>150</v>
      </c>
      <c r="E18" s="5"/>
      <c r="F18" s="5"/>
      <c r="G18" s="5"/>
      <c r="H18" s="11" t="s">
        <v>39</v>
      </c>
      <c r="I18" s="7"/>
      <c r="J18" s="7">
        <f>Answers!$D$19</f>
        <v>0</v>
      </c>
      <c r="L18" s="5">
        <v>5</v>
      </c>
      <c r="M18" s="18" t="s">
        <v>52</v>
      </c>
      <c r="N18" s="19" t="s">
        <v>57</v>
      </c>
    </row>
    <row r="19" spans="1:14" x14ac:dyDescent="0.15">
      <c r="A19" s="5"/>
      <c r="B19" s="5">
        <v>6</v>
      </c>
      <c r="C19" s="5"/>
      <c r="D19" s="5" t="s">
        <v>151</v>
      </c>
      <c r="E19" s="5"/>
      <c r="F19" s="5"/>
      <c r="G19" s="5"/>
      <c r="H19" s="11" t="s">
        <v>40</v>
      </c>
      <c r="I19" s="7"/>
      <c r="J19" s="7">
        <f>Answers!$D$20</f>
        <v>0</v>
      </c>
    </row>
    <row r="20" spans="1:14" x14ac:dyDescent="0.15">
      <c r="A20" s="5"/>
      <c r="B20" s="5">
        <v>7</v>
      </c>
      <c r="C20" s="5"/>
      <c r="D20" s="5" t="s">
        <v>29</v>
      </c>
      <c r="E20" s="5"/>
      <c r="F20" s="5"/>
      <c r="G20" s="5"/>
      <c r="H20" s="13" t="s">
        <v>154</v>
      </c>
      <c r="I20" s="6">
        <v>1</v>
      </c>
      <c r="J20" s="6" t="str">
        <f>VLOOKUP(I20,$B$14:$E$16,4,FALSE)</f>
        <v>Left Click</v>
      </c>
      <c r="L20" s="5"/>
      <c r="M20" s="19"/>
    </row>
    <row r="21" spans="1:14" x14ac:dyDescent="0.15">
      <c r="A21" s="5"/>
      <c r="B21" s="5">
        <v>8</v>
      </c>
      <c r="D21" s="5" t="s">
        <v>94</v>
      </c>
      <c r="F21" s="5"/>
      <c r="G21" s="5"/>
      <c r="H21" s="11" t="s">
        <v>14</v>
      </c>
      <c r="I21" s="7"/>
      <c r="J21" s="8">
        <f>Answers!$D$23</f>
        <v>0</v>
      </c>
      <c r="L21" s="5"/>
      <c r="M21" s="19"/>
    </row>
    <row r="22" spans="1:14" x14ac:dyDescent="0.15">
      <c r="A22" s="5"/>
      <c r="B22" s="5">
        <v>9</v>
      </c>
      <c r="C22" s="5"/>
      <c r="D22" s="5" t="s">
        <v>26</v>
      </c>
      <c r="E22" s="5"/>
      <c r="F22" s="5"/>
      <c r="G22" s="5"/>
      <c r="H22" s="11" t="s">
        <v>15</v>
      </c>
      <c r="I22" s="7"/>
      <c r="J22" s="8">
        <f>Answers!$D$24</f>
        <v>0</v>
      </c>
      <c r="L22" s="5"/>
      <c r="M22" s="19"/>
    </row>
    <row r="23" spans="1:14" x14ac:dyDescent="0.15">
      <c r="A23" s="5"/>
      <c r="B23" s="5"/>
      <c r="C23" s="5"/>
      <c r="D23" s="5"/>
      <c r="E23" s="5"/>
      <c r="F23" s="5"/>
      <c r="G23" s="5"/>
      <c r="H23" s="11" t="s">
        <v>16</v>
      </c>
      <c r="I23" s="7"/>
      <c r="J23" s="8">
        <f>Answers!$D$25</f>
        <v>0</v>
      </c>
      <c r="L23" s="5"/>
      <c r="M23" s="19"/>
    </row>
    <row r="24" spans="1:14" x14ac:dyDescent="0.15">
      <c r="A24" s="5"/>
      <c r="B24" s="10"/>
      <c r="C24" s="14"/>
      <c r="D24" s="14"/>
      <c r="E24" s="5"/>
      <c r="F24" s="5"/>
      <c r="G24" s="5"/>
      <c r="H24" s="12" t="s">
        <v>41</v>
      </c>
      <c r="I24" s="7"/>
      <c r="J24" s="8">
        <f>Answers!$D$26</f>
        <v>0</v>
      </c>
      <c r="L24" s="5"/>
      <c r="M24" s="19"/>
    </row>
    <row r="25" spans="1:14" x14ac:dyDescent="0.15">
      <c r="A25" s="5"/>
      <c r="B25" s="10"/>
      <c r="C25" s="14"/>
      <c r="D25" s="14"/>
      <c r="E25" s="5"/>
      <c r="F25" s="5"/>
      <c r="G25" s="5"/>
      <c r="H25" s="12" t="s">
        <v>196</v>
      </c>
      <c r="I25" s="7"/>
      <c r="J25" s="8">
        <f>Answers!$D$27</f>
        <v>0</v>
      </c>
      <c r="L25" s="5"/>
      <c r="M25" s="19"/>
    </row>
    <row r="26" spans="1:14" x14ac:dyDescent="0.15">
      <c r="A26" s="5"/>
      <c r="B26" s="5"/>
      <c r="C26" s="14"/>
      <c r="D26" s="14"/>
      <c r="E26" s="5"/>
      <c r="F26" s="5"/>
      <c r="G26" s="5"/>
      <c r="H26" s="12" t="s">
        <v>44</v>
      </c>
      <c r="I26" s="7"/>
      <c r="J26" s="8">
        <f>Answers!$D$29</f>
        <v>0</v>
      </c>
    </row>
    <row r="27" spans="1:14" x14ac:dyDescent="0.15">
      <c r="A27" s="5"/>
      <c r="B27" s="5"/>
      <c r="C27" s="14"/>
      <c r="D27" s="14"/>
      <c r="E27" s="5"/>
      <c r="F27" s="5"/>
      <c r="G27" s="5"/>
      <c r="H27" s="13" t="s">
        <v>45</v>
      </c>
      <c r="I27" s="6">
        <v>1</v>
      </c>
      <c r="J27" s="6" t="str">
        <f>VLOOKUP(I27,$B$14:$E$16,2,FALSE)</f>
        <v>Left Click</v>
      </c>
    </row>
    <row r="28" spans="1:14" x14ac:dyDescent="0.15">
      <c r="A28" s="5"/>
      <c r="B28" s="5"/>
      <c r="C28" s="14"/>
      <c r="D28" s="14"/>
      <c r="E28" s="5"/>
      <c r="F28" s="5"/>
      <c r="G28" s="5"/>
      <c r="H28" s="12" t="s">
        <v>42</v>
      </c>
      <c r="I28" s="5"/>
      <c r="J28" s="23">
        <f>Answers!D32</f>
        <v>0</v>
      </c>
    </row>
    <row r="29" spans="1:14" x14ac:dyDescent="0.15">
      <c r="A29" s="5"/>
      <c r="B29" s="5" t="s">
        <v>178</v>
      </c>
      <c r="C29" s="14">
        <v>42420.011303587962</v>
      </c>
      <c r="D29" s="14">
        <v>42420.011240162035</v>
      </c>
      <c r="E29" s="5"/>
      <c r="F29" s="5"/>
      <c r="G29" s="5"/>
      <c r="H29" s="12" t="s">
        <v>166</v>
      </c>
      <c r="J29" s="23">
        <f>Answers!D33</f>
        <v>0</v>
      </c>
    </row>
    <row r="30" spans="1:14" x14ac:dyDescent="0.15">
      <c r="A30" s="5"/>
      <c r="B30" s="5" t="s">
        <v>178</v>
      </c>
      <c r="C30" s="14">
        <v>42419.863772800927</v>
      </c>
      <c r="D30" s="14">
        <v>42059.948724884256</v>
      </c>
      <c r="E30" s="5"/>
      <c r="F30" s="5"/>
      <c r="G30" s="5"/>
      <c r="H30" s="12" t="s">
        <v>47</v>
      </c>
      <c r="I30" s="5"/>
      <c r="J30" s="5">
        <f>Answers2!D7</f>
        <v>0</v>
      </c>
    </row>
    <row r="31" spans="1:14" x14ac:dyDescent="0.15">
      <c r="A31" s="5"/>
      <c r="B31" s="5" t="s">
        <v>178</v>
      </c>
      <c r="C31" s="14">
        <v>42419.99605509259</v>
      </c>
      <c r="D31" s="14">
        <v>42419.863960532406</v>
      </c>
      <c r="E31" s="5"/>
      <c r="F31" s="5"/>
      <c r="G31" s="5"/>
      <c r="H31" s="12" t="s">
        <v>48</v>
      </c>
      <c r="I31" s="5"/>
      <c r="J31" s="5">
        <f>Answers2!D8</f>
        <v>0</v>
      </c>
    </row>
    <row r="32" spans="1:14" x14ac:dyDescent="0.15">
      <c r="A32" s="5"/>
      <c r="B32" s="5" t="s">
        <v>199</v>
      </c>
      <c r="C32" s="14">
        <v>43016.920447569442</v>
      </c>
      <c r="D32" s="14">
        <v>42420.011515972219</v>
      </c>
      <c r="E32" s="5"/>
      <c r="F32" s="5"/>
      <c r="G32" s="5"/>
      <c r="H32" s="12" t="s">
        <v>63</v>
      </c>
      <c r="I32" s="5"/>
      <c r="J32" s="5">
        <f>Answers2!D9</f>
        <v>0</v>
      </c>
    </row>
    <row r="33" spans="1:10" x14ac:dyDescent="0.15">
      <c r="A33" s="5"/>
      <c r="B33" s="5" t="s">
        <v>199</v>
      </c>
      <c r="C33" s="14">
        <v>43016.921090856478</v>
      </c>
      <c r="D33" s="14">
        <v>43016.920812268516</v>
      </c>
      <c r="E33" s="5"/>
      <c r="F33" s="5"/>
      <c r="G33" s="5"/>
      <c r="H33" s="12" t="s">
        <v>64</v>
      </c>
      <c r="I33" s="5"/>
      <c r="J33" s="5">
        <f>Answers2!D10</f>
        <v>0</v>
      </c>
    </row>
    <row r="34" spans="1:10" x14ac:dyDescent="0.15">
      <c r="A34" s="5"/>
      <c r="B34" s="5" t="s">
        <v>199</v>
      </c>
      <c r="C34" s="14">
        <v>43016.92245046296</v>
      </c>
      <c r="D34" s="14">
        <v>43016.921839930554</v>
      </c>
      <c r="E34" s="5"/>
      <c r="F34" s="5"/>
      <c r="G34" s="5"/>
      <c r="H34" s="12" t="s">
        <v>67</v>
      </c>
      <c r="I34" s="5"/>
      <c r="J34" s="5">
        <f>Answers2!D11</f>
        <v>0</v>
      </c>
    </row>
    <row r="35" spans="1:10" x14ac:dyDescent="0.15">
      <c r="A35" s="5"/>
      <c r="B35" s="5" t="s">
        <v>199</v>
      </c>
      <c r="C35" s="14">
        <v>43016.92298333333</v>
      </c>
      <c r="D35" s="14">
        <v>43016.922704976852</v>
      </c>
      <c r="E35" s="5"/>
      <c r="F35" s="5"/>
      <c r="G35" s="5"/>
      <c r="H35" s="12" t="s">
        <v>65</v>
      </c>
      <c r="I35" s="5"/>
      <c r="J35" s="5">
        <f>Answers2!D12</f>
        <v>0</v>
      </c>
    </row>
    <row r="36" spans="1:10" x14ac:dyDescent="0.15">
      <c r="A36" s="5"/>
      <c r="B36" s="5"/>
      <c r="C36" s="14">
        <v>43054.440390625001</v>
      </c>
      <c r="D36" s="14">
        <v>43016.923214351853</v>
      </c>
      <c r="E36" s="5"/>
      <c r="F36" s="5"/>
      <c r="G36" s="5"/>
      <c r="H36" s="16" t="s">
        <v>66</v>
      </c>
      <c r="I36" s="5"/>
      <c r="J36" s="5">
        <f>Answers2!D13</f>
        <v>0</v>
      </c>
    </row>
    <row r="37" spans="1:10" x14ac:dyDescent="0.15">
      <c r="A37" s="5"/>
      <c r="B37" s="5"/>
      <c r="C37" s="14"/>
      <c r="D37" s="14">
        <v>43018.992770254627</v>
      </c>
      <c r="E37" s="5"/>
      <c r="F37" s="5"/>
      <c r="G37" s="5"/>
      <c r="H37" s="12" t="s">
        <v>155</v>
      </c>
      <c r="J37" s="5">
        <f>Answers2!D14</f>
        <v>0</v>
      </c>
    </row>
    <row r="38" spans="1:10" x14ac:dyDescent="0.15">
      <c r="A38" s="5"/>
      <c r="B38" s="5"/>
      <c r="C38" s="14"/>
      <c r="D38" s="14">
        <v>43032.654692013886</v>
      </c>
      <c r="E38" s="5"/>
      <c r="F38" s="5"/>
      <c r="G38" s="5"/>
      <c r="H38" s="12" t="s">
        <v>156</v>
      </c>
      <c r="J38" s="5">
        <f>Answers2!D15</f>
        <v>0</v>
      </c>
    </row>
    <row r="39" spans="1:10" x14ac:dyDescent="0.15">
      <c r="A39" s="5"/>
      <c r="B39" s="5"/>
      <c r="C39" s="14"/>
      <c r="D39" s="14">
        <v>43054.440522453704</v>
      </c>
      <c r="E39" s="5"/>
      <c r="F39" s="5"/>
      <c r="G39" s="5"/>
      <c r="H39" s="12" t="s">
        <v>157</v>
      </c>
      <c r="J39" s="5">
        <f>Answers2!D16</f>
        <v>0</v>
      </c>
    </row>
    <row r="40" spans="1:10" x14ac:dyDescent="0.15">
      <c r="A40" s="5"/>
      <c r="B40" s="5"/>
      <c r="C40" s="14"/>
      <c r="D40" s="14"/>
      <c r="E40" s="5"/>
      <c r="F40" s="5"/>
      <c r="G40" s="5"/>
      <c r="H40" s="16" t="s">
        <v>58</v>
      </c>
      <c r="I40" s="5"/>
      <c r="J40" s="5">
        <f>Answers2!D18</f>
        <v>0</v>
      </c>
    </row>
    <row r="41" spans="1:10" x14ac:dyDescent="0.15">
      <c r="B41" s="5"/>
      <c r="C41" s="14"/>
      <c r="D41" s="14"/>
      <c r="H41" s="16" t="s">
        <v>59</v>
      </c>
      <c r="I41" s="5"/>
      <c r="J41" s="5">
        <f>Answers2!D19</f>
        <v>0</v>
      </c>
    </row>
    <row r="42" spans="1:10" x14ac:dyDescent="0.15">
      <c r="B42" s="5"/>
      <c r="C42" s="14"/>
      <c r="D42" s="14"/>
      <c r="H42" s="16" t="s">
        <v>60</v>
      </c>
      <c r="I42" s="5"/>
      <c r="J42" s="5">
        <f>Answers2!D20</f>
        <v>0</v>
      </c>
    </row>
    <row r="43" spans="1:10" x14ac:dyDescent="0.15">
      <c r="B43" s="5"/>
      <c r="C43" s="5"/>
      <c r="D43" s="14"/>
      <c r="H43" s="6" t="s">
        <v>75</v>
      </c>
      <c r="I43" s="6">
        <v>0</v>
      </c>
      <c r="J43" s="6" t="e">
        <f>VLOOKUP(I43,$B$14:$E$16,2,FALSE)</f>
        <v>#N/A</v>
      </c>
    </row>
    <row r="44" spans="1:10" x14ac:dyDescent="0.15">
      <c r="B44" s="5"/>
      <c r="C44" s="5"/>
      <c r="D44" s="14"/>
      <c r="H44" s="21" t="s">
        <v>68</v>
      </c>
      <c r="I44" s="6">
        <v>0</v>
      </c>
      <c r="J44" s="6" t="e">
        <f>VLOOKUP(I44,$L$14:$N$18,3,FALSE)</f>
        <v>#N/A</v>
      </c>
    </row>
    <row r="45" spans="1:10" x14ac:dyDescent="0.15">
      <c r="B45" s="5"/>
      <c r="C45" s="5"/>
      <c r="D45" s="14"/>
      <c r="H45" s="21" t="s">
        <v>69</v>
      </c>
      <c r="I45" s="6">
        <v>0</v>
      </c>
      <c r="J45" s="6" t="e">
        <f>VLOOKUP(I45,$L$14:$N$18,3,FALSE)</f>
        <v>#N/A</v>
      </c>
    </row>
    <row r="46" spans="1:10" x14ac:dyDescent="0.15">
      <c r="B46" s="5"/>
      <c r="C46" s="5"/>
      <c r="D46" s="14"/>
      <c r="H46" s="21" t="s">
        <v>70</v>
      </c>
      <c r="I46" s="6">
        <v>1</v>
      </c>
      <c r="J46" s="6" t="str">
        <f>VLOOKUP(I46,$L$14:$N$18,3,FALSE)</f>
        <v>Left Click</v>
      </c>
    </row>
    <row r="47" spans="1:10" x14ac:dyDescent="0.15">
      <c r="B47" s="5"/>
      <c r="C47" s="5"/>
      <c r="D47" s="14"/>
    </row>
    <row r="48" spans="1:10" x14ac:dyDescent="0.15">
      <c r="B48" s="5"/>
      <c r="C48" s="5"/>
      <c r="D48" s="5"/>
    </row>
    <row r="49" spans="2:4" x14ac:dyDescent="0.15">
      <c r="B49" s="5"/>
      <c r="C49" s="5"/>
      <c r="D49" s="5"/>
    </row>
    <row r="50" spans="2:4" x14ac:dyDescent="0.15">
      <c r="B50" s="5"/>
      <c r="C50" s="5"/>
      <c r="D50" s="5"/>
    </row>
    <row r="51" spans="2:4" x14ac:dyDescent="0.15">
      <c r="B51" s="5"/>
      <c r="C51" s="5"/>
      <c r="D51" s="5"/>
    </row>
    <row r="52" spans="2:4" x14ac:dyDescent="0.15">
      <c r="B52" s="5"/>
      <c r="C52" s="5"/>
      <c r="D52" s="5"/>
    </row>
    <row r="53" spans="2:4" x14ac:dyDescent="0.15">
      <c r="B53" s="5"/>
      <c r="C53" s="5"/>
      <c r="D53" s="5"/>
    </row>
    <row r="54" spans="2:4" x14ac:dyDescent="0.15">
      <c r="B54" s="5"/>
      <c r="C54" s="5"/>
      <c r="D54" s="5"/>
    </row>
    <row r="55" spans="2:4" x14ac:dyDescent="0.15">
      <c r="B55" s="5"/>
      <c r="C55" s="5"/>
      <c r="D55" s="5"/>
    </row>
    <row r="56" spans="2:4" x14ac:dyDescent="0.15">
      <c r="B56" s="5"/>
      <c r="C56" s="5"/>
      <c r="D56" s="5"/>
    </row>
    <row r="57" spans="2:4" x14ac:dyDescent="0.15">
      <c r="B57" s="5"/>
      <c r="C57" s="5"/>
      <c r="D57" s="5"/>
    </row>
    <row r="58" spans="2:4" x14ac:dyDescent="0.15">
      <c r="B58" s="5"/>
      <c r="C58" s="5"/>
      <c r="D58" s="5"/>
    </row>
    <row r="59" spans="2:4" x14ac:dyDescent="0.15">
      <c r="B59" s="5"/>
    </row>
    <row r="60" spans="2:4" x14ac:dyDescent="0.15">
      <c r="B60" s="5"/>
    </row>
    <row r="61" spans="2:4" x14ac:dyDescent="0.15">
      <c r="B61" s="5"/>
    </row>
    <row r="62" spans="2:4" x14ac:dyDescent="0.15">
      <c r="B62" s="5"/>
    </row>
    <row r="63" spans="2:4" x14ac:dyDescent="0.15">
      <c r="B63" s="5"/>
    </row>
    <row r="64" spans="2:4" x14ac:dyDescent="0.15">
      <c r="B64" s="5"/>
    </row>
    <row r="65" spans="2:2" x14ac:dyDescent="0.15">
      <c r="B65" s="5"/>
    </row>
    <row r="66" spans="2:2" x14ac:dyDescent="0.15">
      <c r="B66" s="5"/>
    </row>
    <row r="67" spans="2:2" x14ac:dyDescent="0.15">
      <c r="B67" s="5"/>
    </row>
    <row r="68" spans="2:2" x14ac:dyDescent="0.15">
      <c r="B68" s="5"/>
    </row>
    <row r="69" spans="2:2" x14ac:dyDescent="0.15">
      <c r="B69" s="5"/>
    </row>
    <row r="70" spans="2:2" x14ac:dyDescent="0.15">
      <c r="B70" s="5"/>
    </row>
    <row r="71" spans="2:2" x14ac:dyDescent="0.15">
      <c r="B71" s="5"/>
    </row>
    <row r="72" spans="2:2" x14ac:dyDescent="0.15">
      <c r="B72" s="5"/>
    </row>
    <row r="73" spans="2:2" x14ac:dyDescent="0.15">
      <c r="B73" s="5"/>
    </row>
    <row r="74" spans="2:2" x14ac:dyDescent="0.15">
      <c r="B74" s="5"/>
    </row>
    <row r="75" spans="2:2" x14ac:dyDescent="0.15">
      <c r="B75" s="5"/>
    </row>
    <row r="76" spans="2:2" x14ac:dyDescent="0.15">
      <c r="B76" s="5"/>
    </row>
    <row r="77" spans="2:2" x14ac:dyDescent="0.15">
      <c r="B77" s="5"/>
    </row>
    <row r="78" spans="2:2" x14ac:dyDescent="0.15">
      <c r="B78" s="5"/>
    </row>
    <row r="79" spans="2:2" x14ac:dyDescent="0.15">
      <c r="B79" s="5"/>
    </row>
    <row r="80" spans="2:2" x14ac:dyDescent="0.15">
      <c r="B80" s="5"/>
    </row>
    <row r="81" spans="2:2" x14ac:dyDescent="0.15">
      <c r="B81" s="5"/>
    </row>
    <row r="82" spans="2:2" x14ac:dyDescent="0.15">
      <c r="B82" s="5"/>
    </row>
    <row r="83" spans="2:2" x14ac:dyDescent="0.15">
      <c r="B83" s="5"/>
    </row>
    <row r="84" spans="2:2" x14ac:dyDescent="0.15">
      <c r="B84" s="5"/>
    </row>
    <row r="85" spans="2:2" x14ac:dyDescent="0.15">
      <c r="B85" s="5"/>
    </row>
  </sheetData>
  <sheetProtection algorithmName="SHA-512" hashValue="DdKbsSnZtZTga2OAIO0a8zZnUl+6Eph6A15l5R7xYMTDlNjAKwUNf2oyo3hs8bYd99GY9zuBj5r2njFzTGKsdA==" saltValue="n/cG5NDxApUDiCwYP9n3Tg==" spinCount="100000" sheet="1" objects="1" scenarios="1"/>
  <pageMargins left="0.7" right="0.7" top="0.75" bottom="0.75" header="0.3" footer="0.3"/>
  <pageSetup paperSize="9" orientation="portrait" horizontalDpi="4294967292" verticalDpi="4294967292"/>
  <customProperties>
    <customPr name="DVSECTIONID" r:id="rId1"/>
  </customPropertie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Instructions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Özge Cesur</dc:creator>
  <cp:lastModifiedBy>Microsoft Office User</cp:lastModifiedBy>
  <dcterms:created xsi:type="dcterms:W3CDTF">2006-09-19T19:37:34Z</dcterms:created>
  <dcterms:modified xsi:type="dcterms:W3CDTF">2017-11-15T07:34:21Z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oogle.Documents.DocumentId">
    <vt:lpwstr>1Vr2QXb4psjjhrL6s-J7j3NjQ2SsrygDggR5A305s8oM</vt:lpwstr>
  </property>
  <property fmtid="{D5CDD505-2E9C-101B-9397-08002B2CF9AE}" pid="3" name="Google.Documents.RevisionId">
    <vt:lpwstr>00654933314055152852</vt:lpwstr>
  </property>
  <property fmtid="{D5CDD505-2E9C-101B-9397-08002B2CF9AE}" pid="4" name="Google.Documents.PluginVersion">
    <vt:lpwstr>2.0.2662.553</vt:lpwstr>
  </property>
  <property fmtid="{D5CDD505-2E9C-101B-9397-08002B2CF9AE}" pid="5" name="Google.Documents.MergeIncapabilityFlags">
    <vt:i4>1</vt:i4>
  </property>
  <property fmtid="{D5CDD505-2E9C-101B-9397-08002B2CF9AE}" pid="6" name="Google.Documents.Tracking">
    <vt:lpwstr>false</vt:lpwstr>
  </property>
</Properties>
</file>